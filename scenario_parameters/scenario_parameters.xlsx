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acho\Documents\Mis_documentos\INVESTIGACION_UVA\WILIAM\MODEL_IN_SOURCETREE\scenario_parameters\"/>
    </mc:Choice>
  </mc:AlternateContent>
  <xr:revisionPtr revIDLastSave="0" documentId="13_ncr:1_{A622B3C0-B789-439F-962E-BA0C14114B8E}" xr6:coauthVersionLast="47" xr6:coauthVersionMax="47" xr10:uidLastSave="{00000000-0000-0000-0000-000000000000}"/>
  <bookViews>
    <workbookView xWindow="-38510" yWindow="-110" windowWidth="38620" windowHeight="21220" tabRatio="749" xr2:uid="{00000000-000D-0000-FFFF-FFFF00000000}"/>
  </bookViews>
  <sheets>
    <sheet name="ReadMe" sheetId="67" r:id="rId1"/>
    <sheet name="glossary_and_narratives" sheetId="25" r:id="rId2"/>
    <sheet name="list_policies_hypotheses" sheetId="89" r:id="rId3"/>
    <sheet name="demography" sheetId="71" r:id="rId4"/>
    <sheet name="society" sheetId="16" r:id="rId5"/>
    <sheet name="economy" sheetId="87" r:id="rId6"/>
    <sheet name="energy" sheetId="90" r:id="rId7"/>
    <sheet name="energy-buildings" sheetId="86" r:id="rId8"/>
    <sheet name="energy-transport" sheetId="80" r:id="rId9"/>
    <sheet name="materials" sheetId="88" r:id="rId10"/>
    <sheet name="land" sheetId="91" r:id="rId11"/>
    <sheet name="climate" sheetId="8" r:id="rId12"/>
    <sheet name="demography_data" sheetId="78" r:id="rId13"/>
    <sheet name="energy-data" sheetId="37" r:id="rId14"/>
    <sheet name="data_materials_calculator" sheetId="66" r:id="rId15"/>
  </sheets>
  <externalReferences>
    <externalReference r:id="rId16"/>
    <externalReference r:id="rId17"/>
    <externalReference r:id="rId18"/>
    <externalReference r:id="rId19"/>
  </externalReferences>
  <definedNames>
    <definedName name="_xlnm._FilterDatabase" localSheetId="2" hidden="1">list_policies_hypotheses!$B$2:$H$2</definedName>
    <definedName name="AFFORESTATION_SP" localSheetId="10">land!$A$5</definedName>
    <definedName name="ANNUAL_EFFICIENCY_INCREASE_PV_SP" localSheetId="6">energy!$B$815</definedName>
    <definedName name="ANNUAL_EFFICIENCY_INCREASE_PV_SP_x" localSheetId="6">energy!$A$812</definedName>
    <definedName name="annual_recycling_rate_variation_base_metals" localSheetId="9">materials!$C$100</definedName>
    <definedName name="ANNUAL_VARIATION_CAPACITY_EXPANSION_PROSTO_DEDICATED_SP" localSheetId="6">energy!$C$496:$D$504</definedName>
    <definedName name="ANNUAL_VARIATION_CAPACITY_EXPANSION_PROSTO_DEDICATED_SP_x" localSheetId="6">energy!$A$493</definedName>
    <definedName name="ANNUAL_VARIATION_CAPACITY_EXPANSION_PROSTO_DEDICATED_SP_x">#REF!</definedName>
    <definedName name="AVERAGE_PEOPLE_PER_HOUSEHOLD_NON_EU_REGIONS_TIMESERIES_TARGET_SP" localSheetId="3">demography!$B$165:$CI$172</definedName>
    <definedName name="BASIC_INCOME_SP" localSheetId="5">economy!$A$995</definedName>
    <definedName name="BASIC_INCOME_SP">#REF!</definedName>
    <definedName name="BASIC_INCOME_TAX_PAYERS_SP" localSheetId="5">economy!$B$1029:$B$1088</definedName>
    <definedName name="BROWN_COAL_RESOURCE_ESTIMATION_HIGH_SP" localSheetId="9">materials!$E$68</definedName>
    <definedName name="BROWN_COAL_RESOURCE_ESTIMATION_LOW_SP" localSheetId="9">materials!$E$66</definedName>
    <definedName name="BROWN_COAL_RESOURCE_ESTIMATION_MED_SP" localSheetId="9">materials!$E$67</definedName>
    <definedName name="BUFFER_EU_HOUSEHOLDS_SPEED_OF_CHANGE_SP">demography!$B$155</definedName>
    <definedName name="CAPACITY_EXPANSION_POLICY_PRIORITIES_SP" localSheetId="6">energy!$B$305:$J$346</definedName>
    <definedName name="CAPACITY_INVESTMENT_COST_PRO_FLEXOPT_USER_DEFINED_SP" localSheetId="6">energy!$B$869:$F$875</definedName>
    <definedName name="CAPACITY_INVESTMENT_COST_PROTRA_CHP_HP_PP_USER_DEFINED" localSheetId="6">energy!$B$829:$F$865</definedName>
    <definedName name="CAPITAL_PRODUCTIVITY_GROWTH_SP" localSheetId="5">economy!$B$16:$BK$50</definedName>
    <definedName name="CAPITAL_PRODUCTIVITY_VARIATION" localSheetId="5">economy!$A$3</definedName>
    <definedName name="CAPITAL_PRODUCTIVITY_VARIATION_SP" localSheetId="5">economy!$B$16:$BK$50</definedName>
    <definedName name="CF_LOSS_SHARE_STOPPING_PROTRA_NUCLEAR_CAPACITY_EXPANSION_SP" localSheetId="6">energy!$B$806</definedName>
    <definedName name="CF_LOSS_SHARE_STOPPING_PROTRA_NUCLEAR_CAPACITY_EXPANSION_SP">#REF!</definedName>
    <definedName name="CHANGE_TO_REGENERATIVE_AGRICULTURE_SP" localSheetId="10">land!$A$214</definedName>
    <definedName name="Climate_Sensitivity">climate!$B$6</definedName>
    <definedName name="CLIMATE_SENSITIVITY_SP">climate!$A$3</definedName>
    <definedName name="CO2_TAX_HOUSEHOLDS_SP" localSheetId="5">economy!$B$916:$CI$951</definedName>
    <definedName name="CO2_TAX_HOUSEHOLDS_SP_x" localSheetId="5">economy!$A$899</definedName>
    <definedName name="CO2_TAX_SECTORS_SP" localSheetId="5">economy!$B$860:$CI$895</definedName>
    <definedName name="CO2_TAX_SECTORS_SP_x" localSheetId="5">economy!$A$773</definedName>
    <definedName name="COAL_RESOURCE_ESTIMATION_HIGH_SP" localSheetId="9">materials!$D$68:$E$68</definedName>
    <definedName name="COAL_RESOURCE_ESTIMATION_LOW_SP" localSheetId="9">materials!$D$66:$E$66</definedName>
    <definedName name="COAL_RESOURCE_ESTIMATION_MED_SP" localSheetId="9">materials!$D$67:$E$67</definedName>
    <definedName name="CROPLAND_PROTECTION_SP" localSheetId="10">land!$A$67</definedName>
    <definedName name="CROPLAND_PROTECTION_SP">#REF!</definedName>
    <definedName name="CROPS_FOR_ENERGY_SP" localSheetId="10">land!$A$410</definedName>
    <definedName name="CUSTOM_DIET_PATTERN_OF_POLICY_DIETS_SP" localSheetId="10">land!$B$351:$O$359</definedName>
    <definedName name="DEBT_INTEREST_RATE_SP" localSheetId="5">economy!$B$256:$CI$290</definedName>
    <definedName name="DEBT_INTEREST_RATE_SP_x" localSheetId="5">economy!$A$243</definedName>
    <definedName name="DEBT_INTEREST_RATE_SP_x">#REF!</definedName>
    <definedName name="DEBT_INTEREST_RATE_TARGET_SP" localSheetId="5">economy!$B$256:$B$290</definedName>
    <definedName name="DIET_ACORDING_TO_POLICIES_SP" localSheetId="10">land!$A$326</definedName>
    <definedName name="Disaggregated_by_mineral_1_or_common_annual_variation_for_all_minerals_2" localSheetId="9">materials!#REF!</definedName>
    <definedName name="Disaggregated_by_mineral_1_or_common_annual_variation_for_all_minerals_2_base_metals" localSheetId="9">materials!$D$91</definedName>
    <definedName name="EFFECT_OIL_AND_GAS_ON_AGRICULTURE_SP" localSheetId="10">land!$A$227</definedName>
    <definedName name="EFFICIENCY_ELECTROLYZERS_DEVELOPMENT_USER_DEFINED_SP" localSheetId="6">energy!$B$612:$E$613</definedName>
    <definedName name="EFFICIENCY_ELECTROLYZERS_DEVELOPMENT_USER_DEFINED_SP">#REF!</definedName>
    <definedName name="EFFICIENCY_INCREASE_PV_SP" localSheetId="6">energy!$B$815</definedName>
    <definedName name="EXOGENOUS_CAPACITY_EXPANSION_VARIABILITY_MANAGEMENT_OPTIONS_SP" localSheetId="6">energy!$A$492</definedName>
    <definedName name="EXOGENOUS_ENERGY_FROM_BIOMASS_DEMANDED">land!$B$576:$AU$584</definedName>
    <definedName name="EXOGENOUS_ENERGY_FROM_CROPS_DEMANDED">land!$B$566:$AU$574</definedName>
    <definedName name="EXOGENOUS_LAND_FOR_SOLAR_DEMANDED">land!$B$556:$AU$564</definedName>
    <definedName name="EXOGENOUS_LAND_USE_DEMANDS" localSheetId="10">land!$B$513:$M$521</definedName>
    <definedName name="Exogenous_other_GHG_emissions_selection_of_RCP">climate!$B$14</definedName>
    <definedName name="EXOGENOUS_PROTRA_RES_POTENTIALS_SP" localSheetId="6">energy!$B$712:$J$732</definedName>
    <definedName name="EXOGENOUS_PROTRA_RES_POTENTIALS_SP_x" localSheetId="6">energy!$A$710</definedName>
    <definedName name="EXOGENOUS_PROTRA_RES_POTENTIALS_SP_x">#REF!</definedName>
    <definedName name="EXOGENOUS_SHARE_OF_NEW_ON_SITE_ELECTROLYZERS_SUBTECHNOLOGIES_SP_x" localSheetId="6">energy!$A$563</definedName>
    <definedName name="EXOGENOUS_SHARE_OF_NEW_ON_SITE_ELECTROLYZERS_SUBTECHNOLOGIES_SP_x">#REF!</definedName>
    <definedName name="EXOGENOUS_WOOD_FOR_INDUSTRY_DEMANDED">land!$B$586:$AU$594</definedName>
    <definedName name="FERTILITY_RATES_SP" localSheetId="3">demography!$A$13</definedName>
    <definedName name="FINAL_ENERGY_EFFICIENCY_RATE_TOP_DOWN_SECTORS_SP" localSheetId="6">energy!$B$11:$B$45</definedName>
    <definedName name="FINAL_ENERGY_EFFICIENCY_RATE_TOP_DOWN_SECTORS_SP_x" localSheetId="6">energy!$A$3</definedName>
    <definedName name="FINAL_ENERGY_SUBSTITUTION_RATE_TOP_DOWN_SECTORS_SP" localSheetId="6">energy!$B$62:$H$96</definedName>
    <definedName name="FINAL_ENERGY_SUBSTITUTION_RATE_TOP_DOWN_SECTORS_SP_x" localSheetId="6">energy!$A$47</definedName>
    <definedName name="FINAL_GENDER_PARITY_INDEX_HIGH_SP">society!$G$7:$G$41</definedName>
    <definedName name="FINAL_GENDER_PARITY_INDEX_MEDIUM_SP">society!$H$7:$H$41</definedName>
    <definedName name="FINAL_YEAR_BAN_DWELLING_DEVICE_TECHNOLOGY_SP">'energy-buildings'!$B$453:$Y$487</definedName>
    <definedName name="FINAL_YEAR_DWELLINGS_RENOVATION_SP">'energy-buildings'!$F$13:$F$16</definedName>
    <definedName name="FINAL_YEAR_IMPROVEMENT_EFFICIENCY_NEW_DWELLINGS_SP">'energy-buildings'!$E$26</definedName>
    <definedName name="FINAL_YEAR_POLICY_STEEL_MANUFACTURING_PROCESSES_SP" localSheetId="6">energy!$D$183:$D$217</definedName>
    <definedName name="FINAL_YEAR_POLICY_STEEL_MANUFACTURING_PROCESSES_SP">#REF!</definedName>
    <definedName name="FINAL_YEAR_PROTRA_CAPACITY_EXPANSION_POLICY_SP" localSheetId="6">energy!$B$301</definedName>
    <definedName name="FINAL_YEAR_PROTRA_CAPACITY_EXPANSION_POLICY_SP">#REF!</definedName>
    <definedName name="FINAL_YEAR_PROTRA_UTILIZATION_ALLOCATION_POLICY_PRIORITIES_SP" localSheetId="6">energy!$B$402</definedName>
    <definedName name="FINAL_YEAR_PROTRA_UTILIZATION_ALLOCATION_POLICY_PRIORITIES_SP">#REF!</definedName>
    <definedName name="FINAL_YEAR_SECTOR_CO2_TAX_SP">economy!$D$790:$D$851</definedName>
    <definedName name="FINAL_YEAR_SUBSIDY_ASHP_SP">'energy-buildings'!$G$147:$G$181</definedName>
    <definedName name="FINAL_YEAR_SUBSIDY_ESH_SP">'energy-buildings'!$G$185:$G$219</definedName>
    <definedName name="FINAL_YEAR_SUBSIDY_EWH_SP">'energy-buildings'!$G$223:$G$257</definedName>
    <definedName name="FINAL_YEAR_SUBSIDY_GSHP_SP">'energy-buildings'!$G$261:$G$295</definedName>
    <definedName name="FINAL_YEAR_SUBSIDY_RENOVATION_HIGH_SP">'energy-buildings'!$G$107:$G$141</definedName>
    <definedName name="FINAL_YEAR_SUBSIDY_RENOVATION_LOW_SP">'energy-buildings'!$G$31:$G$65</definedName>
    <definedName name="FINAL_YEAR_SUBSIDY_RENOVATION_MEDIUM_SP">'energy-buildings'!$G$69:$G$103</definedName>
    <definedName name="FINAL_YEAR_SUBSIDY_TSOL_SP">'energy-buildings'!$G$299:$G$333</definedName>
    <definedName name="FINAL_YEAR_SUBSIDY_WPB_SP">'energy-buildings'!$G$337:$G$371</definedName>
    <definedName name="FINAL_YEAR_WORKING_TIME_VARIATION_SP" localSheetId="5">economy!$B$203</definedName>
    <definedName name="FLEXIBLE_ELEC_DEMAND_SP" localSheetId="6">energy!$A$627</definedName>
    <definedName name="FLEXIBLE_ELECTROLYZERS_CAPACITY_EXPANSION_TARGET_SP" localSheetId="6">energy!$A$506</definedName>
    <definedName name="FLEXIBLE_ELECTROLYZERS_CAPACITY_EXPANSION_TARGET_SP">#REF!</definedName>
    <definedName name="FLEXITARIANA_DIET_PATTERN_OF_POLICY_DIETS_SP" localSheetId="10">[1]Diet!$B$22:$O$30</definedName>
    <definedName name="FOREST_LOSS_LIMIT_SP" localSheetId="10">land!$A$55</definedName>
    <definedName name="FOREST_PLANTATIONS_INCREASE_SP" localSheetId="10">land!$A$18</definedName>
    <definedName name="FOREST_PLANTATIONS_INCREASE_SP">#REF!</definedName>
    <definedName name="FORESTRY_SELF_SUFFICIENCY_SP" localSheetId="10">land!$A$369</definedName>
    <definedName name="FOSSIL_RESOURCE_ESTIMATION_LOW_MED_HIGH_OTHER_SP" localSheetId="9">materials!$A$64</definedName>
    <definedName name="FRESH_FOOD_LOSS_CONSUMPTION_SP" localSheetId="10">land!$B$365:$J$365</definedName>
    <definedName name="FRESH_FOOD_LOSS_CONSUMPTION_SP">#REF!</definedName>
    <definedName name="FUEL_CONSUMPTION_EFFICIENCY_CHANGE" localSheetId="8">'energy-transport'!$A$91</definedName>
    <definedName name="GAS_RESOURCE_ESTIMATION_HIGH_SP" localSheetId="9">materials!$C$68</definedName>
    <definedName name="GAS_RESOURCE_ESTIMATION_LOW_SP" localSheetId="9">materials!$C$66</definedName>
    <definedName name="GAS_RESOURCE_ESTIMATION_MED_SP" localSheetId="9">materials!$C$67</definedName>
    <definedName name="GAS_User_defines" localSheetId="9">materials!$C$71</definedName>
    <definedName name="GENDER_PARITY_INDEX_TARGET">society!$A$3</definedName>
    <definedName name="GOVERNMENT_BUDGET_BALANCE_TO_GDP_OBJECTIVE_SP" localSheetId="5">economy!$B$305:$CI$339</definedName>
    <definedName name="GOVERNMENT_BUDGET_BALANCE_TO_GDP_OBJECTIVE_SP_x" localSheetId="5">economy!$A$292</definedName>
    <definedName name="GOVERNMENT_BUDGET_BALANCE_TO_GDP_OBJECTIVE_SP_x">#REF!</definedName>
    <definedName name="GOVERNMENT_BUDGET_BALANCE_TO_GDP_OBJECTIVE_TARGET_SP" localSheetId="5">economy!$B$305:$CI$339</definedName>
    <definedName name="GRASSLAND_MANAGEMENT_SP" localSheetId="10">land!$A$240</definedName>
    <definedName name="GRASSLAND_PROTECTION_SP" localSheetId="10">land!$A$79</definedName>
    <definedName name="GROWTH_MATERIAL_INTENSITIES_SP" localSheetId="9">materials!$B$39:$B$42</definedName>
    <definedName name="GWP_time_frame">climate!$B$20</definedName>
    <definedName name="H2_NET_EXPORT_SHARE_BY_REGION_SP">energy!$B$238:$G$246</definedName>
    <definedName name="H2_NET_IMPORT_SHARE_BY_REGION_SP">energy!$B$226:$G$234</definedName>
    <definedName name="HARD_COAL_RESOURCE_ESTIMATION_HIGH_SP" localSheetId="9">materials!$D$68</definedName>
    <definedName name="HARD_COAL_RESOURCE_ESTIMATION_LOW_SP" localSheetId="9">materials!$D$66</definedName>
    <definedName name="HARD_COAL_RESOURCE_ESTIMATION_MED_SP" localSheetId="9">materials!$D$67</definedName>
    <definedName name="HOUSEHOLD_COMPOSITION_IN_NON_EU_REGIONS">demography!$A$157</definedName>
    <definedName name="IMPROVEMENT_EFFICIENCY_NEW_DWELLINGS_SP">'energy-buildings'!$C$26</definedName>
    <definedName name="In_the_target_year" localSheetId="9">materials!#REF!</definedName>
    <definedName name="INITIAL_COAL_RESERVES_2005_SP" localSheetId="9">materials!$D$75:$E$75</definedName>
    <definedName name="INITIAL_GAS_RESERVES_2005_SP" localSheetId="9">materials!$C$75</definedName>
    <definedName name="INITIAL_LIMIT_ANNUAL_GROWTH_CONSUMPTION_DURABLES_SP" localSheetId="5">economy!$C$1141:$C$1175</definedName>
    <definedName name="INITIAL_LIMIT_ANNUAL_GROWTH_CONSUMPTION_DURABLES_SP">#REF!</definedName>
    <definedName name="INITIAL_LIMIT_ANNUAL_GROWTH_CONSUMPTION_NON_DURABLES_SP" localSheetId="5">economy!$C$1181:$C$1215</definedName>
    <definedName name="INITIAL_LIMIT_ANNUAL_GROWTH_CONSUMPTION_NON_DURABLES_SP">#REF!</definedName>
    <definedName name="INITIAL_LIMIT_ANNUAL_GROWTH_WAGES_SP" localSheetId="5">economy!$C$154:$C$188</definedName>
    <definedName name="INITIAL_LIMIT_ANNUAL_GROWTH_WAGES_SP">#REF!</definedName>
    <definedName name="INITIAL_OIL_RESERVES_2005_SP" localSheetId="9">materials!$B$75</definedName>
    <definedName name="INITIAL_SC_SP" localSheetId="6">energy!$F$619</definedName>
    <definedName name="INITIAL_YEAR_ANNUAL_VARIATION_CAPACITY_EXPANSION_PROSTO_DEDICATED_SP" localSheetId="6">energy!$B$496:$B$504</definedName>
    <definedName name="INITIAL_YEAR_BAN_DWELLING_DEVICE_TECHNOLOGY_SP">'energy-buildings'!$B$415:$Y$449</definedName>
    <definedName name="INITIAL_YEAR_BASIC_INCOME_SP" localSheetId="5">economy!$C$998:$C$1018</definedName>
    <definedName name="INITIAL_YEAR_CAPITAL_PRODUCTIVITY_GROWTH_SP" localSheetId="5">economy!$B$12</definedName>
    <definedName name="INITIAL_YEAR_CAPITAL_PRODUCTIVITY_VARIATION_SP" localSheetId="5">economy!$B$12</definedName>
    <definedName name="INITIAL_YEAR_DEBT_INTEREST_RATE_SP" localSheetId="5">economy!$B$252</definedName>
    <definedName name="INITIAL_YEAR_DWELLINGS_RENOVATION_SP">'energy-buildings'!$E$13:$E$16</definedName>
    <definedName name="INITIAL_YEAR_EFFICIENCY_INCREASE_RATE_PV_SP" localSheetId="6">energy!$C$815</definedName>
    <definedName name="INITIAL_YEAR_FLEX_ELEC_DEMAND_SP" localSheetId="6">energy!$C$631:$C$639</definedName>
    <definedName name="INITIAL_YEAR_FLEXIBLE_ELECTROLIZERS_EXPANSION_SP" localSheetId="6">energy!$C$508:$C$516</definedName>
    <definedName name="INITIAL_YEAR_GOVERNMENT_BUDGET_BALANCE_TO_GDP_OBJECTIVE_SP" localSheetId="5">economy!$B$301</definedName>
    <definedName name="INITIAL_YEAR_IMPROVEMENT_EFFICIENCY_NEW_DWELLINGS_SP">'energy-buildings'!$D$26</definedName>
    <definedName name="INITIAL_YEAR_LABOUR_PRODUCTIVITY_GROWTH_SP" localSheetId="5">economy!$B$110</definedName>
    <definedName name="INITIAL_YEAR_LABOUR_PRODUCTIVITY_VARIATION_SP" localSheetId="5">economy!$B$110</definedName>
    <definedName name="INITIAL_YEAR_LIMIT_ANNUAL_GROWTH_GOVERNMENT_EXPENDITURE_SP" localSheetId="5">economy!$C$345:$C$379</definedName>
    <definedName name="INITIAL_YEAR_MARK_UP_VARIATION_SP" localSheetId="5">economy!$B$61</definedName>
    <definedName name="INITIAL_YEAR_ON_SITE_ELECTROLYZERS_EXPANSION_SP" localSheetId="6">energy!$B$553:$B$561</definedName>
    <definedName name="INITIAL_YEAR_ON_SITE_ELECTROLYZERS_EXPANSION_SP">#REF!</definedName>
    <definedName name="INITIAL_YEAR_PERCENTAGE_FE_LIQUID_AND_GAS_SUBSTITUTED_BY_H2_LIQUIDS_AND_GASES_BASED_FUEL_SP" localSheetId="6">energy!#REF!</definedName>
    <definedName name="INITIAL_YEAR_POLICY_STEEL_MANUFACTURING_PROCESSES_SP" localSheetId="6">energy!$C$183:$C$217</definedName>
    <definedName name="INITIAL_YEAR_POLICY_STEEL_MANUFACTURING_PROCESSES_SP">#REF!</definedName>
    <definedName name="INITIAL_YEAR_REDUCTION_MATERIAL_INTENSITY_ELECTROLYZERS_SP" localSheetId="9">materials!$F$87</definedName>
    <definedName name="INITIAL_YEAR_REDUCTION_MATERIAL_INTENSITY_ELECTROLYZERS_SP">#REF!</definedName>
    <definedName name="INITIAL_YEAR_REDUCTION_MATERIAL_INTENSITY_PV_SP" localSheetId="9">materials!$E$82</definedName>
    <definedName name="INITIAL_YEAR_SECTOR_CO2_TAX_SP">economy!$C$790:$C$851</definedName>
    <definedName name="INITIAL_YEAR_SHARE_MERCHANT_ELECTROLYTIC_H2_DEMAND_FOR_NON_ENERGY_USES_SP" localSheetId="6">energy!$C$145:$C$179</definedName>
    <definedName name="INITIAL_YEAR_SHARE_MERCHANT_ELECTROLYTIC_H2_DEMAND_FOR_NON_ENERGY_USES_SP">#REF!</definedName>
    <definedName name="INITIAL_YEAR_SHARE_NON_ENERGY_USE_FOSSIL_FUELS_SUBSTITUTED_BY_ELECTROLYTIC_H2_SP" localSheetId="6">energy!$C$107:$C$141</definedName>
    <definedName name="INITIAL_YEAR_SHARE_NON_ENERGY_USE_FOSSIL_FUELS_SUBSTITUTED_BY_ELECTROLYTIC_H2_SP">#REF!</definedName>
    <definedName name="INITIAL_YEAR_STATIONARY_ELECTROLYZERS_EXPANSION_SP" localSheetId="6">energy!$B$576:$B$584</definedName>
    <definedName name="INITIAL_YEAR_STRUCTURE_GOVERNMENT_CONSUMPTION_SP" localSheetId="5">economy!$B$684</definedName>
    <definedName name="INITIAL_YEAR_STRUCTURE_GOVERNMENT_EXPENDITURE_SP" localSheetId="5">economy!$B$635</definedName>
    <definedName name="INITIAL_YEAR_STRUCTURE_GOVERNMENT_INVESTMENT_SP" localSheetId="5">economy!$B$733</definedName>
    <definedName name="INITIAL_YEAR_SUBSIDY_ASHP_SP">'energy-buildings'!$F$147:$F$181</definedName>
    <definedName name="INITIAL_YEAR_SUBSIDY_ESH_SP">'energy-buildings'!$F$185:$F$219</definedName>
    <definedName name="INITIAL_YEAR_SUBSIDY_EWH_SP">'energy-buildings'!$F$223:$F$257</definedName>
    <definedName name="INITIAL_YEAR_SUBSIDY_GSHP_SP">'energy-buildings'!$F$261:$F$295</definedName>
    <definedName name="INITIAL_YEAR_SUBSIDY_RENOVATION_HIGH_SP">'energy-buildings'!$F$107:$F$141</definedName>
    <definedName name="INITIAL_YEAR_SUBSIDY_RENOVATION_LOW_SP">'energy-buildings'!$F$31:$F$65</definedName>
    <definedName name="INITIAL_YEAR_SUBSIDY_RENOVATION_MEDIUM_SP">'energy-buildings'!$F$69:$F$103</definedName>
    <definedName name="INITIAL_YEAR_SUBSIDY_TSOL_SP">'energy-buildings'!$F$299:$F$333</definedName>
    <definedName name="INITIAL_YEAR_SUBSIDY_WPB_SP">'energy-buildings'!$F$337:$F$371</definedName>
    <definedName name="INITIAL_YEAR_TAX_RATE_INCOME_SP" localSheetId="5">economy!$B$390</definedName>
    <definedName name="INITIAL_YEAR_TAX_RATE_ON_EXTRACTION_OF_RESOURCES" localSheetId="9">materials!$B$25</definedName>
    <definedName name="INITIAL_YEAR_TAX_RATE_ON_EXTRACTION_OF_RESOURCES_HIGH" localSheetId="9">materials!$B$27</definedName>
    <definedName name="INITIAL_YEAR_TAX_RATE_ON_EXTRACTION_OF_RESOURCES_LOW" localSheetId="9">materials!$B$25</definedName>
    <definedName name="INITIAL_YEAR_TAX_RATE_ON_EXTRACTION_OF_RESOURCES_MEDIUM" localSheetId="9">materials!$B$26</definedName>
    <definedName name="INITIAL_YEAR_TAX_RATE_ON_EXTRACTION_OF_RESOURCES_OTHER" localSheetId="9">materials!$B$28</definedName>
    <definedName name="INITIAL_YEAR_TAX_RATE_PRODUCTION_SP" localSheetId="5">economy!$B$488</definedName>
    <definedName name="INITIAL_YEAR_TAX_RATE_PROFITS_SP" localSheetId="5">economy!$B$537</definedName>
    <definedName name="INITIAL_YEAR_TAX_RATE_SOCIAL_SECURITY_SP" localSheetId="5">economy!$B$586</definedName>
    <definedName name="INITIAL_YEAR_TAX_RATE_WEALTH_SP" localSheetId="5">economy!$B$439</definedName>
    <definedName name="INITIAL_YEAR_WORKING_TIME_VARIATION_SP" localSheetId="5">economy!$B$199</definedName>
    <definedName name="LABOUR_PRODUCTIVITY_VARIATION_SP" localSheetId="5">economy!$B$114:$BK$148</definedName>
    <definedName name="LABOUR_PRODUCTIVITY_VARIATION_SP_x" localSheetId="5">economy!$A$101</definedName>
    <definedName name="LABOUR_PRODUCTIVITY_VARIATION_SP_x">#REF!</definedName>
    <definedName name="LAND_PRODUCTS_GLOBAL_POOL_SP" localSheetId="10">land!$A$395</definedName>
    <definedName name="LAND_PROTECTION_BY_POLICY_SP" localSheetId="10">land!#REF!</definedName>
    <definedName name="LAND_PROTECTION_BY_POLICY_SP">#REF!</definedName>
    <definedName name="LEAB_AVERAGES_SP" localSheetId="12">demography_data!$L$79:$M$113</definedName>
    <definedName name="LEAB_MAXIMUMS_SP" localSheetId="12">demography_data!$P$79:$Q$113</definedName>
    <definedName name="LEAB_MINIMUMS_SP" localSheetId="12">demography_data!$H$79:$I$113</definedName>
    <definedName name="LEAB_YEAR_FINAL_LEAB_SP" localSheetId="3">demography!$B$56:$B$90</definedName>
    <definedName name="LIFE_EXPECTANCY_AT_BIRTH_SP" localSheetId="3">demography!$A$53</definedName>
    <definedName name="LIFETIME_ELECTROLYZERS_DEVELOPMENT_USER_DEFINED_SP" localSheetId="6">energy!$B$600:$E$601</definedName>
    <definedName name="LIFETIME_ELECTROLYZERS_DEVELOPMENT_USER_DEFINED_SP">#REF!</definedName>
    <definedName name="LIMIT_ANNUAL_GROWTH_CONSUMPTION_DURABLES_SP" localSheetId="5">economy!$D$1141:$D$1175</definedName>
    <definedName name="LIMIT_ANNUAL_GROWTH_CONSUMPTION_DURABLES_SP">#REF!</definedName>
    <definedName name="LIMIT_ANNUAL_GROWTH_CONSUMPTION_DURABLES_SP_x" localSheetId="5">economy!$A$1137</definedName>
    <definedName name="LIMIT_ANNUAL_GROWTH_CONSUMPTION_DURABLES_SP_x">#REF!</definedName>
    <definedName name="LIMIT_ANNUAL_GROWTH_CONSUMPTION_NON_DURABLES_SP" localSheetId="5">economy!$D$1181:$D$1215</definedName>
    <definedName name="LIMIT_ANNUAL_GROWTH_CONSUMPTION_NON_DURABLES_SP">#REF!</definedName>
    <definedName name="LIMIT_ANNUAL_GROWTH_CONSUMPTION_NON_DURABLES_SP_x" localSheetId="5">economy!$A$1177</definedName>
    <definedName name="LIMIT_ANNUAL_GROWTH_CONSUMPTION_NON_DURABLES_SP_x">#REF!</definedName>
    <definedName name="LIMIT_ANNUAL_GROWTH_GOVERNMENT_EXPENDITURE_SP" localSheetId="5">economy!$D$345:$D$379</definedName>
    <definedName name="LIMIT_ANNUAL_GROWTH_GOVERNMENT_EXPENDITURE_SP_x" localSheetId="5">economy!$A$341</definedName>
    <definedName name="LIMIT_ANNUAL_GROWTH_GOVERNMENT_EXPENDITURE_SP_x">#REF!</definedName>
    <definedName name="LIMIT_ANNUAL_GROWTH_WAGES_SP" localSheetId="5">economy!$A$150</definedName>
    <definedName name="LIMIT_ANNUAL_GROWTH_WAGES_SP">#REF!</definedName>
    <definedName name="LIMIT_CONSUMPTION_ENERGY_BUILDING_OVER_TOTAL_NON_DURABLES_SP">economy!$B$1135</definedName>
    <definedName name="LIMIT_CONSUMPTION_ENERGY_OVER_TOTAL_NON_DURABLES" localSheetId="5">economy!$B$1114</definedName>
    <definedName name="LIMIT_CONSUMPTION_ENERGY_OVER_TOTAL_NON_DURABLES_SP">#REF!</definedName>
    <definedName name="LIMIT_CONSUMPTION_ENERGY_TRANSPORT_OVER_TOTAL_NON_DURABLES_SP">economy!$B$1125</definedName>
    <definedName name="LIMIT_LOWER_BOUND_ANNUAL_GROWTH_WAGES_SP" localSheetId="5">economy!$D$154:$D$188</definedName>
    <definedName name="LIMIT_LOWER_BOUND_ANNUAL_GROWTH_WAGES_SP">#REF!</definedName>
    <definedName name="LIMIT_UPPER_BOUND_ANNUAL_GROWTH_WAGES_SP" localSheetId="5">economy!$E$154:$E$188</definedName>
    <definedName name="LIMIT_UPPER_BOUND_ANNUAL_GROWTH_WAGES_SP">#REF!</definedName>
    <definedName name="LOAD_FACTOR_VARIATION_SP" localSheetId="8">'energy-transport'!$A$47</definedName>
    <definedName name="LOAD_FACTOR_VARIATION_SP">#REF!</definedName>
    <definedName name="LOCKDOWN_EFFECT_ON_HOUSEHOLDS_TRANSPORT_SP" localSheetId="5">economy!$A$1090</definedName>
    <definedName name="LOCKDOWN_EFFECT_ON_HOUSEHOLDS_TRANSPORT_SP">#REF!</definedName>
    <definedName name="LOCKDOWN_HOUSEHOLDS_TRANSPORT_DEMAND_VARIATION_SP" localSheetId="5">economy!$B$1103</definedName>
    <definedName name="MANAGED_FOREST_PROTECTION_SP" localSheetId="10">land!$A$43</definedName>
    <definedName name="MANAGED_FOREST_PROTECTION_SP">#REF!</definedName>
    <definedName name="MANURE_MANAGEMENT_SYSTEM_SP" localSheetId="10">land!$A$262</definedName>
    <definedName name="MARK_UP_SP" localSheetId="5">economy!$B$65:$BK$99</definedName>
    <definedName name="MARK_UP_SP_x" localSheetId="5">economy!$A$52</definedName>
    <definedName name="MARK_UP_SP_x">#REF!</definedName>
    <definedName name="MARK_UP_VARIATION_SP" localSheetId="5">economy!$B$65:$BK$99</definedName>
    <definedName name="MATERIAL_ENERGY_INTENSITY_INDICATOR" localSheetId="6">[2]materials!#REF!</definedName>
    <definedName name="MATERIAL_ENERGY_INTENSITY_INDICATOR" localSheetId="10">[3]materials!#REF!</definedName>
    <definedName name="MATERIAL_ENERGY_INTENSITY_INDICATOR" localSheetId="2">[2]materials!#REF!</definedName>
    <definedName name="MATERIAL_ENERGY_INTENSITY_INDICATOR">materials!#REF!</definedName>
    <definedName name="MATERIALS_ORE_GRADE_PE_IMPACT_EXTRACTION_SP">materials!$A$209</definedName>
    <definedName name="MATERIALS_ORE_GRADE_PE_IMPACT_EXTRACTION_TARGET_SP">materials!$B$224:$B$305</definedName>
    <definedName name="MATERIALS_RECYCLING_MEDEAS_SP" localSheetId="9">materials!#REF!</definedName>
    <definedName name="MATERIALS_RECYCLING_SP" localSheetId="9">materials!$D$93</definedName>
    <definedName name="MATERIALS_RECYCLING_SP_x" localSheetId="9">materials!$A$89</definedName>
    <definedName name="MATERIALS_RECYCLING_SP_x">#REF!</definedName>
    <definedName name="MATERIALS_W_I" localSheetId="9">materials!$C$23:$I$23</definedName>
    <definedName name="MAX_LIFE_EXPECTANCY_AT_BIRTH" localSheetId="12">demography_data!$A$46:$B$46</definedName>
    <definedName name="MAX_OCCUPANCY_RATE_PUBLIC_VEHICLES_SP">'energy-transport'!$E$51</definedName>
    <definedName name="MAXIMUM_CAPACITY_STOCK_STATIONARY_BATTERIES_SP" localSheetId="6">energy!$B$482:$B$490</definedName>
    <definedName name="MAXIMUM_EXTRACTION_URANIUM_USER_DEFINED_SP" localSheetId="9">materials!$C$61:$AF$61</definedName>
    <definedName name="MAXIMUM_INCREASE_LAND_USES_BY_REGION" localSheetId="10">land!$A$496</definedName>
    <definedName name="MAXIMUM_INCREASE_LAND_USES_BY_REGION">#REF!</definedName>
    <definedName name="MAXIMUM_INCREASE_OF_LAND_BY_SOURCE" localSheetId="10">land!$B$498:$M$506</definedName>
    <definedName name="MAXIMUM_SYSTEM_CURTAILMENT_SP" localSheetId="6">energy!$C$802</definedName>
    <definedName name="MAXIMUM_SYSTEM_CURTAILMENT_SP">#REF!</definedName>
    <definedName name="MAXIMUM_YIELDS_R_AND_I_INDUSTRIAL_CUSTOM_SP">land!$B$534:$N$542</definedName>
    <definedName name="MIGRATION_SP" localSheetId="3">demography!$A$92</definedName>
    <definedName name="MINERAL_EOL_RECYCLING_RATE_TARGETS_SP">materials!$B$119:$B$207</definedName>
    <definedName name="MINERALS_RECYCLING_SP_MEDEAS_bottom_up">materials!$A$104</definedName>
    <definedName name="MINIMUM_POTENTIAL_PROFLEX_EXPANSION_SP" localSheetId="6">energy!$B$457</definedName>
    <definedName name="MINIMUM_POTENTIAL_PROFLEX_EXPANSION_SP_x" localSheetId="6">energy!$A$457</definedName>
    <definedName name="MINIMUM_POTENTIAL_PROFLEX_EXPANSION_SP_x">#REF!</definedName>
    <definedName name="MINIMUM_PROFLEX_CAPACITY_EXPANSION_SP" localSheetId="6">energy!$B$457</definedName>
    <definedName name="NATURAL_LAND_PROTECTION_SP" localSheetId="10">land!$A$91</definedName>
    <definedName name="OBJECTIVE_CROPS_FOR_ENERGY_SP" localSheetId="10">land!$E$413:$E$421</definedName>
    <definedName name="OBJECTIVE_DIET_CHANGE_SP" localSheetId="10">land!$E$339:$E$347</definedName>
    <definedName name="OBJECTIVE_EFFECT_OIL_AND_GAS_ON_AGRICULTURE_SP" localSheetId="10">land!$E$230:$E$238</definedName>
    <definedName name="OBJECTIVE_ELECTRIC_BOILERS_EXPANSION_SP" localSheetId="6">energy!$D$534:$D$542</definedName>
    <definedName name="OBJECTIVE_FERTILITY_RATES_SP" localSheetId="3">demography!$C$17:$C$51</definedName>
    <definedName name="OBJECTIVE_FLEX_ELEC_DEMAND_SP" localSheetId="6">energy!$E$631:$E$639</definedName>
    <definedName name="OBJECTIVE_FLEXIBLE_ELECTROLIZERS_EXPANSION_SP" localSheetId="6">energy!$E$508:$E$516</definedName>
    <definedName name="OBJECTIVE_FOREST_LOSS_LIMIT_SP" localSheetId="10">land!$E$57:$E$65</definedName>
    <definedName name="OBJECTIVE_FOREST_PLANTATIONS" localSheetId="10">land!$E$21:$E$29</definedName>
    <definedName name="OBJECTIVE_FORESTRY_SELF_SUFFICIENCY_SP" localSheetId="10">land!$E$371:$E$379</definedName>
    <definedName name="OBJECTIVE_FUEL_CONSUMPTION_EFFICIENCY_CHANGE_AUSTRIA_SP">'energy-transport'!$C$113:$K$122</definedName>
    <definedName name="OBJECTIVE_FUEL_CONSUMPTION_EFFICIENCY_CHANGE_BELGIUM_SP">'energy-transport'!$C$123:$K$132</definedName>
    <definedName name="OBJECTIVE_FUEL_CONSUMPTION_EFFICIENCY_CHANGE_BULGARIA_SP">'energy-transport'!$C$133:$K$142</definedName>
    <definedName name="OBJECTIVE_FUEL_CONSUMPTION_EFFICIENCY_CHANGE_CHINA_SP">'energy-transport'!$C$393:$K$402</definedName>
    <definedName name="OBJECTIVE_FUEL_CONSUMPTION_EFFICIENCY_CHANGE_CROATIA_SP">'energy-transport'!$C$143:$K$152</definedName>
    <definedName name="OBJECTIVE_FUEL_CONSUMPTION_EFFICIENCY_CHANGE_CYPRUS_SP">'energy-transport'!$C$153:$K$162</definedName>
    <definedName name="OBJECTIVE_FUEL_CONSUMPTION_EFFICIENCY_CHANGE_CZECH_REPUBLIC_SP">'energy-transport'!$C$163:$K$172</definedName>
    <definedName name="OBJECTIVE_FUEL_CONSUMPTION_EFFICIENCY_CHANGE_DENMARK_SP">'energy-transport'!$C$173:$K$182</definedName>
    <definedName name="OBJECTIVE_FUEL_CONSUMPTION_EFFICIENCY_CHANGE_EASOC_SP">'energy-transport'!$C$403:$K$412</definedName>
    <definedName name="OBJECTIVE_FUEL_CONSUMPTION_EFFICIENCY_CHANGE_ESTONIA_SP">'energy-transport'!$C$183:$K$192</definedName>
    <definedName name="OBJECTIVE_FUEL_CONSUMPTION_EFFICIENCY_CHANGE_FINLAND_SP">'energy-transport'!$C$193:$K$202</definedName>
    <definedName name="OBJECTIVE_FUEL_CONSUMPTION_EFFICIENCY_CHANGE_FRANCE_SP">'energy-transport'!$C$203:$K$212</definedName>
    <definedName name="OBJECTIVE_FUEL_CONSUMPTION_EFFICIENCY_CHANGE_GERMANY_SP">'energy-transport'!$C$213:$K$222</definedName>
    <definedName name="OBJECTIVE_FUEL_CONSUMPTION_EFFICIENCY_CHANGE_GREECE_SP">'energy-transport'!$C$223:$K$232</definedName>
    <definedName name="OBJECTIVE_FUEL_CONSUMPTION_EFFICIENCY_CHANGE_HUNGARY_SP">'energy-transport'!$C$233:$K$242</definedName>
    <definedName name="OBJECTIVE_FUEL_CONSUMPTION_EFFICIENCY_CHANGE_INDIA_SP">'energy-transport'!$C$413:$K$422</definedName>
    <definedName name="OBJECTIVE_FUEL_CONSUMPTION_EFFICIENCY_CHANGE_IRELAND_SP">'energy-transport'!$C$243:$K$252</definedName>
    <definedName name="OBJECTIVE_FUEL_CONSUMPTION_EFFICIENCY_CHANGE_ITALY_SP">'energy-transport'!$C$253:$K$262</definedName>
    <definedName name="OBJECTIVE_FUEL_CONSUMPTION_EFFICIENCY_CHANGE_LATAM_SP">'energy-transport'!$C$423:$K$432</definedName>
    <definedName name="OBJECTIVE_FUEL_CONSUMPTION_EFFICIENCY_CHANGE_LATVIA_SP">'energy-transport'!$C$263:$K$272</definedName>
    <definedName name="OBJECTIVE_FUEL_CONSUMPTION_EFFICIENCY_CHANGE_LITHUANIA_SP">'energy-transport'!$C$273:$K$282</definedName>
    <definedName name="OBJECTIVE_FUEL_CONSUMPTION_EFFICIENCY_CHANGE_LROW_SP">'energy-transport'!$C$453:$K$462</definedName>
    <definedName name="OBJECTIVE_FUEL_CONSUMPTION_EFFICIENCY_CHANGE_LUXEMBOURG_SP">'energy-transport'!$C$283:$K$292</definedName>
    <definedName name="OBJECTIVE_FUEL_CONSUMPTION_EFFICIENCY_CHANGE_MALTA_SP">'energy-transport'!$C$293:$K$302</definedName>
    <definedName name="OBJECTIVE_FUEL_CONSUMPTION_EFFICIENCY_CHANGE_NETHERLANDS_SP">'energy-transport'!$C$303:$K$312</definedName>
    <definedName name="OBJECTIVE_FUEL_CONSUMPTION_EFFICIENCY_CHANGE_POLAND_SP">'energy-transport'!$C$313:$K$322</definedName>
    <definedName name="OBJECTIVE_FUEL_CONSUMPTION_EFFICIENCY_CHANGE_PORTUGAL_SP">'energy-transport'!$C$323:$K$332</definedName>
    <definedName name="OBJECTIVE_FUEL_CONSUMPTION_EFFICIENCY_CHANGE_ROMANIA_SP">'energy-transport'!$C$333:$K$342</definedName>
    <definedName name="OBJECTIVE_FUEL_CONSUMPTION_EFFICIENCY_CHANGE_RUSSIA_SP">'energy-transport'!$C$433:$K$442</definedName>
    <definedName name="OBJECTIVE_FUEL_CONSUMPTION_EFFICIENCY_CHANGE_SLOVAKIA_SP">'energy-transport'!$C$343:$K$352</definedName>
    <definedName name="OBJECTIVE_FUEL_CONSUMPTION_EFFICIENCY_CHANGE_SLOVENIA_SP">'energy-transport'!$C$353:$K$362</definedName>
    <definedName name="OBJECTIVE_FUEL_CONSUMPTION_EFFICIENCY_CHANGE_SP" localSheetId="8">'energy-transport'!$B$99:$J$108</definedName>
    <definedName name="OBJECTIVE_FUEL_CONSUMPTION_EFFICIENCY_CHANGE_SPAIN_SP">'energy-transport'!$C$363:$K$372</definedName>
    <definedName name="OBJECTIVE_FUEL_CONSUMPTION_EFFICIENCY_CHANGE_SWEDEN_SP">'energy-transport'!$C$373:$K$382</definedName>
    <definedName name="OBJECTIVE_FUEL_CONSUMPTION_EFFICIENCY_CHANGE_UK_SP">'energy-transport'!$C$383:$K$392</definedName>
    <definedName name="OBJECTIVE_FUEL_CONSUMPTION_EFFICIENCY_CHANGE_USMCA_SP">'energy-transport'!$C$443:$K$452</definedName>
    <definedName name="OBJECTIVE_GRASSLAND_MANAGEMENT_SP" localSheetId="10">land!$E$252:$E$260</definedName>
    <definedName name="OBJECTIVE_HEAT_PUMPS_EXPANSION_SP" localSheetId="6">energy!$D$522:$D$530</definedName>
    <definedName name="OBJECTIVE_LAND_PRODUCTS_GLOBAL_POOL_SP" localSheetId="10">land!$E$398:$E$406</definedName>
    <definedName name="OBJECTIVE_LEAB_SP" localSheetId="3">demography!$C$56:$C$90</definedName>
    <definedName name="OBJECTIVE_LOAD_FACTOR_CHANGE_SP" localSheetId="8">'energy-transport'!$B$55:$D$89</definedName>
    <definedName name="OBJECTIVE_ON_SITE_ELECTROLYZERS_EXPANSION_SP" localSheetId="6">energy!$D$553:$D$561</definedName>
    <definedName name="OBJECTIVE_ON_SITE_ELECTROLYZERS_EXPANSION_SP">#REF!</definedName>
    <definedName name="OBJECTIVE_PASSENGER_DEMAND_SHARE_AUSTRIA_OPTION_1_ME">#REF!</definedName>
    <definedName name="OBJECTIVE_PASSENGER_DEMAND_SHARE_AUSTRIA_OPTION_2_ME">#REF!</definedName>
    <definedName name="OBJECTIVE_PASSENGER_DEMAND_SHARE_AUSTRIA_OPTION_3_ME">#REF!</definedName>
    <definedName name="OBJECTIVE_PASSENGER_DEMAND_SHARE_BELGIUM_OPTION_1_ME">#REF!</definedName>
    <definedName name="OBJECTIVE_PASSENGER_DEMAND_SHARE_BELGIUM_OPTION_2_ME">#REF!</definedName>
    <definedName name="OBJECTIVE_PASSENGER_DEMAND_SHARE_BELGIUM_OPTION_3_ME">#REF!</definedName>
    <definedName name="OBJECTIVE_PASSENGER_DEMAND_SHARE_BULGARIA_OPTION_1_ME">#REF!</definedName>
    <definedName name="OBJECTIVE_PASSENGER_DEMAND_SHARE_BULGARIA_OPTION_2_ME">#REF!</definedName>
    <definedName name="OBJECTIVE_PASSENGER_DEMAND_SHARE_BULGARIA_OPTION_3_ME">#REF!</definedName>
    <definedName name="OBJECTIVE_PASSENGER_DEMAND_SHARE_CHINA_OPTION_1_ME">#REF!</definedName>
    <definedName name="OBJECTIVE_PASSENGER_DEMAND_SHARE_CHINA_OPTION_2_ME">#REF!</definedName>
    <definedName name="OBJECTIVE_PASSENGER_DEMAND_SHARE_CHINA_OPTION_3_ME">#REF!</definedName>
    <definedName name="OBJECTIVE_PASSENGER_DEMAND_SHARE_CROATIA_OPTION_1_ME">#REF!</definedName>
    <definedName name="OBJECTIVE_PASSENGER_DEMAND_SHARE_CROATIA_OPTION_2_ME">#REF!</definedName>
    <definedName name="OBJECTIVE_PASSENGER_DEMAND_SHARE_CROATIA_OPTION_3_ME">#REF!</definedName>
    <definedName name="OBJECTIVE_PASSENGER_DEMAND_SHARE_CYPRUS_OPTION_1_ME">#REF!</definedName>
    <definedName name="OBJECTIVE_PASSENGER_DEMAND_SHARE_CYPRUS_OPTION_2_ME">#REF!</definedName>
    <definedName name="OBJECTIVE_PASSENGER_DEMAND_SHARE_CYPRUS_OPTION_3_ME">#REF!</definedName>
    <definedName name="OBJECTIVE_PASSENGER_DEMAND_SHARE_CZECH_REPUBILC_OPTION_1_ME">#REF!</definedName>
    <definedName name="OBJECTIVE_PASSENGER_DEMAND_SHARE_CZECH_REPUBLIC_OPTION_2_ME">#REF!</definedName>
    <definedName name="OBJECTIVE_PASSENGER_DEMAND_SHARE_CZECH_REPUBLIC_OPTION_3_ME">#REF!</definedName>
    <definedName name="OBJECTIVE_PASSENGER_DEMAND_SHARE_DENMARK_OPTION_1_ME">#REF!</definedName>
    <definedName name="OBJECTIVE_PASSENGER_DEMAND_SHARE_DENMARK_OPTION_2_ME">#REF!</definedName>
    <definedName name="OBJECTIVE_PASSENGER_DEMAND_SHARE_DENMARK_OPTION_3_ME">#REF!</definedName>
    <definedName name="OBJECTIVE_PASSENGER_DEMAND_SHARE_EASOC_OPTION_1_ME">#REF!</definedName>
    <definedName name="OBJECTIVE_PASSENGER_DEMAND_SHARE_EASOC_OPTION_2_ME">#REF!</definedName>
    <definedName name="OBJECTIVE_PASSENGER_DEMAND_SHARE_EASOC_OPTION_3_ME">#REF!</definedName>
    <definedName name="OBJECTIVE_PASSENGER_DEMAND_SHARE_ESTONIA_OPTION_1_ME">#REF!</definedName>
    <definedName name="OBJECTIVE_PASSENGER_DEMAND_SHARE_ESTONIA_OPTION_2_ME">#REF!</definedName>
    <definedName name="OBJECTIVE_PASSENGER_DEMAND_SHARE_ESTONIA_OPTION_3_ME">#REF!</definedName>
    <definedName name="OBJECTIVE_PASSENGER_DEMAND_SHARE_FINLAND_OPTION_1_ME">#REF!</definedName>
    <definedName name="OBJECTIVE_PASSENGER_DEMAND_SHARE_FINLAND_OPTION_2_ME">#REF!</definedName>
    <definedName name="OBJECTIVE_PASSENGER_DEMAND_SHARE_FINLAND_OPTION_3_ME">#REF!</definedName>
    <definedName name="OBJECTIVE_PASSENGER_DEMAND_SHARE_FRANCE_OPTION_1_ME">#REF!</definedName>
    <definedName name="OBJECTIVE_PASSENGER_DEMAND_SHARE_FRANCE_OPTION_2_ME">#REF!</definedName>
    <definedName name="OBJECTIVE_PASSENGER_DEMAND_SHARE_FRANCE_OPTION_3_ME">#REF!</definedName>
    <definedName name="OBJECTIVE_PASSENGER_DEMAND_SHARE_GERMANY_OPTION_1_ME">#REF!</definedName>
    <definedName name="OBJECTIVE_PASSENGER_DEMAND_SHARE_GERMANY_OPTION_2_ME">#REF!</definedName>
    <definedName name="OBJECTIVE_PASSENGER_DEMAND_SHARE_GERMANY_OPTION_3_ME">#REF!</definedName>
    <definedName name="OBJECTIVE_PASSENGER_DEMAND_SHARE_GREECE_OPTION_1_ME">#REF!</definedName>
    <definedName name="OBJECTIVE_PASSENGER_DEMAND_SHARE_GREECE_OPTION_2_ME">#REF!</definedName>
    <definedName name="OBJECTIVE_PASSENGER_DEMAND_SHARE_GREECE_OPTION_3_ME">#REF!</definedName>
    <definedName name="OBJECTIVE_PASSENGER_DEMAND_SHARE_HUNGARY_OPTION_1_ME">#REF!</definedName>
    <definedName name="OBJECTIVE_PASSENGER_DEMAND_SHARE_HUNGARY_OPTION_2_ME">#REF!</definedName>
    <definedName name="OBJECTIVE_PASSENGER_DEMAND_SHARE_HUNGARY_OPTION_3_ME">#REF!</definedName>
    <definedName name="OBJECTIVE_PASSENGER_DEMAND_SHARE_INDIA_OPTION_1_ME">#REF!</definedName>
    <definedName name="OBJECTIVE_PASSENGER_DEMAND_SHARE_INDIA_OPTION_2_ME">#REF!</definedName>
    <definedName name="OBJECTIVE_PASSENGER_DEMAND_SHARE_INDIA_OPTION_3_ME">#REF!</definedName>
    <definedName name="OBJECTIVE_PASSENGER_DEMAND_SHARE_IRELAND_OPTION_1_ME">#REF!</definedName>
    <definedName name="OBJECTIVE_PASSENGER_DEMAND_SHARE_IRELAND_OPTION_2_ME">#REF!</definedName>
    <definedName name="OBJECTIVE_PASSENGER_DEMAND_SHARE_IRELAND_OPTION_3_ME">#REF!</definedName>
    <definedName name="OBJECTIVE_PASSENGER_DEMAND_SHARE_ITALY_OPTION_1_ME">#REF!</definedName>
    <definedName name="OBJECTIVE_PASSENGER_DEMAND_SHARE_ITALY_OPTION_2_ME">#REF!</definedName>
    <definedName name="OBJECTIVE_PASSENGER_DEMAND_SHARE_ITALY_OPTION_3_ME">#REF!</definedName>
    <definedName name="OBJECTIVE_PASSENGER_DEMAND_SHARE_LATAM_OPTION_1_ME">#REF!</definedName>
    <definedName name="OBJECTIVE_PASSENGER_DEMAND_SHARE_LATAM_OPTION_2_ME">#REF!</definedName>
    <definedName name="OBJECTIVE_PASSENGER_DEMAND_SHARE_LATAM_OPTION_3_ME">#REF!</definedName>
    <definedName name="OBJECTIVE_PASSENGER_DEMAND_SHARE_LATVIA_OPTION_1_ME">#REF!</definedName>
    <definedName name="OBJECTIVE_PASSENGER_DEMAND_SHARE_LATVIA_OPTION_2_ME">#REF!</definedName>
    <definedName name="OBJECTIVE_PASSENGER_DEMAND_SHARE_LATVIA_OPTION_3_ME">#REF!</definedName>
    <definedName name="OBJECTIVE_PASSENGER_DEMAND_SHARE_LITHUANIA_OPTION_1_ME">#REF!</definedName>
    <definedName name="OBJECTIVE_PASSENGER_DEMAND_SHARE_LITHUANIA_OPTION_2_ME">#REF!</definedName>
    <definedName name="OBJECTIVE_PASSENGER_DEMAND_SHARE_LITHUANIA_OPTION_3_ME">#REF!</definedName>
    <definedName name="OBJECTIVE_PASSENGER_DEMAND_SHARE_LROW_OPTION_1_ME">#REF!</definedName>
    <definedName name="OBJECTIVE_PASSENGER_DEMAND_SHARE_LROW_OPTION_2_ME">#REF!</definedName>
    <definedName name="OBJECTIVE_PASSENGER_DEMAND_SHARE_LROW_OPTION_3_ME">#REF!</definedName>
    <definedName name="OBJECTIVE_PASSENGER_DEMAND_SHARE_LUXEMBOURG_OPTION_1_ME">#REF!</definedName>
    <definedName name="OBJECTIVE_PASSENGER_DEMAND_SHARE_LUXEMBOURG_OPTION_2_ME">#REF!</definedName>
    <definedName name="OBJECTIVE_PASSENGER_DEMAND_SHARE_LUXEMBOURG_OPTION_3_ME">#REF!</definedName>
    <definedName name="OBJECTIVE_PASSENGER_DEMAND_SHARE_MALTA_OPTION_1_ME">#REF!</definedName>
    <definedName name="OBJECTIVE_PASSENGER_DEMAND_SHARE_MALTA_OPTION_2_ME">#REF!</definedName>
    <definedName name="OBJECTIVE_PASSENGER_DEMAND_SHARE_MALTA_OPTION_3_ME">#REF!</definedName>
    <definedName name="OBJECTIVE_PASSENGER_DEMAND_SHARE_NEHTERLANDS_OPTION_1_ME">#REF!</definedName>
    <definedName name="OBJECTIVE_PASSENGER_DEMAND_SHARE_NETHERLANDS_OPTION_2_ME">#REF!</definedName>
    <definedName name="OBJECTIVE_PASSENGER_DEMAND_SHARE_NETHERLANDS_OPTION_3_ME">#REF!</definedName>
    <definedName name="OBJECTIVE_PASSENGER_DEMAND_SHARE_POLAND_OPTION_1_ME">#REF!</definedName>
    <definedName name="OBJECTIVE_PASSENGER_DEMAND_SHARE_POLAND_OPTION_2_ME">#REF!</definedName>
    <definedName name="OBJECTIVE_PASSENGER_DEMAND_SHARE_POLAND_OPTION_3_ME">#REF!</definedName>
    <definedName name="OBJECTIVE_PASSENGER_DEMAND_SHARE_PORTUGAL_OPTION_1_ME">#REF!</definedName>
    <definedName name="OBJECTIVE_PASSENGER_DEMAND_SHARE_PORTUGAL_OPTION_2_ME">#REF!</definedName>
    <definedName name="OBJECTIVE_PASSENGER_DEMAND_SHARE_PORTUGAL_OPTION_3_ME">#REF!</definedName>
    <definedName name="OBJECTIVE_PASSENGER_DEMAND_SHARE_ROMANIA_OPTION_1_ME">#REF!</definedName>
    <definedName name="OBJECTIVE_PASSENGER_DEMAND_SHARE_ROMANIA_OPTION_2_ME">#REF!</definedName>
    <definedName name="OBJECTIVE_PASSENGER_DEMAND_SHARE_ROMANIA_OPTION_3_ME">#REF!</definedName>
    <definedName name="OBJECTIVE_PASSENGER_DEMAND_SHARE_RUSSIA_OPTION_1_ME">#REF!</definedName>
    <definedName name="OBJECTIVE_PASSENGER_DEMAND_SHARE_RUSSIA_OPTION_2_ME">#REF!</definedName>
    <definedName name="OBJECTIVE_PASSENGER_DEMAND_SHARE_RUSSIA_OPTION_3_ME">#REF!</definedName>
    <definedName name="OBJECTIVE_PASSENGER_DEMAND_SHARE_SLOVAKIA_OPTION_1_ME">#REF!</definedName>
    <definedName name="OBJECTIVE_PASSENGER_DEMAND_SHARE_SLOVAKIA_OPTION_2_ME">#REF!</definedName>
    <definedName name="OBJECTIVE_PASSENGER_DEMAND_SHARE_SLOVAKIA_OPTION_3_ME">#REF!</definedName>
    <definedName name="OBJECTIVE_PASSENGER_DEMAND_SHARE_SLOVENIA_OPTION_1_ME">#REF!</definedName>
    <definedName name="OBJECTIVE_PASSENGER_DEMAND_SHARE_SLOVENIA_OPTION_2_ME">#REF!</definedName>
    <definedName name="OBJECTIVE_PASSENGER_DEMAND_SHARE_SLOVENIA_OPTION_3_ME">#REF!</definedName>
    <definedName name="OBJECTIVE_PASSENGER_DEMAND_SHARE_SPAIN_OPTION_1_ME">#REF!</definedName>
    <definedName name="OBJECTIVE_PASSENGER_DEMAND_SHARE_SPAIN_OPTION_2_ME">#REF!</definedName>
    <definedName name="OBJECTIVE_PASSENGER_DEMAND_SHARE_SPAIN_OPTION_3_ME">#REF!</definedName>
    <definedName name="OBJECTIVE_PASSENGER_DEMAND_SHARE_SWEDEN_OPTION_1_ME">#REF!</definedName>
    <definedName name="OBJECTIVE_PASSENGER_DEMAND_SHARE_SWEDEN_OPTION_2_ME">#REF!</definedName>
    <definedName name="OBJECTIVE_PASSENGER_DEMAND_SHARE_SWEDEN_OPTION_3_ME">#REF!</definedName>
    <definedName name="OBJECTIVE_PASSENGER_DEMAND_SHARE_UK_OPTION_1_ME">#REF!</definedName>
    <definedName name="OBJECTIVE_PASSENGER_DEMAND_SHARE_UK_OPTION_2_ME">#REF!</definedName>
    <definedName name="OBJECTIVE_PASSENGER_DEMAND_SHARE_UK_OPTION_3_ME">#REF!</definedName>
    <definedName name="OBJECTIVE_PASSENGER_DEMAND_SHARE_USMCA_OPTION_1_ME">#REF!</definedName>
    <definedName name="OBJECTIVE_PASSENGER_DEMAND_SHARE_USMCA_OPTION_2_ME">#REF!</definedName>
    <definedName name="OBJECTIVE_PASSENGER_DEMAND_SHARE_USMCA_OPTION_3_ME">#REF!</definedName>
    <definedName name="OBJECTIVE_PERCENTAGE_FE_GAS_SUBSTITUTED_BY_H2_GASES_BASED_FUEL_SP" localSheetId="6">energy!#REF!</definedName>
    <definedName name="OBJECTIVE_PERCENTAGE_FE_LIQUID_SUBSTITUTED_BY_H2_LIQUIDS_BASED_FUEL_SP" localSheetId="6">energy!#REF!</definedName>
    <definedName name="OBJECTIVE_REDUCTION_TRANSPORT_DEMAND_SP" localSheetId="8">'energy-transport'!$B$11:$J$45</definedName>
    <definedName name="OBJECTIVE_SC_SP" localSheetId="6">energy!$E$619</definedName>
    <definedName name="OBJECTIVE_SHARE_FOSSIL_FUELS_SUBSTITUTED_BY_ELECTROLYTIC_H2_AMMONIA_PRODUCTION_SP" localSheetId="6">energy!$E$107:$E$141</definedName>
    <definedName name="OBJECTIVE_SHARE_FOSSIL_FUELS_SUBSTITUTED_BY_ELECTROLYTIC_H2_AMMONIA_PRODUCTION_SP">#REF!</definedName>
    <definedName name="OBJECTIVE_SHARE_FOSSIL_FUELS_SUBSTITUTED_BY_ELECTROLYTIC_H2_METHANOL_PRODUCTION_SP" localSheetId="6">energy!$F$107:$F$141</definedName>
    <definedName name="OBJECTIVE_SHARE_FOSSIL_FUELS_SUBSTITUTED_BY_ELECTROLYTIC_H2_METHANOL_PRODUCTION_SP">#REF!</definedName>
    <definedName name="OBJECTIVE_SHARE_FOSSIL_FUELS_SUBSTITUTED_BY_ELECTROLYTIC_H2_OIL_REFINING_SP" localSheetId="6">energy!$G$107:$G$141</definedName>
    <definedName name="OBJECTIVE_SHARE_FOSSIL_FUELS_SUBSTITUTED_BY_ELECTROLYTIC_H2_OIL_REFINING_SP">#REF!</definedName>
    <definedName name="OBJECTIVE_SHARE_MERCHANT_ELECTROLYTIC_H2_DEMAND_FOR_NON_ENERGY_USES_SP" localSheetId="6">energy!$E$145:$E$179</definedName>
    <definedName name="OBJECTIVE_SHARE_MERCHANT_ELECTROLYTIC_H2_DEMAND_FOR_NON_ENERGY_USES_SP">#REF!</definedName>
    <definedName name="OBJECTIVE_SHARE_SECONDARY_STEEL_SP" localSheetId="6">energy!#REF!</definedName>
    <definedName name="OBJECTIVE_SHARE_SECONDARY_STEEL_SP">#REF!</definedName>
    <definedName name="OBJECTIVE_SHARE_STEEL_BF_PROCESSES_SP" localSheetId="6">energy!$E$183:$E$217</definedName>
    <definedName name="OBJECTIVE_SHARE_STEEL_BF_PROCESSES_SP">#REF!</definedName>
    <definedName name="OBJECTIVE_SHARE_STEEL_DRI_PROCESSES_SP" localSheetId="6">energy!$F$183:$F$217</definedName>
    <definedName name="OBJECTIVE_SHARE_STEEL_DRI_PROCESSES_SP">#REF!</definedName>
    <definedName name="OBJECTIVE_SHARE_STEEL_HDRI_PROCESSES_SP" localSheetId="6">energy!$G$183:$G$217</definedName>
    <definedName name="OBJECTIVE_SHARE_STEEL_HDRI_PROCESSES_SP">#REF!</definedName>
    <definedName name="OBJECTIVE_SOLAR_LAND_FROM_OTHERS" localSheetId="10">land!$B$155:$M$163</definedName>
    <definedName name="OBJECTIVE_STATIONARY_ELECTROLYZERS_EXPANSION_SP" localSheetId="6">energy!$D$576:$D$584</definedName>
    <definedName name="OBJECTIVE_URBAN_LAND_DENSITY_SP" localSheetId="10">land!$E$175:$E$183</definedName>
    <definedName name="OBJECTIVE_WATER_EFFICIENCY_SP" localSheetId="10">land!#REF!</definedName>
    <definedName name="OBJECTIVE_WOOD_FOR_ENERGY_SP" localSheetId="10">land!$E$426:$E$434</definedName>
    <definedName name="OIL_RESOURCE_ESTIMATION_HIGH_SP" localSheetId="9">materials!$B$68</definedName>
    <definedName name="OIL_RESOURCE_ESTIMATION_LOW_SP" localSheetId="9">materials!$B$66</definedName>
    <definedName name="OIL_RESOURCE_ESTIMATION_MED_SP" localSheetId="9">materials!$B$67</definedName>
    <definedName name="OIL_User_defines" localSheetId="9">materials!$B$71</definedName>
    <definedName name="OPEC_OIL_TARGET_PRICE_SP" localSheetId="9">materials!$A$13</definedName>
    <definedName name="OPEC_TARGET_PRICE_HIGH" localSheetId="9">materials!$B$17:$E$17</definedName>
    <definedName name="OPEC_TARGET_PRICE_LOW" localSheetId="9">materials!$B$16:$E$16</definedName>
    <definedName name="OPEC_TARGET_PRICE_MED" localSheetId="9">materials!$B$15:$E$15</definedName>
    <definedName name="OPEC_TARGET_PRICE_OTHER" localSheetId="9">materials!$B$18:$E$18</definedName>
    <definedName name="OPTION_1_POLICY_OBJECTIVE_CROPLAND_PROTECTION_ME">#REF!</definedName>
    <definedName name="OPTION_1_POLICY_OBJECTIVE_MANAGED_FOREST_PROTECTION_SP">#REF!</definedName>
    <definedName name="OPTION_1_POLICY_OBJECTIVE_PRIMARY_FOREST_PROTECTION_SP">#REF!</definedName>
    <definedName name="OPTION_2_POLICY_OBJECTIVE_CROPLAND_PROTECTION_ME">#REF!</definedName>
    <definedName name="OPTION_2_POLICY_OBJECTIVE_MANAGED_FOREST_PROTECTION_SP">#REF!</definedName>
    <definedName name="OPTION_2_POLICY_OBJECTIVE_PRIMARY_FOREST_PROTECTION_SP">#REF!</definedName>
    <definedName name="OPTION_3_POLICY_OBJECTIVE_CROPLAND_PROTECTION_ME">#REF!</definedName>
    <definedName name="OPTION_3_POLICY_OBJECTIVE_MANAGED_FOREST_PROTECTION_SP">#REF!</definedName>
    <definedName name="OPTION_3_POLICY_OBJECTIVE_PRIMARY_FOREST_PROTECTION_SP">#REF!</definedName>
    <definedName name="P_recycling_minerals_alternative_technologies_RES_elec_EV_batteries" localSheetId="9">materials!#REF!</definedName>
    <definedName name="P_recycling_minerals_Rest" localSheetId="9">materials!#REF!</definedName>
    <definedName name="PERCENTAGE_EMIGRATIONS_SP" localSheetId="3">demography!$B$105:$B$139</definedName>
    <definedName name="PHS_POTENTIAL_SP" localSheetId="6">energy!$C$482:$C$490</definedName>
    <definedName name="PHS_POTENTIAL_SP_x" localSheetId="6">energy!$C$480</definedName>
    <definedName name="PHS_POTENTIAL_SP_x">#REF!</definedName>
    <definedName name="PLANT_BASED_100_DIET_PATTERN_OF_POLICY_DIETS_SP" localSheetId="10">[1]Diet!$B$44:$O$52</definedName>
    <definedName name="PLANT_BASED_50_PERCENT_DIET_PATTERN_OF_POLICY_DIETS_SP" localSheetId="10">[1]Diet!$B$33:$O$41</definedName>
    <definedName name="POLICY_LAND_PROTECTION_FROM_SOLAR_PV_SP" localSheetId="10">land!$B$116:$M$124</definedName>
    <definedName name="POLICY_LAND_PROTECTION_FROM_SOLAR_PV_SP_x" localSheetId="10">land!$A$103</definedName>
    <definedName name="POLICY_LAND_PROTECTION_FROM_SOLAR_PV_SP_x">#REF!</definedName>
    <definedName name="POLICY_MAXIMUM_SHARE_SOLAR_URBAN_SP" localSheetId="10">land!$C$129:$C$137</definedName>
    <definedName name="POLICY_MAXIMUM_SHARE_SOLAR_URBAN_SP_x" localSheetId="10">land!$A$126</definedName>
    <definedName name="POLICY_MAXIMUM_SHARE_SOLAR_URBAN_SP_x">#REF!</definedName>
    <definedName name="POLICY_OBJECTIVE_AFFORESTATION_SP" localSheetId="10">land!$E$8:$E$16</definedName>
    <definedName name="POLICY_OBJECTIVE_CROPLAND_PROTECTION_SP" localSheetId="10">land!$E$69:$E$77</definedName>
    <definedName name="POLICY_OBJECTIVE_GRASSLAND_PROTECTION_SP" localSheetId="10">land!$E$81:$E$89</definedName>
    <definedName name="POLICY_OBJECTIVE_INDUSTRIAL_AGRICULTURE_SP" localSheetId="10">land!$E$204:$E$212</definedName>
    <definedName name="POLICY_OBJECTIVE_MANAGED_FOREST_PROTECTION_SP" localSheetId="10">land!$E$45:$E$53</definedName>
    <definedName name="POLICY_OBJECTIVE_NATURAL_LAND_PROTECTION_SP" localSheetId="10">land!$E$93:$E$101</definedName>
    <definedName name="POLICY_OBJECTIVE_PRIMARY_FOREST_PROTECTION_SP" localSheetId="10">land!$E$33:$E$41</definedName>
    <definedName name="POLICY_OBJECTIVE_REGENERATIVE_AGRICULTURE_SP" localSheetId="10">land!$E$217:$E$225</definedName>
    <definedName name="POLICY_OBJECTIVE_TRADITIONAL_AGRICULTURE_SP" localSheetId="10">land!$E$204:$E$212</definedName>
    <definedName name="POLICY_OBJETIVE_BUFFALO_MANURE_SYSTEM_SP" localSheetId="10">land!$B$301:$L$309</definedName>
    <definedName name="POLICY_OBJETIVE_DAIRY_CATTLE_MANURE_SYSTEM_SP" localSheetId="10">land!$B$277:$L$285</definedName>
    <definedName name="POLICY_OBJETIVE_OTHER_CATTLE_MANURE_SYSTEM_SP" localSheetId="10">land!$B$289:$L$297</definedName>
    <definedName name="POLICY_OBJETIVE_SWINE_MANURE_SYSTEM_SP" localSheetId="10">land!$B$313:$L$321</definedName>
    <definedName name="POLICY_OF_DIET_PATTERNS_SELECTED" localSheetId="10">land!$B$334</definedName>
    <definedName name="POLICY_OF_GRASSLAND_MANAGEMENT_SELECTED" localSheetId="10">land!$B$249</definedName>
    <definedName name="POLICY_OF_SOLARLAND_MANAGEMENT_SELECTED" localSheetId="10">land!$B$171</definedName>
    <definedName name="POLICY_SWITCH_AFFORESTATION_SP" localSheetId="10">land!$B$8:$B$16</definedName>
    <definedName name="POLICY_SWITCH_CROPLAND_PROTECTION_SP" localSheetId="10">land!$B$69:$B$77</definedName>
    <definedName name="POLICY_SWITCH_FOREST_PLANTATIONS_SP" localSheetId="10">land!$B$21:$B$29</definedName>
    <definedName name="POLICY_SWITCH_GRASSLAND_PROTECTION_SP" localSheetId="10">land!$B$81:$B$89</definedName>
    <definedName name="POLICY_SWITCH_INDUSTRIAL_AGRICULTURE_SP" localSheetId="10">land!$B$204:$B$212</definedName>
    <definedName name="POLICY_SWITCH_MANAGED_FOREST_PROTECTION_SP" localSheetId="10">land!$B$45:$B$53</definedName>
    <definedName name="POLICY_SWITCH_NATURAL_LAND_PROTECTION_SP" localSheetId="10">land!$B$93:$B$101</definedName>
    <definedName name="POLICY_SWITCH_PRIMARY_FOREST_PROTECTION_SP" localSheetId="10">land!$B$33:$B$41</definedName>
    <definedName name="POLICY_SWITCH_REGENERATIVE_AGRICULTURE_SP" localSheetId="10">land!$B$217:$B$225</definedName>
    <definedName name="POLICY_SWITCH_TRADITIONAL_AGRICULTURE_SP" localSheetId="10">land!$B$204:$B$212</definedName>
    <definedName name="POLICY_YEAR_FINAL_AFFORESTATION_SP" localSheetId="10">land!$D$8:$D$16</definedName>
    <definedName name="POLICY_YEAR_FINAL_CROPLAND_PROTECTION_SP" localSheetId="10">land!$D$69:$D$77</definedName>
    <definedName name="POLICY_YEAR_FINAL_GRASSLAND_PROTECTION_SP" localSheetId="10">land!$D$81:$D$89</definedName>
    <definedName name="POLICY_YEAR_FINAL_INDUSTRIAL_AGRICULTURE_SP" localSheetId="10">land!$D$204:$D$212</definedName>
    <definedName name="POLICY_YEAR_FINAL_MANAGED_FOREST_PROTECTION_SP" localSheetId="10">land!$D$45:$D$53</definedName>
    <definedName name="POLICY_YEAR_FINAL_NATURAL_LAND_PROTECTION_SP" localSheetId="10">land!$D$93:$D$101</definedName>
    <definedName name="POLICY_YEAR_FINAL_PRIMARY_FOREST_PROTECTION_SP" localSheetId="10">land!$D$33:$D$41</definedName>
    <definedName name="POLICY_YEAR_FINAL_REGENERATIVE_AGRICULTURE_SP" localSheetId="10">land!$D$217:$D$225</definedName>
    <definedName name="POLICY_YEAR_FINAL_TRADITIONAL_AGRICULTURE_SP" localSheetId="10">land!$D$204:$D$212</definedName>
    <definedName name="POLICY_YEAR_INITIAL_AFFORESTATION_SP" localSheetId="10">land!$C$8:$C$16</definedName>
    <definedName name="POLICY_YEAR_INITIAL_CROPLAND_PROTECTION_SP" localSheetId="10">land!$C$69:$C$77</definedName>
    <definedName name="POLICY_YEAR_INITIAL_GRASSLAND_PROTECTION_SP" localSheetId="10">land!$C$81:$C$89</definedName>
    <definedName name="POLICY_YEAR_INITIAL_INDUSTRIAL_AGRICULTURE_SP" localSheetId="10">land!$C$204:$C$212</definedName>
    <definedName name="POLICY_YEAR_INITIAL_MANAGED_FOREST_PROTECTION_SP" localSheetId="10">land!$C$45:$C$53</definedName>
    <definedName name="POLICY_YEAR_INITIAL_NATURAL_LAND_PROTECTION_SP" localSheetId="10">land!$C$93:$C$101</definedName>
    <definedName name="POLICY_YEAR_INITIAL_PRIMARY_FOREST_PROTECTION_SP" localSheetId="10">land!$C$33:$C$41</definedName>
    <definedName name="POLICY_YEAR_INITIAL_REGENERATIVE_AGRICULTURE_SP" localSheetId="10">land!$C$217:$C$225</definedName>
    <definedName name="POLICY_YEAR_INITIAL_TRADITIONAL_AGRICULTURE_SP" localSheetId="10">land!$C$204:$C$212</definedName>
    <definedName name="PREDEFINED_TARGET_YEARLY_IMPROVEMENT_EOL_RECYCLING_RATE_SP">materials!$C$111</definedName>
    <definedName name="PREDEFINED_TARGET_YEARLY_INCREASE_PE_EXTRACTION_MATERIALS_SP">materials!$C$216</definedName>
    <definedName name="PRIORITIES_OF_CROPS_DISTRIBUTION_AMONG_USES_SP" localSheetId="10">land!$A$435</definedName>
    <definedName name="PRIORITIES_OF_CROPS_DISTRIBUTION_AMONG_USES_SP">#REF!</definedName>
    <definedName name="PRIORITIES_OF_CROPS_DISTRIBUTION_USES" localSheetId="10">land!$B$437:$E$445</definedName>
    <definedName name="PRIORITIES_OF_CROPS_DISTRIBUTION_USES">#REF!</definedName>
    <definedName name="PRIORITIES_OF_FORESTRY_DISTRIBUTION_AMONG_USES_SP" localSheetId="10">land!$A$459</definedName>
    <definedName name="PRIORITIES_OF_FORESTRY_DISTRIBUTION_AMONG_USES_SP">#REF!</definedName>
    <definedName name="PRIORITIES_OF_FORESTRY_DISTRIBUTION_USES" localSheetId="10">land!$B$461:$E$469</definedName>
    <definedName name="PRIORITIES_OF_FORESTRY_DISTRIBUTION_USES">#REF!</definedName>
    <definedName name="PRIORITIES_OF_LAND_PRODUCTS_DISTRIBUTION_AMONG_REGIONS_SP" localSheetId="10">land!$A$381</definedName>
    <definedName name="PRIORITIES_OF_LAND_PRODUCTS_DISTRIBUTION_REGIONS" localSheetId="10">land!$B$383:$N$391</definedName>
    <definedName name="PRIORITIES_OF_LAND_USE_CHANGE_SP" localSheetId="10">land!$A$185</definedName>
    <definedName name="PRIORITIES_OF_LAND_USE_CROPLAND_RAINFED" localSheetId="10">land!$B$187:$B$195</definedName>
    <definedName name="PRIORITIES_OF_LAND_USE_FOREST_MANAGED" localSheetId="10">land!$C$187:$C$195</definedName>
    <definedName name="PRIORITIES_OF_LAND_USE_FOREST_PLANTATIONS" localSheetId="10">land!$D$187:$D$195</definedName>
    <definedName name="PRIORITIES_OF_LAND_USE_SOLAR_LAND" localSheetId="10">land!$E$187:$E$195</definedName>
    <definedName name="PROCESSED_FOOD_LOSS_CONSUMPTION_SP" localSheetId="10">land!$B$366:$J$366</definedName>
    <definedName name="PROCESSED_FOOD_LOSS_CONSUMPTION_SP">#REF!</definedName>
    <definedName name="PROSTO_PHS_CALCULATOR">data_materials_calculator!$C$98:$CJ$106</definedName>
    <definedName name="PROSTO_STATIONARY_BATTERIES_CALCULATOR">data_materials_calculator!$C$110:$CJ$118</definedName>
    <definedName name="PROSUP_CAPACITY_EXPANSION_ALLOCATION_POLICY_PWIDTH_SP" localSheetId="6">energy!$E$456</definedName>
    <definedName name="PROSUP_CAPACITY_EXPANSION_ALLOCATION_POLICY_PWIDTH_SP_x" localSheetId="6">energy!$C$456</definedName>
    <definedName name="PROSUP_CAPACITY_EXPANSION_ALLOCATION_POLICY_PWIDTH_SP_x">#REF!</definedName>
    <definedName name="PROSUP_CAPACITY_EXPANSION_POLICY_WEIGHT_SP" localSheetId="6">energy!$B$454:$J$454</definedName>
    <definedName name="PROSUP_FLEXOPT_CAPACITY_EXPANSION_ALLOCATION_POLICY_PRIORITIES_SP" localSheetId="6">energy!$A$456</definedName>
    <definedName name="PROSUP_FLEXOPT_CAPACITY_EXPANSION_ALLOCATION_POLICY_PRIORITIES_SP">#REF!</definedName>
    <definedName name="PROSUP_FLEXOPT_CAPACITY_EXPANSION_POLICY_PRIORITIES_SP" localSheetId="6">energy!$B$460:$J$466</definedName>
    <definedName name="PROSUP_FLEXOPT_CAPACITY_EXPANSION_POLICYWEIGHT_SP" localSheetId="6">energy!$A$451</definedName>
    <definedName name="PROSUP_FLEXOPT_CAPACITY_EXPANSION_POLICYWEIGHT_SP">#REF!</definedName>
    <definedName name="PROSUP_P2H_SP" localSheetId="6">energy!$A$518</definedName>
    <definedName name="PROTRA_CAPACITY_EXPANSION_POLICY_WEIGHT_SP" localSheetId="6">energy!$B$252:$J$293</definedName>
    <definedName name="PROTRA_CAPACITY_EXPANSION_POLICY_WEIGHT_SP_x" localSheetId="6">energy!$A$249</definedName>
    <definedName name="PROTRA_CAPACITY_EXPANSION_POLICY_WEIGHT_SP_x">#REF!</definedName>
    <definedName name="PROTRA_CAPACITY_EXPANSION_PRIORITIES_POLICY_WEIGHT_SP" localSheetId="6">energy!#REF!</definedName>
    <definedName name="PROTRA_CAPACITY_EXPANSION_PRIORITIES_VECTOR_SP" localSheetId="6">energy!$A$303</definedName>
    <definedName name="PROTRA_PP_solar_CSP_CALCULATOR">data_materials_calculator!$C$34:$CJ$42</definedName>
    <definedName name="PROTRA_PP_solar_open_space_PV_CALCULATOR">data_materials_calculator!$C$46:$CJ$54</definedName>
    <definedName name="PROTRA_PP_solar_urban_PV_CALCULATOR">data_materials_calculator!$C$58:$CJ$66</definedName>
    <definedName name="PROTRA_PP_wind_offshore_CALCULATOR">data_materials_calculator!$C$70:$CJ$78</definedName>
    <definedName name="PROTRA_PP_wind_onshore_CALCULATOR">data_materials_calculator!$C$82:$CJ$90</definedName>
    <definedName name="PROTRA_UTILIZATION_ALLOCATION_POLICY_PRIORITIES_SP" localSheetId="6">energy!$A$404</definedName>
    <definedName name="PROTRA_UTILIZATION_ALLOCATION_POLICY_PRIORITIES_SP">#REF!</definedName>
    <definedName name="PROTRA_UTILIZATION_ALLOCATION_PRIORITIES_SP" localSheetId="6">energy!$B$407:$J$448</definedName>
    <definedName name="PROTRA_UTILIZATION_PRIORITIES_POLICY_WEIGHT_SP" localSheetId="6">energy!$A$351</definedName>
    <definedName name="PROTRA_UTILIZATION_PRIORITIES_POLICYWEIGHT_SP" localSheetId="6">energy!$B$353:$J$394</definedName>
    <definedName name="PROTRA_UTILIZATION_PRIORITIES_POLICYWEIGHT_SP_x" localSheetId="6">energy!$A$350</definedName>
    <definedName name="PROTRA_UTILIZATION_PRIORITIES_POLICYWEIGHT_SP_x">#REF!</definedName>
    <definedName name="PV_PANEL_EFFICIENCY_C_Si_Mono" localSheetId="13">'energy-data'!$B$6:$AK$6</definedName>
    <definedName name="PV_PANEL_EFFICIENCY_C_Si_Mono_USER_DEFINED" localSheetId="6">energy!$B$748:$AK$748</definedName>
    <definedName name="PWIDTH_PROTRA_CAPACITY_EXPANSION_PRIORITIES_VECTOR_SP" localSheetId="6">energy!$E$303</definedName>
    <definedName name="PWIDTH_PROTRA_UTILIZATION_ALLOCATION_POLICY_PRIORITIES_SP" localSheetId="6">energy!$E$404</definedName>
    <definedName name="RATIO_BASIC_INCOME_TO_AVERAGE_DISPOSABLE_INCOME_SP" localSheetId="5">economy!$D$998:$D$1018</definedName>
    <definedName name="RATIO_MAXIMUM_PROFLEX_EXPANSION_SP" localSheetId="6">energy!$B$455:$J$455</definedName>
    <definedName name="RATIO_MAXIMUM_PROFLEX_EXPANSION_SP_x" localSheetId="6">energy!$A$455</definedName>
    <definedName name="RATIO_MAXIMUM_PROFLEX_EXPANSION_SP_x">#REF!</definedName>
    <definedName name="RATIO_SECTOR_CO2_PRICE_AVERAGE_CO2_PRICE_SP">economy!$E$790:$E$851</definedName>
    <definedName name="RealSSP1" localSheetId="12">demography_data!$J$48:$T$48</definedName>
    <definedName name="RealSSP2" localSheetId="12">demography_data!$J$49:$T$49</definedName>
    <definedName name="RealSSP3" localSheetId="12">demography_data!$J$46:$T$46</definedName>
    <definedName name="RealSSP4" localSheetId="12">demography_data!$J$47:$T$47</definedName>
    <definedName name="RealSSP5" localSheetId="12">demography_data!$J$50:$T$50</definedName>
    <definedName name="RECYCLING_CARBON_TAX_REVENUES_SP" localSheetId="5">economy!$A$956</definedName>
    <definedName name="RECYCLING_CARBON_TAX_REVENUES_SP">#REF!</definedName>
    <definedName name="Recycling_rates_alternative_technologies_all_materials" localSheetId="9">materials!#REF!</definedName>
    <definedName name="Recycling_rates_by_mineral_starting_year" localSheetId="9">materials!#REF!</definedName>
    <definedName name="Recycling_rates_by_mineral_starting_year_base_metals" localSheetId="9">materials!$B$94</definedName>
    <definedName name="Recycling_rates_by_mineral_target_year" localSheetId="9">materials!#REF!</definedName>
    <definedName name="Recycling_rates_by_mineral_target_year_base_metals" localSheetId="9">materials!$B$93</definedName>
    <definedName name="REDUCTION_MATERIAL_INTENSITY_PV_REST_OF_MATERIALS_SP" localSheetId="9">materials!$B$82</definedName>
    <definedName name="REDUCTION_MINERAL_DEMAND_PV_SI_SP" localSheetId="9">materials!$C$82</definedName>
    <definedName name="REDUCTION_MINERAL_DEMAND_PV_TIN_SP" localSheetId="9">materials!$D$82</definedName>
    <definedName name="REDUCTION_RATE_MATERIAL_INTENSITY_ALKALINE_ELECTROLYZERS_Ni_SP" localSheetId="9">materials!$B$87</definedName>
    <definedName name="REDUCTION_RATE_MATERIAL_INTENSITY_ALKALINE_ELECTROLYZERS_Ni_SP">#REF!</definedName>
    <definedName name="REDUCTION_RATE_MATERIAL_INTENSITY_PEM_ELECTROLYZERS_Ir_SP" localSheetId="9">materials!$D$87</definedName>
    <definedName name="REDUCTION_RATE_MATERIAL_INTENSITY_PEM_ELECTROLYZERS_Ir_SP">#REF!</definedName>
    <definedName name="REDUCTION_RATE_MATERIAL_INTENSITY_PEM_ELECTROLYZERS_Pt_SP" localSheetId="9">materials!$C$87</definedName>
    <definedName name="REDUCTION_RATE_MATERIAL_INTENSITY_PEM_ELECTROLYZERS_Pt_SP">#REF!</definedName>
    <definedName name="REDUCTION_RATE_MATERIAL_INTENSITY_PEM_ELECTROLYZERS_Ti_SP" localSheetId="9">materials!$E$87</definedName>
    <definedName name="REDUCTION_RATE_MATERIAL_INTENSITY_PEM_ELECTROLYZERS_Ti_SP">#REF!</definedName>
    <definedName name="REDUCTION_RATE_MATERIAL_INTENSITY_PV_PANELS_SP" localSheetId="9">materials!$A$79</definedName>
    <definedName name="REDUCTION_TRANSPORT_DEMAND_SP" localSheetId="8">'energy-transport'!$A$3</definedName>
    <definedName name="RENOVATION_COST_SP">'energy-buildings'!$D$13:$D$16</definedName>
    <definedName name="RENOVATION_IMPROVEMENT_SHARES_SP">'energy-buildings'!$C$13:$C$16</definedName>
    <definedName name="Rest_of_the_base_metals_current_rates" localSheetId="9">materials!$D$95:$D$98</definedName>
    <definedName name="Rest_of_the_economy_current_rates_all_materials" localSheetId="9">materials!#REF!</definedName>
    <definedName name="RURR_URANIUM_USER_DEFINED_SP" localSheetId="9">materials!$C$60:$AF$60</definedName>
    <definedName name="SC_SP" localSheetId="6">energy!$A$615</definedName>
    <definedName name="SCEN_FERTILITY" localSheetId="3">demography!$C$17:$C$51</definedName>
    <definedName name="SCEN_FERTILITY_AVERAGE" localSheetId="12">demography_data!$L$5:$R$39</definedName>
    <definedName name="SCEN_FERTILITY_MAXIMUM" localSheetId="12">demography_data!$U$5:$AA$39</definedName>
    <definedName name="SCEN_FERTILITY_MINIMUM" localSheetId="12">demography_data!$C$5:$I$39</definedName>
    <definedName name="SCENARIO_BASELINE_OPTION_2_ME">#REF!</definedName>
    <definedName name="SCENARIO_BUFFALO_MANURE_MANAGEMENT_SYSTEM_OPTION_1_ME">#REF!</definedName>
    <definedName name="SCENARIO_BUFFALO_MANURE_MANAGEMENT_SYSTEM_OPTION_2_ME">#REF!</definedName>
    <definedName name="SCENARIO_BUFFALO_MANURE_MANAGEMENT_SYSTEM_OPTION_3_ME">#REF!</definedName>
    <definedName name="SCENARIO_CLIMATE_SENSITIVITY_OPTION_1_ME">#REF!</definedName>
    <definedName name="SCENARIO_CLIMATE_SENSITIVITY_OPTION_2_ME">#REF!</definedName>
    <definedName name="SCENARIO_CLIMATE_SENSITIVITY_OPTION_3_ME">#REF!</definedName>
    <definedName name="SCENARIO_DAIRY_CATTLE_MANURE_MANAGEMENT_SYSTEM_OPTION_1_ME">#REF!</definedName>
    <definedName name="SCENARIO_DAIRY_CATTLE_MANURE_MANAGEMENT_SYSTEM_OPTION_2_ME">#REF!</definedName>
    <definedName name="SCENARIO_DAIRY_CATTLE_MANURE_MANAGEMENT_SYSTEM_OPTION_3_ME">#REF!</definedName>
    <definedName name="SCENARIO_DAIRY_CATTLE_MANURE_MANAGEMENT_SYSTEMS_OPTION_1_ME">#REF!</definedName>
    <definedName name="SCENARIO_DEBT_INTEREST_RATE_TARGET_OPTION_1_ME">#REF!</definedName>
    <definedName name="SCENARIO_DEBT_INTEREST_RATE_TARGET_OPTION_2_ME">#REF!</definedName>
    <definedName name="SCENARIO_DEBT_INTEREST_RATE_TARGET_OPTION_3_ME">#REF!</definedName>
    <definedName name="SCENARIO_FINAL_GENDER_PARITY_INDEX_HIGH_OPTION_1_ME">#REF!</definedName>
    <definedName name="SCENARIO_FINAL_GENDER_PARITY_INDEX_HIGH_OPTION_2_ME">#REF!</definedName>
    <definedName name="SCENARIO_FINAL_GENDER_PARITY_INDEX_HIGH_OPTION_3_ME">#REF!</definedName>
    <definedName name="SCENARIO_FINAL_GENDER_PARITY_INDEX_MEDIUM_OPTION_1_ME">#REF!</definedName>
    <definedName name="SCENARIO_FINAL_GENDER_PARITY_INDEX_MEDIUM_OPTION_2_ME">#REF!</definedName>
    <definedName name="SCENARIO_FINAL_GENDER_PARITY_INDEX_MEDIUM_OPTION_3_ME">#REF!</definedName>
    <definedName name="SCENARIO_FLEXITARIANA_OPTION_1_ME">#REF!</definedName>
    <definedName name="SCENARIO_FOREST_OVEREXPLOITATION_OPTION_1_ME">#REF!</definedName>
    <definedName name="SCENARIO_FOREST_OVEREXPLOITATION_OPTION_2_ME">#REF!</definedName>
    <definedName name="SCENARIO_FOREST_OVEREXPLOITATION_OPTION_3_ME">#REF!</definedName>
    <definedName name="SCENARIO_OBJECTIVE_PERCENTAGE_FE_LIQUID_SUBSTITUTED_BY_H2_SYNTHETIC_LIQUID_OPTION_1_ME">#REF!</definedName>
    <definedName name="SCENARIO_OBJECTIVE_PERCENTAGE_FE_LIQUID_SUBSTITUTED_BY_H2_SYNTHETIC_LIQUID_OPTION_2_ME">#REF!</definedName>
    <definedName name="SCENARIO_OBJECTIVE_PERCENTAGE_FE_LIQUID_SUBSTITUTED_BY_H2_SYNTHETIC_LIQUID_OPTION_3_ME">#REF!</definedName>
    <definedName name="SCENARIO_OIL_RESOURCE_OPTION_1_ME">#REF!</definedName>
    <definedName name="SCENARIO_OIL_RESOURCE_OPTION_2_ME">#REF!</definedName>
    <definedName name="SCENARIO_OIL_RESOURCE_OPTION_3_ME">#REF!</definedName>
    <definedName name="SCENARIO_OTHER_CATTLE_MANURE_MANAGEMENT_SYSTEM_OPTION_1_ME">#REF!</definedName>
    <definedName name="SCENARIO_OTHER_CATTLE_MANURE_MANAGEMENT_SYSTEM_OPTION_2_ME">#REF!</definedName>
    <definedName name="SCENARIO_OTHER_CATTLE_MANURE_MANAGEMENT_SYSTEM_OPTION_3_ME">#REF!</definedName>
    <definedName name="SCENARIO_PLANT_BASED_100_OPTION_3_ME">#REF!</definedName>
    <definedName name="SCENARIO_POPULATION_SP">demography!$B$11</definedName>
    <definedName name="SCENARIO_RCP_OPTION_1_ME">#REF!</definedName>
    <definedName name="SCENARIO_RCP_OPTION_2_ME">#REF!</definedName>
    <definedName name="SCENARIO_RCP_OPTION_3_ME">#REF!</definedName>
    <definedName name="SCENARIO_RCP_OPTION_4_ME">#REF!</definedName>
    <definedName name="SCENARIO_SELECT_CHANGE_TO_REGENERATIVE_AGRICULTURE_OPTION_1_ME">#REF!</definedName>
    <definedName name="SCENARIO_SELECT_CHANGE_TO_REGENERATIVE_AGRICULTURE_OPTION_2_ME">#REF!</definedName>
    <definedName name="SCENARIO_SELECT_CHANGE_TO_REGENERATIVE_AGRICULTURE_OPTION_3_ME">#REF!</definedName>
    <definedName name="SCENARIO_SELECT_RCP_GHG_EMISSIONS_OPTION_1_ME">#REF!</definedName>
    <definedName name="SCENARIO_SELECT_RCP_GHG_EMISSIONS_OPTION_2_ME">#REF!</definedName>
    <definedName name="SCENARIO_SELECT_RCP_GHG_EMISSIONS_OPTION_3_ME">#REF!</definedName>
    <definedName name="SCENARIO_SELECT_RCP_GHG_EMISSIONS_OPTION_4_ME">#REF!</definedName>
    <definedName name="SCENARIO_SHARE_DIETS_ME">#REF!</definedName>
    <definedName name="SCENARIO_SWINE_MANURE_MANAGEMENT_SYSTEM_OPTION_1_ME">#REF!</definedName>
    <definedName name="SCENARIO_SWINE_MANURE_MANAGEMENT_SYSTEM_OPTION_2_ME">#REF!</definedName>
    <definedName name="SCENARIO_SWINE_MANURE_MANAGEMENT_SYSTEM_OPTION_3_ME">#REF!</definedName>
    <definedName name="SCENARIO_TARGET_SHARE_BIOENERGY_IN_FOSSIL_LIQUIDS_AND_GASES_OPTION_1_ME">#REF!</definedName>
    <definedName name="SCENARIO_TARGET_SHARE_BIOENERGY_IN_FOSSIL_LIQUIDS_AND_GASES_OPTION_2_ME">#REF!</definedName>
    <definedName name="SCENARIO_TARGET_SHARE_BIOENERGY_IN_FOSSIL_LIQUIDS_AND_GASES_OPTION_3_ME">#REF!</definedName>
    <definedName name="SCENARIO_TRANSPORT_DEMAND_MODAL_OPTION_1_ME">#REF!</definedName>
    <definedName name="SCENARIO_TRANSPORT_DEMAND_MODAL_OPTION_2_ME">#REF!</definedName>
    <definedName name="SCENARIO_TRANSPORT_DEMAND_MODAL_OPTION_3_ME">#REF!</definedName>
    <definedName name="SCENARIO_URANIUM_MAXIMUM_SUPPLY_CURVE_OPTION_1_ME">#REF!</definedName>
    <definedName name="SCENARIO_URANIUM_MAXIMUM_SUPPLY_CURVE_OPTION_2_ME">#REF!</definedName>
    <definedName name="SCENARIO_URANIUM_MAXIMUM_SUPPLY_CURVE_OPTION_3_ME">#REF!</definedName>
    <definedName name="SELECT_AFFORESTATION_ME">#REF!</definedName>
    <definedName name="SELECT_AVAILABILITY_UNDEVELOPED_ENERGY_TECHS_SP" localSheetId="6">energy!$B$697</definedName>
    <definedName name="SELECT_AVAILABILITY_UNMATURE_ENERGY_TECHNOLOGIES_SP_x" localSheetId="6">energy!$A$689</definedName>
    <definedName name="SELECT_BROWN_COAL_RESOURCE_ESTIMATION_SP" localSheetId="9">materials!$E$70</definedName>
    <definedName name="SELECT_CAPACITY_INVESTMENT_COST_DEVELOPMENT_SP" localSheetId="6">energy!$B$825</definedName>
    <definedName name="SELECT_CAPACITY_INVESTMENT_COST_DEVELOPMENT_SP_x" localSheetId="6">energy!$A$818</definedName>
    <definedName name="SELECT_CAPACITY_INVESTMENT_COST_DEVELOPMENT_SP_x">#REF!</definedName>
    <definedName name="SELECT_CAPITAL_PRODUCTIVITY_VARIATION_SP" localSheetId="5">economy!$B$8</definedName>
    <definedName name="SELECT_CHANGE_TO_REGENERATIVE_AGRICULTURE_ME">#REF!</definedName>
    <definedName name="SELECT_CLIMATE_CHANGE_IMPACT_UNCERTAINTY_SCENARIO_SP" localSheetId="5">economy!$B$1231</definedName>
    <definedName name="SELECT_CLIMATE_CHANGE_IMPACT_UNCERTAINTY_SCENARIO_SP_x" localSheetId="5">economy!$A$1225</definedName>
    <definedName name="SELECT_CLIMATE_CHANGE_IMPACT_UNCERTAINTY_SCENARIO_SP_x">#REF!</definedName>
    <definedName name="SELECT_CLIMATE_CHANGE_IMPACTS_REMOVE_EXTRAPOLATIONS_SP" localSheetId="5">economy!$B$1237</definedName>
    <definedName name="SELECT_CLIMATE_CHANGE_IMPACTS_REMOVE_EXTRAPOLATIONS_SP_x" localSheetId="5">economy!$A$1233</definedName>
    <definedName name="SELECT_CLIMATE_CHANGE_IMPACTS_REMOVE_EXTRAPOLATIONS_SP_x">#REF!</definedName>
    <definedName name="SELECT_CLIMATE_CHANGE_IMPACTS_SENSITIVITY_SP" localSheetId="5">economy!$B$1243</definedName>
    <definedName name="SELECT_CLIMATE_CHANGE_IMPACTS_SENSITIVITY_SP_x" localSheetId="5">economy!$A$1239</definedName>
    <definedName name="SELECT_CLIMATE_CHANGE_IMPACTS_SENSITIVITY_SP_x">#REF!</definedName>
    <definedName name="SELECT_CLIMATE_CROP_YIELDS_MODEL" localSheetId="10">land!$B$616</definedName>
    <definedName name="SELECT_CLIMATE_CROP_YIELDS_MODEL">#REF!</definedName>
    <definedName name="SELECT_CLIMATE_HAZARDS_FOR_MORTALITY_SP">demography!$B$179</definedName>
    <definedName name="SELECT_CLIMATE_HAZARDS_SP" localSheetId="5">economy!$B$1223</definedName>
    <definedName name="SELECT_CLIMATE_HAZARDS_SP_x" localSheetId="5">economy!$A$1217</definedName>
    <definedName name="SELECT_CLIMATE_HAZARDS_SP_x">#REF!</definedName>
    <definedName name="SELECT_CLIMATE_MODEL_AND_RCP" localSheetId="10">land!$B$608</definedName>
    <definedName name="SELECT_CLIMATE_MODEL_AND_RCP">#REF!</definedName>
    <definedName name="SELECT_CLIMATE_MODEL_AND_RCP_x" localSheetId="10">land!$A$599</definedName>
    <definedName name="SELECT_CLIMATE_MODEL_AND_RCP_x">#REF!</definedName>
    <definedName name="SELECT_CLIMATE_SENSITIVITY_ME">#REF!</definedName>
    <definedName name="SELECT_CO2_TAX_HOUSEHOLDS_SP" localSheetId="5">economy!$B$904</definedName>
    <definedName name="SELECT_CO2_TAX_SECTORS_SP" localSheetId="5">economy!$B$778</definedName>
    <definedName name="SELECT_DEBT_INTEREST_RATE_SP" localSheetId="5">economy!$B$248</definedName>
    <definedName name="SELECT_DEBT_INTEREST_RATE_TARGET_ME">#REF!</definedName>
    <definedName name="SELECT_EFFICIENCY_ELECTROLYZERS_DEVELOPMENT_SP" localSheetId="6">energy!$B$608</definedName>
    <definedName name="SELECT_EFFICIENCY_ELECTROLYZERS_DEVELOPMENT_SP">#REF!</definedName>
    <definedName name="SELECT_ENERGY_EFFICIENCY_ANNUAL_IMPROVEMENT_ME">#REF!</definedName>
    <definedName name="SELECT_EROI_MIN_POTENTIAL_SOLAR_WIND_SP_x" localSheetId="6">energy!$A$786</definedName>
    <definedName name="SELECT_EROI_MIN_POTENTIAL_SOLAR_WIND_SP_x">#REF!</definedName>
    <definedName name="SELECT_EROI_MIN_POTENTIAL_WIND_SOLAR_SP" localSheetId="6">energy!$B$796</definedName>
    <definedName name="SELECT_FERTILITY_RATES_ME">#REF!</definedName>
    <definedName name="SELECT_FINAL_ENERGY_SUBSTITUTION_RATE_TOP_DOWN_SECTORS_SP" localSheetId="6">energy!$B$54</definedName>
    <definedName name="SELECT_FINAL_ENERGY_SUBSTITUTION_RATE_TOP_DOWN_SECTORS_SP">#REF!</definedName>
    <definedName name="SELECT_FINAL_GENDER_PARITY_INDEX_ME">#REF!</definedName>
    <definedName name="SELECT_FORESTRY_SELF_SUFFICIENCY">#REF!</definedName>
    <definedName name="SELECT_GAS_PRICE_OIL_LINK_SP" localSheetId="9">materials!$B$48</definedName>
    <definedName name="SELECT_GAS_PRICE_OIL_LINK_SP_x" localSheetId="9">materials!$A$44</definedName>
    <definedName name="SELECT_GAS_PRICE_OIL_LINK_SP_x">#REF!</definedName>
    <definedName name="SELECT_GAS_RESPOURCE_ESTIMATION_SP" localSheetId="9">materials!$C$70</definedName>
    <definedName name="SELECT_GASES_CO2_TAX_HOUSEHOLDS_SP" localSheetId="5">economy!$B$912</definedName>
    <definedName name="SELECT_GASES_CO2_TAX_SECTORS_SP" localSheetId="5">economy!$B$786</definedName>
    <definedName name="SELECT_GOVERNMENT_BUDGET_BALANCE_TO_GDP_OBJECTIVE_SP" localSheetId="5">economy!$B$297</definedName>
    <definedName name="SELECT_GOVERNMENT_BUDGET_BALANCE_TO_GDP_OBJECTIVE_TARGET_ME">#REF!</definedName>
    <definedName name="SELECT_GWP_TIME_FRAME_SP">climate!$A$16</definedName>
    <definedName name="SELECT_HARD_COAL_RESOURCE_ESTIMATION_SP" localSheetId="9">materials!$D$70</definedName>
    <definedName name="SELECT_HEAT_STRESS_IMPACTS_UNCERTAINTY_SCENARIO">economy!$B$1253</definedName>
    <definedName name="SELECT_LABOUR_IMPACTS_HAZARD_SP">economy!$B$1260</definedName>
    <definedName name="SELECT_LABOUR_PRODUCTIVITY_VARIATION_SP" localSheetId="5">economy!$B$106</definedName>
    <definedName name="SELECT_LAND_PROTECTION_BY_POLICY_ME">#REF!</definedName>
    <definedName name="SELECT_LAND_USES_BY_REGION_x" localSheetId="10">land!$A$489</definedName>
    <definedName name="SELECT_LAND_USES_BY_REGION_x">#REF!</definedName>
    <definedName name="SELECT_LIFETIME_ELECTROLYZERS_DEVELOPMENT_SP" localSheetId="6">energy!$B$596</definedName>
    <definedName name="SELECT_LIFETIME_ELECTROLYZERS_DEVELOPMENT_SP">#REF!</definedName>
    <definedName name="SELECT_LIFETIME_ELECTROLYZERS_DEVELOPMENT_SP_x" localSheetId="6">energy!$A$591</definedName>
    <definedName name="SELECT_LIFETIME_ELECTROLYZERS_DEVELOPMENT_SP_x">#REF!</definedName>
    <definedName name="SELECT_LIMIT_ANNUAL_GROWTH_CONSUMPTION_DURABLES_SP" localSheetId="5">economy!$B$1141:$B$1175</definedName>
    <definedName name="SELECT_LIMIT_ANNUAL_GROWTH_CONSUMPTION_DURABLES_SP">#REF!</definedName>
    <definedName name="SELECT_LIMIT_ANNUAL_GROWTH_CONSUMPTION_NON_DURABLES_SP" localSheetId="5">economy!$B$1181:$B$1215</definedName>
    <definedName name="SELECT_LIMIT_ANNUAL_GROWTH_CONSUMPTION_NON_DURABLES_SP">#REF!</definedName>
    <definedName name="SELECT_LIMIT_ANNUAL_GROWTH_GOVERNMENT_EXPENDITURE_SP" localSheetId="5">economy!$B$345:$B$379</definedName>
    <definedName name="SELECT_LIMIT_ANNUAL_GROWTH_WAGES_SP" localSheetId="5">economy!$B$154:$B$188</definedName>
    <definedName name="SELECT_LIMIT_ANNUAL_GROWTH_WAGES_SP">#REF!</definedName>
    <definedName name="SELECT_LIMIT_CONSUMPTION_ENERGY_BUILDINGS_OVER_TOTAL_NON_DURABLES_BOTTOM_UP_SP">economy!$B$1131</definedName>
    <definedName name="SELECT_LIMIT_CONSUMPTION_ENERGY_OVER_TOTAL_NON_DURABLES_SP" localSheetId="5">economy!$B$1110</definedName>
    <definedName name="SELECT_LIMIT_CONSUMPTION_TRANSPORT_OVER_TOTAL_NON_DURABLES_BOTTOM_UP_SP">economy!$B$1121</definedName>
    <definedName name="SELECT_LIMITS_LAND_USES_BY_SOURCE_SP" localSheetId="10">land!$B$494</definedName>
    <definedName name="SELECT_LIMITS_LAND_USES_BY_SOURCE_SP_x" localSheetId="10">land!$A$490</definedName>
    <definedName name="SELECT_LIMITS_LAND_USES_BY_SOURCE_SP_x">#REF!</definedName>
    <definedName name="SELECT_LOCKDOWN_EFFECT_ON_TRANSPORT_SP" localSheetId="5">economy!$B$1095</definedName>
    <definedName name="SELECT_MANURE_MANAGEMENT_SYSTEM_ME">#REF!</definedName>
    <definedName name="SELECT_MARK_UP_VARIATION_SP" localSheetId="5">economy!$B$57</definedName>
    <definedName name="SELECT_MATERIAL_INTENSITIY_SP" localSheetId="9">materials!$B$35</definedName>
    <definedName name="SELECT_MATERIAL_INTENSITY_SP_x" localSheetId="9">materials!$A$31</definedName>
    <definedName name="SELECT_MATERIAL_INTENSITY_SP_x">#REF!</definedName>
    <definedName name="SELECT_MATERIALS_GRADE_PE_IMPACT_EXTRACTION_SP">materials!$B$219</definedName>
    <definedName name="SELECT_MAXIMUM_YIELDS_DEFINED_BY_USER_SP">land!$B$530</definedName>
    <definedName name="SELECT_MINERALS_RECYLING_EOL_SP">materials!$B$114:$B$114</definedName>
    <definedName name="SELECT_NON_ENERGY_FE_USE_INTENSITIES_BY_SECTOR_SP">energy!$B$102</definedName>
    <definedName name="SELECT_OIL_RESOURCE_ME">#REF!</definedName>
    <definedName name="SELECT_OIL_RESPOURCE_ESTIMATION_SP" localSheetId="9">materials!$B$70</definedName>
    <definedName name="SELECT_ON_SITE_ELECTROLYZERS_EXPANSION_PRIORITY_SP" localSheetId="6">energy!$B$549</definedName>
    <definedName name="SELECT_ON_SITE_ELECTROLYZERS_EXPANSION_PRIORITY_SP">#REF!</definedName>
    <definedName name="SELECT_ON_SITE_ELECTROLYZERS_EXPANSION_PRIORITY_SP_x" localSheetId="6">energy!$A$545</definedName>
    <definedName name="SELECT_ON_SITE_ELECTROLYZERS_EXPANSION_PRIORITY_SP_x">#REF!</definedName>
    <definedName name="SELECT_OPEC_SCENARIO_FOSSIL_FUEL_PAPER_SP" localSheetId="9">materials!$B$7</definedName>
    <definedName name="SELECT_OPEC_SCENARIO_FOSSIL_FUEL_PAPER_SP_x" localSheetId="9">materials!$A$3</definedName>
    <definedName name="SELECT_OPEC_SCENARIO_FOSSIL_FUEL_PAPER_SP_x">#REF!</definedName>
    <definedName name="SELECT_PASSENGER_TRANSPORT_DEMAND_MODAL_SHARE_ME">#REF!</definedName>
    <definedName name="SELECT_PERCENTAGE_FE_LIQUID_SUBSTITUTED_BY_H2_SYNTHETIC_LIQUID_ME">#REF!</definedName>
    <definedName name="SELECT_POLICY_FINANCE_BASIC_INCOME_SP" localSheetId="5">economy!$B$1025</definedName>
    <definedName name="SELECT_PROTRA_CAPACITY_EXPANSION_PRIORITIES_VECTOR_ME">#REF!</definedName>
    <definedName name="SELECT_PROTRA_RES_POTENTIALS_SP" localSheetId="6">energy!$B$706</definedName>
    <definedName name="SELECT_PROTRA_RES_POTENTIALS_SP_x" localSheetId="6">energy!$A$701</definedName>
    <definedName name="SELECT_PROTRA_RES_POTENTIALS_SP_x">#REF!</definedName>
    <definedName name="SELECT_RCP_FOR_EXOGENOUS_GHG_EMISSIONS_ME">#REF!</definedName>
    <definedName name="SELECT_RCP_FOR_EXOGENOUS_GHG_EMISSIONS_SP">climate!$A$8</definedName>
    <definedName name="SELECT_RCP_GHG_EMISSIONS_ME">#REF!</definedName>
    <definedName name="SELECT_REDUCTION_PASSENGER_TRANSPORT_DEMAND_ME">#REF!</definedName>
    <definedName name="SELECT_RENOVATION_COST_SP" localSheetId="5">'[4]energy-buildings'!#REF!</definedName>
    <definedName name="SELECT_RENOVATION_COST_SP" localSheetId="6">'[2]energy-buildings'!#REF!</definedName>
    <definedName name="SELECT_RENOVATION_COST_SP" localSheetId="10">'[3]energy-buildings'!#REF!</definedName>
    <definedName name="SELECT_RENOVATION_COST_SP" localSheetId="2">'[2]energy-buildings'!#REF!</definedName>
    <definedName name="SELECT_RENOVATION_COST_SP">'energy-buildings'!#REF!</definedName>
    <definedName name="SELECT_ROOFTOP_USE_SOLAR_TECHNOLOGIES_SP" localSheetId="6">energy!$B$745</definedName>
    <definedName name="SELECT_ROOFTOP_USE_SOLAR_TECHNOLOGIES_SP_x" localSheetId="6">energy!$A$735</definedName>
    <definedName name="SELECT_ROOFTOP_USE_SOLAR_TECHNOLOGIES_SP_x">#REF!</definedName>
    <definedName name="SELECT_SECTORS_CO2_TAX_SECTORS_SP">economy!$B$790:$B$851</definedName>
    <definedName name="SELECT_SELECTION_MANAGEMENT_GRASSLAND_SP" localSheetId="10">land!#REF!</definedName>
    <definedName name="SELECT_SHARE_OF_CHANGE_TO_POLICY_DIET_ME">#REF!</definedName>
    <definedName name="SELECT_STATIONARY_ELECTROLYZERS_EXPANSION_PRIORITY_SP" localSheetId="6">energy!$B$572</definedName>
    <definedName name="SELECT_STATIONARY_ELECTROLYZERS_EXPANSION_PRIORITY_SP_x" localSheetId="6">energy!$A$568</definedName>
    <definedName name="SELECT_STATIONARY_ELECTROLYZERS_EXPANSION_PRIORITY_SP_x">#REF!</definedName>
    <definedName name="SELECT_STRUCTURE_GOVERNMENT_CONSUMPTION_SP" localSheetId="5">economy!$B$680</definedName>
    <definedName name="SELECT_STRUCTURE_GOVERNMENT_EXPENDITURE_SP" localSheetId="5">economy!$B$631</definedName>
    <definedName name="SELECT_STRUCTURE_GOVERNMENT_INVESTMENT_SP" localSheetId="5">economy!$B$729</definedName>
    <definedName name="SELECT_TARGET_SHARE_BIOENERGY_IN_FOSSIL_LIQUIDS_AND_GASES_ME">#REF!</definedName>
    <definedName name="SELECT_TAX_RATE_INCOME_SP" localSheetId="5">economy!$B$386</definedName>
    <definedName name="SELECT_TAX_RATE_PRODUCTION_SP" localSheetId="5">economy!$B$484</definedName>
    <definedName name="SELECT_TAX_RATE_PROFITS_SP" localSheetId="5">economy!$B$533</definedName>
    <definedName name="SELECT_TAX_RATE_SOCIAL_SECURITY_SP" localSheetId="5">economy!$B$582</definedName>
    <definedName name="SELECT_TAX_RATE_WEALTH_SP" localSheetId="5">economy!$B$435</definedName>
    <definedName name="SELECT_TRANSPORT_DEMAND_MODAL_SHARE_ME">#REF!</definedName>
    <definedName name="SELECT_UNCERTAINTY_H2_LEAKAGES_SP">energy!$B$885</definedName>
    <definedName name="SELECT_URANIUM_MAX_SUPPLY_CURVE_SP" localSheetId="9">materials!$B$57</definedName>
    <definedName name="SELECT_URANIUM_MAXIMUM_SUPPLY_CURVE_ME">#REF!</definedName>
    <definedName name="SELECT_URANIUM_MAXIMUM_SUPPLY_CURVE_SP_x" localSheetId="9">materials!$A$50</definedName>
    <definedName name="SELECT_URANIUM_MAXIMUM_SUPPLY_CURVE_SP_x">#REF!</definedName>
    <definedName name="SELECT_VARIATION_OF_AVERAGE_PEOPLE_PER_HOUSEHOLD_IN_NON_EU_REGIONS_SP" localSheetId="3">demography!$B$161</definedName>
    <definedName name="SELECT_WORKING_TIME_VARIATION_ME">#REF!</definedName>
    <definedName name="SELECT_WORKING_TIME_VARIATION_SP" localSheetId="5">economy!$B$195</definedName>
    <definedName name="SET_OPEC_SPARE_CAPACITY_BEFORE_AND_AFTER_SCENARIO_SP" localSheetId="9">materials!$B$11</definedName>
    <definedName name="SET_OPEC_SPARE_CAPACITY_SP" localSheetId="9">materials!$B$10</definedName>
    <definedName name="SHARE_BIOENERGY_IN_TI_LIQUIDS_AND_GASES_SP" localSheetId="6">energy!$A$641</definedName>
    <definedName name="SHARE_BIOENERGY_IN_TI_LIQUIDS_AND_GASES_SP">#REF!</definedName>
    <definedName name="SHARE_CO2_TAX_HOUSEHOLDS_TO_SOCIAL_CLIMATE_FUND_SP" localSheetId="6">[2]economy!#REF!</definedName>
    <definedName name="SHARE_CO2_TAX_HOUSEHOLDS_TO_SOCIAL_CLIMATE_FUND_SP" localSheetId="10">[3]economy!#REF!</definedName>
    <definedName name="SHARE_CO2_TAX_HOUSEHOLDS_TO_SOCIAL_CLIMATE_FUND_SP" localSheetId="2">[2]economy!#REF!</definedName>
    <definedName name="SHARE_CO2_TAX_HOUSEHOLDS_TO_SOCIAL_CLIMATE_FUND_SP">economy!#REF!</definedName>
    <definedName name="SHARE_CO2_TAX_SECTORS_TO_SOCIAL_CLIMATE_FUND_SP" localSheetId="6">[2]economy!#REF!</definedName>
    <definedName name="SHARE_CO2_TAX_SECTORS_TO_SOCIAL_CLIMATE_FUND_SP" localSheetId="10">[3]economy!#REF!</definedName>
    <definedName name="SHARE_CO2_TAX_SECTORS_TO_SOCIAL_CLIMATE_FUND_SP" localSheetId="2">[2]economy!#REF!</definedName>
    <definedName name="SHARE_CO2_TAX_SECTORS_TO_SOCIAL_CLIMATE_FUND_SP">economy!#REF!</definedName>
    <definedName name="SHARE_FE_GAS_SUBSTITUTED_BY_H2_SYNTHETIC_GAS_SP">energy!$B$667:$G$675</definedName>
    <definedName name="SHARE_FE_LIQUID_AND_GAS_SUBSTITUTED_BY_H2_SYNFUELS_SP" localSheetId="6">energy!$A$653</definedName>
    <definedName name="SHARE_FE_LIQUID_SUBSTITUTED_BY_H2_SYNTHETIC_LIQUID_SP">energy!$B$679:$G$687</definedName>
    <definedName name="SHARE_GHG_REVENUES_HOUSEHOLDS_TO_DWELLING_DEVICES_SP">economy!$P$959:$P$993</definedName>
    <definedName name="SHARE_GHG_REVENUES_HOUSEHOLDS_TO_DWELLING_RENOVATION_SP">economy!$P$959:$P$993</definedName>
    <definedName name="SHARE_GHG_REVENUES_HOUSEHOLDS_TO_FINANCE_BASIC_INCOME_SP">economy!$N$959:$N$993</definedName>
    <definedName name="SHARE_GHG_REVENUES_HOUSEHOLDS_TO_INCOME_TAX_SP">economy!$L$959:$L$993</definedName>
    <definedName name="SHARE_GHG_REVENUES_HOUSEHOLDS_TO_INCREASE_SOCIAL_BENEFITS_SP">economy!$M$959:$M$993</definedName>
    <definedName name="SHARE_GHG_REVENUES_HOUSEHOLDS_TO_REDUCE_DEBT_SP">economy!$K$959:$K$993</definedName>
    <definedName name="SHARE_GHG_REVENUES_SECTORS_TO_DWELLING_DEVICES_SP">economy!$G$959:$G$993</definedName>
    <definedName name="SHARE_GHG_REVENUES_SECTORS_TO_DWELLING_RENOVATION_SP">economy!$F$959:$F$993</definedName>
    <definedName name="SHARE_GHG_REVENUES_SECTORS_TO_FINANCE_BASIC_INCOME_SP">economy!$E$959:$E$993</definedName>
    <definedName name="SHARE_GHG_REVENUES_SECTORS_TO_INCOME_TAX_SP">economy!$C$959:$C$993</definedName>
    <definedName name="SHARE_GHG_REVENUES_SECTORS_TO_INCREASE_SOCIAL_BENEFITS_SP">economy!$D$959:$D$993</definedName>
    <definedName name="SHARE_GHG_REVENUES_SECTORS_TO_REDUCE_DEBT_SP">economy!$B$959:$B$993</definedName>
    <definedName name="SHARE_GHG_REVENUES_TO_FINANCE_BASIC_INCOME_SP" localSheetId="5">economy!$E$959:$E$993</definedName>
    <definedName name="SHARE_GHG_REVENUES_TO_INCOME_TAX_SP" localSheetId="5">economy!$C$959:$C$993</definedName>
    <definedName name="SHARE_GHG_REVENUES_TO_INCREASE_SOCIAL_BENEFITS_SP" localSheetId="5">economy!$D$959:$D$993</definedName>
    <definedName name="SHARE_GHG_REVENUES_TO_REDUCE_DEBT_SP" localSheetId="5">economy!$B$959:$B$993</definedName>
    <definedName name="SHARE_MERCHANT_ELECTROLYTIC_H2_DEMAND_FOR_NON_ENERGY_USES" localSheetId="6">energy!$A$143</definedName>
    <definedName name="SHARE_MERCHANT_ELECTROLYTIC_H2_DEMAND_FOR_NON_ENERGY_USES">#REF!</definedName>
    <definedName name="SHARE_NON_ENERGY_USE_FOSSIL_FUELS_SUBSTITUTED_BY_ELECTROLYTIC_H2_SP" localSheetId="6">energy!$A$105</definedName>
    <definedName name="SHARE_NON_ENERGY_USE_FOSSIL_FUELS_SUBSTITUTED_BY_ELECTROLYTIC_H2_SP">#REF!</definedName>
    <definedName name="SHARE_OF_CHANGE_TO_POLICY_DIET_INICIAL_VALUE_SP" localSheetId="10">land!$F$339:$F$347</definedName>
    <definedName name="SHARE_OF_CHANGE_TO_POLICY_DIET_SP" localSheetId="10">land!$A$337</definedName>
    <definedName name="SHARE_OF_NEW_ON_SITE_ELECTROLYZERS_SUBTECHNOLOGIES_SP" localSheetId="6">energy!$B$565:$F$566</definedName>
    <definedName name="SHARE_OF_NEW_ON_SITE_ELECTROLYZERS_SUBTECHNOLOGIES_SP">#REF!</definedName>
    <definedName name="SHARE_OF_NEW_STATIONARY_ELECTROLYZERS_SUBTECHNOLOGIES_SP" localSheetId="6">energy!$B$588:$F$589</definedName>
    <definedName name="SHARE_OF_NEW_STATIONARY_ELECTROLYZERS_SUBTECHNOLOGIES_SP">#REF!</definedName>
    <definedName name="SHARE_PV_INSTALLATIONS_SINGLE_FAMILY_VS_TOTAL_HOUSEHOLDS_BUILDINGS_SP" localSheetId="6">energy!$B$810</definedName>
    <definedName name="SHARE_PV_INSTALLATIONS_SINGLE_FAMILY_VS_TOTAL_HOUSEHOLDS_BUILDINGS_SP_x" localSheetId="6">energy!$A$808</definedName>
    <definedName name="SHARES_MIGRATION_SP" localSheetId="12">demography_data!$B$156:$AJ$190</definedName>
    <definedName name="SLOPE_EU_HOUSEHOLDS_SP" localSheetId="3">demography!$B$147</definedName>
    <definedName name="SLOPE_EVOLUTION_OF_EU27_HOUSEHOLDS_COMPOSITION" localSheetId="3">demography!$A$142</definedName>
    <definedName name="SOIL_MANAGEMENT_IN_GRASSLANDS_SP" localSheetId="10">land!$A$250</definedName>
    <definedName name="SOLAR_LAND_FROM_OTHERS_SP" localSheetId="10">land!$A$139</definedName>
    <definedName name="SOLAR_PV_ROOFTOP_POTENTIAL_C_Si_Mono_0PV_100TH_SP" localSheetId="13">'energy-data'!$B$7:$AK$42</definedName>
    <definedName name="SOLAR_PV_ROOFTOP_POTENTIAL_C_Si_Mono_100PV_0TH_SP" localSheetId="13">'energy-data'!$FC$7:$GL$42</definedName>
    <definedName name="SOLAR_PV_ROOFTOP_POTENTIAL_C_Si_Mono_25PV_75TH_SP" localSheetId="13">'energy-data'!$AP$7:$BY$42</definedName>
    <definedName name="SOLAR_PV_ROOFTOP_POTENTIAL_C_Si_Mono_50PV_50TH_SP" localSheetId="13">'energy-data'!$CC$7:$DL$42</definedName>
    <definedName name="SOLAR_PV_ROOFTOP_POTENTIAL_C_Si_Mono_75PV_25TH_SP" localSheetId="13">'energy-data'!$DP$7:$EY$42</definedName>
    <definedName name="SOLAR_PV_ROOFTOP_POTENTIAL_C_Si_Mono_USER_DEFINED_SP" localSheetId="6">energy!$B$749:$AK$784</definedName>
    <definedName name="SOLAR_THERMAL_ROOFTOP_POTENTIAL_0PV_100TH_SP" localSheetId="13">'energy-data'!$AL$7:$AL$42</definedName>
    <definedName name="SOLAR_THERMAL_ROOFTOP_POTENTIAL_100PV_0TH_SP" localSheetId="13">'energy-data'!$GM$7:$GM$42</definedName>
    <definedName name="SOLAR_THERMAL_ROOFTOP_POTENTIAL_25PV_75TH_SP" localSheetId="13">'energy-data'!$BZ$7:$BZ$42</definedName>
    <definedName name="SOLAR_THERMAL_ROOFTOP_POTENTIAL_50PV_50TH_SP" localSheetId="13">'energy-data'!$DM$7:$DM$42</definedName>
    <definedName name="SOLAR_THERMAL_ROOFTOP_POTENTIAL_75PV_25TH_SP" localSheetId="13">'energy-data'!$EZ$7:$EZ$42</definedName>
    <definedName name="SOLAR_THERMAL_ROOFTOP_POTENTIAL_USER_DEFINED_SP" localSheetId="6">energy!$AL$749:$AL$784</definedName>
    <definedName name="SOLARLAND_MANAGEMENT_SP" localSheetId="10">land!$A$165</definedName>
    <definedName name="SPEED_OF_CHANGE_IN_EU_HOUSEHOLD_COMPOSITION">demography!$A$150</definedName>
    <definedName name="START_VALUE_V2G_SP" localSheetId="6">energy!$F$625</definedName>
    <definedName name="START_YEAR_FINAL_ENERGY_EFFICIENCY_RATE_TOP_DOWN_SECTORS_SP" localSheetId="6">energy!$B$7</definedName>
    <definedName name="START_YEAR_FINAL_ENERGY_SUBSTITUTION_RATE_TOP_DOWN_SECTORS_SP" localSheetId="6">energy!$B$58</definedName>
    <definedName name="START_YEAR_MIGRATIONS_SP" localSheetId="3">demography!$B$101</definedName>
    <definedName name="start_year_P_recycling_minerals_alt_technologies" localSheetId="9">materials!#REF!</definedName>
    <definedName name="start_year_P_recycling_minerals_Rest" localSheetId="9">materials!#REF!</definedName>
    <definedName name="START_YEAR_PROTRA_CAPACITY_EXPANSION_POLICY_SP" localSheetId="6">energy!$B$297</definedName>
    <definedName name="START_YEAR_PROTRA_CAPACITY_EXPANSION_POLICY_SP">#REF!</definedName>
    <definedName name="START_YEAR_PROTRA_UTILIZATION_ALLOCATION_POLICY_PRIORITIES_SP" localSheetId="6">energy!$B$398</definedName>
    <definedName name="START_YEAR_PROTRA_UTILIZATION_ALLOCATION_POLICY_PRIORITIES_SP">#REF!</definedName>
    <definedName name="START_YEAR_V2G_SP" localSheetId="6">energy!$C$625</definedName>
    <definedName name="Starting_in_the_year" localSheetId="9">materials!#REF!</definedName>
    <definedName name="STATIONARY_BATTERIES_MAXIMUM_SP_x" localSheetId="6">energy!$B$480</definedName>
    <definedName name="STATIONARY_ELECTROLYZERS_CAPACITY_EXPANSION_TARGET_SP" localSheetId="6">energy!$A$574</definedName>
    <definedName name="STATIONARY_ELECTROLYZERS_CAPACITY_EXPANSION_TARGET_SP">#REF!</definedName>
    <definedName name="STATIONARY_STORAGE_MAXIMUM_SP" localSheetId="6">energy!$A$480</definedName>
    <definedName name="STATIONARY_STORAGE_MAXIMUM_SP">#REF!</definedName>
    <definedName name="STEEL_MANUFACTURING_PROCESSES_SP" localSheetId="6">energy!$A$181</definedName>
    <definedName name="STEEL_MANUFACTURING_PROCESSES_SP">#REF!</definedName>
    <definedName name="STRUCTURE_GOVERNMENT_CONSUMPTION_SP" localSheetId="5">economy!$B$688:$K$722</definedName>
    <definedName name="STRUCTURE_GOVERNMENT_CONSUMPTION_SP_x" localSheetId="5">economy!$A$675</definedName>
    <definedName name="STRUCTURE_GOVERNMENT_CONSUMPTION_SP_x">#REF!</definedName>
    <definedName name="STRUCTURE_GOVERNMENT_EXPENDITURE_SP" localSheetId="5">economy!$B$639:$F$673</definedName>
    <definedName name="STRUCTURE_GOVERNMENT_EXPENDITURE_SP_x" localSheetId="5">economy!$A$626</definedName>
    <definedName name="STRUCTURE_GOVERNMENT_EXPENDITURE_SP_x">#REF!</definedName>
    <definedName name="STRUCTURE_GOVERNMENT_INVESTMENT_SP" localSheetId="5">economy!$B$737:$K$771</definedName>
    <definedName name="STRUCTURE_GOVERNMENT_INVESTMENT_SP_x" localSheetId="5">economy!$A$724</definedName>
    <definedName name="STRUCTURE_GOVERNMENT_INVESTMENT_SP_x">#REF!</definedName>
    <definedName name="SUBSIDY_OVER_TOTAL_DEVICE_COST_ASHP_SP">'energy-buildings'!$J$147:$BR$181</definedName>
    <definedName name="SUBSIDY_OVER_TOTAL_DEVICE_COST_ESH_SP">'energy-buildings'!$J$185:$BR$219</definedName>
    <definedName name="SUBSIDY_OVER_TOTAL_DEVICE_COST_EWH_SP">'energy-buildings'!$J$223:$BR$257</definedName>
    <definedName name="SUBSIDY_OVER_TOTAL_DEVICE_COST_GSHP_SP">'energy-buildings'!$J$261:$BR$295</definedName>
    <definedName name="SUBSIDY_OVER_TOTAL_DEVICE_COST_TSOL_SP">'energy-buildings'!$J$299:$BR$333</definedName>
    <definedName name="SUBSIDY_OVER_TOTAL_DEVICE_COST_WPB_SP">'energy-buildings'!$J$337:$BR$371</definedName>
    <definedName name="SUBSIDY_OVER_TOTAL_RENOVATION_COST_HIGH_SP">'energy-buildings'!$J$107:$BR$141</definedName>
    <definedName name="SUBSIDY_OVER_TOTAL_RENOVATION_COST_LOW_SP">'energy-buildings'!$J$31:$BR$65</definedName>
    <definedName name="SUBSIDY_OVER_TOTAL_RENOVATION_COST_MEDIUM_SP">'energy-buildings'!$J$69:$BR$103</definedName>
    <definedName name="SWICHT_DISPATCHABLE_DAM_HYDROPOWER_SP_x">energy!$A$468</definedName>
    <definedName name="SWITCH_BAN_DWELLING_DEVICE_TECHNOLOGY_SP">'energy-buildings'!$B$377:$Y$411</definedName>
    <definedName name="SWITCH_CROPS_FOR_ENERGY_SP" localSheetId="10">land!$B$413:$B$421</definedName>
    <definedName name="SWITCH_DIET_CHANGE_SP" localSheetId="10">land!$B$339:$B$347</definedName>
    <definedName name="SWITCH_DISPATCHABLE_DAM_HYDROPOWER_SP">energy!$B$470:$B$478</definedName>
    <definedName name="SWITCH_DWELLINGS_RENOVATION_SP">'energy-buildings'!$B$13:$B$16</definedName>
    <definedName name="SWITCH_EFFECT_OIL_AND_GAS_ON_AGRICULTURE_SP" localSheetId="10">land!$B$230:$B$238</definedName>
    <definedName name="SWITCH_FEEDBACK_SYSTEM_CURTAILMENT_TO_CAPACITY_EXPANSION_SP" localSheetId="6">energy!$B$802</definedName>
    <definedName name="SWITCH_FEEDBACK_SYSTEM_CURTAILMENT_TO_CAPACITY_EXPANSION_SP">#REF!</definedName>
    <definedName name="SWITCH_FLEX_ELEC_DEMAND_SP" localSheetId="6">energy!$B$631:$B$639</definedName>
    <definedName name="SWITCH_FOREST_LOSS_LIMIT_SP" localSheetId="10">land!$B$57:$B$65</definedName>
    <definedName name="SWITCH_FORESTRY_SELF_SUFFICIENCY_SP" localSheetId="10">land!$B$371:$B$379</definedName>
    <definedName name="SWITCH_FUEL_CONSUMPTION_EFFICIENCY_CHANGE_SP" localSheetId="8">'energy-transport'!$B$95</definedName>
    <definedName name="SWITCH_GENDER_PARITY_INDEX_SP">society!$B$7:$B$41</definedName>
    <definedName name="SWITCH_IMPROVEMENT_EFFICIENCY_NEW_DWELLINGS_SP">'energy-buildings'!$B$26</definedName>
    <definedName name="SWITCH_INTERNATIONAL_H2_TRADE_SP">energy!$B$222</definedName>
    <definedName name="SWITCH_LAND_PRODUCTS_GLOBAL_POOL_SP" localSheetId="10">land!$B$398:$B$406</definedName>
    <definedName name="SWITCH_LOAD_FACTOR_CHANGE_SP" localSheetId="8">'energy-transport'!$B$51</definedName>
    <definedName name="SWITCH_MANURE_MANAGEMENT_SYSTEM_SP" localSheetId="10">land!$B$265:$B$273</definedName>
    <definedName name="SWITCH_MATERIALS_CALCULATOR">data_materials_calculator!$B$23</definedName>
    <definedName name="SWITCH_MIGRATION_SP" localSheetId="3">demography!$B$97</definedName>
    <definedName name="SWITCH_MODEL_EXPLORER">#REF!</definedName>
    <definedName name="SWITCH_POLICY_BASIC_INCOME_SP" localSheetId="5">economy!$B$998:$B$1018</definedName>
    <definedName name="SWITCH_POLICY_FLEXIBLE_ELECTROLYZERS_EXPANSION_SP" localSheetId="6">energy!$B$508:$B$516</definedName>
    <definedName name="SWITCH_POLICY_FOOD_LOSS_INTAKE_CHANGE_SP" localSheetId="10">land!$A$363</definedName>
    <definedName name="SWITCH_POLICY_FOOD_LOSS_INTAKE_CHANGE_SP">#REF!</definedName>
    <definedName name="SWITCH_POLICY_GRASSLAND_MANAGEMENT_SP" localSheetId="10">land!$B$252:$B$260</definedName>
    <definedName name="SWITCH_POLICY_GRASSLAND_MANAGEMENT_SP">#REF!</definedName>
    <definedName name="SWITCH_POLICY_LAND_PROTECTION_FROM_SOLAR_PV_SP" localSheetId="10">land!$B$105:$B$113</definedName>
    <definedName name="SWITCH_POLICY_LAND_PROTECTION_FROM_SOLAR_PV_SP">#REF!</definedName>
    <definedName name="SWITCH_POLICY_MAXIMUM_SHARE_SOLAR_URBAN_SP" localSheetId="10">land!$B$129:$B$137</definedName>
    <definedName name="SWITCH_POLICY_ORE_GRADE_IMPACT">materials!$B$114:$B$114</definedName>
    <definedName name="SWITCH_POLICY_PERCENTAGE_FE_LIQUID_AND_GAS_SUBSTITUTED_BY_H2_LIQUIDS_AND_GASES_BASED_FUEL_SP" localSheetId="6">energy!$B$655:$B$663</definedName>
    <definedName name="SWITCH_POLICY_SHARE_BIOENERGY_IN_TI_LIQUIDS_AND_GASES_SP" localSheetId="6">energy!$B$643:$B$651</definedName>
    <definedName name="SWITCH_POLICY_SHARE_MERCHANT_ELECTROLYTIC_H2_DEMAND_FOR_NON_ENERGY_USES_SP" localSheetId="6">energy!$B$145:$B$179</definedName>
    <definedName name="SWITCH_POLICY_SHARE_MERCHANT_ELECTROLYTIC_H2_DEMAND_FOR_NON_ENERGY_USES_SP">#REF!</definedName>
    <definedName name="SWITCH_POLICY_SHARE_NON_ENERGY_USE_FOSSIL_FUELS_SUBSTITUTED_BY_ELECTROLYTIC_H2_SP" localSheetId="6">energy!$B$107:$B$141</definedName>
    <definedName name="SWITCH_POLICY_SHARE_NON_ENERGY_USE_FOSSIL_FUELS_SUBSTITUTED_BY_ELECTROLYTIC_H2_SP">#REF!</definedName>
    <definedName name="SWITCH_POLICY_STEEL_MANUFACTURING_PROCESSES_SP" localSheetId="6">energy!$B$183:$B$217</definedName>
    <definedName name="SWITCH_POLICY_STEEL_MANUFACTURING_PROCESSES_SP">#REF!</definedName>
    <definedName name="SWITCH_REDUCTION_TRANSPORT_DEMAND_SP" localSheetId="8">'energy-transport'!$B$7</definedName>
    <definedName name="SWITCH_RENOVATION_HIGH_SP">'energy-buildings'!$E$107:$E$141</definedName>
    <definedName name="SWITCH_RENOVATION_LOW_SP">'energy-buildings'!$E$31:$E$65</definedName>
    <definedName name="SWITCH_RENOVATION_MEDIUM_SP">'energy-buildings'!$E$69:$E$103</definedName>
    <definedName name="SWITCH_SC_SP" localSheetId="6">energy!$B$619</definedName>
    <definedName name="SWITCH_SOLAR_LAND_FROM_OTHERS" localSheetId="10">land!$B$142:$B$150</definedName>
    <definedName name="SWITCH_SUBSIDY_ASHP_SP">'energy-buildings'!$E$147:$E$181</definedName>
    <definedName name="SWITCH_SUBSIDY_ESH_SP">'energy-buildings'!$E$185:$E$219</definedName>
    <definedName name="SWITCH_SUBSIDY_EWH_SP">'energy-buildings'!$E$223:$E$257</definedName>
    <definedName name="SWITCH_SUBSIDY_GSHP_SP">'energy-buildings'!$E$261:$E$295</definedName>
    <definedName name="SWITCH_SUBSIDY_TSOL_SP">'energy-buildings'!$E$299:$E$333</definedName>
    <definedName name="SWITCH_SUBSIDY_WPB_SP">'energy-buildings'!$E$337:$E$371</definedName>
    <definedName name="SWITCH_TAX_RATE_ON_EXTRACTION_OF_RESOURCES_SP" localSheetId="9">materials!$B$21</definedName>
    <definedName name="SWITCH_TAX_RATE_ON_EXTRACTION_OF_RESOURCES_SP_x" localSheetId="9">materials!$A$21</definedName>
    <definedName name="SWITCH_TAX_RATE_ON_EXTRACTION_OF_RESOURCES_SP_x">#REF!</definedName>
    <definedName name="SWITCH_TRANSPORT_SHARE_SP" localSheetId="8">'energy-transport'!$B$468</definedName>
    <definedName name="SWITCH_URBAN_LAND_DENSITY_SP" localSheetId="10">land!$B$175:$B$183</definedName>
    <definedName name="SWITCH_V2G_SP" localSheetId="6">energy!$B$625</definedName>
    <definedName name="SWITCH_WATER_EFFICIENCY_SP" localSheetId="10">land!#REF!</definedName>
    <definedName name="SWITCH_WOOD_FOR_ENERGY_SP" localSheetId="10">land!$B$426:$B$434</definedName>
    <definedName name="TARGET_PASSENGER_TRANSPORT_MODAL_SHARE_BY_REGION_SP" localSheetId="8">'energy-transport'!$B$471:$J$505</definedName>
    <definedName name="TARGET_PASSENGER_TRANSPORT_MODAL_SHARE_BY_REGION_SP">#REF!</definedName>
    <definedName name="TARGET_POWER_TRAIN_SHARE_BY_PASSENGER_TRANSPORT_MODE_AUSTRIA" localSheetId="8">'energy-transport'!$C$510:$K$519</definedName>
    <definedName name="TARGET_POWER_TRAIN_SHARE_BY_PASSENGER_TRANSPORT_MODE_AUSTRIA">#REF!</definedName>
    <definedName name="TARGET_POWER_TRAIN_SHARE_BY_PASSENGER_TRANSPORT_MODE_BELGIUM" localSheetId="8">'energy-transport'!$C$520:$K$529</definedName>
    <definedName name="TARGET_POWER_TRAIN_SHARE_BY_PASSENGER_TRANSPORT_MODE_BELGIUM">#REF!</definedName>
    <definedName name="TARGET_POWER_TRAIN_SHARE_BY_PASSENGER_TRANSPORT_MODE_BULGARIA" localSheetId="8">'energy-transport'!$C$530:$K$539</definedName>
    <definedName name="TARGET_POWER_TRAIN_SHARE_BY_PASSENGER_TRANSPORT_MODE_BULGARIA">#REF!</definedName>
    <definedName name="TARGET_POWER_TRAIN_SHARE_BY_PASSENGER_TRANSPORT_MODE_CHINA" localSheetId="8">'energy-transport'!$C$790:$K$799</definedName>
    <definedName name="TARGET_POWER_TRAIN_SHARE_BY_PASSENGER_TRANSPORT_MODE_CHINA">#REF!</definedName>
    <definedName name="TARGET_POWER_TRAIN_SHARE_BY_PASSENGER_TRANSPORT_MODE_CROATIA" localSheetId="8">'energy-transport'!$C$540:$K$549</definedName>
    <definedName name="TARGET_POWER_TRAIN_SHARE_BY_PASSENGER_TRANSPORT_MODE_CROATIA">#REF!</definedName>
    <definedName name="TARGET_POWER_TRAIN_SHARE_BY_PASSENGER_TRANSPORT_MODE_CYPRUS" localSheetId="8">'energy-transport'!$C$550:$K$559</definedName>
    <definedName name="TARGET_POWER_TRAIN_SHARE_BY_PASSENGER_TRANSPORT_MODE_CYPRUS">#REF!</definedName>
    <definedName name="TARGET_POWER_TRAIN_SHARE_BY_PASSENGER_TRANSPORT_MODE_CZECH_REPUBLIC" localSheetId="8">'energy-transport'!$C$560:$K$569</definedName>
    <definedName name="TARGET_POWER_TRAIN_SHARE_BY_PASSENGER_TRANSPORT_MODE_CZECH_REPUBLIC">#REF!</definedName>
    <definedName name="TARGET_POWER_TRAIN_SHARE_BY_PASSENGER_TRANSPORT_MODE_DENMARK" localSheetId="8">'energy-transport'!$C$570:$K$579</definedName>
    <definedName name="TARGET_POWER_TRAIN_SHARE_BY_PASSENGER_TRANSPORT_MODE_DENMARK">#REF!</definedName>
    <definedName name="TARGET_POWER_TRAIN_SHARE_BY_PASSENGER_TRANSPORT_MODE_EASOC" localSheetId="8">'energy-transport'!$C$800:$K$809</definedName>
    <definedName name="TARGET_POWER_TRAIN_SHARE_BY_PASSENGER_TRANSPORT_MODE_EASOC">#REF!</definedName>
    <definedName name="TARGET_POWER_TRAIN_SHARE_BY_PASSENGER_TRANSPORT_MODE_ESTONIA" localSheetId="8">'energy-transport'!$C$580:$K$589</definedName>
    <definedName name="TARGET_POWER_TRAIN_SHARE_BY_PASSENGER_TRANSPORT_MODE_ESTONIA">#REF!</definedName>
    <definedName name="TARGET_POWER_TRAIN_SHARE_BY_PASSENGER_TRANSPORT_MODE_FINLAND" localSheetId="8">'energy-transport'!$C$590:$K$599</definedName>
    <definedName name="TARGET_POWER_TRAIN_SHARE_BY_PASSENGER_TRANSPORT_MODE_FINLAND">#REF!</definedName>
    <definedName name="TARGET_POWER_TRAIN_SHARE_BY_PASSENGER_TRANSPORT_MODE_FRANCE" localSheetId="8">'energy-transport'!$C$600:$K$609</definedName>
    <definedName name="TARGET_POWER_TRAIN_SHARE_BY_PASSENGER_TRANSPORT_MODE_FRANCE">#REF!</definedName>
    <definedName name="TARGET_POWER_TRAIN_SHARE_BY_PASSENGER_TRANSPORT_MODE_GERMANY" localSheetId="8">'energy-transport'!$C$610:$K$619</definedName>
    <definedName name="TARGET_POWER_TRAIN_SHARE_BY_PASSENGER_TRANSPORT_MODE_GERMANY">#REF!</definedName>
    <definedName name="TARGET_POWER_TRAIN_SHARE_BY_PASSENGER_TRANSPORT_MODE_GREECE" localSheetId="8">'energy-transport'!$C$620:$K$629</definedName>
    <definedName name="TARGET_POWER_TRAIN_SHARE_BY_PASSENGER_TRANSPORT_MODE_GREECE">#REF!</definedName>
    <definedName name="TARGET_POWER_TRAIN_SHARE_BY_PASSENGER_TRANSPORT_MODE_HUNGARY" localSheetId="8">'energy-transport'!$C$630:$K$639</definedName>
    <definedName name="TARGET_POWER_TRAIN_SHARE_BY_PASSENGER_TRANSPORT_MODE_HUNGARY">#REF!</definedName>
    <definedName name="TARGET_POWER_TRAIN_SHARE_BY_PASSENGER_TRANSPORT_MODE_INDIA" localSheetId="8">'energy-transport'!$C$810:$K$819</definedName>
    <definedName name="TARGET_POWER_TRAIN_SHARE_BY_PASSENGER_TRANSPORT_MODE_INDIA">#REF!</definedName>
    <definedName name="TARGET_POWER_TRAIN_SHARE_BY_PASSENGER_TRANSPORT_MODE_IRELAND" localSheetId="8">'energy-transport'!$C$640:$K$649</definedName>
    <definedName name="TARGET_POWER_TRAIN_SHARE_BY_PASSENGER_TRANSPORT_MODE_IRELAND">#REF!</definedName>
    <definedName name="TARGET_POWER_TRAIN_SHARE_BY_PASSENGER_TRANSPORT_MODE_ITALY" localSheetId="8">'energy-transport'!$C$650:$K$659</definedName>
    <definedName name="TARGET_POWER_TRAIN_SHARE_BY_PASSENGER_TRANSPORT_MODE_ITALY">#REF!</definedName>
    <definedName name="TARGET_POWER_TRAIN_SHARE_BY_PASSENGER_TRANSPORT_MODE_LATAM" localSheetId="8">'energy-transport'!$C$820:$K$829</definedName>
    <definedName name="TARGET_POWER_TRAIN_SHARE_BY_PASSENGER_TRANSPORT_MODE_LATAM">#REF!</definedName>
    <definedName name="TARGET_POWER_TRAIN_SHARE_BY_PASSENGER_TRANSPORT_MODE_LATVIA" localSheetId="8">'energy-transport'!$C$660:$K$669</definedName>
    <definedName name="TARGET_POWER_TRAIN_SHARE_BY_PASSENGER_TRANSPORT_MODE_LATVIA">#REF!</definedName>
    <definedName name="TARGET_POWER_TRAIN_SHARE_BY_PASSENGER_TRANSPORT_MODE_LITHUANIA" localSheetId="8">'energy-transport'!$C$670:$K$679</definedName>
    <definedName name="TARGET_POWER_TRAIN_SHARE_BY_PASSENGER_TRANSPORT_MODE_LITHUANIA">#REF!</definedName>
    <definedName name="TARGET_POWER_TRAIN_SHARE_BY_PASSENGER_TRANSPORT_MODE_LROW" localSheetId="8">'energy-transport'!$C$850:$K$859</definedName>
    <definedName name="TARGET_POWER_TRAIN_SHARE_BY_PASSENGER_TRANSPORT_MODE_LROW">#REF!</definedName>
    <definedName name="TARGET_POWER_TRAIN_SHARE_BY_PASSENGER_TRANSPORT_MODE_LUXEMBOURG" localSheetId="8">'energy-transport'!$C$680:$K$689</definedName>
    <definedName name="TARGET_POWER_TRAIN_SHARE_BY_PASSENGER_TRANSPORT_MODE_LUXEMBOURG">#REF!</definedName>
    <definedName name="TARGET_POWER_TRAIN_SHARE_BY_PASSENGER_TRANSPORT_MODE_MALTA" localSheetId="8">'energy-transport'!$C$690:$K$699</definedName>
    <definedName name="TARGET_POWER_TRAIN_SHARE_BY_PASSENGER_TRANSPORT_MODE_MALTA">#REF!</definedName>
    <definedName name="TARGET_POWER_TRAIN_SHARE_BY_PASSENGER_TRANSPORT_MODE_NETHERLANDS" localSheetId="8">'energy-transport'!$C$700:$K$709</definedName>
    <definedName name="TARGET_POWER_TRAIN_SHARE_BY_PASSENGER_TRANSPORT_MODE_NETHERLANDS">#REF!</definedName>
    <definedName name="TARGET_POWER_TRAIN_SHARE_BY_PASSENGER_TRANSPORT_MODE_POLAND" localSheetId="8">'energy-transport'!$C$710:$K$719</definedName>
    <definedName name="TARGET_POWER_TRAIN_SHARE_BY_PASSENGER_TRANSPORT_MODE_POLAND">#REF!</definedName>
    <definedName name="TARGET_POWER_TRAIN_SHARE_BY_PASSENGER_TRANSPORT_MODE_PORTUGAL" localSheetId="8">'energy-transport'!$C$720:$K$729</definedName>
    <definedName name="TARGET_POWER_TRAIN_SHARE_BY_PASSENGER_TRANSPORT_MODE_PORTUGAL">#REF!</definedName>
    <definedName name="TARGET_POWER_TRAIN_SHARE_BY_PASSENGER_TRANSPORT_MODE_ROMANIA" localSheetId="8">'energy-transport'!$C$730:$K$739</definedName>
    <definedName name="TARGET_POWER_TRAIN_SHARE_BY_PASSENGER_TRANSPORT_MODE_ROMANIA">#REF!</definedName>
    <definedName name="TARGET_POWER_TRAIN_SHARE_BY_PASSENGER_TRANSPORT_MODE_RUSSIA" localSheetId="8">'energy-transport'!$C$830:$K$839</definedName>
    <definedName name="TARGET_POWER_TRAIN_SHARE_BY_PASSENGER_TRANSPORT_MODE_RUSSIA">#REF!</definedName>
    <definedName name="TARGET_POWER_TRAIN_SHARE_BY_PASSENGER_TRANSPORT_MODE_SLOVAKIA" localSheetId="8">'energy-transport'!$C$740:$K$749</definedName>
    <definedName name="TARGET_POWER_TRAIN_SHARE_BY_PASSENGER_TRANSPORT_MODE_SLOVAKIA">#REF!</definedName>
    <definedName name="TARGET_POWER_TRAIN_SHARE_BY_PASSENGER_TRANSPORT_MODE_SLOVENIA" localSheetId="8">'energy-transport'!$C$750:$K$759</definedName>
    <definedName name="TARGET_POWER_TRAIN_SHARE_BY_PASSENGER_TRANSPORT_MODE_SLOVENIA">#REF!</definedName>
    <definedName name="TARGET_POWER_TRAIN_SHARE_BY_PASSENGER_TRANSPORT_MODE_SP" localSheetId="8">'energy-transport'!$A$507</definedName>
    <definedName name="TARGET_POWER_TRAIN_SHARE_BY_PASSENGER_TRANSPORT_MODE_SP">#REF!</definedName>
    <definedName name="TARGET_POWER_TRAIN_SHARE_BY_PASSENGER_TRANSPORT_MODE_SPAIN" localSheetId="8">'energy-transport'!$C$760:$K$769</definedName>
    <definedName name="TARGET_POWER_TRAIN_SHARE_BY_PASSENGER_TRANSPORT_MODE_SPAIN">#REF!</definedName>
    <definedName name="TARGET_POWER_TRAIN_SHARE_BY_PASSENGER_TRANSPORT_MODE_SWEDEN" localSheetId="8">'energy-transport'!$C$770:$K$779</definedName>
    <definedName name="TARGET_POWER_TRAIN_SHARE_BY_PASSENGER_TRANSPORT_MODE_SWEDEN">#REF!</definedName>
    <definedName name="TARGET_POWER_TRAIN_SHARE_BY_PASSENGER_TRANSPORT_MODE_UK" localSheetId="8">'energy-transport'!$C$780:$K$789</definedName>
    <definedName name="TARGET_POWER_TRAIN_SHARE_BY_PASSENGER_TRANSPORT_MODE_UK">#REF!</definedName>
    <definedName name="TARGET_POWER_TRAIN_SHARE_BY_PASSENGER_TRANSPORT_MODE_USMCA" localSheetId="8">'energy-transport'!$C$840:$K$849</definedName>
    <definedName name="TARGET_POWER_TRAIN_SHARE_BY_PASSENGER_TRANSPORT_MODE_USMCA">#REF!</definedName>
    <definedName name="TARGET_SHARE_BIOENERGY_IN_TI_LIQUIDS_AND_GASES_SP" localSheetId="6">energy!$E$643:$E$651</definedName>
    <definedName name="TARGET_VALUE_V2G_SP" localSheetId="6">energy!$E$625</definedName>
    <definedName name="TARGET_YEAR_V2G_SP" localSheetId="6">energy!$D$625</definedName>
    <definedName name="TAX_RATE_INCOME_SP" localSheetId="5">economy!$B$394:$BJ$428</definedName>
    <definedName name="TAX_RATE_INCOME_SP_x" localSheetId="5">economy!$A$381</definedName>
    <definedName name="TAX_RATE_INCOME_SP_x">#REF!</definedName>
    <definedName name="TAX_RATE_ON_EXTRACTION_HIGH" localSheetId="9">materials!$C$28:$I$28</definedName>
    <definedName name="TAX_RATE_ON_EXTRACTION_LOW" localSheetId="9">materials!$C$25:$I$25</definedName>
    <definedName name="TAX_RATE_ON_EXTRACTION_MEDIUM" localSheetId="9">materials!$C$26:$I$26</definedName>
    <definedName name="TAX_RATE_ON_EXTRACTION_OF_COAL_SP" localSheetId="9">materials!$E$25</definedName>
    <definedName name="TAX_RATE_ON_EXTRACTION_OF_GAS_SP" localSheetId="9">materials!$D$25</definedName>
    <definedName name="TAX_RATE_ON_EXTRACTION_OF_OIL_SP" localSheetId="9">materials!$C$25</definedName>
    <definedName name="TAX_RATE_ON_EXTRACTION_OTHER" localSheetId="9">materials!$C$28:$I$28</definedName>
    <definedName name="TAX_RATE_ON_EXTRATION_OF_RESOURCES_SP" localSheetId="9">materials!$A$23</definedName>
    <definedName name="TAX_RATE_PRODUCTION_SP" localSheetId="5">economy!$B$492:$BK$526</definedName>
    <definedName name="TAX_RATE_PRODUCTION_SP_x" localSheetId="5">economy!$A$479</definedName>
    <definedName name="TAX_RATE_PRODUCTION_SP_x">#REF!</definedName>
    <definedName name="TAX_RATE_PROFITS_SP" localSheetId="5">economy!$B$541:$B$575</definedName>
    <definedName name="TAX_RATE_PROFITS_SP_x" localSheetId="5">economy!$A$528</definedName>
    <definedName name="TAX_RATE_PROFITS_SP_x">#REF!</definedName>
    <definedName name="TAX_RATE_SOCIAL_SECURITY_SP" localSheetId="5">economy!$B$590:$B$624</definedName>
    <definedName name="TAX_RATE_SOCIAL_SECURITY_SP_x" localSheetId="5">economy!$A$577</definedName>
    <definedName name="TAX_RATE_SOCIAL_SECURITY_SP_x">#REF!</definedName>
    <definedName name="TAX_RATE_WEALTH_SP" localSheetId="5">economy!$B$443:$BJ$477</definedName>
    <definedName name="TAX_RATE_WEALTH_SP_x" localSheetId="5">economy!$A$430</definedName>
    <definedName name="TAX_RATE_WEALTH_SP_x">#REF!</definedName>
    <definedName name="time" localSheetId="6">energy!$B$828:$F$828</definedName>
    <definedName name="TIME_CALCULATOR">data_materials_calculator!$C$33:$CJ$33</definedName>
    <definedName name="TIME_DEBT_INTEREST" localSheetId="5">economy!$B$255:$CI$255</definedName>
    <definedName name="time_EFFICIENCY_ELECTROLYZERS_DEVELOPMENT_USER_DEFINED_SP" localSheetId="6">energy!$B$611:$E$611</definedName>
    <definedName name="time_EFFICIENCY_ELECTROLYZERS_DEVELOPMENT_USER_DEFINED_SP">#REF!</definedName>
    <definedName name="TIME_EXOGENOUS_DEMANDS_LAND">land!$B$552:$AU$552</definedName>
    <definedName name="TIME_GOV_BALANCE" localSheetId="5">economy!$B$304:$CI$304</definedName>
    <definedName name="time_H2_NET_EXPORT_SHARE_BY_REGION_SP">energy!$B$237:$G$237</definedName>
    <definedName name="time_H2_NET_IMPORT_SHARE_BY_REGION_SP">energy!$B$225:$G$225</definedName>
    <definedName name="time_index_2015_2100" localSheetId="3">demography!$B$164:$CI$164</definedName>
    <definedName name="time_index_2100" localSheetId="5">economy!$B$859:$CI$859</definedName>
    <definedName name="time_LIFETIME_ELECTROLYZERS_DEVELOPMENT_USER_DEFINED_SP" localSheetId="6">energy!$B$599:$E$599</definedName>
    <definedName name="time_LIFETIME_ELECTROLYZERS_DEVELOPMENT_USER_DEFINED_SP">#REF!</definedName>
    <definedName name="TIME_SERIES" localSheetId="9">materials!$B$13:$E$13</definedName>
    <definedName name="time_SHARE_FE_GAS_SUBSTITUTED_BY_H2_SYNTHETIC_GAS_SP">energy!$B$666:$G$666</definedName>
    <definedName name="time_SHARE_FE_LIQUID_SUBSTITUTED_BY_H2_SYNTHETIC_LIQUID_SP">energy!$B$678:$G$678</definedName>
    <definedName name="time_SHARE_OF_NEW_ON_SITE_ELECTROLYZERS_SUBTECHNOLOGIES_SP" localSheetId="6">energy!$B$564:$F$564</definedName>
    <definedName name="time_SHARE_OF_NEW_ON_SITE_ELECTROLYZERS_SUBTECHNOLOGIES_SP">#REF!</definedName>
    <definedName name="time_SHARE_OF_NEW_STATIONARY_ELECTROLYZERS_SUBTECHNOLOGIES_SP" localSheetId="6">energy!$B$587:$F$587</definedName>
    <definedName name="time_SHARE_OF_NEW_STATIONARY_ELECTROLYZERS_SUBTECHNOLOGIES_SP">#REF!</definedName>
    <definedName name="TimeRealSSPs" localSheetId="12">demography_data!$J$45:$T$45</definedName>
    <definedName name="TRADITIONAL_TO_INDUSTRIAL_AGRICULTURE_SP" localSheetId="10">land!$A$201</definedName>
    <definedName name="TRANSPORT_DEMAND_SHARE_BY_TRANSPORT_MODE_AND_POWER_TRAIN_SP" localSheetId="8">'energy-transport'!$A$465</definedName>
    <definedName name="TRANSPORT_DEMAND_SHARE_BY_TRANSPORT_MODE_AND_POWER_TRAIN_SP">#REF!</definedName>
    <definedName name="URBAN_LAND_DENSITY_SP" localSheetId="10">land!$A$173</definedName>
    <definedName name="USER_DEFINED_TARGET_YEARLY_IMPROVEMENT_EOL_RECYCLING_RATE_SP">materials!$C$112</definedName>
    <definedName name="USER_DEFINED_TARGET_YEARLY_INCREASE_PE_EXTRACTION_MATERIALS_SP">materials!$C$217</definedName>
    <definedName name="USER_DEFINED_URANIUM_MAXIMUM_SUPPLY_CURVE" localSheetId="9">materials!$A$59</definedName>
    <definedName name="USER_DEFINED_URANIUM_MAXIMUM_SUPPLY_CURVE">#REF!</definedName>
    <definedName name="USER_DEFINED_URANIUM_URR" localSheetId="9">materials!$AF$60</definedName>
    <definedName name="V2G_SP" localSheetId="6">energy!$A$621</definedName>
    <definedName name="WATER_EFFICIENCY_SP" localSheetId="10">land!#REF!</definedName>
    <definedName name="WIDTH_OF_CROPS_DISTRIBUTION_AMONG_USES_SP" localSheetId="10">land!$A$447</definedName>
    <definedName name="WIDTH_OF_CROPS_DISTRIBUTION_AMONG_USES_SP">#REF!</definedName>
    <definedName name="WIDTH_OF_CROPS_DISTRIBUTION_USES" localSheetId="10">land!$B$449:$B$457</definedName>
    <definedName name="WIDTH_OF_CROPS_DISTRIBUTION_USES">#REF!</definedName>
    <definedName name="WIDTH_OF_FORESTRY_DISTRIBUTION_AMONG_USES_SP" localSheetId="10">land!$A$471</definedName>
    <definedName name="WIDTH_OF_FORESTRY_DISTRIBUTION_AMONG_USES_SP">#REF!</definedName>
    <definedName name="WIDTH_OF_FORESTRY_DISTRIBUTION_USES" localSheetId="10">land!$B$473:$B$481</definedName>
    <definedName name="WIDTH_OF_FORESTRY_DISTRIBUTION_USES">#REF!</definedName>
    <definedName name="WIDTH_OF_LAND_PRODUCTS_DISTRIBUTION_AMONG_REGIONS" localSheetId="10">land!$B$393:$N$393</definedName>
    <definedName name="WIDTH_OF_LAND_PRODUCTS_DISTRIBUTION_AMONG_REGIONS_SP" localSheetId="10">land!$A$393</definedName>
    <definedName name="WILLET_DIET_PATTERN_OF_POLICY_DIETS_SP" localSheetId="10">land!#REF!</definedName>
    <definedName name="WOOD_FOR_ENERGY_SP" localSheetId="10">land!$A$423</definedName>
    <definedName name="WORKING_TIME_VARIATION_SP" localSheetId="5">economy!$A$190</definedName>
    <definedName name="WORKING_TIME_VARIATION_SP">#REF!</definedName>
    <definedName name="WORKING_TIME_VARIATION_TARGET_SP" localSheetId="5">economy!$B$207:$BK$241</definedName>
    <definedName name="YEAR_FINAL_CROPS_FOR_ENERGY_SP" localSheetId="10">land!$D$413:$D$421</definedName>
    <definedName name="YEAR_FINAL_DIET_CHANGE_SP" localSheetId="10">land!$D$339:$D$347</definedName>
    <definedName name="YEAR_FINAL_EFFECT_OIL_AND_GAS_ON_AGRICULTURE_SP" localSheetId="10">land!$D$230:$D$238</definedName>
    <definedName name="YEAR_FINAL_ELECTRIC_BOILERS_EXPANSION_SP" localSheetId="6">energy!$C$534:$C$542</definedName>
    <definedName name="YEAR_FINAL_FERTILITY_RATES_SP" localSheetId="3">demography!$B$17:$B$51</definedName>
    <definedName name="YEAR_FINAL_FLEX_ELEC_DEMAND_SP" localSheetId="6">energy!$D$631:$D$639</definedName>
    <definedName name="YEAR_FINAL_FLEXIBLE_ELECTROLIZERS_EXPANSION_SP" localSheetId="6">energy!$D$508:$D$516</definedName>
    <definedName name="YEAR_FINAL_FOOD_LOSS_INTAKE_CHANGE_SP" localSheetId="10">land!$C$363</definedName>
    <definedName name="YEAR_FINAL_FOOD_LOSS_INTAKE_CHANGE_SP">#REF!</definedName>
    <definedName name="YEAR_FINAL_FOREST_LOSS_LIMIT_SP" localSheetId="10">land!$D$57:$D$65</definedName>
    <definedName name="YEAR_FINAL_FOREST_PLANTATIONS" localSheetId="10">land!$D$21:$D$29</definedName>
    <definedName name="YEAR_FINAL_FORESTRY_SELF_SUFFICIENCY_SP" localSheetId="10">land!$D$371:$D$379</definedName>
    <definedName name="YEAR_FINAL_FUEL_CONSUMPTION_EFFICIENCY_CHANGE_SP" localSheetId="8">'energy-transport'!$D$95</definedName>
    <definedName name="YEAR_FINAL_GENDER_PARITY_INDEX_SP">society!$D$7:$D$41</definedName>
    <definedName name="YEAR_FINAL_GRASSLAND_MANAGEMENT_SP" localSheetId="10">land!$D$252:$D$260</definedName>
    <definedName name="YEAR_FINAL_GRASSLAND_MANAGEMENT_SP">#REF!</definedName>
    <definedName name="YEAR_FINAL_HEAT_PUMPS_EXPANSION_SP" localSheetId="6">energy!$C$522:$C$530</definedName>
    <definedName name="YEAR_FINAL_LAND_PRODUCTS_GLOBAL_POOL_SP" localSheetId="10">land!$D$398:$D$406</definedName>
    <definedName name="YEAR_FINAL_LAND_PROTECTION_FROM_SOLAR_PV_SP" localSheetId="10">land!$D$105:$D$113</definedName>
    <definedName name="YEAR_FINAL_LAND_PROTECTION_FROM_SOLAR_PV_SP">#REF!</definedName>
    <definedName name="YEAR_FINAL_LOAD_FACTOR_CHANGE_SP" localSheetId="8">'energy-transport'!$D$51</definedName>
    <definedName name="YEAR_FINAL_MANURE_MANAGEMENT_SYSTEM_SP" localSheetId="10">land!$D$265:$D$273</definedName>
    <definedName name="YEAR_FINAL_ON_SITE_ELECTROLYZERS_EXPANSION_SP" localSheetId="6">energy!$C$553:$C$561</definedName>
    <definedName name="YEAR_FINAL_ON_SITE_ELECTROLYZERS_EXPANSION_SP">#REF!</definedName>
    <definedName name="YEAR_FINAL_PERCENTAGE_FE_LIQUID_AND_GAS_SUBSTITUTED_BY_H2_LIQUIDS_AND_GASES_BASED_FUEL_SP" localSheetId="6">energy!#REF!</definedName>
    <definedName name="YEAR_FINAL_REDUCTION_TRANSPORT_DEMAND_SP" localSheetId="8">'energy-transport'!$D$7</definedName>
    <definedName name="YEAR_FINAL_SC_SP" localSheetId="6">energy!$D$619</definedName>
    <definedName name="YEAR_FINAL_SHARE_BIOENERGY_IN_TI_LIQUIDS_AND_GASES_SP" localSheetId="6">energy!$D$643:$D$651</definedName>
    <definedName name="YEAR_FINAL_SHARE_MERCHANT_ELECTROLYTIC_H2_DEMAND_FOR_NON_ENERGY_USES_SP" localSheetId="6">energy!$D$145:$D$179</definedName>
    <definedName name="YEAR_FINAL_SHARE_MERCHANT_ELECTROLYTIC_H2_DEMAND_FOR_NON_ENERGY_USES_SP">#REF!</definedName>
    <definedName name="YEAR_FINAL_SHARE_NON_ENERGY_USE_FOSSIL_FUELS_SUBSTITUTED_BY_ELECTROLYTIC_H2_SP" localSheetId="6">energy!$D$107:$D$141</definedName>
    <definedName name="YEAR_FINAL_SHARE_NON_ENERGY_USE_FOSSIL_FUELS_SUBSTITUTED_BY_ELECTROLYTIC_H2_SP">#REF!</definedName>
    <definedName name="YEAR_FINAL_SOLAR_LAND_FROM_OTHERS" localSheetId="10">land!$D$142:$D$150</definedName>
    <definedName name="YEAR_FINAL_STATIONARY_ELECTROLYZERS_EXPANSION_SP" localSheetId="6">energy!$C$576:$C$584</definedName>
    <definedName name="YEAR_FINAL_TRANSPORT_SHARE_SP" localSheetId="8">'energy-transport'!$D$468</definedName>
    <definedName name="YEAR_FINAL_URBAN_LAND_DENSITY_SP" localSheetId="10">land!$D$175</definedName>
    <definedName name="YEAR_FINAL_WATER_EFFICIENCY_SP" localSheetId="10">land!#REF!</definedName>
    <definedName name="YEAR_FINAL_WOOD_FOR_ENERGY_SP" localSheetId="10">land!$D$426:$D$434</definedName>
    <definedName name="YEAR_INITIAL_CROPS_FOR_ENERGY_SP" localSheetId="10">land!$C$413:$C$421</definedName>
    <definedName name="YEAR_INITIAL_DIET_CHANGE_SP" localSheetId="10">land!$C$339:$C$347</definedName>
    <definedName name="YEAR_INITIAL_EFFECT_OIL_AND_GAS_ON_AGRICULTURE_SP" localSheetId="10">land!$C$230:$C$238</definedName>
    <definedName name="YEAR_INITIAL_ELECTRIC_BOILERS_EXPANSION_SP" localSheetId="6">energy!$B$534:$B$542</definedName>
    <definedName name="YEAR_INITIAL_FOOD_LOSS_INTAKE_CHANGE_SP" localSheetId="10">land!$B$363</definedName>
    <definedName name="YEAR_INITIAL_FOOD_LOSS_INTAKE_CHANGE_SP">#REF!</definedName>
    <definedName name="YEAR_INITIAL_FOREST_LOSS_LIMIT_SP" localSheetId="10">land!$C$57:$C$65</definedName>
    <definedName name="YEAR_INITIAL_FOREST_PLANTATIONS" localSheetId="10">land!$C$21:$C$29</definedName>
    <definedName name="YEAR_INITIAL_FORESTRY_SELF_SUFFICIENCY_SP" localSheetId="10">land!$C$371:$C$379</definedName>
    <definedName name="YEAR_INITIAL_FUEL_CONSUMPTION_EFFICIENCY_CHANGE_SP" localSheetId="8">'energy-transport'!$C$95</definedName>
    <definedName name="YEAR_INITIAL_GENDER_PARITY_INDEX_SP">society!$C$7:$C$41</definedName>
    <definedName name="YEAR_INITIAL_GRASSLAND_MANAGEMENT_SP" localSheetId="10">land!$C$252:$C$260</definedName>
    <definedName name="YEAR_INITIAL_GRASSLAND_MANAGEMENT_SP">#REF!</definedName>
    <definedName name="YEAR_INITIAL_HEAT_PUMPS_EXPANSION_SP" localSheetId="6">energy!$B$522:$B$530</definedName>
    <definedName name="YEAR_INITIAL_LAND_PRODUCTS_GLOBAL_POOL_SP" localSheetId="10">land!$C$398:$C$406</definedName>
    <definedName name="YEAR_INITIAL_LAND_PROTECTION_FROM_SOLAR_PV_SP" localSheetId="10">land!$C$105:$C$113</definedName>
    <definedName name="YEAR_INITIAL_LAND_PROTECTION_FROM_SOLAR_PV_SP">#REF!</definedName>
    <definedName name="YEAR_INITIAL_LOAD_FACTOR_CHANGE_SP" localSheetId="8">'energy-transport'!$C$51</definedName>
    <definedName name="YEAR_INITIAL_MANURE_MANAGEMENT_SYSTEM_SP" localSheetId="10">land!$C$265:$C$273</definedName>
    <definedName name="YEAR_INITIAL_MATERIALS_ORE_GRADE_PE_IMPACT_EXTRACTION_SP">materials!$A$212</definedName>
    <definedName name="YEAR_INITIAL_MINERALS_RECYCLING_SP">materials!$A$107</definedName>
    <definedName name="YEAR_INITIAL_REDUCTION_TRANSPORT_DEMAND_SP" localSheetId="8">'energy-transport'!$C$7</definedName>
    <definedName name="YEAR_INITIAL_SC_SP" localSheetId="6">energy!$C$619</definedName>
    <definedName name="YEAR_INITIAL_SHARE_BIOENERGY_IN_TI_LIQUIDS_AND_GASES_SP" localSheetId="6">energy!$C$643:$C$651</definedName>
    <definedName name="YEAR_INITIAL_SOLAR_LAND_FROM_OTHERS" localSheetId="10">land!$C$142:$C$150</definedName>
    <definedName name="YEAR_INITIAL_TRANSPORT_SHARE_SP" localSheetId="8">'energy-transport'!$C$468</definedName>
    <definedName name="YEAR_INITIAL_URBAN_LAND_DENSITY_SP" localSheetId="10">land!$C$175</definedName>
    <definedName name="YEAR_INITIAL_WATER_EFFICIENCY_SP" localSheetId="10">land!#REF!</definedName>
    <definedName name="YEAR_INITIAL_WOOD_FOR_ENERGY_SP" localSheetId="10">land!$C$426:$C$434</definedName>
    <definedName name="YEAR_LOCKDOWN_EFFECT_ON_HOUSEHOLDS_TRANSPORT_SP" localSheetId="5">economy!$B$1099</definedName>
    <definedName name="YEAR_TARGET_MATERIALS_ORE_GRADE_PE_IMPACT_EXTRACTION_SP">materials!$B$212</definedName>
    <definedName name="YEAR_TARGET_MINERALS_RECYCLING_SP">materials!$B$107</definedName>
    <definedName name="YEARS_AMORTIZATION_INVESTMENT_IN_RENOVATION_SP">'energy-buildings'!$B$20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8" i="89" l="1"/>
  <c r="A130" i="89" s="1"/>
  <c r="CI951" i="87"/>
  <c r="CH951" i="87"/>
  <c r="CG951" i="87"/>
  <c r="CF951" i="87"/>
  <c r="CE951" i="87"/>
  <c r="CD951" i="87"/>
  <c r="CC951" i="87"/>
  <c r="CB951" i="87"/>
  <c r="CA951" i="87"/>
  <c r="BZ951" i="87"/>
  <c r="BY951" i="87"/>
  <c r="BX951" i="87"/>
  <c r="BW951" i="87"/>
  <c r="BV951" i="87"/>
  <c r="BU951" i="87"/>
  <c r="BT951" i="87"/>
  <c r="BS951" i="87"/>
  <c r="BR951" i="87"/>
  <c r="BQ951" i="87"/>
  <c r="BP951" i="87"/>
  <c r="BO951" i="87"/>
  <c r="BN951" i="87"/>
  <c r="BM951" i="87"/>
  <c r="BL951" i="87"/>
  <c r="BK951" i="87"/>
  <c r="BJ951" i="87"/>
  <c r="BI951" i="87"/>
  <c r="BH951" i="87"/>
  <c r="BG951" i="87"/>
  <c r="BF951" i="87"/>
  <c r="BE951" i="87"/>
  <c r="BD951" i="87"/>
  <c r="BC951" i="87"/>
  <c r="BB951" i="87"/>
  <c r="BA951" i="87"/>
  <c r="AZ951" i="87"/>
  <c r="AY951" i="87"/>
  <c r="AX951" i="87"/>
  <c r="AW951" i="87"/>
  <c r="AV951" i="87"/>
  <c r="AU951" i="87"/>
  <c r="AT951" i="87"/>
  <c r="AS951" i="87"/>
  <c r="AR951" i="87"/>
  <c r="AQ951" i="87"/>
  <c r="AP951" i="87"/>
  <c r="AO951" i="87"/>
  <c r="AN951" i="87"/>
  <c r="AM951" i="87"/>
  <c r="AL951" i="87"/>
  <c r="AK951" i="87"/>
  <c r="AJ951" i="87"/>
  <c r="AI951" i="87"/>
  <c r="AH951" i="87"/>
  <c r="AG951" i="87"/>
  <c r="AF951" i="87"/>
  <c r="AE951" i="87"/>
  <c r="AD951" i="87"/>
  <c r="AC951" i="87"/>
  <c r="AB951" i="87"/>
  <c r="AA951" i="87"/>
  <c r="Z951" i="87"/>
  <c r="Y951" i="87"/>
  <c r="X951" i="87"/>
  <c r="W951" i="87"/>
  <c r="V951" i="87"/>
  <c r="U951" i="87"/>
  <c r="T951" i="87"/>
  <c r="S951" i="87"/>
  <c r="R951" i="87"/>
  <c r="Q951" i="87"/>
  <c r="P951" i="87"/>
  <c r="O951" i="87"/>
  <c r="N951" i="87"/>
  <c r="CI950" i="87"/>
  <c r="CH950" i="87"/>
  <c r="CG950" i="87"/>
  <c r="CF950" i="87"/>
  <c r="CE950" i="87"/>
  <c r="CD950" i="87"/>
  <c r="CC950" i="87"/>
  <c r="CB950" i="87"/>
  <c r="CA950" i="87"/>
  <c r="BZ950" i="87"/>
  <c r="BY950" i="87"/>
  <c r="BX950" i="87"/>
  <c r="BW950" i="87"/>
  <c r="BV950" i="87"/>
  <c r="BU950" i="87"/>
  <c r="BT950" i="87"/>
  <c r="BS950" i="87"/>
  <c r="BR950" i="87"/>
  <c r="BQ950" i="87"/>
  <c r="BP950" i="87"/>
  <c r="BO950" i="87"/>
  <c r="BN950" i="87"/>
  <c r="BM950" i="87"/>
  <c r="BL950" i="87"/>
  <c r="BK950" i="87"/>
  <c r="BJ950" i="87"/>
  <c r="BI950" i="87"/>
  <c r="BH950" i="87"/>
  <c r="BG950" i="87"/>
  <c r="BF950" i="87"/>
  <c r="BE950" i="87"/>
  <c r="BD950" i="87"/>
  <c r="BC950" i="87"/>
  <c r="BB950" i="87"/>
  <c r="BA950" i="87"/>
  <c r="AZ950" i="87"/>
  <c r="AY950" i="87"/>
  <c r="AX950" i="87"/>
  <c r="AW950" i="87"/>
  <c r="AV950" i="87"/>
  <c r="AU950" i="87"/>
  <c r="AT950" i="87"/>
  <c r="AS950" i="87"/>
  <c r="AR950" i="87"/>
  <c r="AQ950" i="87"/>
  <c r="AP950" i="87"/>
  <c r="AO950" i="87"/>
  <c r="AN950" i="87"/>
  <c r="AM950" i="87"/>
  <c r="AL950" i="87"/>
  <c r="AK950" i="87"/>
  <c r="AJ950" i="87"/>
  <c r="AI950" i="87"/>
  <c r="AH950" i="87"/>
  <c r="AG950" i="87"/>
  <c r="AF950" i="87"/>
  <c r="AE950" i="87"/>
  <c r="AD950" i="87"/>
  <c r="AC950" i="87"/>
  <c r="AB950" i="87"/>
  <c r="AA950" i="87"/>
  <c r="Z950" i="87"/>
  <c r="Y950" i="87"/>
  <c r="X950" i="87"/>
  <c r="W950" i="87"/>
  <c r="V950" i="87"/>
  <c r="U950" i="87"/>
  <c r="T950" i="87"/>
  <c r="S950" i="87"/>
  <c r="R950" i="87"/>
  <c r="Q950" i="87"/>
  <c r="P950" i="87"/>
  <c r="O950" i="87"/>
  <c r="N950" i="87"/>
  <c r="CI949" i="87"/>
  <c r="CH949" i="87"/>
  <c r="CG949" i="87"/>
  <c r="CF949" i="87"/>
  <c r="CE949" i="87"/>
  <c r="CD949" i="87"/>
  <c r="CC949" i="87"/>
  <c r="CB949" i="87"/>
  <c r="CA949" i="87"/>
  <c r="BZ949" i="87"/>
  <c r="BY949" i="87"/>
  <c r="BX949" i="87"/>
  <c r="BW949" i="87"/>
  <c r="BV949" i="87"/>
  <c r="BU949" i="87"/>
  <c r="BT949" i="87"/>
  <c r="BS949" i="87"/>
  <c r="BR949" i="87"/>
  <c r="BQ949" i="87"/>
  <c r="BP949" i="87"/>
  <c r="BO949" i="87"/>
  <c r="BN949" i="87"/>
  <c r="BM949" i="87"/>
  <c r="BL949" i="87"/>
  <c r="BK949" i="87"/>
  <c r="BJ949" i="87"/>
  <c r="BI949" i="87"/>
  <c r="BH949" i="87"/>
  <c r="BG949" i="87"/>
  <c r="BF949" i="87"/>
  <c r="BE949" i="87"/>
  <c r="BD949" i="87"/>
  <c r="BC949" i="87"/>
  <c r="BB949" i="87"/>
  <c r="BA949" i="87"/>
  <c r="AZ949" i="87"/>
  <c r="AY949" i="87"/>
  <c r="AX949" i="87"/>
  <c r="AW949" i="87"/>
  <c r="AV949" i="87"/>
  <c r="AU949" i="87"/>
  <c r="AT949" i="87"/>
  <c r="AS949" i="87"/>
  <c r="AR949" i="87"/>
  <c r="AQ949" i="87"/>
  <c r="AP949" i="87"/>
  <c r="AO949" i="87"/>
  <c r="AN949" i="87"/>
  <c r="AM949" i="87"/>
  <c r="AL949" i="87"/>
  <c r="AK949" i="87"/>
  <c r="AJ949" i="87"/>
  <c r="AI949" i="87"/>
  <c r="AH949" i="87"/>
  <c r="AG949" i="87"/>
  <c r="AF949" i="87"/>
  <c r="AE949" i="87"/>
  <c r="AD949" i="87"/>
  <c r="AC949" i="87"/>
  <c r="AB949" i="87"/>
  <c r="AA949" i="87"/>
  <c r="Z949" i="87"/>
  <c r="Y949" i="87"/>
  <c r="X949" i="87"/>
  <c r="W949" i="87"/>
  <c r="V949" i="87"/>
  <c r="U949" i="87"/>
  <c r="T949" i="87"/>
  <c r="S949" i="87"/>
  <c r="R949" i="87"/>
  <c r="Q949" i="87"/>
  <c r="P949" i="87"/>
  <c r="O949" i="87"/>
  <c r="N949" i="87"/>
  <c r="CI948" i="87"/>
  <c r="CH948" i="87"/>
  <c r="CG948" i="87"/>
  <c r="CF948" i="87"/>
  <c r="CE948" i="87"/>
  <c r="CD948" i="87"/>
  <c r="CC948" i="87"/>
  <c r="CB948" i="87"/>
  <c r="CA948" i="87"/>
  <c r="BZ948" i="87"/>
  <c r="BY948" i="87"/>
  <c r="BX948" i="87"/>
  <c r="BW948" i="87"/>
  <c r="BV948" i="87"/>
  <c r="BU948" i="87"/>
  <c r="BT948" i="87"/>
  <c r="BS948" i="87"/>
  <c r="BR948" i="87"/>
  <c r="BQ948" i="87"/>
  <c r="BP948" i="87"/>
  <c r="BO948" i="87"/>
  <c r="BN948" i="87"/>
  <c r="BM948" i="87"/>
  <c r="BL948" i="87"/>
  <c r="BK948" i="87"/>
  <c r="BJ948" i="87"/>
  <c r="BI948" i="87"/>
  <c r="BH948" i="87"/>
  <c r="BG948" i="87"/>
  <c r="BF948" i="87"/>
  <c r="BE948" i="87"/>
  <c r="BD948" i="87"/>
  <c r="BC948" i="87"/>
  <c r="BB948" i="87"/>
  <c r="BA948" i="87"/>
  <c r="AZ948" i="87"/>
  <c r="AY948" i="87"/>
  <c r="AX948" i="87"/>
  <c r="AW948" i="87"/>
  <c r="AV948" i="87"/>
  <c r="AU948" i="87"/>
  <c r="AT948" i="87"/>
  <c r="AS948" i="87"/>
  <c r="AR948" i="87"/>
  <c r="AQ948" i="87"/>
  <c r="AP948" i="87"/>
  <c r="AO948" i="87"/>
  <c r="AN948" i="87"/>
  <c r="AM948" i="87"/>
  <c r="AL948" i="87"/>
  <c r="AK948" i="87"/>
  <c r="AJ948" i="87"/>
  <c r="AI948" i="87"/>
  <c r="AH948" i="87"/>
  <c r="AG948" i="87"/>
  <c r="AF948" i="87"/>
  <c r="AE948" i="87"/>
  <c r="AD948" i="87"/>
  <c r="AC948" i="87"/>
  <c r="AB948" i="87"/>
  <c r="AA948" i="87"/>
  <c r="Z948" i="87"/>
  <c r="Y948" i="87"/>
  <c r="X948" i="87"/>
  <c r="W948" i="87"/>
  <c r="V948" i="87"/>
  <c r="U948" i="87"/>
  <c r="T948" i="87"/>
  <c r="S948" i="87"/>
  <c r="R948" i="87"/>
  <c r="Q948" i="87"/>
  <c r="P948" i="87"/>
  <c r="O948" i="87"/>
  <c r="N948" i="87"/>
  <c r="CI947" i="87"/>
  <c r="CH947" i="87"/>
  <c r="CG947" i="87"/>
  <c r="CF947" i="87"/>
  <c r="CE947" i="87"/>
  <c r="CD947" i="87"/>
  <c r="CC947" i="87"/>
  <c r="CB947" i="87"/>
  <c r="CA947" i="87"/>
  <c r="BZ947" i="87"/>
  <c r="BY947" i="87"/>
  <c r="BX947" i="87"/>
  <c r="BW947" i="87"/>
  <c r="BV947" i="87"/>
  <c r="BU947" i="87"/>
  <c r="BT947" i="87"/>
  <c r="BS947" i="87"/>
  <c r="BR947" i="87"/>
  <c r="BQ947" i="87"/>
  <c r="BP947" i="87"/>
  <c r="BO947" i="87"/>
  <c r="BN947" i="87"/>
  <c r="BM947" i="87"/>
  <c r="BL947" i="87"/>
  <c r="BK947" i="87"/>
  <c r="BJ947" i="87"/>
  <c r="BI947" i="87"/>
  <c r="BH947" i="87"/>
  <c r="BG947" i="87"/>
  <c r="BF947" i="87"/>
  <c r="BE947" i="87"/>
  <c r="BD947" i="87"/>
  <c r="BC947" i="87"/>
  <c r="BB947" i="87"/>
  <c r="BA947" i="87"/>
  <c r="AZ947" i="87"/>
  <c r="AY947" i="87"/>
  <c r="AX947" i="87"/>
  <c r="AW947" i="87"/>
  <c r="AV947" i="87"/>
  <c r="AU947" i="87"/>
  <c r="AT947" i="87"/>
  <c r="AS947" i="87"/>
  <c r="AR947" i="87"/>
  <c r="AQ947" i="87"/>
  <c r="AP947" i="87"/>
  <c r="AO947" i="87"/>
  <c r="AN947" i="87"/>
  <c r="AM947" i="87"/>
  <c r="AL947" i="87"/>
  <c r="AK947" i="87"/>
  <c r="AJ947" i="87"/>
  <c r="AI947" i="87"/>
  <c r="AH947" i="87"/>
  <c r="AG947" i="87"/>
  <c r="AF947" i="87"/>
  <c r="AE947" i="87"/>
  <c r="AD947" i="87"/>
  <c r="AC947" i="87"/>
  <c r="AB947" i="87"/>
  <c r="AA947" i="87"/>
  <c r="Z947" i="87"/>
  <c r="Y947" i="87"/>
  <c r="X947" i="87"/>
  <c r="W947" i="87"/>
  <c r="V947" i="87"/>
  <c r="U947" i="87"/>
  <c r="T947" i="87"/>
  <c r="S947" i="87"/>
  <c r="R947" i="87"/>
  <c r="Q947" i="87"/>
  <c r="P947" i="87"/>
  <c r="O947" i="87"/>
  <c r="N947" i="87"/>
  <c r="CI946" i="87"/>
  <c r="CH946" i="87"/>
  <c r="CG946" i="87"/>
  <c r="CF946" i="87"/>
  <c r="CE946" i="87"/>
  <c r="CD946" i="87"/>
  <c r="CC946" i="87"/>
  <c r="CB946" i="87"/>
  <c r="CA946" i="87"/>
  <c r="BZ946" i="87"/>
  <c r="BY946" i="87"/>
  <c r="BX946" i="87"/>
  <c r="BW946" i="87"/>
  <c r="BV946" i="87"/>
  <c r="BU946" i="87"/>
  <c r="BT946" i="87"/>
  <c r="BS946" i="87"/>
  <c r="BR946" i="87"/>
  <c r="BQ946" i="87"/>
  <c r="BP946" i="87"/>
  <c r="BO946" i="87"/>
  <c r="BN946" i="87"/>
  <c r="BM946" i="87"/>
  <c r="BL946" i="87"/>
  <c r="BK946" i="87"/>
  <c r="BJ946" i="87"/>
  <c r="BI946" i="87"/>
  <c r="BH946" i="87"/>
  <c r="BG946" i="87"/>
  <c r="BF946" i="87"/>
  <c r="BE946" i="87"/>
  <c r="BD946" i="87"/>
  <c r="BC946" i="87"/>
  <c r="BB946" i="87"/>
  <c r="BA946" i="87"/>
  <c r="AZ946" i="87"/>
  <c r="AY946" i="87"/>
  <c r="AX946" i="87"/>
  <c r="AW946" i="87"/>
  <c r="AV946" i="87"/>
  <c r="AU946" i="87"/>
  <c r="AT946" i="87"/>
  <c r="AS946" i="87"/>
  <c r="AR946" i="87"/>
  <c r="AQ946" i="87"/>
  <c r="AP946" i="87"/>
  <c r="AO946" i="87"/>
  <c r="AN946" i="87"/>
  <c r="AM946" i="87"/>
  <c r="AL946" i="87"/>
  <c r="AK946" i="87"/>
  <c r="AJ946" i="87"/>
  <c r="AI946" i="87"/>
  <c r="AH946" i="87"/>
  <c r="AG946" i="87"/>
  <c r="AF946" i="87"/>
  <c r="AE946" i="87"/>
  <c r="AD946" i="87"/>
  <c r="AC946" i="87"/>
  <c r="AB946" i="87"/>
  <c r="AA946" i="87"/>
  <c r="Z946" i="87"/>
  <c r="Y946" i="87"/>
  <c r="X946" i="87"/>
  <c r="W946" i="87"/>
  <c r="V946" i="87"/>
  <c r="U946" i="87"/>
  <c r="T946" i="87"/>
  <c r="S946" i="87"/>
  <c r="R946" i="87"/>
  <c r="Q946" i="87"/>
  <c r="P946" i="87"/>
  <c r="O946" i="87"/>
  <c r="N946" i="87"/>
  <c r="CI945" i="87"/>
  <c r="CH945" i="87"/>
  <c r="CG945" i="87"/>
  <c r="CF945" i="87"/>
  <c r="CE945" i="87"/>
  <c r="CD945" i="87"/>
  <c r="CC945" i="87"/>
  <c r="CB945" i="87"/>
  <c r="CA945" i="87"/>
  <c r="BZ945" i="87"/>
  <c r="BY945" i="87"/>
  <c r="BX945" i="87"/>
  <c r="BW945" i="87"/>
  <c r="BV945" i="87"/>
  <c r="BU945" i="87"/>
  <c r="BT945" i="87"/>
  <c r="BS945" i="87"/>
  <c r="BR945" i="87"/>
  <c r="BQ945" i="87"/>
  <c r="BP945" i="87"/>
  <c r="BO945" i="87"/>
  <c r="BN945" i="87"/>
  <c r="BM945" i="87"/>
  <c r="BL945" i="87"/>
  <c r="BK945" i="87"/>
  <c r="BJ945" i="87"/>
  <c r="BI945" i="87"/>
  <c r="BH945" i="87"/>
  <c r="BG945" i="87"/>
  <c r="BF945" i="87"/>
  <c r="BE945" i="87"/>
  <c r="BD945" i="87"/>
  <c r="BC945" i="87"/>
  <c r="BB945" i="87"/>
  <c r="BA945" i="87"/>
  <c r="AZ945" i="87"/>
  <c r="AY945" i="87"/>
  <c r="AX945" i="87"/>
  <c r="AW945" i="87"/>
  <c r="AV945" i="87"/>
  <c r="AU945" i="87"/>
  <c r="AT945" i="87"/>
  <c r="AS945" i="87"/>
  <c r="AR945" i="87"/>
  <c r="AQ945" i="87"/>
  <c r="AP945" i="87"/>
  <c r="AO945" i="87"/>
  <c r="AN945" i="87"/>
  <c r="AM945" i="87"/>
  <c r="AL945" i="87"/>
  <c r="AK945" i="87"/>
  <c r="AJ945" i="87"/>
  <c r="AI945" i="87"/>
  <c r="AH945" i="87"/>
  <c r="AG945" i="87"/>
  <c r="AF945" i="87"/>
  <c r="AE945" i="87"/>
  <c r="AD945" i="87"/>
  <c r="AC945" i="87"/>
  <c r="AB945" i="87"/>
  <c r="AA945" i="87"/>
  <c r="Z945" i="87"/>
  <c r="Y945" i="87"/>
  <c r="X945" i="87"/>
  <c r="W945" i="87"/>
  <c r="V945" i="87"/>
  <c r="U945" i="87"/>
  <c r="T945" i="87"/>
  <c r="S945" i="87"/>
  <c r="R945" i="87"/>
  <c r="Q945" i="87"/>
  <c r="P945" i="87"/>
  <c r="O945" i="87"/>
  <c r="N945" i="87"/>
  <c r="M862" i="87"/>
  <c r="N862" i="87" s="1"/>
  <c r="O862" i="87" s="1"/>
  <c r="P862" i="87" s="1"/>
  <c r="Q862" i="87" s="1"/>
  <c r="R862" i="87" s="1"/>
  <c r="S862" i="87" s="1"/>
  <c r="T862" i="87" s="1"/>
  <c r="U862" i="87" s="1"/>
  <c r="V862" i="87" s="1"/>
  <c r="W862" i="87" s="1"/>
  <c r="X862" i="87" s="1"/>
  <c r="Y862" i="87" s="1"/>
  <c r="Z862" i="87" s="1"/>
  <c r="AA862" i="87" s="1"/>
  <c r="AB862" i="87" s="1"/>
  <c r="AC862" i="87" s="1"/>
  <c r="AD862" i="87" s="1"/>
  <c r="AE862" i="87" s="1"/>
  <c r="AF862" i="87" s="1"/>
  <c r="AG862" i="87" s="1"/>
  <c r="AH862" i="87" s="1"/>
  <c r="AI862" i="87" s="1"/>
  <c r="AJ862" i="87" s="1"/>
  <c r="AK862" i="87" s="1"/>
  <c r="AL862" i="87" s="1"/>
  <c r="AM862" i="87" s="1"/>
  <c r="AN862" i="87" s="1"/>
  <c r="AO862" i="87" s="1"/>
  <c r="AP862" i="87" s="1"/>
  <c r="AQ862" i="87" s="1"/>
  <c r="AR862" i="87" s="1"/>
  <c r="AS862" i="87" s="1"/>
  <c r="AT862" i="87" s="1"/>
  <c r="AU862" i="87" s="1"/>
  <c r="AV862" i="87" s="1"/>
  <c r="AW862" i="87" s="1"/>
  <c r="AX862" i="87" s="1"/>
  <c r="AY862" i="87" s="1"/>
  <c r="AZ862" i="87" s="1"/>
  <c r="BA862" i="87" s="1"/>
  <c r="BB862" i="87" s="1"/>
  <c r="BC862" i="87" s="1"/>
  <c r="BD862" i="87" s="1"/>
  <c r="BE862" i="87" s="1"/>
  <c r="BF862" i="87" s="1"/>
  <c r="BG862" i="87" s="1"/>
  <c r="BH862" i="87" s="1"/>
  <c r="BI862" i="87" s="1"/>
  <c r="BJ862" i="87" s="1"/>
  <c r="BK862" i="87" s="1"/>
  <c r="BL862" i="87" s="1"/>
  <c r="BM862" i="87" s="1"/>
  <c r="BN862" i="87" s="1"/>
  <c r="BO862" i="87" s="1"/>
  <c r="BP862" i="87" s="1"/>
  <c r="BQ862" i="87" s="1"/>
  <c r="BR862" i="87" s="1"/>
  <c r="BS862" i="87" s="1"/>
  <c r="BT862" i="87" s="1"/>
  <c r="BU862" i="87" s="1"/>
  <c r="BV862" i="87" s="1"/>
  <c r="BW862" i="87" s="1"/>
  <c r="BX862" i="87" s="1"/>
  <c r="BY862" i="87" s="1"/>
  <c r="BZ862" i="87" s="1"/>
  <c r="CA862" i="87" s="1"/>
  <c r="CB862" i="87" s="1"/>
  <c r="CC862" i="87" s="1"/>
  <c r="CD862" i="87" s="1"/>
  <c r="CE862" i="87" s="1"/>
  <c r="CF862" i="87" s="1"/>
  <c r="CG862" i="87" s="1"/>
  <c r="CH862" i="87" s="1"/>
  <c r="CI862" i="87" s="1"/>
  <c r="L862" i="87"/>
  <c r="L863" i="87" s="1"/>
  <c r="L864" i="87" s="1"/>
  <c r="L865" i="87" s="1"/>
  <c r="L866" i="87" s="1"/>
  <c r="L867" i="87" s="1"/>
  <c r="L868" i="87" s="1"/>
  <c r="L869" i="87" s="1"/>
  <c r="L870" i="87" s="1"/>
  <c r="L871" i="87" s="1"/>
  <c r="L872" i="87" s="1"/>
  <c r="L873" i="87" s="1"/>
  <c r="L874" i="87" s="1"/>
  <c r="L875" i="87" s="1"/>
  <c r="L876" i="87" s="1"/>
  <c r="L877" i="87" s="1"/>
  <c r="L878" i="87" s="1"/>
  <c r="L879" i="87" s="1"/>
  <c r="L880" i="87" s="1"/>
  <c r="L881" i="87" s="1"/>
  <c r="L882" i="87" s="1"/>
  <c r="L883" i="87" s="1"/>
  <c r="L884" i="87" s="1"/>
  <c r="L885" i="87" s="1"/>
  <c r="L886" i="87" s="1"/>
  <c r="L887" i="87" s="1"/>
  <c r="L888" i="87" s="1"/>
  <c r="Y861" i="87"/>
  <c r="Z861" i="87" s="1"/>
  <c r="AA861" i="87" s="1"/>
  <c r="AB861" i="87" s="1"/>
  <c r="AC861" i="87" s="1"/>
  <c r="AD861" i="87" s="1"/>
  <c r="AE861" i="87" s="1"/>
  <c r="AF861" i="87" s="1"/>
  <c r="AG861" i="87" s="1"/>
  <c r="AH861" i="87" s="1"/>
  <c r="AI861" i="87" s="1"/>
  <c r="AJ861" i="87" s="1"/>
  <c r="AK861" i="87" s="1"/>
  <c r="AL861" i="87" s="1"/>
  <c r="AM861" i="87" s="1"/>
  <c r="AN861" i="87" s="1"/>
  <c r="AO861" i="87" s="1"/>
  <c r="AP861" i="87" s="1"/>
  <c r="AQ861" i="87" s="1"/>
  <c r="AR861" i="87" s="1"/>
  <c r="AS861" i="87" s="1"/>
  <c r="AT861" i="87" s="1"/>
  <c r="AU861" i="87" s="1"/>
  <c r="AV861" i="87" s="1"/>
  <c r="AW861" i="87" s="1"/>
  <c r="AX861" i="87" s="1"/>
  <c r="AY861" i="87" s="1"/>
  <c r="AZ861" i="87" s="1"/>
  <c r="BA861" i="87" s="1"/>
  <c r="BB861" i="87" s="1"/>
  <c r="BC861" i="87" s="1"/>
  <c r="BD861" i="87" s="1"/>
  <c r="BE861" i="87" s="1"/>
  <c r="BF861" i="87" s="1"/>
  <c r="BG861" i="87" s="1"/>
  <c r="BH861" i="87" s="1"/>
  <c r="BI861" i="87" s="1"/>
  <c r="BJ861" i="87" s="1"/>
  <c r="BK861" i="87" s="1"/>
  <c r="BL861" i="87" s="1"/>
  <c r="BM861" i="87" s="1"/>
  <c r="BN861" i="87" s="1"/>
  <c r="BO861" i="87" s="1"/>
  <c r="BP861" i="87" s="1"/>
  <c r="BQ861" i="87" s="1"/>
  <c r="BR861" i="87" s="1"/>
  <c r="BS861" i="87" s="1"/>
  <c r="BT861" i="87" s="1"/>
  <c r="BU861" i="87" s="1"/>
  <c r="BV861" i="87" s="1"/>
  <c r="BW861" i="87" s="1"/>
  <c r="BX861" i="87" s="1"/>
  <c r="BY861" i="87" s="1"/>
  <c r="BZ861" i="87" s="1"/>
  <c r="CA861" i="87" s="1"/>
  <c r="CB861" i="87" s="1"/>
  <c r="CC861" i="87" s="1"/>
  <c r="CD861" i="87" s="1"/>
  <c r="CE861" i="87" s="1"/>
  <c r="CF861" i="87" s="1"/>
  <c r="CG861" i="87" s="1"/>
  <c r="CH861" i="87" s="1"/>
  <c r="CI861" i="87" s="1"/>
  <c r="M860" i="87"/>
  <c r="M861" i="87" s="1"/>
  <c r="N861" i="87" s="1"/>
  <c r="O861" i="87" s="1"/>
  <c r="P861" i="87" s="1"/>
  <c r="Q861" i="87" s="1"/>
  <c r="R861" i="87" s="1"/>
  <c r="S861" i="87" s="1"/>
  <c r="T861" i="87" s="1"/>
  <c r="U861" i="87" s="1"/>
  <c r="V861" i="87" s="1"/>
  <c r="W861" i="87" s="1"/>
  <c r="X861" i="87" s="1"/>
  <c r="L860" i="87"/>
  <c r="L861" i="87" s="1"/>
  <c r="AM339" i="87"/>
  <c r="AN339" i="87" s="1"/>
  <c r="AO339" i="87" s="1"/>
  <c r="AP339" i="87" s="1"/>
  <c r="AQ339" i="87" s="1"/>
  <c r="AR339" i="87" s="1"/>
  <c r="AS339" i="87" s="1"/>
  <c r="AT339" i="87" s="1"/>
  <c r="AU339" i="87" s="1"/>
  <c r="AV339" i="87" s="1"/>
  <c r="AW339" i="87" s="1"/>
  <c r="AX339" i="87" s="1"/>
  <c r="AY339" i="87" s="1"/>
  <c r="AZ339" i="87" s="1"/>
  <c r="BA339" i="87" s="1"/>
  <c r="BB339" i="87" s="1"/>
  <c r="BC339" i="87" s="1"/>
  <c r="BD339" i="87" s="1"/>
  <c r="BE339" i="87" s="1"/>
  <c r="BF339" i="87" s="1"/>
  <c r="BG339" i="87" s="1"/>
  <c r="BH339" i="87" s="1"/>
  <c r="BI339" i="87" s="1"/>
  <c r="BJ339" i="87" s="1"/>
  <c r="BK339" i="87" s="1"/>
  <c r="BL339" i="87" s="1"/>
  <c r="BM339" i="87" s="1"/>
  <c r="BN339" i="87" s="1"/>
  <c r="BO339" i="87" s="1"/>
  <c r="BP339" i="87" s="1"/>
  <c r="BQ339" i="87" s="1"/>
  <c r="BR339" i="87" s="1"/>
  <c r="BS339" i="87" s="1"/>
  <c r="BT339" i="87" s="1"/>
  <c r="BU339" i="87" s="1"/>
  <c r="BV339" i="87" s="1"/>
  <c r="BW339" i="87" s="1"/>
  <c r="BX339" i="87" s="1"/>
  <c r="BY339" i="87" s="1"/>
  <c r="BZ339" i="87" s="1"/>
  <c r="CA339" i="87" s="1"/>
  <c r="CB339" i="87" s="1"/>
  <c r="CC339" i="87" s="1"/>
  <c r="CD339" i="87" s="1"/>
  <c r="CE339" i="87" s="1"/>
  <c r="CF339" i="87" s="1"/>
  <c r="CG339" i="87" s="1"/>
  <c r="CH339" i="87" s="1"/>
  <c r="AL339" i="87"/>
  <c r="C339" i="87"/>
  <c r="D339" i="87" s="1"/>
  <c r="E339" i="87" s="1"/>
  <c r="F339" i="87" s="1"/>
  <c r="G339" i="87" s="1"/>
  <c r="H339" i="87" s="1"/>
  <c r="I339" i="87" s="1"/>
  <c r="J339" i="87" s="1"/>
  <c r="K339" i="87" s="1"/>
  <c r="L339" i="87" s="1"/>
  <c r="M339" i="87" s="1"/>
  <c r="N339" i="87" s="1"/>
  <c r="O339" i="87" s="1"/>
  <c r="P339" i="87" s="1"/>
  <c r="Q339" i="87" s="1"/>
  <c r="R339" i="87" s="1"/>
  <c r="S339" i="87" s="1"/>
  <c r="T339" i="87" s="1"/>
  <c r="U339" i="87" s="1"/>
  <c r="V339" i="87" s="1"/>
  <c r="W339" i="87" s="1"/>
  <c r="X339" i="87" s="1"/>
  <c r="Y339" i="87" s="1"/>
  <c r="Z339" i="87" s="1"/>
  <c r="AA339" i="87" s="1"/>
  <c r="AB339" i="87" s="1"/>
  <c r="AC339" i="87" s="1"/>
  <c r="AD339" i="87" s="1"/>
  <c r="AE339" i="87" s="1"/>
  <c r="AF339" i="87" s="1"/>
  <c r="AG339" i="87" s="1"/>
  <c r="AH339" i="87" s="1"/>
  <c r="AI339" i="87" s="1"/>
  <c r="AJ339" i="87" s="1"/>
  <c r="AL338" i="87"/>
  <c r="AM338" i="87" s="1"/>
  <c r="AN338" i="87" s="1"/>
  <c r="AO338" i="87" s="1"/>
  <c r="AP338" i="87" s="1"/>
  <c r="AQ338" i="87" s="1"/>
  <c r="AR338" i="87" s="1"/>
  <c r="AS338" i="87" s="1"/>
  <c r="AT338" i="87" s="1"/>
  <c r="AU338" i="87" s="1"/>
  <c r="AV338" i="87" s="1"/>
  <c r="AW338" i="87" s="1"/>
  <c r="AX338" i="87" s="1"/>
  <c r="AY338" i="87" s="1"/>
  <c r="AZ338" i="87" s="1"/>
  <c r="BA338" i="87" s="1"/>
  <c r="BB338" i="87" s="1"/>
  <c r="BC338" i="87" s="1"/>
  <c r="BD338" i="87" s="1"/>
  <c r="BE338" i="87" s="1"/>
  <c r="BF338" i="87" s="1"/>
  <c r="BG338" i="87" s="1"/>
  <c r="BH338" i="87" s="1"/>
  <c r="BI338" i="87" s="1"/>
  <c r="BJ338" i="87" s="1"/>
  <c r="BK338" i="87" s="1"/>
  <c r="BL338" i="87" s="1"/>
  <c r="BM338" i="87" s="1"/>
  <c r="BN338" i="87" s="1"/>
  <c r="BO338" i="87" s="1"/>
  <c r="BP338" i="87" s="1"/>
  <c r="BQ338" i="87" s="1"/>
  <c r="BR338" i="87" s="1"/>
  <c r="BS338" i="87" s="1"/>
  <c r="BT338" i="87" s="1"/>
  <c r="BU338" i="87" s="1"/>
  <c r="BV338" i="87" s="1"/>
  <c r="BW338" i="87" s="1"/>
  <c r="BX338" i="87" s="1"/>
  <c r="BY338" i="87" s="1"/>
  <c r="BZ338" i="87" s="1"/>
  <c r="CA338" i="87" s="1"/>
  <c r="CB338" i="87" s="1"/>
  <c r="CC338" i="87" s="1"/>
  <c r="CD338" i="87" s="1"/>
  <c r="CE338" i="87" s="1"/>
  <c r="CF338" i="87" s="1"/>
  <c r="CG338" i="87" s="1"/>
  <c r="CH338" i="87" s="1"/>
  <c r="C338" i="87"/>
  <c r="D338" i="87" s="1"/>
  <c r="E338" i="87" s="1"/>
  <c r="F338" i="87" s="1"/>
  <c r="G338" i="87" s="1"/>
  <c r="H338" i="87" s="1"/>
  <c r="I338" i="87" s="1"/>
  <c r="J338" i="87" s="1"/>
  <c r="K338" i="87" s="1"/>
  <c r="L338" i="87" s="1"/>
  <c r="M338" i="87" s="1"/>
  <c r="N338" i="87" s="1"/>
  <c r="O338" i="87" s="1"/>
  <c r="P338" i="87" s="1"/>
  <c r="Q338" i="87" s="1"/>
  <c r="R338" i="87" s="1"/>
  <c r="S338" i="87" s="1"/>
  <c r="T338" i="87" s="1"/>
  <c r="U338" i="87" s="1"/>
  <c r="V338" i="87" s="1"/>
  <c r="W338" i="87" s="1"/>
  <c r="X338" i="87" s="1"/>
  <c r="Y338" i="87" s="1"/>
  <c r="Z338" i="87" s="1"/>
  <c r="AA338" i="87" s="1"/>
  <c r="AB338" i="87" s="1"/>
  <c r="AC338" i="87" s="1"/>
  <c r="AD338" i="87" s="1"/>
  <c r="AE338" i="87" s="1"/>
  <c r="AF338" i="87" s="1"/>
  <c r="AG338" i="87" s="1"/>
  <c r="AH338" i="87" s="1"/>
  <c r="AI338" i="87" s="1"/>
  <c r="AJ338" i="87" s="1"/>
  <c r="AN337" i="87"/>
  <c r="AO337" i="87" s="1"/>
  <c r="AP337" i="87" s="1"/>
  <c r="AQ337" i="87" s="1"/>
  <c r="AR337" i="87" s="1"/>
  <c r="AS337" i="87" s="1"/>
  <c r="AT337" i="87" s="1"/>
  <c r="AU337" i="87" s="1"/>
  <c r="AV337" i="87" s="1"/>
  <c r="AW337" i="87" s="1"/>
  <c r="AX337" i="87" s="1"/>
  <c r="AY337" i="87" s="1"/>
  <c r="AZ337" i="87" s="1"/>
  <c r="BA337" i="87" s="1"/>
  <c r="BB337" i="87" s="1"/>
  <c r="BC337" i="87" s="1"/>
  <c r="BD337" i="87" s="1"/>
  <c r="BE337" i="87" s="1"/>
  <c r="BF337" i="87" s="1"/>
  <c r="BG337" i="87" s="1"/>
  <c r="BH337" i="87" s="1"/>
  <c r="BI337" i="87" s="1"/>
  <c r="BJ337" i="87" s="1"/>
  <c r="BK337" i="87" s="1"/>
  <c r="BL337" i="87" s="1"/>
  <c r="BM337" i="87" s="1"/>
  <c r="BN337" i="87" s="1"/>
  <c r="BO337" i="87" s="1"/>
  <c r="BP337" i="87" s="1"/>
  <c r="BQ337" i="87" s="1"/>
  <c r="BR337" i="87" s="1"/>
  <c r="BS337" i="87" s="1"/>
  <c r="BT337" i="87" s="1"/>
  <c r="BU337" i="87" s="1"/>
  <c r="BV337" i="87" s="1"/>
  <c r="BW337" i="87" s="1"/>
  <c r="BX337" i="87" s="1"/>
  <c r="BY337" i="87" s="1"/>
  <c r="BZ337" i="87" s="1"/>
  <c r="CA337" i="87" s="1"/>
  <c r="CB337" i="87" s="1"/>
  <c r="CC337" i="87" s="1"/>
  <c r="CD337" i="87" s="1"/>
  <c r="CE337" i="87" s="1"/>
  <c r="CF337" i="87" s="1"/>
  <c r="CG337" i="87" s="1"/>
  <c r="CH337" i="87" s="1"/>
  <c r="AM337" i="87"/>
  <c r="AL337" i="87"/>
  <c r="C337" i="87"/>
  <c r="D337" i="87" s="1"/>
  <c r="E337" i="87" s="1"/>
  <c r="F337" i="87" s="1"/>
  <c r="G337" i="87" s="1"/>
  <c r="H337" i="87" s="1"/>
  <c r="I337" i="87" s="1"/>
  <c r="J337" i="87" s="1"/>
  <c r="K337" i="87" s="1"/>
  <c r="L337" i="87" s="1"/>
  <c r="M337" i="87" s="1"/>
  <c r="N337" i="87" s="1"/>
  <c r="O337" i="87" s="1"/>
  <c r="P337" i="87" s="1"/>
  <c r="Q337" i="87" s="1"/>
  <c r="R337" i="87" s="1"/>
  <c r="S337" i="87" s="1"/>
  <c r="T337" i="87" s="1"/>
  <c r="U337" i="87" s="1"/>
  <c r="V337" i="87" s="1"/>
  <c r="W337" i="87" s="1"/>
  <c r="X337" i="87" s="1"/>
  <c r="Y337" i="87" s="1"/>
  <c r="Z337" i="87" s="1"/>
  <c r="AA337" i="87" s="1"/>
  <c r="AB337" i="87" s="1"/>
  <c r="AC337" i="87" s="1"/>
  <c r="AD337" i="87" s="1"/>
  <c r="AE337" i="87" s="1"/>
  <c r="AF337" i="87" s="1"/>
  <c r="AG337" i="87" s="1"/>
  <c r="AH337" i="87" s="1"/>
  <c r="AI337" i="87" s="1"/>
  <c r="AJ337" i="87" s="1"/>
  <c r="AL336" i="87"/>
  <c r="AM336" i="87" s="1"/>
  <c r="AN336" i="87" s="1"/>
  <c r="AO336" i="87" s="1"/>
  <c r="AP336" i="87" s="1"/>
  <c r="AQ336" i="87" s="1"/>
  <c r="AR336" i="87" s="1"/>
  <c r="AS336" i="87" s="1"/>
  <c r="AT336" i="87" s="1"/>
  <c r="AU336" i="87" s="1"/>
  <c r="AV336" i="87" s="1"/>
  <c r="AW336" i="87" s="1"/>
  <c r="AX336" i="87" s="1"/>
  <c r="AY336" i="87" s="1"/>
  <c r="AZ336" i="87" s="1"/>
  <c r="BA336" i="87" s="1"/>
  <c r="BB336" i="87" s="1"/>
  <c r="BC336" i="87" s="1"/>
  <c r="BD336" i="87" s="1"/>
  <c r="BE336" i="87" s="1"/>
  <c r="BF336" i="87" s="1"/>
  <c r="BG336" i="87" s="1"/>
  <c r="BH336" i="87" s="1"/>
  <c r="BI336" i="87" s="1"/>
  <c r="BJ336" i="87" s="1"/>
  <c r="BK336" i="87" s="1"/>
  <c r="BL336" i="87" s="1"/>
  <c r="BM336" i="87" s="1"/>
  <c r="BN336" i="87" s="1"/>
  <c r="BO336" i="87" s="1"/>
  <c r="BP336" i="87" s="1"/>
  <c r="BQ336" i="87" s="1"/>
  <c r="BR336" i="87" s="1"/>
  <c r="BS336" i="87" s="1"/>
  <c r="BT336" i="87" s="1"/>
  <c r="BU336" i="87" s="1"/>
  <c r="BV336" i="87" s="1"/>
  <c r="BW336" i="87" s="1"/>
  <c r="BX336" i="87" s="1"/>
  <c r="BY336" i="87" s="1"/>
  <c r="BZ336" i="87" s="1"/>
  <c r="CA336" i="87" s="1"/>
  <c r="CB336" i="87" s="1"/>
  <c r="CC336" i="87" s="1"/>
  <c r="CD336" i="87" s="1"/>
  <c r="CE336" i="87" s="1"/>
  <c r="CF336" i="87" s="1"/>
  <c r="CG336" i="87" s="1"/>
  <c r="CH336" i="87" s="1"/>
  <c r="C336" i="87"/>
  <c r="D336" i="87" s="1"/>
  <c r="E336" i="87" s="1"/>
  <c r="F336" i="87" s="1"/>
  <c r="G336" i="87" s="1"/>
  <c r="H336" i="87" s="1"/>
  <c r="I336" i="87" s="1"/>
  <c r="J336" i="87" s="1"/>
  <c r="K336" i="87" s="1"/>
  <c r="L336" i="87" s="1"/>
  <c r="M336" i="87" s="1"/>
  <c r="N336" i="87" s="1"/>
  <c r="O336" i="87" s="1"/>
  <c r="P336" i="87" s="1"/>
  <c r="Q336" i="87" s="1"/>
  <c r="R336" i="87" s="1"/>
  <c r="S336" i="87" s="1"/>
  <c r="T336" i="87" s="1"/>
  <c r="U336" i="87" s="1"/>
  <c r="V336" i="87" s="1"/>
  <c r="W336" i="87" s="1"/>
  <c r="X336" i="87" s="1"/>
  <c r="Y336" i="87" s="1"/>
  <c r="Z336" i="87" s="1"/>
  <c r="AA336" i="87" s="1"/>
  <c r="AB336" i="87" s="1"/>
  <c r="AC336" i="87" s="1"/>
  <c r="AD336" i="87" s="1"/>
  <c r="AE336" i="87" s="1"/>
  <c r="AF336" i="87" s="1"/>
  <c r="AG336" i="87" s="1"/>
  <c r="AH336" i="87" s="1"/>
  <c r="AI336" i="87" s="1"/>
  <c r="AJ336" i="87" s="1"/>
  <c r="AL335" i="87"/>
  <c r="AM335" i="87" s="1"/>
  <c r="AN335" i="87" s="1"/>
  <c r="AO335" i="87" s="1"/>
  <c r="AP335" i="87" s="1"/>
  <c r="AQ335" i="87" s="1"/>
  <c r="AR335" i="87" s="1"/>
  <c r="AS335" i="87" s="1"/>
  <c r="AT335" i="87" s="1"/>
  <c r="AU335" i="87" s="1"/>
  <c r="AV335" i="87" s="1"/>
  <c r="AW335" i="87" s="1"/>
  <c r="AX335" i="87" s="1"/>
  <c r="AY335" i="87" s="1"/>
  <c r="AZ335" i="87" s="1"/>
  <c r="BA335" i="87" s="1"/>
  <c r="BB335" i="87" s="1"/>
  <c r="BC335" i="87" s="1"/>
  <c r="BD335" i="87" s="1"/>
  <c r="BE335" i="87" s="1"/>
  <c r="BF335" i="87" s="1"/>
  <c r="BG335" i="87" s="1"/>
  <c r="BH335" i="87" s="1"/>
  <c r="BI335" i="87" s="1"/>
  <c r="BJ335" i="87" s="1"/>
  <c r="BK335" i="87" s="1"/>
  <c r="BL335" i="87" s="1"/>
  <c r="BM335" i="87" s="1"/>
  <c r="BN335" i="87" s="1"/>
  <c r="BO335" i="87" s="1"/>
  <c r="BP335" i="87" s="1"/>
  <c r="BQ335" i="87" s="1"/>
  <c r="BR335" i="87" s="1"/>
  <c r="BS335" i="87" s="1"/>
  <c r="BT335" i="87" s="1"/>
  <c r="BU335" i="87" s="1"/>
  <c r="BV335" i="87" s="1"/>
  <c r="BW335" i="87" s="1"/>
  <c r="BX335" i="87" s="1"/>
  <c r="BY335" i="87" s="1"/>
  <c r="BZ335" i="87" s="1"/>
  <c r="CA335" i="87" s="1"/>
  <c r="CB335" i="87" s="1"/>
  <c r="CC335" i="87" s="1"/>
  <c r="CD335" i="87" s="1"/>
  <c r="CE335" i="87" s="1"/>
  <c r="CF335" i="87" s="1"/>
  <c r="CG335" i="87" s="1"/>
  <c r="CH335" i="87" s="1"/>
  <c r="C335" i="87"/>
  <c r="D335" i="87" s="1"/>
  <c r="E335" i="87" s="1"/>
  <c r="F335" i="87" s="1"/>
  <c r="G335" i="87" s="1"/>
  <c r="H335" i="87" s="1"/>
  <c r="I335" i="87" s="1"/>
  <c r="J335" i="87" s="1"/>
  <c r="K335" i="87" s="1"/>
  <c r="L335" i="87" s="1"/>
  <c r="M335" i="87" s="1"/>
  <c r="N335" i="87" s="1"/>
  <c r="O335" i="87" s="1"/>
  <c r="P335" i="87" s="1"/>
  <c r="Q335" i="87" s="1"/>
  <c r="R335" i="87" s="1"/>
  <c r="S335" i="87" s="1"/>
  <c r="T335" i="87" s="1"/>
  <c r="U335" i="87" s="1"/>
  <c r="V335" i="87" s="1"/>
  <c r="W335" i="87" s="1"/>
  <c r="X335" i="87" s="1"/>
  <c r="Y335" i="87" s="1"/>
  <c r="Z335" i="87" s="1"/>
  <c r="AA335" i="87" s="1"/>
  <c r="AB335" i="87" s="1"/>
  <c r="AC335" i="87" s="1"/>
  <c r="AD335" i="87" s="1"/>
  <c r="AE335" i="87" s="1"/>
  <c r="AF335" i="87" s="1"/>
  <c r="AG335" i="87" s="1"/>
  <c r="AH335" i="87" s="1"/>
  <c r="AI335" i="87" s="1"/>
  <c r="AJ335" i="87" s="1"/>
  <c r="AN334" i="87"/>
  <c r="AO334" i="87" s="1"/>
  <c r="AP334" i="87" s="1"/>
  <c r="AQ334" i="87" s="1"/>
  <c r="AR334" i="87" s="1"/>
  <c r="AS334" i="87" s="1"/>
  <c r="AT334" i="87" s="1"/>
  <c r="AU334" i="87" s="1"/>
  <c r="AV334" i="87" s="1"/>
  <c r="AW334" i="87" s="1"/>
  <c r="AX334" i="87" s="1"/>
  <c r="AY334" i="87" s="1"/>
  <c r="AZ334" i="87" s="1"/>
  <c r="BA334" i="87" s="1"/>
  <c r="BB334" i="87" s="1"/>
  <c r="BC334" i="87" s="1"/>
  <c r="BD334" i="87" s="1"/>
  <c r="BE334" i="87" s="1"/>
  <c r="BF334" i="87" s="1"/>
  <c r="BG334" i="87" s="1"/>
  <c r="BH334" i="87" s="1"/>
  <c r="BI334" i="87" s="1"/>
  <c r="BJ334" i="87" s="1"/>
  <c r="BK334" i="87" s="1"/>
  <c r="BL334" i="87" s="1"/>
  <c r="BM334" i="87" s="1"/>
  <c r="BN334" i="87" s="1"/>
  <c r="BO334" i="87" s="1"/>
  <c r="BP334" i="87" s="1"/>
  <c r="BQ334" i="87" s="1"/>
  <c r="BR334" i="87" s="1"/>
  <c r="BS334" i="87" s="1"/>
  <c r="BT334" i="87" s="1"/>
  <c r="BU334" i="87" s="1"/>
  <c r="BV334" i="87" s="1"/>
  <c r="BW334" i="87" s="1"/>
  <c r="BX334" i="87" s="1"/>
  <c r="BY334" i="87" s="1"/>
  <c r="BZ334" i="87" s="1"/>
  <c r="CA334" i="87" s="1"/>
  <c r="CB334" i="87" s="1"/>
  <c r="CC334" i="87" s="1"/>
  <c r="CD334" i="87" s="1"/>
  <c r="CE334" i="87" s="1"/>
  <c r="CF334" i="87" s="1"/>
  <c r="CG334" i="87" s="1"/>
  <c r="CH334" i="87" s="1"/>
  <c r="AM334" i="87"/>
  <c r="AL334" i="87"/>
  <c r="C334" i="87"/>
  <c r="D334" i="87" s="1"/>
  <c r="E334" i="87" s="1"/>
  <c r="F334" i="87" s="1"/>
  <c r="G334" i="87" s="1"/>
  <c r="H334" i="87" s="1"/>
  <c r="I334" i="87" s="1"/>
  <c r="J334" i="87" s="1"/>
  <c r="K334" i="87" s="1"/>
  <c r="L334" i="87" s="1"/>
  <c r="M334" i="87" s="1"/>
  <c r="N334" i="87" s="1"/>
  <c r="O334" i="87" s="1"/>
  <c r="P334" i="87" s="1"/>
  <c r="Q334" i="87" s="1"/>
  <c r="R334" i="87" s="1"/>
  <c r="S334" i="87" s="1"/>
  <c r="T334" i="87" s="1"/>
  <c r="U334" i="87" s="1"/>
  <c r="V334" i="87" s="1"/>
  <c r="W334" i="87" s="1"/>
  <c r="X334" i="87" s="1"/>
  <c r="Y334" i="87" s="1"/>
  <c r="Z334" i="87" s="1"/>
  <c r="AA334" i="87" s="1"/>
  <c r="AB334" i="87" s="1"/>
  <c r="AC334" i="87" s="1"/>
  <c r="AD334" i="87" s="1"/>
  <c r="AE334" i="87" s="1"/>
  <c r="AF334" i="87" s="1"/>
  <c r="AG334" i="87" s="1"/>
  <c r="AH334" i="87" s="1"/>
  <c r="AI334" i="87" s="1"/>
  <c r="AJ334" i="87" s="1"/>
  <c r="AL333" i="87"/>
  <c r="AM333" i="87" s="1"/>
  <c r="AN333" i="87" s="1"/>
  <c r="AO333" i="87" s="1"/>
  <c r="AP333" i="87" s="1"/>
  <c r="AQ333" i="87" s="1"/>
  <c r="AR333" i="87" s="1"/>
  <c r="AS333" i="87" s="1"/>
  <c r="AT333" i="87" s="1"/>
  <c r="AU333" i="87" s="1"/>
  <c r="AV333" i="87" s="1"/>
  <c r="AW333" i="87" s="1"/>
  <c r="AX333" i="87" s="1"/>
  <c r="AY333" i="87" s="1"/>
  <c r="AZ333" i="87" s="1"/>
  <c r="BA333" i="87" s="1"/>
  <c r="BB333" i="87" s="1"/>
  <c r="BC333" i="87" s="1"/>
  <c r="BD333" i="87" s="1"/>
  <c r="BE333" i="87" s="1"/>
  <c r="BF333" i="87" s="1"/>
  <c r="BG333" i="87" s="1"/>
  <c r="BH333" i="87" s="1"/>
  <c r="BI333" i="87" s="1"/>
  <c r="BJ333" i="87" s="1"/>
  <c r="BK333" i="87" s="1"/>
  <c r="BL333" i="87" s="1"/>
  <c r="BM333" i="87" s="1"/>
  <c r="BN333" i="87" s="1"/>
  <c r="BO333" i="87" s="1"/>
  <c r="BP333" i="87" s="1"/>
  <c r="BQ333" i="87" s="1"/>
  <c r="BR333" i="87" s="1"/>
  <c r="BS333" i="87" s="1"/>
  <c r="BT333" i="87" s="1"/>
  <c r="BU333" i="87" s="1"/>
  <c r="BV333" i="87" s="1"/>
  <c r="BW333" i="87" s="1"/>
  <c r="BX333" i="87" s="1"/>
  <c r="BY333" i="87" s="1"/>
  <c r="BZ333" i="87" s="1"/>
  <c r="CA333" i="87" s="1"/>
  <c r="CB333" i="87" s="1"/>
  <c r="CC333" i="87" s="1"/>
  <c r="CD333" i="87" s="1"/>
  <c r="CE333" i="87" s="1"/>
  <c r="CF333" i="87" s="1"/>
  <c r="CG333" i="87" s="1"/>
  <c r="CH333" i="87" s="1"/>
  <c r="D333" i="87"/>
  <c r="E333" i="87" s="1"/>
  <c r="F333" i="87" s="1"/>
  <c r="G333" i="87" s="1"/>
  <c r="H333" i="87" s="1"/>
  <c r="I333" i="87" s="1"/>
  <c r="J333" i="87" s="1"/>
  <c r="K333" i="87" s="1"/>
  <c r="L333" i="87" s="1"/>
  <c r="M333" i="87" s="1"/>
  <c r="N333" i="87" s="1"/>
  <c r="O333" i="87" s="1"/>
  <c r="P333" i="87" s="1"/>
  <c r="Q333" i="87" s="1"/>
  <c r="R333" i="87" s="1"/>
  <c r="S333" i="87" s="1"/>
  <c r="T333" i="87" s="1"/>
  <c r="U333" i="87" s="1"/>
  <c r="V333" i="87" s="1"/>
  <c r="W333" i="87" s="1"/>
  <c r="X333" i="87" s="1"/>
  <c r="Y333" i="87" s="1"/>
  <c r="Z333" i="87" s="1"/>
  <c r="AA333" i="87" s="1"/>
  <c r="AB333" i="87" s="1"/>
  <c r="AC333" i="87" s="1"/>
  <c r="AD333" i="87" s="1"/>
  <c r="AE333" i="87" s="1"/>
  <c r="AF333" i="87" s="1"/>
  <c r="AG333" i="87" s="1"/>
  <c r="AH333" i="87" s="1"/>
  <c r="AI333" i="87" s="1"/>
  <c r="AJ333" i="87" s="1"/>
  <c r="C333" i="87"/>
  <c r="AL332" i="87"/>
  <c r="AM332" i="87" s="1"/>
  <c r="AN332" i="87" s="1"/>
  <c r="AO332" i="87" s="1"/>
  <c r="AP332" i="87" s="1"/>
  <c r="AQ332" i="87" s="1"/>
  <c r="AR332" i="87" s="1"/>
  <c r="AS332" i="87" s="1"/>
  <c r="AT332" i="87" s="1"/>
  <c r="AU332" i="87" s="1"/>
  <c r="AV332" i="87" s="1"/>
  <c r="AW332" i="87" s="1"/>
  <c r="AX332" i="87" s="1"/>
  <c r="AY332" i="87" s="1"/>
  <c r="AZ332" i="87" s="1"/>
  <c r="BA332" i="87" s="1"/>
  <c r="BB332" i="87" s="1"/>
  <c r="BC332" i="87" s="1"/>
  <c r="BD332" i="87" s="1"/>
  <c r="BE332" i="87" s="1"/>
  <c r="BF332" i="87" s="1"/>
  <c r="BG332" i="87" s="1"/>
  <c r="BH332" i="87" s="1"/>
  <c r="BI332" i="87" s="1"/>
  <c r="BJ332" i="87" s="1"/>
  <c r="BK332" i="87" s="1"/>
  <c r="BL332" i="87" s="1"/>
  <c r="BM332" i="87" s="1"/>
  <c r="BN332" i="87" s="1"/>
  <c r="BO332" i="87" s="1"/>
  <c r="BP332" i="87" s="1"/>
  <c r="BQ332" i="87" s="1"/>
  <c r="BR332" i="87" s="1"/>
  <c r="BS332" i="87" s="1"/>
  <c r="BT332" i="87" s="1"/>
  <c r="BU332" i="87" s="1"/>
  <c r="BV332" i="87" s="1"/>
  <c r="BW332" i="87" s="1"/>
  <c r="BX332" i="87" s="1"/>
  <c r="BY332" i="87" s="1"/>
  <c r="BZ332" i="87" s="1"/>
  <c r="CA332" i="87" s="1"/>
  <c r="CB332" i="87" s="1"/>
  <c r="CC332" i="87" s="1"/>
  <c r="CD332" i="87" s="1"/>
  <c r="CE332" i="87" s="1"/>
  <c r="CF332" i="87" s="1"/>
  <c r="CG332" i="87" s="1"/>
  <c r="CH332" i="87" s="1"/>
  <c r="Y332" i="87"/>
  <c r="Z332" i="87" s="1"/>
  <c r="AA332" i="87" s="1"/>
  <c r="AB332" i="87" s="1"/>
  <c r="AC332" i="87" s="1"/>
  <c r="AD332" i="87" s="1"/>
  <c r="AE332" i="87" s="1"/>
  <c r="AF332" i="87" s="1"/>
  <c r="AG332" i="87" s="1"/>
  <c r="AH332" i="87" s="1"/>
  <c r="AI332" i="87" s="1"/>
  <c r="AJ332" i="87" s="1"/>
  <c r="C332" i="87"/>
  <c r="D332" i="87" s="1"/>
  <c r="E332" i="87" s="1"/>
  <c r="F332" i="87" s="1"/>
  <c r="G332" i="87" s="1"/>
  <c r="H332" i="87" s="1"/>
  <c r="I332" i="87" s="1"/>
  <c r="J332" i="87" s="1"/>
  <c r="K332" i="87" s="1"/>
  <c r="L332" i="87" s="1"/>
  <c r="M332" i="87" s="1"/>
  <c r="N332" i="87" s="1"/>
  <c r="O332" i="87" s="1"/>
  <c r="P332" i="87" s="1"/>
  <c r="Q332" i="87" s="1"/>
  <c r="R332" i="87" s="1"/>
  <c r="S332" i="87" s="1"/>
  <c r="T332" i="87" s="1"/>
  <c r="U332" i="87" s="1"/>
  <c r="V332" i="87" s="1"/>
  <c r="W332" i="87" s="1"/>
  <c r="X332" i="87" s="1"/>
  <c r="AN331" i="87"/>
  <c r="AO331" i="87" s="1"/>
  <c r="AP331" i="87" s="1"/>
  <c r="AQ331" i="87" s="1"/>
  <c r="AR331" i="87" s="1"/>
  <c r="AS331" i="87" s="1"/>
  <c r="AT331" i="87" s="1"/>
  <c r="AU331" i="87" s="1"/>
  <c r="AV331" i="87" s="1"/>
  <c r="AW331" i="87" s="1"/>
  <c r="AX331" i="87" s="1"/>
  <c r="AY331" i="87" s="1"/>
  <c r="AZ331" i="87" s="1"/>
  <c r="BA331" i="87" s="1"/>
  <c r="BB331" i="87" s="1"/>
  <c r="BC331" i="87" s="1"/>
  <c r="BD331" i="87" s="1"/>
  <c r="BE331" i="87" s="1"/>
  <c r="BF331" i="87" s="1"/>
  <c r="BG331" i="87" s="1"/>
  <c r="BH331" i="87" s="1"/>
  <c r="BI331" i="87" s="1"/>
  <c r="BJ331" i="87" s="1"/>
  <c r="BK331" i="87" s="1"/>
  <c r="BL331" i="87" s="1"/>
  <c r="BM331" i="87" s="1"/>
  <c r="BN331" i="87" s="1"/>
  <c r="BO331" i="87" s="1"/>
  <c r="BP331" i="87" s="1"/>
  <c r="BQ331" i="87" s="1"/>
  <c r="BR331" i="87" s="1"/>
  <c r="BS331" i="87" s="1"/>
  <c r="BT331" i="87" s="1"/>
  <c r="BU331" i="87" s="1"/>
  <c r="BV331" i="87" s="1"/>
  <c r="BW331" i="87" s="1"/>
  <c r="BX331" i="87" s="1"/>
  <c r="BY331" i="87" s="1"/>
  <c r="BZ331" i="87" s="1"/>
  <c r="CA331" i="87" s="1"/>
  <c r="CB331" i="87" s="1"/>
  <c r="CC331" i="87" s="1"/>
  <c r="CD331" i="87" s="1"/>
  <c r="CE331" i="87" s="1"/>
  <c r="CF331" i="87" s="1"/>
  <c r="CG331" i="87" s="1"/>
  <c r="CH331" i="87" s="1"/>
  <c r="AL331" i="87"/>
  <c r="AM331" i="87" s="1"/>
  <c r="D331" i="87"/>
  <c r="E331" i="87" s="1"/>
  <c r="F331" i="87" s="1"/>
  <c r="G331" i="87" s="1"/>
  <c r="H331" i="87" s="1"/>
  <c r="I331" i="87" s="1"/>
  <c r="J331" i="87" s="1"/>
  <c r="K331" i="87" s="1"/>
  <c r="L331" i="87" s="1"/>
  <c r="M331" i="87" s="1"/>
  <c r="N331" i="87" s="1"/>
  <c r="O331" i="87" s="1"/>
  <c r="P331" i="87" s="1"/>
  <c r="Q331" i="87" s="1"/>
  <c r="R331" i="87" s="1"/>
  <c r="S331" i="87" s="1"/>
  <c r="T331" i="87" s="1"/>
  <c r="U331" i="87" s="1"/>
  <c r="V331" i="87" s="1"/>
  <c r="W331" i="87" s="1"/>
  <c r="X331" i="87" s="1"/>
  <c r="Y331" i="87" s="1"/>
  <c r="Z331" i="87" s="1"/>
  <c r="AA331" i="87" s="1"/>
  <c r="AB331" i="87" s="1"/>
  <c r="AC331" i="87" s="1"/>
  <c r="AD331" i="87" s="1"/>
  <c r="AE331" i="87" s="1"/>
  <c r="AF331" i="87" s="1"/>
  <c r="AG331" i="87" s="1"/>
  <c r="AH331" i="87" s="1"/>
  <c r="AI331" i="87" s="1"/>
  <c r="AJ331" i="87" s="1"/>
  <c r="AL330" i="87"/>
  <c r="AM330" i="87" s="1"/>
  <c r="AN330" i="87" s="1"/>
  <c r="AO330" i="87" s="1"/>
  <c r="AP330" i="87" s="1"/>
  <c r="AQ330" i="87" s="1"/>
  <c r="AR330" i="87" s="1"/>
  <c r="AS330" i="87" s="1"/>
  <c r="AT330" i="87" s="1"/>
  <c r="AU330" i="87" s="1"/>
  <c r="AV330" i="87" s="1"/>
  <c r="AW330" i="87" s="1"/>
  <c r="AX330" i="87" s="1"/>
  <c r="AY330" i="87" s="1"/>
  <c r="AZ330" i="87" s="1"/>
  <c r="BA330" i="87" s="1"/>
  <c r="BB330" i="87" s="1"/>
  <c r="BC330" i="87" s="1"/>
  <c r="BD330" i="87" s="1"/>
  <c r="BE330" i="87" s="1"/>
  <c r="BF330" i="87" s="1"/>
  <c r="BG330" i="87" s="1"/>
  <c r="BH330" i="87" s="1"/>
  <c r="BI330" i="87" s="1"/>
  <c r="BJ330" i="87" s="1"/>
  <c r="BK330" i="87" s="1"/>
  <c r="BL330" i="87" s="1"/>
  <c r="BM330" i="87" s="1"/>
  <c r="BN330" i="87" s="1"/>
  <c r="BO330" i="87" s="1"/>
  <c r="BP330" i="87" s="1"/>
  <c r="BQ330" i="87" s="1"/>
  <c r="BR330" i="87" s="1"/>
  <c r="BS330" i="87" s="1"/>
  <c r="BT330" i="87" s="1"/>
  <c r="BU330" i="87" s="1"/>
  <c r="BV330" i="87" s="1"/>
  <c r="BW330" i="87" s="1"/>
  <c r="BX330" i="87" s="1"/>
  <c r="BY330" i="87" s="1"/>
  <c r="BZ330" i="87" s="1"/>
  <c r="CA330" i="87" s="1"/>
  <c r="CB330" i="87" s="1"/>
  <c r="CC330" i="87" s="1"/>
  <c r="CD330" i="87" s="1"/>
  <c r="CE330" i="87" s="1"/>
  <c r="CF330" i="87" s="1"/>
  <c r="CG330" i="87" s="1"/>
  <c r="CH330" i="87" s="1"/>
  <c r="C330" i="87"/>
  <c r="D330" i="87" s="1"/>
  <c r="E330" i="87" s="1"/>
  <c r="F330" i="87" s="1"/>
  <c r="G330" i="87" s="1"/>
  <c r="H330" i="87" s="1"/>
  <c r="I330" i="87" s="1"/>
  <c r="J330" i="87" s="1"/>
  <c r="K330" i="87" s="1"/>
  <c r="L330" i="87" s="1"/>
  <c r="M330" i="87" s="1"/>
  <c r="N330" i="87" s="1"/>
  <c r="O330" i="87" s="1"/>
  <c r="P330" i="87" s="1"/>
  <c r="Q330" i="87" s="1"/>
  <c r="R330" i="87" s="1"/>
  <c r="S330" i="87" s="1"/>
  <c r="T330" i="87" s="1"/>
  <c r="U330" i="87" s="1"/>
  <c r="V330" i="87" s="1"/>
  <c r="W330" i="87" s="1"/>
  <c r="X330" i="87" s="1"/>
  <c r="Y330" i="87" s="1"/>
  <c r="Z330" i="87" s="1"/>
  <c r="AA330" i="87" s="1"/>
  <c r="AB330" i="87" s="1"/>
  <c r="AC330" i="87" s="1"/>
  <c r="AD330" i="87" s="1"/>
  <c r="AE330" i="87" s="1"/>
  <c r="AF330" i="87" s="1"/>
  <c r="AG330" i="87" s="1"/>
  <c r="AH330" i="87" s="1"/>
  <c r="AI330" i="87" s="1"/>
  <c r="AJ330" i="87" s="1"/>
  <c r="AL329" i="87"/>
  <c r="AM329" i="87" s="1"/>
  <c r="AN329" i="87" s="1"/>
  <c r="AO329" i="87" s="1"/>
  <c r="AP329" i="87" s="1"/>
  <c r="AQ329" i="87" s="1"/>
  <c r="AR329" i="87" s="1"/>
  <c r="AS329" i="87" s="1"/>
  <c r="AT329" i="87" s="1"/>
  <c r="AU329" i="87" s="1"/>
  <c r="AV329" i="87" s="1"/>
  <c r="AW329" i="87" s="1"/>
  <c r="AX329" i="87" s="1"/>
  <c r="AY329" i="87" s="1"/>
  <c r="AZ329" i="87" s="1"/>
  <c r="BA329" i="87" s="1"/>
  <c r="BB329" i="87" s="1"/>
  <c r="BC329" i="87" s="1"/>
  <c r="BD329" i="87" s="1"/>
  <c r="BE329" i="87" s="1"/>
  <c r="BF329" i="87" s="1"/>
  <c r="BG329" i="87" s="1"/>
  <c r="BH329" i="87" s="1"/>
  <c r="BI329" i="87" s="1"/>
  <c r="BJ329" i="87" s="1"/>
  <c r="BK329" i="87" s="1"/>
  <c r="BL329" i="87" s="1"/>
  <c r="BM329" i="87" s="1"/>
  <c r="BN329" i="87" s="1"/>
  <c r="BO329" i="87" s="1"/>
  <c r="BP329" i="87" s="1"/>
  <c r="BQ329" i="87" s="1"/>
  <c r="BR329" i="87" s="1"/>
  <c r="BS329" i="87" s="1"/>
  <c r="BT329" i="87" s="1"/>
  <c r="BU329" i="87" s="1"/>
  <c r="BV329" i="87" s="1"/>
  <c r="BW329" i="87" s="1"/>
  <c r="BX329" i="87" s="1"/>
  <c r="BY329" i="87" s="1"/>
  <c r="BZ329" i="87" s="1"/>
  <c r="CA329" i="87" s="1"/>
  <c r="CB329" i="87" s="1"/>
  <c r="CC329" i="87" s="1"/>
  <c r="CD329" i="87" s="1"/>
  <c r="CE329" i="87" s="1"/>
  <c r="CF329" i="87" s="1"/>
  <c r="CG329" i="87" s="1"/>
  <c r="CH329" i="87" s="1"/>
  <c r="C329" i="87"/>
  <c r="D329" i="87" s="1"/>
  <c r="E329" i="87" s="1"/>
  <c r="F329" i="87" s="1"/>
  <c r="G329" i="87" s="1"/>
  <c r="H329" i="87" s="1"/>
  <c r="I329" i="87" s="1"/>
  <c r="J329" i="87" s="1"/>
  <c r="K329" i="87" s="1"/>
  <c r="L329" i="87" s="1"/>
  <c r="M329" i="87" s="1"/>
  <c r="N329" i="87" s="1"/>
  <c r="O329" i="87" s="1"/>
  <c r="P329" i="87" s="1"/>
  <c r="Q329" i="87" s="1"/>
  <c r="R329" i="87" s="1"/>
  <c r="S329" i="87" s="1"/>
  <c r="T329" i="87" s="1"/>
  <c r="U329" i="87" s="1"/>
  <c r="V329" i="87" s="1"/>
  <c r="W329" i="87" s="1"/>
  <c r="X329" i="87" s="1"/>
  <c r="Y329" i="87" s="1"/>
  <c r="Z329" i="87" s="1"/>
  <c r="AA329" i="87" s="1"/>
  <c r="AB329" i="87" s="1"/>
  <c r="AC329" i="87" s="1"/>
  <c r="AD329" i="87" s="1"/>
  <c r="AE329" i="87" s="1"/>
  <c r="AF329" i="87" s="1"/>
  <c r="AG329" i="87" s="1"/>
  <c r="AH329" i="87" s="1"/>
  <c r="AI329" i="87" s="1"/>
  <c r="AJ329" i="87" s="1"/>
  <c r="AM328" i="87"/>
  <c r="AN328" i="87" s="1"/>
  <c r="AO328" i="87" s="1"/>
  <c r="AP328" i="87" s="1"/>
  <c r="AQ328" i="87" s="1"/>
  <c r="AR328" i="87" s="1"/>
  <c r="AS328" i="87" s="1"/>
  <c r="AT328" i="87" s="1"/>
  <c r="AU328" i="87" s="1"/>
  <c r="AV328" i="87" s="1"/>
  <c r="AW328" i="87" s="1"/>
  <c r="AX328" i="87" s="1"/>
  <c r="AY328" i="87" s="1"/>
  <c r="AZ328" i="87" s="1"/>
  <c r="BA328" i="87" s="1"/>
  <c r="BB328" i="87" s="1"/>
  <c r="BC328" i="87" s="1"/>
  <c r="BD328" i="87" s="1"/>
  <c r="BE328" i="87" s="1"/>
  <c r="BF328" i="87" s="1"/>
  <c r="BG328" i="87" s="1"/>
  <c r="BH328" i="87" s="1"/>
  <c r="BI328" i="87" s="1"/>
  <c r="BJ328" i="87" s="1"/>
  <c r="BK328" i="87" s="1"/>
  <c r="BL328" i="87" s="1"/>
  <c r="BM328" i="87" s="1"/>
  <c r="BN328" i="87" s="1"/>
  <c r="BO328" i="87" s="1"/>
  <c r="BP328" i="87" s="1"/>
  <c r="BQ328" i="87" s="1"/>
  <c r="BR328" i="87" s="1"/>
  <c r="BS328" i="87" s="1"/>
  <c r="BT328" i="87" s="1"/>
  <c r="BU328" i="87" s="1"/>
  <c r="BV328" i="87" s="1"/>
  <c r="BW328" i="87" s="1"/>
  <c r="BX328" i="87" s="1"/>
  <c r="BY328" i="87" s="1"/>
  <c r="BZ328" i="87" s="1"/>
  <c r="CA328" i="87" s="1"/>
  <c r="CB328" i="87" s="1"/>
  <c r="CC328" i="87" s="1"/>
  <c r="CD328" i="87" s="1"/>
  <c r="CE328" i="87" s="1"/>
  <c r="CF328" i="87" s="1"/>
  <c r="CG328" i="87" s="1"/>
  <c r="CH328" i="87" s="1"/>
  <c r="AL328" i="87"/>
  <c r="C328" i="87"/>
  <c r="D328" i="87" s="1"/>
  <c r="E328" i="87" s="1"/>
  <c r="F328" i="87" s="1"/>
  <c r="G328" i="87" s="1"/>
  <c r="H328" i="87" s="1"/>
  <c r="I328" i="87" s="1"/>
  <c r="J328" i="87" s="1"/>
  <c r="K328" i="87" s="1"/>
  <c r="L328" i="87" s="1"/>
  <c r="M328" i="87" s="1"/>
  <c r="N328" i="87" s="1"/>
  <c r="O328" i="87" s="1"/>
  <c r="P328" i="87" s="1"/>
  <c r="Q328" i="87" s="1"/>
  <c r="R328" i="87" s="1"/>
  <c r="S328" i="87" s="1"/>
  <c r="T328" i="87" s="1"/>
  <c r="U328" i="87" s="1"/>
  <c r="V328" i="87" s="1"/>
  <c r="W328" i="87" s="1"/>
  <c r="X328" i="87" s="1"/>
  <c r="Y328" i="87" s="1"/>
  <c r="Z328" i="87" s="1"/>
  <c r="AA328" i="87" s="1"/>
  <c r="AB328" i="87" s="1"/>
  <c r="AC328" i="87" s="1"/>
  <c r="AD328" i="87" s="1"/>
  <c r="AE328" i="87" s="1"/>
  <c r="AF328" i="87" s="1"/>
  <c r="AG328" i="87" s="1"/>
  <c r="AH328" i="87" s="1"/>
  <c r="AI328" i="87" s="1"/>
  <c r="AJ328" i="87" s="1"/>
  <c r="AM327" i="87"/>
  <c r="AN327" i="87" s="1"/>
  <c r="AO327" i="87" s="1"/>
  <c r="AP327" i="87" s="1"/>
  <c r="AQ327" i="87" s="1"/>
  <c r="AR327" i="87" s="1"/>
  <c r="AS327" i="87" s="1"/>
  <c r="AT327" i="87" s="1"/>
  <c r="AU327" i="87" s="1"/>
  <c r="AV327" i="87" s="1"/>
  <c r="AW327" i="87" s="1"/>
  <c r="AX327" i="87" s="1"/>
  <c r="AY327" i="87" s="1"/>
  <c r="AZ327" i="87" s="1"/>
  <c r="BA327" i="87" s="1"/>
  <c r="BB327" i="87" s="1"/>
  <c r="BC327" i="87" s="1"/>
  <c r="BD327" i="87" s="1"/>
  <c r="BE327" i="87" s="1"/>
  <c r="BF327" i="87" s="1"/>
  <c r="BG327" i="87" s="1"/>
  <c r="BH327" i="87" s="1"/>
  <c r="BI327" i="87" s="1"/>
  <c r="BJ327" i="87" s="1"/>
  <c r="BK327" i="87" s="1"/>
  <c r="BL327" i="87" s="1"/>
  <c r="BM327" i="87" s="1"/>
  <c r="BN327" i="87" s="1"/>
  <c r="BO327" i="87" s="1"/>
  <c r="BP327" i="87" s="1"/>
  <c r="BQ327" i="87" s="1"/>
  <c r="BR327" i="87" s="1"/>
  <c r="BS327" i="87" s="1"/>
  <c r="BT327" i="87" s="1"/>
  <c r="BU327" i="87" s="1"/>
  <c r="BV327" i="87" s="1"/>
  <c r="BW327" i="87" s="1"/>
  <c r="BX327" i="87" s="1"/>
  <c r="BY327" i="87" s="1"/>
  <c r="BZ327" i="87" s="1"/>
  <c r="CA327" i="87" s="1"/>
  <c r="CB327" i="87" s="1"/>
  <c r="CC327" i="87" s="1"/>
  <c r="CD327" i="87" s="1"/>
  <c r="CE327" i="87" s="1"/>
  <c r="CF327" i="87" s="1"/>
  <c r="CG327" i="87" s="1"/>
  <c r="CH327" i="87" s="1"/>
  <c r="AL327" i="87"/>
  <c r="U327" i="87"/>
  <c r="V327" i="87" s="1"/>
  <c r="W327" i="87" s="1"/>
  <c r="X327" i="87" s="1"/>
  <c r="Y327" i="87" s="1"/>
  <c r="Z327" i="87" s="1"/>
  <c r="AA327" i="87" s="1"/>
  <c r="AB327" i="87" s="1"/>
  <c r="AC327" i="87" s="1"/>
  <c r="AD327" i="87" s="1"/>
  <c r="AE327" i="87" s="1"/>
  <c r="AF327" i="87" s="1"/>
  <c r="AG327" i="87" s="1"/>
  <c r="AH327" i="87" s="1"/>
  <c r="AI327" i="87" s="1"/>
  <c r="AJ327" i="87" s="1"/>
  <c r="C327" i="87"/>
  <c r="D327" i="87" s="1"/>
  <c r="E327" i="87" s="1"/>
  <c r="F327" i="87" s="1"/>
  <c r="G327" i="87" s="1"/>
  <c r="H327" i="87" s="1"/>
  <c r="I327" i="87" s="1"/>
  <c r="J327" i="87" s="1"/>
  <c r="K327" i="87" s="1"/>
  <c r="L327" i="87" s="1"/>
  <c r="M327" i="87" s="1"/>
  <c r="N327" i="87" s="1"/>
  <c r="O327" i="87" s="1"/>
  <c r="P327" i="87" s="1"/>
  <c r="Q327" i="87" s="1"/>
  <c r="R327" i="87" s="1"/>
  <c r="S327" i="87" s="1"/>
  <c r="T327" i="87" s="1"/>
  <c r="AO326" i="87"/>
  <c r="AP326" i="87" s="1"/>
  <c r="AQ326" i="87" s="1"/>
  <c r="AR326" i="87" s="1"/>
  <c r="AS326" i="87" s="1"/>
  <c r="AT326" i="87" s="1"/>
  <c r="AU326" i="87" s="1"/>
  <c r="AV326" i="87" s="1"/>
  <c r="AW326" i="87" s="1"/>
  <c r="AX326" i="87" s="1"/>
  <c r="AY326" i="87" s="1"/>
  <c r="AZ326" i="87" s="1"/>
  <c r="BA326" i="87" s="1"/>
  <c r="BB326" i="87" s="1"/>
  <c r="BC326" i="87" s="1"/>
  <c r="BD326" i="87" s="1"/>
  <c r="BE326" i="87" s="1"/>
  <c r="BF326" i="87" s="1"/>
  <c r="BG326" i="87" s="1"/>
  <c r="BH326" i="87" s="1"/>
  <c r="BI326" i="87" s="1"/>
  <c r="BJ326" i="87" s="1"/>
  <c r="BK326" i="87" s="1"/>
  <c r="BL326" i="87" s="1"/>
  <c r="BM326" i="87" s="1"/>
  <c r="BN326" i="87" s="1"/>
  <c r="BO326" i="87" s="1"/>
  <c r="BP326" i="87" s="1"/>
  <c r="BQ326" i="87" s="1"/>
  <c r="BR326" i="87" s="1"/>
  <c r="BS326" i="87" s="1"/>
  <c r="BT326" i="87" s="1"/>
  <c r="BU326" i="87" s="1"/>
  <c r="BV326" i="87" s="1"/>
  <c r="BW326" i="87" s="1"/>
  <c r="BX326" i="87" s="1"/>
  <c r="BY326" i="87" s="1"/>
  <c r="BZ326" i="87" s="1"/>
  <c r="CA326" i="87" s="1"/>
  <c r="CB326" i="87" s="1"/>
  <c r="CC326" i="87" s="1"/>
  <c r="CD326" i="87" s="1"/>
  <c r="CE326" i="87" s="1"/>
  <c r="CF326" i="87" s="1"/>
  <c r="CG326" i="87" s="1"/>
  <c r="CH326" i="87" s="1"/>
  <c r="AM326" i="87"/>
  <c r="AN326" i="87" s="1"/>
  <c r="AL326" i="87"/>
  <c r="C326" i="87"/>
  <c r="D326" i="87" s="1"/>
  <c r="E326" i="87" s="1"/>
  <c r="F326" i="87" s="1"/>
  <c r="G326" i="87" s="1"/>
  <c r="H326" i="87" s="1"/>
  <c r="I326" i="87" s="1"/>
  <c r="J326" i="87" s="1"/>
  <c r="K326" i="87" s="1"/>
  <c r="L326" i="87" s="1"/>
  <c r="M326" i="87" s="1"/>
  <c r="N326" i="87" s="1"/>
  <c r="O326" i="87" s="1"/>
  <c r="P326" i="87" s="1"/>
  <c r="Q326" i="87" s="1"/>
  <c r="R326" i="87" s="1"/>
  <c r="S326" i="87" s="1"/>
  <c r="T326" i="87" s="1"/>
  <c r="U326" i="87" s="1"/>
  <c r="V326" i="87" s="1"/>
  <c r="W326" i="87" s="1"/>
  <c r="X326" i="87" s="1"/>
  <c r="Y326" i="87" s="1"/>
  <c r="Z326" i="87" s="1"/>
  <c r="AA326" i="87" s="1"/>
  <c r="AB326" i="87" s="1"/>
  <c r="AC326" i="87" s="1"/>
  <c r="AD326" i="87" s="1"/>
  <c r="AE326" i="87" s="1"/>
  <c r="AF326" i="87" s="1"/>
  <c r="AG326" i="87" s="1"/>
  <c r="AH326" i="87" s="1"/>
  <c r="AI326" i="87" s="1"/>
  <c r="AJ326" i="87" s="1"/>
  <c r="AL325" i="87"/>
  <c r="AM325" i="87" s="1"/>
  <c r="AN325" i="87" s="1"/>
  <c r="AO325" i="87" s="1"/>
  <c r="AP325" i="87" s="1"/>
  <c r="AQ325" i="87" s="1"/>
  <c r="AR325" i="87" s="1"/>
  <c r="AS325" i="87" s="1"/>
  <c r="AT325" i="87" s="1"/>
  <c r="AU325" i="87" s="1"/>
  <c r="AV325" i="87" s="1"/>
  <c r="AW325" i="87" s="1"/>
  <c r="AX325" i="87" s="1"/>
  <c r="AY325" i="87" s="1"/>
  <c r="AZ325" i="87" s="1"/>
  <c r="BA325" i="87" s="1"/>
  <c r="BB325" i="87" s="1"/>
  <c r="BC325" i="87" s="1"/>
  <c r="BD325" i="87" s="1"/>
  <c r="BE325" i="87" s="1"/>
  <c r="BF325" i="87" s="1"/>
  <c r="BG325" i="87" s="1"/>
  <c r="BH325" i="87" s="1"/>
  <c r="BI325" i="87" s="1"/>
  <c r="BJ325" i="87" s="1"/>
  <c r="BK325" i="87" s="1"/>
  <c r="BL325" i="87" s="1"/>
  <c r="BM325" i="87" s="1"/>
  <c r="BN325" i="87" s="1"/>
  <c r="BO325" i="87" s="1"/>
  <c r="BP325" i="87" s="1"/>
  <c r="BQ325" i="87" s="1"/>
  <c r="BR325" i="87" s="1"/>
  <c r="BS325" i="87" s="1"/>
  <c r="BT325" i="87" s="1"/>
  <c r="BU325" i="87" s="1"/>
  <c r="BV325" i="87" s="1"/>
  <c r="BW325" i="87" s="1"/>
  <c r="BX325" i="87" s="1"/>
  <c r="BY325" i="87" s="1"/>
  <c r="BZ325" i="87" s="1"/>
  <c r="CA325" i="87" s="1"/>
  <c r="CB325" i="87" s="1"/>
  <c r="CC325" i="87" s="1"/>
  <c r="CD325" i="87" s="1"/>
  <c r="CE325" i="87" s="1"/>
  <c r="CF325" i="87" s="1"/>
  <c r="CG325" i="87" s="1"/>
  <c r="CH325" i="87" s="1"/>
  <c r="C325" i="87"/>
  <c r="D325" i="87" s="1"/>
  <c r="E325" i="87" s="1"/>
  <c r="F325" i="87" s="1"/>
  <c r="G325" i="87" s="1"/>
  <c r="H325" i="87" s="1"/>
  <c r="I325" i="87" s="1"/>
  <c r="J325" i="87" s="1"/>
  <c r="K325" i="87" s="1"/>
  <c r="L325" i="87" s="1"/>
  <c r="M325" i="87" s="1"/>
  <c r="N325" i="87" s="1"/>
  <c r="O325" i="87" s="1"/>
  <c r="P325" i="87" s="1"/>
  <c r="Q325" i="87" s="1"/>
  <c r="R325" i="87" s="1"/>
  <c r="S325" i="87" s="1"/>
  <c r="T325" i="87" s="1"/>
  <c r="U325" i="87" s="1"/>
  <c r="V325" i="87" s="1"/>
  <c r="W325" i="87" s="1"/>
  <c r="X325" i="87" s="1"/>
  <c r="Y325" i="87" s="1"/>
  <c r="Z325" i="87" s="1"/>
  <c r="AA325" i="87" s="1"/>
  <c r="AB325" i="87" s="1"/>
  <c r="AC325" i="87" s="1"/>
  <c r="AD325" i="87" s="1"/>
  <c r="AE325" i="87" s="1"/>
  <c r="AF325" i="87" s="1"/>
  <c r="AG325" i="87" s="1"/>
  <c r="AH325" i="87" s="1"/>
  <c r="AI325" i="87" s="1"/>
  <c r="AJ325" i="87" s="1"/>
  <c r="AL324" i="87"/>
  <c r="AM324" i="87" s="1"/>
  <c r="AN324" i="87" s="1"/>
  <c r="AO324" i="87" s="1"/>
  <c r="AP324" i="87" s="1"/>
  <c r="AQ324" i="87" s="1"/>
  <c r="AR324" i="87" s="1"/>
  <c r="AS324" i="87" s="1"/>
  <c r="AT324" i="87" s="1"/>
  <c r="AU324" i="87" s="1"/>
  <c r="AV324" i="87" s="1"/>
  <c r="AW324" i="87" s="1"/>
  <c r="AX324" i="87" s="1"/>
  <c r="AY324" i="87" s="1"/>
  <c r="AZ324" i="87" s="1"/>
  <c r="BA324" i="87" s="1"/>
  <c r="BB324" i="87" s="1"/>
  <c r="BC324" i="87" s="1"/>
  <c r="BD324" i="87" s="1"/>
  <c r="BE324" i="87" s="1"/>
  <c r="BF324" i="87" s="1"/>
  <c r="BG324" i="87" s="1"/>
  <c r="BH324" i="87" s="1"/>
  <c r="BI324" i="87" s="1"/>
  <c r="BJ324" i="87" s="1"/>
  <c r="BK324" i="87" s="1"/>
  <c r="BL324" i="87" s="1"/>
  <c r="BM324" i="87" s="1"/>
  <c r="BN324" i="87" s="1"/>
  <c r="BO324" i="87" s="1"/>
  <c r="BP324" i="87" s="1"/>
  <c r="BQ324" i="87" s="1"/>
  <c r="BR324" i="87" s="1"/>
  <c r="BS324" i="87" s="1"/>
  <c r="BT324" i="87" s="1"/>
  <c r="BU324" i="87" s="1"/>
  <c r="BV324" i="87" s="1"/>
  <c r="BW324" i="87" s="1"/>
  <c r="BX324" i="87" s="1"/>
  <c r="BY324" i="87" s="1"/>
  <c r="BZ324" i="87" s="1"/>
  <c r="CA324" i="87" s="1"/>
  <c r="CB324" i="87" s="1"/>
  <c r="CC324" i="87" s="1"/>
  <c r="CD324" i="87" s="1"/>
  <c r="CE324" i="87" s="1"/>
  <c r="CF324" i="87" s="1"/>
  <c r="CG324" i="87" s="1"/>
  <c r="CH324" i="87" s="1"/>
  <c r="P324" i="87"/>
  <c r="Q324" i="87" s="1"/>
  <c r="R324" i="87" s="1"/>
  <c r="S324" i="87" s="1"/>
  <c r="T324" i="87" s="1"/>
  <c r="U324" i="87" s="1"/>
  <c r="V324" i="87" s="1"/>
  <c r="W324" i="87" s="1"/>
  <c r="X324" i="87" s="1"/>
  <c r="Y324" i="87" s="1"/>
  <c r="Z324" i="87" s="1"/>
  <c r="AA324" i="87" s="1"/>
  <c r="AB324" i="87" s="1"/>
  <c r="AC324" i="87" s="1"/>
  <c r="AD324" i="87" s="1"/>
  <c r="AE324" i="87" s="1"/>
  <c r="AF324" i="87" s="1"/>
  <c r="AG324" i="87" s="1"/>
  <c r="AH324" i="87" s="1"/>
  <c r="AI324" i="87" s="1"/>
  <c r="AJ324" i="87" s="1"/>
  <c r="C324" i="87"/>
  <c r="D324" i="87" s="1"/>
  <c r="E324" i="87" s="1"/>
  <c r="F324" i="87" s="1"/>
  <c r="G324" i="87" s="1"/>
  <c r="H324" i="87" s="1"/>
  <c r="I324" i="87" s="1"/>
  <c r="J324" i="87" s="1"/>
  <c r="K324" i="87" s="1"/>
  <c r="L324" i="87" s="1"/>
  <c r="M324" i="87" s="1"/>
  <c r="N324" i="87" s="1"/>
  <c r="O324" i="87" s="1"/>
  <c r="AM323" i="87"/>
  <c r="AN323" i="87" s="1"/>
  <c r="AO323" i="87" s="1"/>
  <c r="AP323" i="87" s="1"/>
  <c r="AQ323" i="87" s="1"/>
  <c r="AR323" i="87" s="1"/>
  <c r="AS323" i="87" s="1"/>
  <c r="AT323" i="87" s="1"/>
  <c r="AU323" i="87" s="1"/>
  <c r="AV323" i="87" s="1"/>
  <c r="AW323" i="87" s="1"/>
  <c r="AX323" i="87" s="1"/>
  <c r="AY323" i="87" s="1"/>
  <c r="AZ323" i="87" s="1"/>
  <c r="BA323" i="87" s="1"/>
  <c r="BB323" i="87" s="1"/>
  <c r="BC323" i="87" s="1"/>
  <c r="BD323" i="87" s="1"/>
  <c r="BE323" i="87" s="1"/>
  <c r="BF323" i="87" s="1"/>
  <c r="BG323" i="87" s="1"/>
  <c r="BH323" i="87" s="1"/>
  <c r="BI323" i="87" s="1"/>
  <c r="BJ323" i="87" s="1"/>
  <c r="BK323" i="87" s="1"/>
  <c r="BL323" i="87" s="1"/>
  <c r="BM323" i="87" s="1"/>
  <c r="BN323" i="87" s="1"/>
  <c r="BO323" i="87" s="1"/>
  <c r="BP323" i="87" s="1"/>
  <c r="BQ323" i="87" s="1"/>
  <c r="BR323" i="87" s="1"/>
  <c r="BS323" i="87" s="1"/>
  <c r="BT323" i="87" s="1"/>
  <c r="BU323" i="87" s="1"/>
  <c r="BV323" i="87" s="1"/>
  <c r="BW323" i="87" s="1"/>
  <c r="BX323" i="87" s="1"/>
  <c r="BY323" i="87" s="1"/>
  <c r="BZ323" i="87" s="1"/>
  <c r="CA323" i="87" s="1"/>
  <c r="CB323" i="87" s="1"/>
  <c r="CC323" i="87" s="1"/>
  <c r="CD323" i="87" s="1"/>
  <c r="CE323" i="87" s="1"/>
  <c r="CF323" i="87" s="1"/>
  <c r="CG323" i="87" s="1"/>
  <c r="CH323" i="87" s="1"/>
  <c r="AL323" i="87"/>
  <c r="C323" i="87"/>
  <c r="D323" i="87" s="1"/>
  <c r="E323" i="87" s="1"/>
  <c r="F323" i="87" s="1"/>
  <c r="G323" i="87" s="1"/>
  <c r="H323" i="87" s="1"/>
  <c r="I323" i="87" s="1"/>
  <c r="J323" i="87" s="1"/>
  <c r="K323" i="87" s="1"/>
  <c r="L323" i="87" s="1"/>
  <c r="M323" i="87" s="1"/>
  <c r="N323" i="87" s="1"/>
  <c r="O323" i="87" s="1"/>
  <c r="P323" i="87" s="1"/>
  <c r="Q323" i="87" s="1"/>
  <c r="R323" i="87" s="1"/>
  <c r="S323" i="87" s="1"/>
  <c r="T323" i="87" s="1"/>
  <c r="U323" i="87" s="1"/>
  <c r="V323" i="87" s="1"/>
  <c r="W323" i="87" s="1"/>
  <c r="X323" i="87" s="1"/>
  <c r="Y323" i="87" s="1"/>
  <c r="Z323" i="87" s="1"/>
  <c r="AA323" i="87" s="1"/>
  <c r="AB323" i="87" s="1"/>
  <c r="AC323" i="87" s="1"/>
  <c r="AD323" i="87" s="1"/>
  <c r="AE323" i="87" s="1"/>
  <c r="AF323" i="87" s="1"/>
  <c r="AG323" i="87" s="1"/>
  <c r="AH323" i="87" s="1"/>
  <c r="AI323" i="87" s="1"/>
  <c r="AJ323" i="87" s="1"/>
  <c r="AL322" i="87"/>
  <c r="AM322" i="87" s="1"/>
  <c r="AN322" i="87" s="1"/>
  <c r="AO322" i="87" s="1"/>
  <c r="AP322" i="87" s="1"/>
  <c r="AQ322" i="87" s="1"/>
  <c r="AR322" i="87" s="1"/>
  <c r="AS322" i="87" s="1"/>
  <c r="AT322" i="87" s="1"/>
  <c r="AU322" i="87" s="1"/>
  <c r="AV322" i="87" s="1"/>
  <c r="AW322" i="87" s="1"/>
  <c r="AX322" i="87" s="1"/>
  <c r="AY322" i="87" s="1"/>
  <c r="AZ322" i="87" s="1"/>
  <c r="BA322" i="87" s="1"/>
  <c r="BB322" i="87" s="1"/>
  <c r="BC322" i="87" s="1"/>
  <c r="BD322" i="87" s="1"/>
  <c r="BE322" i="87" s="1"/>
  <c r="BF322" i="87" s="1"/>
  <c r="BG322" i="87" s="1"/>
  <c r="BH322" i="87" s="1"/>
  <c r="BI322" i="87" s="1"/>
  <c r="BJ322" i="87" s="1"/>
  <c r="BK322" i="87" s="1"/>
  <c r="BL322" i="87" s="1"/>
  <c r="BM322" i="87" s="1"/>
  <c r="BN322" i="87" s="1"/>
  <c r="BO322" i="87" s="1"/>
  <c r="BP322" i="87" s="1"/>
  <c r="BQ322" i="87" s="1"/>
  <c r="BR322" i="87" s="1"/>
  <c r="BS322" i="87" s="1"/>
  <c r="BT322" i="87" s="1"/>
  <c r="BU322" i="87" s="1"/>
  <c r="BV322" i="87" s="1"/>
  <c r="BW322" i="87" s="1"/>
  <c r="BX322" i="87" s="1"/>
  <c r="BY322" i="87" s="1"/>
  <c r="BZ322" i="87" s="1"/>
  <c r="CA322" i="87" s="1"/>
  <c r="CB322" i="87" s="1"/>
  <c r="CC322" i="87" s="1"/>
  <c r="CD322" i="87" s="1"/>
  <c r="CE322" i="87" s="1"/>
  <c r="CF322" i="87" s="1"/>
  <c r="CG322" i="87" s="1"/>
  <c r="CH322" i="87" s="1"/>
  <c r="D322" i="87"/>
  <c r="E322" i="87" s="1"/>
  <c r="F322" i="87" s="1"/>
  <c r="G322" i="87" s="1"/>
  <c r="H322" i="87" s="1"/>
  <c r="I322" i="87" s="1"/>
  <c r="J322" i="87" s="1"/>
  <c r="K322" i="87" s="1"/>
  <c r="L322" i="87" s="1"/>
  <c r="M322" i="87" s="1"/>
  <c r="N322" i="87" s="1"/>
  <c r="O322" i="87" s="1"/>
  <c r="P322" i="87" s="1"/>
  <c r="Q322" i="87" s="1"/>
  <c r="R322" i="87" s="1"/>
  <c r="S322" i="87" s="1"/>
  <c r="T322" i="87" s="1"/>
  <c r="U322" i="87" s="1"/>
  <c r="V322" i="87" s="1"/>
  <c r="W322" i="87" s="1"/>
  <c r="X322" i="87" s="1"/>
  <c r="Y322" i="87" s="1"/>
  <c r="Z322" i="87" s="1"/>
  <c r="AA322" i="87" s="1"/>
  <c r="AB322" i="87" s="1"/>
  <c r="AC322" i="87" s="1"/>
  <c r="AD322" i="87" s="1"/>
  <c r="AE322" i="87" s="1"/>
  <c r="AF322" i="87" s="1"/>
  <c r="AG322" i="87" s="1"/>
  <c r="AH322" i="87" s="1"/>
  <c r="AI322" i="87" s="1"/>
  <c r="AJ322" i="87" s="1"/>
  <c r="AL321" i="87"/>
  <c r="AM321" i="87" s="1"/>
  <c r="AN321" i="87" s="1"/>
  <c r="AO321" i="87" s="1"/>
  <c r="AP321" i="87" s="1"/>
  <c r="AQ321" i="87" s="1"/>
  <c r="AR321" i="87" s="1"/>
  <c r="AS321" i="87" s="1"/>
  <c r="AT321" i="87" s="1"/>
  <c r="AU321" i="87" s="1"/>
  <c r="AV321" i="87" s="1"/>
  <c r="AW321" i="87" s="1"/>
  <c r="AX321" i="87" s="1"/>
  <c r="AY321" i="87" s="1"/>
  <c r="AZ321" i="87" s="1"/>
  <c r="BA321" i="87" s="1"/>
  <c r="BB321" i="87" s="1"/>
  <c r="BC321" i="87" s="1"/>
  <c r="BD321" i="87" s="1"/>
  <c r="BE321" i="87" s="1"/>
  <c r="BF321" i="87" s="1"/>
  <c r="BG321" i="87" s="1"/>
  <c r="BH321" i="87" s="1"/>
  <c r="BI321" i="87" s="1"/>
  <c r="BJ321" i="87" s="1"/>
  <c r="BK321" i="87" s="1"/>
  <c r="BL321" i="87" s="1"/>
  <c r="BM321" i="87" s="1"/>
  <c r="BN321" i="87" s="1"/>
  <c r="BO321" i="87" s="1"/>
  <c r="BP321" i="87" s="1"/>
  <c r="BQ321" i="87" s="1"/>
  <c r="BR321" i="87" s="1"/>
  <c r="BS321" i="87" s="1"/>
  <c r="BT321" i="87" s="1"/>
  <c r="BU321" i="87" s="1"/>
  <c r="BV321" i="87" s="1"/>
  <c r="BW321" i="87" s="1"/>
  <c r="BX321" i="87" s="1"/>
  <c r="BY321" i="87" s="1"/>
  <c r="BZ321" i="87" s="1"/>
  <c r="CA321" i="87" s="1"/>
  <c r="CB321" i="87" s="1"/>
  <c r="CC321" i="87" s="1"/>
  <c r="CD321" i="87" s="1"/>
  <c r="CE321" i="87" s="1"/>
  <c r="CF321" i="87" s="1"/>
  <c r="CG321" i="87" s="1"/>
  <c r="CH321" i="87" s="1"/>
  <c r="C321" i="87"/>
  <c r="D321" i="87" s="1"/>
  <c r="E321" i="87" s="1"/>
  <c r="F321" i="87" s="1"/>
  <c r="G321" i="87" s="1"/>
  <c r="H321" i="87" s="1"/>
  <c r="I321" i="87" s="1"/>
  <c r="J321" i="87" s="1"/>
  <c r="K321" i="87" s="1"/>
  <c r="L321" i="87" s="1"/>
  <c r="M321" i="87" s="1"/>
  <c r="N321" i="87" s="1"/>
  <c r="O321" i="87" s="1"/>
  <c r="P321" i="87" s="1"/>
  <c r="Q321" i="87" s="1"/>
  <c r="R321" i="87" s="1"/>
  <c r="S321" i="87" s="1"/>
  <c r="T321" i="87" s="1"/>
  <c r="U321" i="87" s="1"/>
  <c r="V321" i="87" s="1"/>
  <c r="W321" i="87" s="1"/>
  <c r="X321" i="87" s="1"/>
  <c r="Y321" i="87" s="1"/>
  <c r="Z321" i="87" s="1"/>
  <c r="AA321" i="87" s="1"/>
  <c r="AB321" i="87" s="1"/>
  <c r="AC321" i="87" s="1"/>
  <c r="AD321" i="87" s="1"/>
  <c r="AE321" i="87" s="1"/>
  <c r="AF321" i="87" s="1"/>
  <c r="AG321" i="87" s="1"/>
  <c r="AH321" i="87" s="1"/>
  <c r="AI321" i="87" s="1"/>
  <c r="AJ321" i="87" s="1"/>
  <c r="AL320" i="87"/>
  <c r="AM320" i="87" s="1"/>
  <c r="AN320" i="87" s="1"/>
  <c r="AO320" i="87" s="1"/>
  <c r="AP320" i="87" s="1"/>
  <c r="AQ320" i="87" s="1"/>
  <c r="AR320" i="87" s="1"/>
  <c r="AS320" i="87" s="1"/>
  <c r="AT320" i="87" s="1"/>
  <c r="AU320" i="87" s="1"/>
  <c r="AV320" i="87" s="1"/>
  <c r="AW320" i="87" s="1"/>
  <c r="AX320" i="87" s="1"/>
  <c r="AY320" i="87" s="1"/>
  <c r="AZ320" i="87" s="1"/>
  <c r="BA320" i="87" s="1"/>
  <c r="BB320" i="87" s="1"/>
  <c r="BC320" i="87" s="1"/>
  <c r="BD320" i="87" s="1"/>
  <c r="BE320" i="87" s="1"/>
  <c r="BF320" i="87" s="1"/>
  <c r="BG320" i="87" s="1"/>
  <c r="BH320" i="87" s="1"/>
  <c r="BI320" i="87" s="1"/>
  <c r="BJ320" i="87" s="1"/>
  <c r="BK320" i="87" s="1"/>
  <c r="BL320" i="87" s="1"/>
  <c r="BM320" i="87" s="1"/>
  <c r="BN320" i="87" s="1"/>
  <c r="BO320" i="87" s="1"/>
  <c r="BP320" i="87" s="1"/>
  <c r="BQ320" i="87" s="1"/>
  <c r="BR320" i="87" s="1"/>
  <c r="BS320" i="87" s="1"/>
  <c r="BT320" i="87" s="1"/>
  <c r="BU320" i="87" s="1"/>
  <c r="BV320" i="87" s="1"/>
  <c r="BW320" i="87" s="1"/>
  <c r="BX320" i="87" s="1"/>
  <c r="BY320" i="87" s="1"/>
  <c r="BZ320" i="87" s="1"/>
  <c r="CA320" i="87" s="1"/>
  <c r="CB320" i="87" s="1"/>
  <c r="CC320" i="87" s="1"/>
  <c r="CD320" i="87" s="1"/>
  <c r="CE320" i="87" s="1"/>
  <c r="CF320" i="87" s="1"/>
  <c r="CG320" i="87" s="1"/>
  <c r="CH320" i="87" s="1"/>
  <c r="C320" i="87"/>
  <c r="D320" i="87" s="1"/>
  <c r="E320" i="87" s="1"/>
  <c r="F320" i="87" s="1"/>
  <c r="G320" i="87" s="1"/>
  <c r="H320" i="87" s="1"/>
  <c r="I320" i="87" s="1"/>
  <c r="J320" i="87" s="1"/>
  <c r="K320" i="87" s="1"/>
  <c r="L320" i="87" s="1"/>
  <c r="M320" i="87" s="1"/>
  <c r="N320" i="87" s="1"/>
  <c r="O320" i="87" s="1"/>
  <c r="P320" i="87" s="1"/>
  <c r="Q320" i="87" s="1"/>
  <c r="R320" i="87" s="1"/>
  <c r="S320" i="87" s="1"/>
  <c r="T320" i="87" s="1"/>
  <c r="U320" i="87" s="1"/>
  <c r="V320" i="87" s="1"/>
  <c r="W320" i="87" s="1"/>
  <c r="X320" i="87" s="1"/>
  <c r="Y320" i="87" s="1"/>
  <c r="Z320" i="87" s="1"/>
  <c r="AA320" i="87" s="1"/>
  <c r="AB320" i="87" s="1"/>
  <c r="AC320" i="87" s="1"/>
  <c r="AD320" i="87" s="1"/>
  <c r="AE320" i="87" s="1"/>
  <c r="AF320" i="87" s="1"/>
  <c r="AG320" i="87" s="1"/>
  <c r="AH320" i="87" s="1"/>
  <c r="AI320" i="87" s="1"/>
  <c r="AJ320" i="87" s="1"/>
  <c r="AL319" i="87"/>
  <c r="AM319" i="87" s="1"/>
  <c r="AN319" i="87" s="1"/>
  <c r="AO319" i="87" s="1"/>
  <c r="AP319" i="87" s="1"/>
  <c r="AQ319" i="87" s="1"/>
  <c r="AR319" i="87" s="1"/>
  <c r="AS319" i="87" s="1"/>
  <c r="AT319" i="87" s="1"/>
  <c r="AU319" i="87" s="1"/>
  <c r="AV319" i="87" s="1"/>
  <c r="AW319" i="87" s="1"/>
  <c r="AX319" i="87" s="1"/>
  <c r="AY319" i="87" s="1"/>
  <c r="AZ319" i="87" s="1"/>
  <c r="BA319" i="87" s="1"/>
  <c r="BB319" i="87" s="1"/>
  <c r="BC319" i="87" s="1"/>
  <c r="BD319" i="87" s="1"/>
  <c r="BE319" i="87" s="1"/>
  <c r="BF319" i="87" s="1"/>
  <c r="BG319" i="87" s="1"/>
  <c r="BH319" i="87" s="1"/>
  <c r="BI319" i="87" s="1"/>
  <c r="BJ319" i="87" s="1"/>
  <c r="BK319" i="87" s="1"/>
  <c r="BL319" i="87" s="1"/>
  <c r="BM319" i="87" s="1"/>
  <c r="BN319" i="87" s="1"/>
  <c r="BO319" i="87" s="1"/>
  <c r="BP319" i="87" s="1"/>
  <c r="BQ319" i="87" s="1"/>
  <c r="BR319" i="87" s="1"/>
  <c r="BS319" i="87" s="1"/>
  <c r="BT319" i="87" s="1"/>
  <c r="BU319" i="87" s="1"/>
  <c r="BV319" i="87" s="1"/>
  <c r="BW319" i="87" s="1"/>
  <c r="BX319" i="87" s="1"/>
  <c r="BY319" i="87" s="1"/>
  <c r="BZ319" i="87" s="1"/>
  <c r="CA319" i="87" s="1"/>
  <c r="CB319" i="87" s="1"/>
  <c r="CC319" i="87" s="1"/>
  <c r="CD319" i="87" s="1"/>
  <c r="CE319" i="87" s="1"/>
  <c r="CF319" i="87" s="1"/>
  <c r="CG319" i="87" s="1"/>
  <c r="CH319" i="87" s="1"/>
  <c r="C319" i="87"/>
  <c r="D319" i="87" s="1"/>
  <c r="E319" i="87" s="1"/>
  <c r="F319" i="87" s="1"/>
  <c r="G319" i="87" s="1"/>
  <c r="H319" i="87" s="1"/>
  <c r="I319" i="87" s="1"/>
  <c r="J319" i="87" s="1"/>
  <c r="K319" i="87" s="1"/>
  <c r="L319" i="87" s="1"/>
  <c r="M319" i="87" s="1"/>
  <c r="N319" i="87" s="1"/>
  <c r="O319" i="87" s="1"/>
  <c r="P319" i="87" s="1"/>
  <c r="Q319" i="87" s="1"/>
  <c r="R319" i="87" s="1"/>
  <c r="S319" i="87" s="1"/>
  <c r="T319" i="87" s="1"/>
  <c r="U319" i="87" s="1"/>
  <c r="V319" i="87" s="1"/>
  <c r="W319" i="87" s="1"/>
  <c r="X319" i="87" s="1"/>
  <c r="Y319" i="87" s="1"/>
  <c r="Z319" i="87" s="1"/>
  <c r="AA319" i="87" s="1"/>
  <c r="AB319" i="87" s="1"/>
  <c r="AC319" i="87" s="1"/>
  <c r="AD319" i="87" s="1"/>
  <c r="AE319" i="87" s="1"/>
  <c r="AF319" i="87" s="1"/>
  <c r="AG319" i="87" s="1"/>
  <c r="AH319" i="87" s="1"/>
  <c r="AI319" i="87" s="1"/>
  <c r="AJ319" i="87" s="1"/>
  <c r="AL318" i="87"/>
  <c r="AM318" i="87" s="1"/>
  <c r="AN318" i="87" s="1"/>
  <c r="AO318" i="87" s="1"/>
  <c r="AP318" i="87" s="1"/>
  <c r="AQ318" i="87" s="1"/>
  <c r="AR318" i="87" s="1"/>
  <c r="AS318" i="87" s="1"/>
  <c r="AT318" i="87" s="1"/>
  <c r="AU318" i="87" s="1"/>
  <c r="AV318" i="87" s="1"/>
  <c r="AW318" i="87" s="1"/>
  <c r="AX318" i="87" s="1"/>
  <c r="AY318" i="87" s="1"/>
  <c r="AZ318" i="87" s="1"/>
  <c r="BA318" i="87" s="1"/>
  <c r="BB318" i="87" s="1"/>
  <c r="BC318" i="87" s="1"/>
  <c r="BD318" i="87" s="1"/>
  <c r="BE318" i="87" s="1"/>
  <c r="BF318" i="87" s="1"/>
  <c r="BG318" i="87" s="1"/>
  <c r="BH318" i="87" s="1"/>
  <c r="BI318" i="87" s="1"/>
  <c r="BJ318" i="87" s="1"/>
  <c r="BK318" i="87" s="1"/>
  <c r="BL318" i="87" s="1"/>
  <c r="BM318" i="87" s="1"/>
  <c r="BN318" i="87" s="1"/>
  <c r="BO318" i="87" s="1"/>
  <c r="BP318" i="87" s="1"/>
  <c r="BQ318" i="87" s="1"/>
  <c r="BR318" i="87" s="1"/>
  <c r="BS318" i="87" s="1"/>
  <c r="BT318" i="87" s="1"/>
  <c r="BU318" i="87" s="1"/>
  <c r="BV318" i="87" s="1"/>
  <c r="BW318" i="87" s="1"/>
  <c r="BX318" i="87" s="1"/>
  <c r="BY318" i="87" s="1"/>
  <c r="BZ318" i="87" s="1"/>
  <c r="CA318" i="87" s="1"/>
  <c r="CB318" i="87" s="1"/>
  <c r="CC318" i="87" s="1"/>
  <c r="CD318" i="87" s="1"/>
  <c r="CE318" i="87" s="1"/>
  <c r="CF318" i="87" s="1"/>
  <c r="CG318" i="87" s="1"/>
  <c r="CH318" i="87" s="1"/>
  <c r="D318" i="87"/>
  <c r="E318" i="87" s="1"/>
  <c r="F318" i="87" s="1"/>
  <c r="G318" i="87" s="1"/>
  <c r="H318" i="87" s="1"/>
  <c r="I318" i="87" s="1"/>
  <c r="J318" i="87" s="1"/>
  <c r="K318" i="87" s="1"/>
  <c r="L318" i="87" s="1"/>
  <c r="M318" i="87" s="1"/>
  <c r="N318" i="87" s="1"/>
  <c r="O318" i="87" s="1"/>
  <c r="P318" i="87" s="1"/>
  <c r="Q318" i="87" s="1"/>
  <c r="R318" i="87" s="1"/>
  <c r="S318" i="87" s="1"/>
  <c r="T318" i="87" s="1"/>
  <c r="U318" i="87" s="1"/>
  <c r="V318" i="87" s="1"/>
  <c r="W318" i="87" s="1"/>
  <c r="X318" i="87" s="1"/>
  <c r="Y318" i="87" s="1"/>
  <c r="Z318" i="87" s="1"/>
  <c r="AA318" i="87" s="1"/>
  <c r="AB318" i="87" s="1"/>
  <c r="AC318" i="87" s="1"/>
  <c r="AD318" i="87" s="1"/>
  <c r="AE318" i="87" s="1"/>
  <c r="AF318" i="87" s="1"/>
  <c r="AG318" i="87" s="1"/>
  <c r="AH318" i="87" s="1"/>
  <c r="AI318" i="87" s="1"/>
  <c r="AJ318" i="87" s="1"/>
  <c r="C318" i="87"/>
  <c r="AM317" i="87"/>
  <c r="AN317" i="87" s="1"/>
  <c r="AO317" i="87" s="1"/>
  <c r="AP317" i="87" s="1"/>
  <c r="AQ317" i="87" s="1"/>
  <c r="AR317" i="87" s="1"/>
  <c r="AS317" i="87" s="1"/>
  <c r="AT317" i="87" s="1"/>
  <c r="AU317" i="87" s="1"/>
  <c r="AV317" i="87" s="1"/>
  <c r="AW317" i="87" s="1"/>
  <c r="AX317" i="87" s="1"/>
  <c r="AY317" i="87" s="1"/>
  <c r="AZ317" i="87" s="1"/>
  <c r="BA317" i="87" s="1"/>
  <c r="BB317" i="87" s="1"/>
  <c r="BC317" i="87" s="1"/>
  <c r="BD317" i="87" s="1"/>
  <c r="BE317" i="87" s="1"/>
  <c r="BF317" i="87" s="1"/>
  <c r="BG317" i="87" s="1"/>
  <c r="BH317" i="87" s="1"/>
  <c r="BI317" i="87" s="1"/>
  <c r="BJ317" i="87" s="1"/>
  <c r="BK317" i="87" s="1"/>
  <c r="BL317" i="87" s="1"/>
  <c r="BM317" i="87" s="1"/>
  <c r="BN317" i="87" s="1"/>
  <c r="BO317" i="87" s="1"/>
  <c r="BP317" i="87" s="1"/>
  <c r="BQ317" i="87" s="1"/>
  <c r="BR317" i="87" s="1"/>
  <c r="BS317" i="87" s="1"/>
  <c r="BT317" i="87" s="1"/>
  <c r="BU317" i="87" s="1"/>
  <c r="BV317" i="87" s="1"/>
  <c r="BW317" i="87" s="1"/>
  <c r="BX317" i="87" s="1"/>
  <c r="BY317" i="87" s="1"/>
  <c r="BZ317" i="87" s="1"/>
  <c r="CA317" i="87" s="1"/>
  <c r="CB317" i="87" s="1"/>
  <c r="CC317" i="87" s="1"/>
  <c r="CD317" i="87" s="1"/>
  <c r="CE317" i="87" s="1"/>
  <c r="CF317" i="87" s="1"/>
  <c r="CG317" i="87" s="1"/>
  <c r="CH317" i="87" s="1"/>
  <c r="AL317" i="87"/>
  <c r="C317" i="87"/>
  <c r="D317" i="87" s="1"/>
  <c r="E317" i="87" s="1"/>
  <c r="F317" i="87" s="1"/>
  <c r="G317" i="87" s="1"/>
  <c r="H317" i="87" s="1"/>
  <c r="I317" i="87" s="1"/>
  <c r="J317" i="87" s="1"/>
  <c r="K317" i="87" s="1"/>
  <c r="L317" i="87" s="1"/>
  <c r="M317" i="87" s="1"/>
  <c r="N317" i="87" s="1"/>
  <c r="O317" i="87" s="1"/>
  <c r="P317" i="87" s="1"/>
  <c r="Q317" i="87" s="1"/>
  <c r="R317" i="87" s="1"/>
  <c r="S317" i="87" s="1"/>
  <c r="T317" i="87" s="1"/>
  <c r="U317" i="87" s="1"/>
  <c r="V317" i="87" s="1"/>
  <c r="W317" i="87" s="1"/>
  <c r="X317" i="87" s="1"/>
  <c r="Y317" i="87" s="1"/>
  <c r="Z317" i="87" s="1"/>
  <c r="AA317" i="87" s="1"/>
  <c r="AB317" i="87" s="1"/>
  <c r="AC317" i="87" s="1"/>
  <c r="AD317" i="87" s="1"/>
  <c r="AE317" i="87" s="1"/>
  <c r="AF317" i="87" s="1"/>
  <c r="AG317" i="87" s="1"/>
  <c r="AH317" i="87" s="1"/>
  <c r="AI317" i="87" s="1"/>
  <c r="AJ317" i="87" s="1"/>
  <c r="AM316" i="87"/>
  <c r="AN316" i="87" s="1"/>
  <c r="AO316" i="87" s="1"/>
  <c r="AP316" i="87" s="1"/>
  <c r="AQ316" i="87" s="1"/>
  <c r="AR316" i="87" s="1"/>
  <c r="AS316" i="87" s="1"/>
  <c r="AT316" i="87" s="1"/>
  <c r="AU316" i="87" s="1"/>
  <c r="AV316" i="87" s="1"/>
  <c r="AW316" i="87" s="1"/>
  <c r="AX316" i="87" s="1"/>
  <c r="AY316" i="87" s="1"/>
  <c r="AZ316" i="87" s="1"/>
  <c r="BA316" i="87" s="1"/>
  <c r="BB316" i="87" s="1"/>
  <c r="BC316" i="87" s="1"/>
  <c r="BD316" i="87" s="1"/>
  <c r="BE316" i="87" s="1"/>
  <c r="BF316" i="87" s="1"/>
  <c r="BG316" i="87" s="1"/>
  <c r="BH316" i="87" s="1"/>
  <c r="BI316" i="87" s="1"/>
  <c r="BJ316" i="87" s="1"/>
  <c r="BK316" i="87" s="1"/>
  <c r="BL316" i="87" s="1"/>
  <c r="BM316" i="87" s="1"/>
  <c r="BN316" i="87" s="1"/>
  <c r="BO316" i="87" s="1"/>
  <c r="BP316" i="87" s="1"/>
  <c r="BQ316" i="87" s="1"/>
  <c r="BR316" i="87" s="1"/>
  <c r="BS316" i="87" s="1"/>
  <c r="BT316" i="87" s="1"/>
  <c r="BU316" i="87" s="1"/>
  <c r="BV316" i="87" s="1"/>
  <c r="BW316" i="87" s="1"/>
  <c r="BX316" i="87" s="1"/>
  <c r="BY316" i="87" s="1"/>
  <c r="BZ316" i="87" s="1"/>
  <c r="CA316" i="87" s="1"/>
  <c r="CB316" i="87" s="1"/>
  <c r="CC316" i="87" s="1"/>
  <c r="CD316" i="87" s="1"/>
  <c r="CE316" i="87" s="1"/>
  <c r="CF316" i="87" s="1"/>
  <c r="CG316" i="87" s="1"/>
  <c r="CH316" i="87" s="1"/>
  <c r="AL316" i="87"/>
  <c r="C316" i="87"/>
  <c r="D316" i="87" s="1"/>
  <c r="E316" i="87" s="1"/>
  <c r="F316" i="87" s="1"/>
  <c r="G316" i="87" s="1"/>
  <c r="H316" i="87" s="1"/>
  <c r="I316" i="87" s="1"/>
  <c r="J316" i="87" s="1"/>
  <c r="K316" i="87" s="1"/>
  <c r="L316" i="87" s="1"/>
  <c r="M316" i="87" s="1"/>
  <c r="N316" i="87" s="1"/>
  <c r="O316" i="87" s="1"/>
  <c r="P316" i="87" s="1"/>
  <c r="Q316" i="87" s="1"/>
  <c r="R316" i="87" s="1"/>
  <c r="S316" i="87" s="1"/>
  <c r="T316" i="87" s="1"/>
  <c r="U316" i="87" s="1"/>
  <c r="V316" i="87" s="1"/>
  <c r="W316" i="87" s="1"/>
  <c r="X316" i="87" s="1"/>
  <c r="Y316" i="87" s="1"/>
  <c r="Z316" i="87" s="1"/>
  <c r="AA316" i="87" s="1"/>
  <c r="AB316" i="87" s="1"/>
  <c r="AC316" i="87" s="1"/>
  <c r="AD316" i="87" s="1"/>
  <c r="AE316" i="87" s="1"/>
  <c r="AF316" i="87" s="1"/>
  <c r="AG316" i="87" s="1"/>
  <c r="AH316" i="87" s="1"/>
  <c r="AI316" i="87" s="1"/>
  <c r="AJ316" i="87" s="1"/>
  <c r="AL315" i="87"/>
  <c r="AM315" i="87" s="1"/>
  <c r="AN315" i="87" s="1"/>
  <c r="AO315" i="87" s="1"/>
  <c r="AP315" i="87" s="1"/>
  <c r="AQ315" i="87" s="1"/>
  <c r="AR315" i="87" s="1"/>
  <c r="AS315" i="87" s="1"/>
  <c r="AT315" i="87" s="1"/>
  <c r="AU315" i="87" s="1"/>
  <c r="AV315" i="87" s="1"/>
  <c r="AW315" i="87" s="1"/>
  <c r="AX315" i="87" s="1"/>
  <c r="AY315" i="87" s="1"/>
  <c r="AZ315" i="87" s="1"/>
  <c r="BA315" i="87" s="1"/>
  <c r="BB315" i="87" s="1"/>
  <c r="BC315" i="87" s="1"/>
  <c r="BD315" i="87" s="1"/>
  <c r="BE315" i="87" s="1"/>
  <c r="BF315" i="87" s="1"/>
  <c r="BG315" i="87" s="1"/>
  <c r="BH315" i="87" s="1"/>
  <c r="BI315" i="87" s="1"/>
  <c r="BJ315" i="87" s="1"/>
  <c r="BK315" i="87" s="1"/>
  <c r="BL315" i="87" s="1"/>
  <c r="BM315" i="87" s="1"/>
  <c r="BN315" i="87" s="1"/>
  <c r="BO315" i="87" s="1"/>
  <c r="BP315" i="87" s="1"/>
  <c r="BQ315" i="87" s="1"/>
  <c r="BR315" i="87" s="1"/>
  <c r="BS315" i="87" s="1"/>
  <c r="BT315" i="87" s="1"/>
  <c r="BU315" i="87" s="1"/>
  <c r="BV315" i="87" s="1"/>
  <c r="BW315" i="87" s="1"/>
  <c r="BX315" i="87" s="1"/>
  <c r="BY315" i="87" s="1"/>
  <c r="BZ315" i="87" s="1"/>
  <c r="CA315" i="87" s="1"/>
  <c r="CB315" i="87" s="1"/>
  <c r="CC315" i="87" s="1"/>
  <c r="CD315" i="87" s="1"/>
  <c r="CE315" i="87" s="1"/>
  <c r="CF315" i="87" s="1"/>
  <c r="CG315" i="87" s="1"/>
  <c r="CH315" i="87" s="1"/>
  <c r="D315" i="87"/>
  <c r="E315" i="87" s="1"/>
  <c r="F315" i="87" s="1"/>
  <c r="G315" i="87" s="1"/>
  <c r="H315" i="87" s="1"/>
  <c r="I315" i="87" s="1"/>
  <c r="J315" i="87" s="1"/>
  <c r="K315" i="87" s="1"/>
  <c r="L315" i="87" s="1"/>
  <c r="M315" i="87" s="1"/>
  <c r="N315" i="87" s="1"/>
  <c r="O315" i="87" s="1"/>
  <c r="P315" i="87" s="1"/>
  <c r="Q315" i="87" s="1"/>
  <c r="R315" i="87" s="1"/>
  <c r="S315" i="87" s="1"/>
  <c r="T315" i="87" s="1"/>
  <c r="U315" i="87" s="1"/>
  <c r="V315" i="87" s="1"/>
  <c r="W315" i="87" s="1"/>
  <c r="X315" i="87" s="1"/>
  <c r="Y315" i="87" s="1"/>
  <c r="Z315" i="87" s="1"/>
  <c r="AA315" i="87" s="1"/>
  <c r="AB315" i="87" s="1"/>
  <c r="AC315" i="87" s="1"/>
  <c r="AD315" i="87" s="1"/>
  <c r="AE315" i="87" s="1"/>
  <c r="AF315" i="87" s="1"/>
  <c r="AG315" i="87" s="1"/>
  <c r="AH315" i="87" s="1"/>
  <c r="AI315" i="87" s="1"/>
  <c r="AJ315" i="87" s="1"/>
  <c r="AL314" i="87"/>
  <c r="AM314" i="87" s="1"/>
  <c r="AN314" i="87" s="1"/>
  <c r="AO314" i="87" s="1"/>
  <c r="AP314" i="87" s="1"/>
  <c r="AQ314" i="87" s="1"/>
  <c r="AR314" i="87" s="1"/>
  <c r="AS314" i="87" s="1"/>
  <c r="AT314" i="87" s="1"/>
  <c r="AU314" i="87" s="1"/>
  <c r="AV314" i="87" s="1"/>
  <c r="AW314" i="87" s="1"/>
  <c r="AX314" i="87" s="1"/>
  <c r="AY314" i="87" s="1"/>
  <c r="AZ314" i="87" s="1"/>
  <c r="BA314" i="87" s="1"/>
  <c r="BB314" i="87" s="1"/>
  <c r="BC314" i="87" s="1"/>
  <c r="BD314" i="87" s="1"/>
  <c r="BE314" i="87" s="1"/>
  <c r="BF314" i="87" s="1"/>
  <c r="BG314" i="87" s="1"/>
  <c r="BH314" i="87" s="1"/>
  <c r="BI314" i="87" s="1"/>
  <c r="BJ314" i="87" s="1"/>
  <c r="BK314" i="87" s="1"/>
  <c r="BL314" i="87" s="1"/>
  <c r="BM314" i="87" s="1"/>
  <c r="BN314" i="87" s="1"/>
  <c r="BO314" i="87" s="1"/>
  <c r="BP314" i="87" s="1"/>
  <c r="BQ314" i="87" s="1"/>
  <c r="BR314" i="87" s="1"/>
  <c r="BS314" i="87" s="1"/>
  <c r="BT314" i="87" s="1"/>
  <c r="BU314" i="87" s="1"/>
  <c r="BV314" i="87" s="1"/>
  <c r="BW314" i="87" s="1"/>
  <c r="BX314" i="87" s="1"/>
  <c r="BY314" i="87" s="1"/>
  <c r="BZ314" i="87" s="1"/>
  <c r="CA314" i="87" s="1"/>
  <c r="CB314" i="87" s="1"/>
  <c r="CC314" i="87" s="1"/>
  <c r="CD314" i="87" s="1"/>
  <c r="CE314" i="87" s="1"/>
  <c r="CF314" i="87" s="1"/>
  <c r="CG314" i="87" s="1"/>
  <c r="CH314" i="87" s="1"/>
  <c r="C314" i="87"/>
  <c r="D314" i="87" s="1"/>
  <c r="E314" i="87" s="1"/>
  <c r="F314" i="87" s="1"/>
  <c r="G314" i="87" s="1"/>
  <c r="H314" i="87" s="1"/>
  <c r="I314" i="87" s="1"/>
  <c r="J314" i="87" s="1"/>
  <c r="K314" i="87" s="1"/>
  <c r="L314" i="87" s="1"/>
  <c r="M314" i="87" s="1"/>
  <c r="N314" i="87" s="1"/>
  <c r="O314" i="87" s="1"/>
  <c r="P314" i="87" s="1"/>
  <c r="Q314" i="87" s="1"/>
  <c r="R314" i="87" s="1"/>
  <c r="S314" i="87" s="1"/>
  <c r="T314" i="87" s="1"/>
  <c r="U314" i="87" s="1"/>
  <c r="V314" i="87" s="1"/>
  <c r="W314" i="87" s="1"/>
  <c r="X314" i="87" s="1"/>
  <c r="Y314" i="87" s="1"/>
  <c r="Z314" i="87" s="1"/>
  <c r="AA314" i="87" s="1"/>
  <c r="AB314" i="87" s="1"/>
  <c r="AC314" i="87" s="1"/>
  <c r="AD314" i="87" s="1"/>
  <c r="AE314" i="87" s="1"/>
  <c r="AF314" i="87" s="1"/>
  <c r="AG314" i="87" s="1"/>
  <c r="AH314" i="87" s="1"/>
  <c r="AI314" i="87" s="1"/>
  <c r="AJ314" i="87" s="1"/>
  <c r="AL313" i="87"/>
  <c r="AM313" i="87" s="1"/>
  <c r="AN313" i="87" s="1"/>
  <c r="AO313" i="87" s="1"/>
  <c r="AP313" i="87" s="1"/>
  <c r="AQ313" i="87" s="1"/>
  <c r="AR313" i="87" s="1"/>
  <c r="AS313" i="87" s="1"/>
  <c r="AT313" i="87" s="1"/>
  <c r="AU313" i="87" s="1"/>
  <c r="AV313" i="87" s="1"/>
  <c r="AW313" i="87" s="1"/>
  <c r="AX313" i="87" s="1"/>
  <c r="AY313" i="87" s="1"/>
  <c r="AZ313" i="87" s="1"/>
  <c r="BA313" i="87" s="1"/>
  <c r="BB313" i="87" s="1"/>
  <c r="BC313" i="87" s="1"/>
  <c r="BD313" i="87" s="1"/>
  <c r="BE313" i="87" s="1"/>
  <c r="BF313" i="87" s="1"/>
  <c r="BG313" i="87" s="1"/>
  <c r="BH313" i="87" s="1"/>
  <c r="BI313" i="87" s="1"/>
  <c r="BJ313" i="87" s="1"/>
  <c r="BK313" i="87" s="1"/>
  <c r="BL313" i="87" s="1"/>
  <c r="BM313" i="87" s="1"/>
  <c r="BN313" i="87" s="1"/>
  <c r="BO313" i="87" s="1"/>
  <c r="BP313" i="87" s="1"/>
  <c r="BQ313" i="87" s="1"/>
  <c r="BR313" i="87" s="1"/>
  <c r="BS313" i="87" s="1"/>
  <c r="BT313" i="87" s="1"/>
  <c r="BU313" i="87" s="1"/>
  <c r="BV313" i="87" s="1"/>
  <c r="BW313" i="87" s="1"/>
  <c r="BX313" i="87" s="1"/>
  <c r="BY313" i="87" s="1"/>
  <c r="BZ313" i="87" s="1"/>
  <c r="CA313" i="87" s="1"/>
  <c r="CB313" i="87" s="1"/>
  <c r="CC313" i="87" s="1"/>
  <c r="CD313" i="87" s="1"/>
  <c r="CE313" i="87" s="1"/>
  <c r="CF313" i="87" s="1"/>
  <c r="CG313" i="87" s="1"/>
  <c r="CH313" i="87" s="1"/>
  <c r="C313" i="87"/>
  <c r="D313" i="87" s="1"/>
  <c r="E313" i="87" s="1"/>
  <c r="F313" i="87" s="1"/>
  <c r="G313" i="87" s="1"/>
  <c r="H313" i="87" s="1"/>
  <c r="I313" i="87" s="1"/>
  <c r="J313" i="87" s="1"/>
  <c r="K313" i="87" s="1"/>
  <c r="L313" i="87" s="1"/>
  <c r="M313" i="87" s="1"/>
  <c r="N313" i="87" s="1"/>
  <c r="O313" i="87" s="1"/>
  <c r="P313" i="87" s="1"/>
  <c r="Q313" i="87" s="1"/>
  <c r="R313" i="87" s="1"/>
  <c r="S313" i="87" s="1"/>
  <c r="T313" i="87" s="1"/>
  <c r="U313" i="87" s="1"/>
  <c r="V313" i="87" s="1"/>
  <c r="W313" i="87" s="1"/>
  <c r="X313" i="87" s="1"/>
  <c r="Y313" i="87" s="1"/>
  <c r="Z313" i="87" s="1"/>
  <c r="AA313" i="87" s="1"/>
  <c r="AB313" i="87" s="1"/>
  <c r="AC313" i="87" s="1"/>
  <c r="AD313" i="87" s="1"/>
  <c r="AE313" i="87" s="1"/>
  <c r="AF313" i="87" s="1"/>
  <c r="AG313" i="87" s="1"/>
  <c r="AH313" i="87" s="1"/>
  <c r="AI313" i="87" s="1"/>
  <c r="AJ313" i="87" s="1"/>
  <c r="AL312" i="87"/>
  <c r="AM312" i="87" s="1"/>
  <c r="AN312" i="87" s="1"/>
  <c r="AO312" i="87" s="1"/>
  <c r="AP312" i="87" s="1"/>
  <c r="AQ312" i="87" s="1"/>
  <c r="AR312" i="87" s="1"/>
  <c r="AS312" i="87" s="1"/>
  <c r="AT312" i="87" s="1"/>
  <c r="AU312" i="87" s="1"/>
  <c r="AV312" i="87" s="1"/>
  <c r="AW312" i="87" s="1"/>
  <c r="AX312" i="87" s="1"/>
  <c r="AY312" i="87" s="1"/>
  <c r="AZ312" i="87" s="1"/>
  <c r="BA312" i="87" s="1"/>
  <c r="BB312" i="87" s="1"/>
  <c r="BC312" i="87" s="1"/>
  <c r="BD312" i="87" s="1"/>
  <c r="BE312" i="87" s="1"/>
  <c r="BF312" i="87" s="1"/>
  <c r="BG312" i="87" s="1"/>
  <c r="BH312" i="87" s="1"/>
  <c r="BI312" i="87" s="1"/>
  <c r="BJ312" i="87" s="1"/>
  <c r="BK312" i="87" s="1"/>
  <c r="BL312" i="87" s="1"/>
  <c r="BM312" i="87" s="1"/>
  <c r="BN312" i="87" s="1"/>
  <c r="BO312" i="87" s="1"/>
  <c r="BP312" i="87" s="1"/>
  <c r="BQ312" i="87" s="1"/>
  <c r="BR312" i="87" s="1"/>
  <c r="BS312" i="87" s="1"/>
  <c r="BT312" i="87" s="1"/>
  <c r="BU312" i="87" s="1"/>
  <c r="BV312" i="87" s="1"/>
  <c r="BW312" i="87" s="1"/>
  <c r="BX312" i="87" s="1"/>
  <c r="BY312" i="87" s="1"/>
  <c r="BZ312" i="87" s="1"/>
  <c r="CA312" i="87" s="1"/>
  <c r="CB312" i="87" s="1"/>
  <c r="CC312" i="87" s="1"/>
  <c r="CD312" i="87" s="1"/>
  <c r="CE312" i="87" s="1"/>
  <c r="CF312" i="87" s="1"/>
  <c r="CG312" i="87" s="1"/>
  <c r="CH312" i="87" s="1"/>
  <c r="D312" i="87"/>
  <c r="E312" i="87" s="1"/>
  <c r="F312" i="87" s="1"/>
  <c r="G312" i="87" s="1"/>
  <c r="H312" i="87" s="1"/>
  <c r="I312" i="87" s="1"/>
  <c r="J312" i="87" s="1"/>
  <c r="K312" i="87" s="1"/>
  <c r="L312" i="87" s="1"/>
  <c r="M312" i="87" s="1"/>
  <c r="N312" i="87" s="1"/>
  <c r="O312" i="87" s="1"/>
  <c r="P312" i="87" s="1"/>
  <c r="Q312" i="87" s="1"/>
  <c r="R312" i="87" s="1"/>
  <c r="S312" i="87" s="1"/>
  <c r="T312" i="87" s="1"/>
  <c r="U312" i="87" s="1"/>
  <c r="V312" i="87" s="1"/>
  <c r="W312" i="87" s="1"/>
  <c r="X312" i="87" s="1"/>
  <c r="Y312" i="87" s="1"/>
  <c r="Z312" i="87" s="1"/>
  <c r="AA312" i="87" s="1"/>
  <c r="AB312" i="87" s="1"/>
  <c r="AC312" i="87" s="1"/>
  <c r="AD312" i="87" s="1"/>
  <c r="AE312" i="87" s="1"/>
  <c r="AF312" i="87" s="1"/>
  <c r="AG312" i="87" s="1"/>
  <c r="AH312" i="87" s="1"/>
  <c r="AI312" i="87" s="1"/>
  <c r="AJ312" i="87" s="1"/>
  <c r="AL311" i="87"/>
  <c r="AM311" i="87" s="1"/>
  <c r="AN311" i="87" s="1"/>
  <c r="AO311" i="87" s="1"/>
  <c r="AP311" i="87" s="1"/>
  <c r="AQ311" i="87" s="1"/>
  <c r="AR311" i="87" s="1"/>
  <c r="AS311" i="87" s="1"/>
  <c r="AT311" i="87" s="1"/>
  <c r="AU311" i="87" s="1"/>
  <c r="AV311" i="87" s="1"/>
  <c r="AW311" i="87" s="1"/>
  <c r="AX311" i="87" s="1"/>
  <c r="AY311" i="87" s="1"/>
  <c r="AZ311" i="87" s="1"/>
  <c r="BA311" i="87" s="1"/>
  <c r="BB311" i="87" s="1"/>
  <c r="BC311" i="87" s="1"/>
  <c r="BD311" i="87" s="1"/>
  <c r="BE311" i="87" s="1"/>
  <c r="BF311" i="87" s="1"/>
  <c r="BG311" i="87" s="1"/>
  <c r="BH311" i="87" s="1"/>
  <c r="BI311" i="87" s="1"/>
  <c r="BJ311" i="87" s="1"/>
  <c r="BK311" i="87" s="1"/>
  <c r="BL311" i="87" s="1"/>
  <c r="BM311" i="87" s="1"/>
  <c r="BN311" i="87" s="1"/>
  <c r="BO311" i="87" s="1"/>
  <c r="BP311" i="87" s="1"/>
  <c r="BQ311" i="87" s="1"/>
  <c r="BR311" i="87" s="1"/>
  <c r="BS311" i="87" s="1"/>
  <c r="BT311" i="87" s="1"/>
  <c r="BU311" i="87" s="1"/>
  <c r="BV311" i="87" s="1"/>
  <c r="BW311" i="87" s="1"/>
  <c r="BX311" i="87" s="1"/>
  <c r="BY311" i="87" s="1"/>
  <c r="BZ311" i="87" s="1"/>
  <c r="CA311" i="87" s="1"/>
  <c r="CB311" i="87" s="1"/>
  <c r="CC311" i="87" s="1"/>
  <c r="CD311" i="87" s="1"/>
  <c r="CE311" i="87" s="1"/>
  <c r="CF311" i="87" s="1"/>
  <c r="CG311" i="87" s="1"/>
  <c r="CH311" i="87" s="1"/>
  <c r="D311" i="87"/>
  <c r="E311" i="87" s="1"/>
  <c r="F311" i="87" s="1"/>
  <c r="G311" i="87" s="1"/>
  <c r="H311" i="87" s="1"/>
  <c r="I311" i="87" s="1"/>
  <c r="J311" i="87" s="1"/>
  <c r="K311" i="87" s="1"/>
  <c r="L311" i="87" s="1"/>
  <c r="M311" i="87" s="1"/>
  <c r="N311" i="87" s="1"/>
  <c r="O311" i="87" s="1"/>
  <c r="P311" i="87" s="1"/>
  <c r="Q311" i="87" s="1"/>
  <c r="R311" i="87" s="1"/>
  <c r="S311" i="87" s="1"/>
  <c r="T311" i="87" s="1"/>
  <c r="U311" i="87" s="1"/>
  <c r="V311" i="87" s="1"/>
  <c r="W311" i="87" s="1"/>
  <c r="X311" i="87" s="1"/>
  <c r="Y311" i="87" s="1"/>
  <c r="Z311" i="87" s="1"/>
  <c r="AA311" i="87" s="1"/>
  <c r="AB311" i="87" s="1"/>
  <c r="AC311" i="87" s="1"/>
  <c r="AD311" i="87" s="1"/>
  <c r="AE311" i="87" s="1"/>
  <c r="AF311" i="87" s="1"/>
  <c r="AG311" i="87" s="1"/>
  <c r="AH311" i="87" s="1"/>
  <c r="AI311" i="87" s="1"/>
  <c r="AJ311" i="87" s="1"/>
  <c r="C311" i="87"/>
  <c r="AL310" i="87"/>
  <c r="AM310" i="87" s="1"/>
  <c r="AN310" i="87" s="1"/>
  <c r="AO310" i="87" s="1"/>
  <c r="AP310" i="87" s="1"/>
  <c r="AQ310" i="87" s="1"/>
  <c r="AR310" i="87" s="1"/>
  <c r="AS310" i="87" s="1"/>
  <c r="AT310" i="87" s="1"/>
  <c r="AU310" i="87" s="1"/>
  <c r="AV310" i="87" s="1"/>
  <c r="AW310" i="87" s="1"/>
  <c r="AX310" i="87" s="1"/>
  <c r="AY310" i="87" s="1"/>
  <c r="AZ310" i="87" s="1"/>
  <c r="BA310" i="87" s="1"/>
  <c r="BB310" i="87" s="1"/>
  <c r="BC310" i="87" s="1"/>
  <c r="BD310" i="87" s="1"/>
  <c r="BE310" i="87" s="1"/>
  <c r="BF310" i="87" s="1"/>
  <c r="BG310" i="87" s="1"/>
  <c r="BH310" i="87" s="1"/>
  <c r="BI310" i="87" s="1"/>
  <c r="BJ310" i="87" s="1"/>
  <c r="BK310" i="87" s="1"/>
  <c r="BL310" i="87" s="1"/>
  <c r="BM310" i="87" s="1"/>
  <c r="BN310" i="87" s="1"/>
  <c r="BO310" i="87" s="1"/>
  <c r="BP310" i="87" s="1"/>
  <c r="BQ310" i="87" s="1"/>
  <c r="BR310" i="87" s="1"/>
  <c r="BS310" i="87" s="1"/>
  <c r="BT310" i="87" s="1"/>
  <c r="BU310" i="87" s="1"/>
  <c r="BV310" i="87" s="1"/>
  <c r="BW310" i="87" s="1"/>
  <c r="BX310" i="87" s="1"/>
  <c r="BY310" i="87" s="1"/>
  <c r="BZ310" i="87" s="1"/>
  <c r="CA310" i="87" s="1"/>
  <c r="CB310" i="87" s="1"/>
  <c r="CC310" i="87" s="1"/>
  <c r="CD310" i="87" s="1"/>
  <c r="CE310" i="87" s="1"/>
  <c r="CF310" i="87" s="1"/>
  <c r="CG310" i="87" s="1"/>
  <c r="CH310" i="87" s="1"/>
  <c r="C310" i="87"/>
  <c r="D310" i="87" s="1"/>
  <c r="E310" i="87" s="1"/>
  <c r="F310" i="87" s="1"/>
  <c r="G310" i="87" s="1"/>
  <c r="H310" i="87" s="1"/>
  <c r="I310" i="87" s="1"/>
  <c r="J310" i="87" s="1"/>
  <c r="K310" i="87" s="1"/>
  <c r="L310" i="87" s="1"/>
  <c r="M310" i="87" s="1"/>
  <c r="N310" i="87" s="1"/>
  <c r="O310" i="87" s="1"/>
  <c r="P310" i="87" s="1"/>
  <c r="Q310" i="87" s="1"/>
  <c r="R310" i="87" s="1"/>
  <c r="S310" i="87" s="1"/>
  <c r="T310" i="87" s="1"/>
  <c r="U310" i="87" s="1"/>
  <c r="V310" i="87" s="1"/>
  <c r="W310" i="87" s="1"/>
  <c r="X310" i="87" s="1"/>
  <c r="Y310" i="87" s="1"/>
  <c r="Z310" i="87" s="1"/>
  <c r="AA310" i="87" s="1"/>
  <c r="AB310" i="87" s="1"/>
  <c r="AC310" i="87" s="1"/>
  <c r="AD310" i="87" s="1"/>
  <c r="AE310" i="87" s="1"/>
  <c r="AF310" i="87" s="1"/>
  <c r="AG310" i="87" s="1"/>
  <c r="AH310" i="87" s="1"/>
  <c r="AI310" i="87" s="1"/>
  <c r="AJ310" i="87" s="1"/>
  <c r="AL309" i="87"/>
  <c r="AM309" i="87" s="1"/>
  <c r="AN309" i="87" s="1"/>
  <c r="AO309" i="87" s="1"/>
  <c r="AP309" i="87" s="1"/>
  <c r="AQ309" i="87" s="1"/>
  <c r="AR309" i="87" s="1"/>
  <c r="AS309" i="87" s="1"/>
  <c r="AT309" i="87" s="1"/>
  <c r="AU309" i="87" s="1"/>
  <c r="AV309" i="87" s="1"/>
  <c r="AW309" i="87" s="1"/>
  <c r="AX309" i="87" s="1"/>
  <c r="AY309" i="87" s="1"/>
  <c r="AZ309" i="87" s="1"/>
  <c r="BA309" i="87" s="1"/>
  <c r="BB309" i="87" s="1"/>
  <c r="BC309" i="87" s="1"/>
  <c r="BD309" i="87" s="1"/>
  <c r="BE309" i="87" s="1"/>
  <c r="BF309" i="87" s="1"/>
  <c r="BG309" i="87" s="1"/>
  <c r="BH309" i="87" s="1"/>
  <c r="BI309" i="87" s="1"/>
  <c r="BJ309" i="87" s="1"/>
  <c r="BK309" i="87" s="1"/>
  <c r="BL309" i="87" s="1"/>
  <c r="BM309" i="87" s="1"/>
  <c r="BN309" i="87" s="1"/>
  <c r="BO309" i="87" s="1"/>
  <c r="BP309" i="87" s="1"/>
  <c r="BQ309" i="87" s="1"/>
  <c r="BR309" i="87" s="1"/>
  <c r="BS309" i="87" s="1"/>
  <c r="BT309" i="87" s="1"/>
  <c r="BU309" i="87" s="1"/>
  <c r="BV309" i="87" s="1"/>
  <c r="BW309" i="87" s="1"/>
  <c r="BX309" i="87" s="1"/>
  <c r="BY309" i="87" s="1"/>
  <c r="BZ309" i="87" s="1"/>
  <c r="CA309" i="87" s="1"/>
  <c r="CB309" i="87" s="1"/>
  <c r="CC309" i="87" s="1"/>
  <c r="CD309" i="87" s="1"/>
  <c r="CE309" i="87" s="1"/>
  <c r="CF309" i="87" s="1"/>
  <c r="CG309" i="87" s="1"/>
  <c r="CH309" i="87" s="1"/>
  <c r="C309" i="87"/>
  <c r="D309" i="87" s="1"/>
  <c r="E309" i="87" s="1"/>
  <c r="F309" i="87" s="1"/>
  <c r="G309" i="87" s="1"/>
  <c r="H309" i="87" s="1"/>
  <c r="I309" i="87" s="1"/>
  <c r="J309" i="87" s="1"/>
  <c r="K309" i="87" s="1"/>
  <c r="L309" i="87" s="1"/>
  <c r="M309" i="87" s="1"/>
  <c r="N309" i="87" s="1"/>
  <c r="O309" i="87" s="1"/>
  <c r="P309" i="87" s="1"/>
  <c r="Q309" i="87" s="1"/>
  <c r="R309" i="87" s="1"/>
  <c r="S309" i="87" s="1"/>
  <c r="T309" i="87" s="1"/>
  <c r="U309" i="87" s="1"/>
  <c r="V309" i="87" s="1"/>
  <c r="W309" i="87" s="1"/>
  <c r="X309" i="87" s="1"/>
  <c r="Y309" i="87" s="1"/>
  <c r="Z309" i="87" s="1"/>
  <c r="AA309" i="87" s="1"/>
  <c r="AB309" i="87" s="1"/>
  <c r="AC309" i="87" s="1"/>
  <c r="AD309" i="87" s="1"/>
  <c r="AE309" i="87" s="1"/>
  <c r="AF309" i="87" s="1"/>
  <c r="AG309" i="87" s="1"/>
  <c r="AH309" i="87" s="1"/>
  <c r="AI309" i="87" s="1"/>
  <c r="AJ309" i="87" s="1"/>
  <c r="AL308" i="87"/>
  <c r="AM308" i="87" s="1"/>
  <c r="AN308" i="87" s="1"/>
  <c r="AO308" i="87" s="1"/>
  <c r="AP308" i="87" s="1"/>
  <c r="AQ308" i="87" s="1"/>
  <c r="AR308" i="87" s="1"/>
  <c r="AS308" i="87" s="1"/>
  <c r="AT308" i="87" s="1"/>
  <c r="AU308" i="87" s="1"/>
  <c r="AV308" i="87" s="1"/>
  <c r="AW308" i="87" s="1"/>
  <c r="AX308" i="87" s="1"/>
  <c r="AY308" i="87" s="1"/>
  <c r="AZ308" i="87" s="1"/>
  <c r="BA308" i="87" s="1"/>
  <c r="BB308" i="87" s="1"/>
  <c r="BC308" i="87" s="1"/>
  <c r="BD308" i="87" s="1"/>
  <c r="BE308" i="87" s="1"/>
  <c r="BF308" i="87" s="1"/>
  <c r="BG308" i="87" s="1"/>
  <c r="BH308" i="87" s="1"/>
  <c r="BI308" i="87" s="1"/>
  <c r="BJ308" i="87" s="1"/>
  <c r="BK308" i="87" s="1"/>
  <c r="BL308" i="87" s="1"/>
  <c r="BM308" i="87" s="1"/>
  <c r="BN308" i="87" s="1"/>
  <c r="BO308" i="87" s="1"/>
  <c r="BP308" i="87" s="1"/>
  <c r="BQ308" i="87" s="1"/>
  <c r="BR308" i="87" s="1"/>
  <c r="BS308" i="87" s="1"/>
  <c r="BT308" i="87" s="1"/>
  <c r="BU308" i="87" s="1"/>
  <c r="BV308" i="87" s="1"/>
  <c r="BW308" i="87" s="1"/>
  <c r="BX308" i="87" s="1"/>
  <c r="BY308" i="87" s="1"/>
  <c r="BZ308" i="87" s="1"/>
  <c r="CA308" i="87" s="1"/>
  <c r="CB308" i="87" s="1"/>
  <c r="CC308" i="87" s="1"/>
  <c r="CD308" i="87" s="1"/>
  <c r="CE308" i="87" s="1"/>
  <c r="CF308" i="87" s="1"/>
  <c r="CG308" i="87" s="1"/>
  <c r="CH308" i="87" s="1"/>
  <c r="C308" i="87"/>
  <c r="D308" i="87" s="1"/>
  <c r="E308" i="87" s="1"/>
  <c r="F308" i="87" s="1"/>
  <c r="G308" i="87" s="1"/>
  <c r="H308" i="87" s="1"/>
  <c r="I308" i="87" s="1"/>
  <c r="J308" i="87" s="1"/>
  <c r="K308" i="87" s="1"/>
  <c r="L308" i="87" s="1"/>
  <c r="M308" i="87" s="1"/>
  <c r="N308" i="87" s="1"/>
  <c r="O308" i="87" s="1"/>
  <c r="P308" i="87" s="1"/>
  <c r="Q308" i="87" s="1"/>
  <c r="R308" i="87" s="1"/>
  <c r="S308" i="87" s="1"/>
  <c r="T308" i="87" s="1"/>
  <c r="U308" i="87" s="1"/>
  <c r="V308" i="87" s="1"/>
  <c r="W308" i="87" s="1"/>
  <c r="X308" i="87" s="1"/>
  <c r="Y308" i="87" s="1"/>
  <c r="Z308" i="87" s="1"/>
  <c r="AA308" i="87" s="1"/>
  <c r="AB308" i="87" s="1"/>
  <c r="AC308" i="87" s="1"/>
  <c r="AD308" i="87" s="1"/>
  <c r="AE308" i="87" s="1"/>
  <c r="AF308" i="87" s="1"/>
  <c r="AG308" i="87" s="1"/>
  <c r="AH308" i="87" s="1"/>
  <c r="AI308" i="87" s="1"/>
  <c r="AJ308" i="87" s="1"/>
  <c r="AL307" i="87"/>
  <c r="AM307" i="87" s="1"/>
  <c r="AN307" i="87" s="1"/>
  <c r="AO307" i="87" s="1"/>
  <c r="AP307" i="87" s="1"/>
  <c r="AQ307" i="87" s="1"/>
  <c r="AR307" i="87" s="1"/>
  <c r="AS307" i="87" s="1"/>
  <c r="AT307" i="87" s="1"/>
  <c r="AU307" i="87" s="1"/>
  <c r="AV307" i="87" s="1"/>
  <c r="AW307" i="87" s="1"/>
  <c r="AX307" i="87" s="1"/>
  <c r="AY307" i="87" s="1"/>
  <c r="AZ307" i="87" s="1"/>
  <c r="BA307" i="87" s="1"/>
  <c r="BB307" i="87" s="1"/>
  <c r="BC307" i="87" s="1"/>
  <c r="BD307" i="87" s="1"/>
  <c r="BE307" i="87" s="1"/>
  <c r="BF307" i="87" s="1"/>
  <c r="BG307" i="87" s="1"/>
  <c r="BH307" i="87" s="1"/>
  <c r="BI307" i="87" s="1"/>
  <c r="BJ307" i="87" s="1"/>
  <c r="BK307" i="87" s="1"/>
  <c r="BL307" i="87" s="1"/>
  <c r="BM307" i="87" s="1"/>
  <c r="BN307" i="87" s="1"/>
  <c r="BO307" i="87" s="1"/>
  <c r="BP307" i="87" s="1"/>
  <c r="BQ307" i="87" s="1"/>
  <c r="BR307" i="87" s="1"/>
  <c r="BS307" i="87" s="1"/>
  <c r="BT307" i="87" s="1"/>
  <c r="BU307" i="87" s="1"/>
  <c r="BV307" i="87" s="1"/>
  <c r="BW307" i="87" s="1"/>
  <c r="BX307" i="87" s="1"/>
  <c r="BY307" i="87" s="1"/>
  <c r="BZ307" i="87" s="1"/>
  <c r="CA307" i="87" s="1"/>
  <c r="CB307" i="87" s="1"/>
  <c r="CC307" i="87" s="1"/>
  <c r="CD307" i="87" s="1"/>
  <c r="CE307" i="87" s="1"/>
  <c r="CF307" i="87" s="1"/>
  <c r="CG307" i="87" s="1"/>
  <c r="CH307" i="87" s="1"/>
  <c r="D307" i="87"/>
  <c r="E307" i="87" s="1"/>
  <c r="F307" i="87" s="1"/>
  <c r="G307" i="87" s="1"/>
  <c r="H307" i="87" s="1"/>
  <c r="I307" i="87" s="1"/>
  <c r="J307" i="87" s="1"/>
  <c r="K307" i="87" s="1"/>
  <c r="L307" i="87" s="1"/>
  <c r="M307" i="87" s="1"/>
  <c r="N307" i="87" s="1"/>
  <c r="O307" i="87" s="1"/>
  <c r="P307" i="87" s="1"/>
  <c r="Q307" i="87" s="1"/>
  <c r="R307" i="87" s="1"/>
  <c r="S307" i="87" s="1"/>
  <c r="T307" i="87" s="1"/>
  <c r="U307" i="87" s="1"/>
  <c r="V307" i="87" s="1"/>
  <c r="W307" i="87" s="1"/>
  <c r="X307" i="87" s="1"/>
  <c r="Y307" i="87" s="1"/>
  <c r="Z307" i="87" s="1"/>
  <c r="AA307" i="87" s="1"/>
  <c r="AB307" i="87" s="1"/>
  <c r="AC307" i="87" s="1"/>
  <c r="AD307" i="87" s="1"/>
  <c r="AE307" i="87" s="1"/>
  <c r="AF307" i="87" s="1"/>
  <c r="AG307" i="87" s="1"/>
  <c r="AH307" i="87" s="1"/>
  <c r="AI307" i="87" s="1"/>
  <c r="AJ307" i="87" s="1"/>
  <c r="C307" i="87"/>
  <c r="AR306" i="87"/>
  <c r="AS306" i="87" s="1"/>
  <c r="AT306" i="87" s="1"/>
  <c r="AU306" i="87" s="1"/>
  <c r="AV306" i="87" s="1"/>
  <c r="AW306" i="87" s="1"/>
  <c r="AX306" i="87" s="1"/>
  <c r="AY306" i="87" s="1"/>
  <c r="AZ306" i="87" s="1"/>
  <c r="BA306" i="87" s="1"/>
  <c r="BB306" i="87" s="1"/>
  <c r="BC306" i="87" s="1"/>
  <c r="BD306" i="87" s="1"/>
  <c r="BE306" i="87" s="1"/>
  <c r="BF306" i="87" s="1"/>
  <c r="BG306" i="87" s="1"/>
  <c r="BH306" i="87" s="1"/>
  <c r="BI306" i="87" s="1"/>
  <c r="BJ306" i="87" s="1"/>
  <c r="BK306" i="87" s="1"/>
  <c r="BL306" i="87" s="1"/>
  <c r="BM306" i="87" s="1"/>
  <c r="BN306" i="87" s="1"/>
  <c r="BO306" i="87" s="1"/>
  <c r="BP306" i="87" s="1"/>
  <c r="BQ306" i="87" s="1"/>
  <c r="BR306" i="87" s="1"/>
  <c r="BS306" i="87" s="1"/>
  <c r="BT306" i="87" s="1"/>
  <c r="BU306" i="87" s="1"/>
  <c r="BV306" i="87" s="1"/>
  <c r="BW306" i="87" s="1"/>
  <c r="BX306" i="87" s="1"/>
  <c r="BY306" i="87" s="1"/>
  <c r="BZ306" i="87" s="1"/>
  <c r="CA306" i="87" s="1"/>
  <c r="CB306" i="87" s="1"/>
  <c r="CC306" i="87" s="1"/>
  <c r="CD306" i="87" s="1"/>
  <c r="CE306" i="87" s="1"/>
  <c r="CF306" i="87" s="1"/>
  <c r="CG306" i="87" s="1"/>
  <c r="CH306" i="87" s="1"/>
  <c r="AN306" i="87"/>
  <c r="AO306" i="87" s="1"/>
  <c r="AP306" i="87" s="1"/>
  <c r="AQ306" i="87" s="1"/>
  <c r="AL306" i="87"/>
  <c r="AM306" i="87" s="1"/>
  <c r="C306" i="87"/>
  <c r="D306" i="87" s="1"/>
  <c r="E306" i="87" s="1"/>
  <c r="F306" i="87" s="1"/>
  <c r="G306" i="87" s="1"/>
  <c r="H306" i="87" s="1"/>
  <c r="I306" i="87" s="1"/>
  <c r="J306" i="87" s="1"/>
  <c r="K306" i="87" s="1"/>
  <c r="L306" i="87" s="1"/>
  <c r="M306" i="87" s="1"/>
  <c r="N306" i="87" s="1"/>
  <c r="O306" i="87" s="1"/>
  <c r="P306" i="87" s="1"/>
  <c r="Q306" i="87" s="1"/>
  <c r="R306" i="87" s="1"/>
  <c r="S306" i="87" s="1"/>
  <c r="T306" i="87" s="1"/>
  <c r="U306" i="87" s="1"/>
  <c r="V306" i="87" s="1"/>
  <c r="W306" i="87" s="1"/>
  <c r="X306" i="87" s="1"/>
  <c r="Y306" i="87" s="1"/>
  <c r="Z306" i="87" s="1"/>
  <c r="AA306" i="87" s="1"/>
  <c r="AB306" i="87" s="1"/>
  <c r="AC306" i="87" s="1"/>
  <c r="AD306" i="87" s="1"/>
  <c r="AE306" i="87" s="1"/>
  <c r="AF306" i="87" s="1"/>
  <c r="AG306" i="87" s="1"/>
  <c r="AH306" i="87" s="1"/>
  <c r="AI306" i="87" s="1"/>
  <c r="AJ306" i="87" s="1"/>
  <c r="AL305" i="87"/>
  <c r="AM305" i="87" s="1"/>
  <c r="AN305" i="87" s="1"/>
  <c r="AO305" i="87" s="1"/>
  <c r="AP305" i="87" s="1"/>
  <c r="AQ305" i="87" s="1"/>
  <c r="AR305" i="87" s="1"/>
  <c r="AS305" i="87" s="1"/>
  <c r="AT305" i="87" s="1"/>
  <c r="AU305" i="87" s="1"/>
  <c r="AV305" i="87" s="1"/>
  <c r="AW305" i="87" s="1"/>
  <c r="AX305" i="87" s="1"/>
  <c r="AY305" i="87" s="1"/>
  <c r="AZ305" i="87" s="1"/>
  <c r="BA305" i="87" s="1"/>
  <c r="BB305" i="87" s="1"/>
  <c r="BC305" i="87" s="1"/>
  <c r="BD305" i="87" s="1"/>
  <c r="BE305" i="87" s="1"/>
  <c r="BF305" i="87" s="1"/>
  <c r="BG305" i="87" s="1"/>
  <c r="BH305" i="87" s="1"/>
  <c r="BI305" i="87" s="1"/>
  <c r="BJ305" i="87" s="1"/>
  <c r="BK305" i="87" s="1"/>
  <c r="BL305" i="87" s="1"/>
  <c r="BM305" i="87" s="1"/>
  <c r="BN305" i="87" s="1"/>
  <c r="BO305" i="87" s="1"/>
  <c r="BP305" i="87" s="1"/>
  <c r="BQ305" i="87" s="1"/>
  <c r="BR305" i="87" s="1"/>
  <c r="BS305" i="87" s="1"/>
  <c r="BT305" i="87" s="1"/>
  <c r="BU305" i="87" s="1"/>
  <c r="BV305" i="87" s="1"/>
  <c r="BW305" i="87" s="1"/>
  <c r="BX305" i="87" s="1"/>
  <c r="BY305" i="87" s="1"/>
  <c r="BZ305" i="87" s="1"/>
  <c r="CA305" i="87" s="1"/>
  <c r="CB305" i="87" s="1"/>
  <c r="CC305" i="87" s="1"/>
  <c r="CD305" i="87" s="1"/>
  <c r="CE305" i="87" s="1"/>
  <c r="CF305" i="87" s="1"/>
  <c r="CG305" i="87" s="1"/>
  <c r="CH305" i="87" s="1"/>
  <c r="C305" i="87"/>
  <c r="D305" i="87" s="1"/>
  <c r="E305" i="87" s="1"/>
  <c r="F305" i="87" s="1"/>
  <c r="G305" i="87" s="1"/>
  <c r="H305" i="87" s="1"/>
  <c r="I305" i="87" s="1"/>
  <c r="J305" i="87" s="1"/>
  <c r="K305" i="87" s="1"/>
  <c r="L305" i="87" s="1"/>
  <c r="M305" i="87" s="1"/>
  <c r="N305" i="87" s="1"/>
  <c r="O305" i="87" s="1"/>
  <c r="P305" i="87" s="1"/>
  <c r="Q305" i="87" s="1"/>
  <c r="R305" i="87" s="1"/>
  <c r="S305" i="87" s="1"/>
  <c r="T305" i="87" s="1"/>
  <c r="U305" i="87" s="1"/>
  <c r="V305" i="87" s="1"/>
  <c r="W305" i="87" s="1"/>
  <c r="X305" i="87" s="1"/>
  <c r="Y305" i="87" s="1"/>
  <c r="Z305" i="87" s="1"/>
  <c r="AA305" i="87" s="1"/>
  <c r="AB305" i="87" s="1"/>
  <c r="AC305" i="87" s="1"/>
  <c r="AD305" i="87" s="1"/>
  <c r="AE305" i="87" s="1"/>
  <c r="AF305" i="87" s="1"/>
  <c r="AG305" i="87" s="1"/>
  <c r="AH305" i="87" s="1"/>
  <c r="AI305" i="87" s="1"/>
  <c r="AJ305" i="87" s="1"/>
  <c r="M863" i="87" l="1"/>
  <c r="N860" i="87"/>
  <c r="O860" i="87" s="1"/>
  <c r="P860" i="87" s="1"/>
  <c r="Q860" i="87" s="1"/>
  <c r="R860" i="87" s="1"/>
  <c r="S860" i="87" s="1"/>
  <c r="T860" i="87" s="1"/>
  <c r="U860" i="87" s="1"/>
  <c r="V860" i="87" s="1"/>
  <c r="W860" i="87" s="1"/>
  <c r="X860" i="87" s="1"/>
  <c r="Y860" i="87" s="1"/>
  <c r="Z860" i="87" s="1"/>
  <c r="AA860" i="87" s="1"/>
  <c r="AB860" i="87" s="1"/>
  <c r="AC860" i="87" s="1"/>
  <c r="AD860" i="87" s="1"/>
  <c r="AE860" i="87" s="1"/>
  <c r="AF860" i="87" s="1"/>
  <c r="AG860" i="87" s="1"/>
  <c r="AH860" i="87" s="1"/>
  <c r="AI860" i="87" s="1"/>
  <c r="AJ860" i="87" s="1"/>
  <c r="AK860" i="87" s="1"/>
  <c r="AL860" i="87" s="1"/>
  <c r="AM860" i="87" s="1"/>
  <c r="AN860" i="87" s="1"/>
  <c r="AO860" i="87" s="1"/>
  <c r="AP860" i="87" s="1"/>
  <c r="AQ860" i="87" s="1"/>
  <c r="AR860" i="87" s="1"/>
  <c r="AS860" i="87" s="1"/>
  <c r="AT860" i="87" s="1"/>
  <c r="AU860" i="87" s="1"/>
  <c r="AV860" i="87" s="1"/>
  <c r="AW860" i="87" s="1"/>
  <c r="AX860" i="87" s="1"/>
  <c r="AY860" i="87" s="1"/>
  <c r="AZ860" i="87" s="1"/>
  <c r="BA860" i="87" s="1"/>
  <c r="BB860" i="87" s="1"/>
  <c r="BC860" i="87" s="1"/>
  <c r="BD860" i="87" s="1"/>
  <c r="BE860" i="87" s="1"/>
  <c r="BF860" i="87" s="1"/>
  <c r="BG860" i="87" s="1"/>
  <c r="BH860" i="87" s="1"/>
  <c r="BI860" i="87" s="1"/>
  <c r="BJ860" i="87" s="1"/>
  <c r="BK860" i="87" s="1"/>
  <c r="BL860" i="87" s="1"/>
  <c r="BM860" i="87" s="1"/>
  <c r="BN860" i="87" s="1"/>
  <c r="BO860" i="87" s="1"/>
  <c r="BP860" i="87" s="1"/>
  <c r="BQ860" i="87" s="1"/>
  <c r="BR860" i="87" s="1"/>
  <c r="BS860" i="87" s="1"/>
  <c r="BT860" i="87" s="1"/>
  <c r="BU860" i="87" s="1"/>
  <c r="BV860" i="87" s="1"/>
  <c r="BW860" i="87" s="1"/>
  <c r="BX860" i="87" s="1"/>
  <c r="BY860" i="87" s="1"/>
  <c r="BZ860" i="87" s="1"/>
  <c r="CA860" i="87" s="1"/>
  <c r="CB860" i="87" s="1"/>
  <c r="CC860" i="87" s="1"/>
  <c r="CD860" i="87" s="1"/>
  <c r="CE860" i="87" s="1"/>
  <c r="CF860" i="87" s="1"/>
  <c r="CG860" i="87" s="1"/>
  <c r="CH860" i="87" s="1"/>
  <c r="CI860" i="87" s="1"/>
  <c r="M864" i="87" l="1"/>
  <c r="N863" i="87"/>
  <c r="O863" i="87" s="1"/>
  <c r="P863" i="87" s="1"/>
  <c r="Q863" i="87" s="1"/>
  <c r="R863" i="87" s="1"/>
  <c r="S863" i="87" s="1"/>
  <c r="T863" i="87" s="1"/>
  <c r="U863" i="87" s="1"/>
  <c r="V863" i="87" s="1"/>
  <c r="W863" i="87" s="1"/>
  <c r="X863" i="87" s="1"/>
  <c r="Y863" i="87" s="1"/>
  <c r="Z863" i="87" s="1"/>
  <c r="AA863" i="87" s="1"/>
  <c r="AB863" i="87" s="1"/>
  <c r="AC863" i="87" s="1"/>
  <c r="AD863" i="87" s="1"/>
  <c r="AE863" i="87" s="1"/>
  <c r="AF863" i="87" s="1"/>
  <c r="AG863" i="87" s="1"/>
  <c r="AH863" i="87" s="1"/>
  <c r="AI863" i="87" s="1"/>
  <c r="AJ863" i="87" s="1"/>
  <c r="AK863" i="87" s="1"/>
  <c r="AL863" i="87" s="1"/>
  <c r="AM863" i="87" s="1"/>
  <c r="AN863" i="87" s="1"/>
  <c r="AO863" i="87" s="1"/>
  <c r="AP863" i="87" s="1"/>
  <c r="AQ863" i="87" s="1"/>
  <c r="AR863" i="87" s="1"/>
  <c r="AS863" i="87" s="1"/>
  <c r="AT863" i="87" s="1"/>
  <c r="AU863" i="87" s="1"/>
  <c r="AV863" i="87" s="1"/>
  <c r="AW863" i="87" s="1"/>
  <c r="AX863" i="87" s="1"/>
  <c r="AY863" i="87" s="1"/>
  <c r="AZ863" i="87" s="1"/>
  <c r="BA863" i="87" s="1"/>
  <c r="BB863" i="87" s="1"/>
  <c r="BC863" i="87" s="1"/>
  <c r="BD863" i="87" s="1"/>
  <c r="BE863" i="87" s="1"/>
  <c r="BF863" i="87" s="1"/>
  <c r="BG863" i="87" s="1"/>
  <c r="BH863" i="87" s="1"/>
  <c r="BI863" i="87" s="1"/>
  <c r="BJ863" i="87" s="1"/>
  <c r="BK863" i="87" s="1"/>
  <c r="BL863" i="87" s="1"/>
  <c r="BM863" i="87" s="1"/>
  <c r="BN863" i="87" s="1"/>
  <c r="BO863" i="87" s="1"/>
  <c r="BP863" i="87" s="1"/>
  <c r="BQ863" i="87" s="1"/>
  <c r="BR863" i="87" s="1"/>
  <c r="BS863" i="87" s="1"/>
  <c r="BT863" i="87" s="1"/>
  <c r="BU863" i="87" s="1"/>
  <c r="BV863" i="87" s="1"/>
  <c r="BW863" i="87" s="1"/>
  <c r="BX863" i="87" s="1"/>
  <c r="BY863" i="87" s="1"/>
  <c r="BZ863" i="87" s="1"/>
  <c r="CA863" i="87" s="1"/>
  <c r="CB863" i="87" s="1"/>
  <c r="CC863" i="87" s="1"/>
  <c r="CD863" i="87" s="1"/>
  <c r="CE863" i="87" s="1"/>
  <c r="CF863" i="87" s="1"/>
  <c r="CG863" i="87" s="1"/>
  <c r="CH863" i="87" s="1"/>
  <c r="CI863" i="87" s="1"/>
  <c r="N864" i="87" l="1"/>
  <c r="O864" i="87" s="1"/>
  <c r="P864" i="87" s="1"/>
  <c r="Q864" i="87" s="1"/>
  <c r="R864" i="87" s="1"/>
  <c r="S864" i="87" s="1"/>
  <c r="T864" i="87" s="1"/>
  <c r="U864" i="87" s="1"/>
  <c r="V864" i="87" s="1"/>
  <c r="W864" i="87" s="1"/>
  <c r="X864" i="87" s="1"/>
  <c r="Y864" i="87" s="1"/>
  <c r="Z864" i="87" s="1"/>
  <c r="AA864" i="87" s="1"/>
  <c r="AB864" i="87" s="1"/>
  <c r="AC864" i="87" s="1"/>
  <c r="AD864" i="87" s="1"/>
  <c r="AE864" i="87" s="1"/>
  <c r="AF864" i="87" s="1"/>
  <c r="AG864" i="87" s="1"/>
  <c r="AH864" i="87" s="1"/>
  <c r="AI864" i="87" s="1"/>
  <c r="AJ864" i="87" s="1"/>
  <c r="AK864" i="87" s="1"/>
  <c r="AL864" i="87" s="1"/>
  <c r="AM864" i="87" s="1"/>
  <c r="AN864" i="87" s="1"/>
  <c r="AO864" i="87" s="1"/>
  <c r="AP864" i="87" s="1"/>
  <c r="AQ864" i="87" s="1"/>
  <c r="AR864" i="87" s="1"/>
  <c r="AS864" i="87" s="1"/>
  <c r="AT864" i="87" s="1"/>
  <c r="AU864" i="87" s="1"/>
  <c r="AV864" i="87" s="1"/>
  <c r="AW864" i="87" s="1"/>
  <c r="AX864" i="87" s="1"/>
  <c r="AY864" i="87" s="1"/>
  <c r="AZ864" i="87" s="1"/>
  <c r="BA864" i="87" s="1"/>
  <c r="BB864" i="87" s="1"/>
  <c r="BC864" i="87" s="1"/>
  <c r="BD864" i="87" s="1"/>
  <c r="BE864" i="87" s="1"/>
  <c r="BF864" i="87" s="1"/>
  <c r="BG864" i="87" s="1"/>
  <c r="BH864" i="87" s="1"/>
  <c r="BI864" i="87" s="1"/>
  <c r="BJ864" i="87" s="1"/>
  <c r="BK864" i="87" s="1"/>
  <c r="BL864" i="87" s="1"/>
  <c r="BM864" i="87" s="1"/>
  <c r="BN864" i="87" s="1"/>
  <c r="BO864" i="87" s="1"/>
  <c r="BP864" i="87" s="1"/>
  <c r="BQ864" i="87" s="1"/>
  <c r="BR864" i="87" s="1"/>
  <c r="BS864" i="87" s="1"/>
  <c r="BT864" i="87" s="1"/>
  <c r="BU864" i="87" s="1"/>
  <c r="BV864" i="87" s="1"/>
  <c r="BW864" i="87" s="1"/>
  <c r="BX864" i="87" s="1"/>
  <c r="BY864" i="87" s="1"/>
  <c r="BZ864" i="87" s="1"/>
  <c r="CA864" i="87" s="1"/>
  <c r="CB864" i="87" s="1"/>
  <c r="CC864" i="87" s="1"/>
  <c r="CD864" i="87" s="1"/>
  <c r="CE864" i="87" s="1"/>
  <c r="CF864" i="87" s="1"/>
  <c r="CG864" i="87" s="1"/>
  <c r="CH864" i="87" s="1"/>
  <c r="CI864" i="87" s="1"/>
  <c r="M865" i="87"/>
  <c r="M866" i="87" l="1"/>
  <c r="N865" i="87"/>
  <c r="O865" i="87" s="1"/>
  <c r="P865" i="87" s="1"/>
  <c r="Q865" i="87" s="1"/>
  <c r="R865" i="87" s="1"/>
  <c r="S865" i="87" s="1"/>
  <c r="T865" i="87" s="1"/>
  <c r="U865" i="87" s="1"/>
  <c r="V865" i="87" s="1"/>
  <c r="W865" i="87" s="1"/>
  <c r="X865" i="87" s="1"/>
  <c r="Y865" i="87" s="1"/>
  <c r="Z865" i="87" s="1"/>
  <c r="AA865" i="87" s="1"/>
  <c r="AB865" i="87" s="1"/>
  <c r="AC865" i="87" s="1"/>
  <c r="AD865" i="87" s="1"/>
  <c r="AE865" i="87" s="1"/>
  <c r="AF865" i="87" s="1"/>
  <c r="AG865" i="87" s="1"/>
  <c r="AH865" i="87" s="1"/>
  <c r="AI865" i="87" s="1"/>
  <c r="AJ865" i="87" s="1"/>
  <c r="AK865" i="87" s="1"/>
  <c r="AL865" i="87" s="1"/>
  <c r="AM865" i="87" s="1"/>
  <c r="AN865" i="87" s="1"/>
  <c r="AO865" i="87" s="1"/>
  <c r="AP865" i="87" s="1"/>
  <c r="AQ865" i="87" s="1"/>
  <c r="AR865" i="87" s="1"/>
  <c r="AS865" i="87" s="1"/>
  <c r="AT865" i="87" s="1"/>
  <c r="AU865" i="87" s="1"/>
  <c r="AV865" i="87" s="1"/>
  <c r="AW865" i="87" s="1"/>
  <c r="AX865" i="87" s="1"/>
  <c r="AY865" i="87" s="1"/>
  <c r="AZ865" i="87" s="1"/>
  <c r="BA865" i="87" s="1"/>
  <c r="BB865" i="87" s="1"/>
  <c r="BC865" i="87" s="1"/>
  <c r="BD865" i="87" s="1"/>
  <c r="BE865" i="87" s="1"/>
  <c r="BF865" i="87" s="1"/>
  <c r="BG865" i="87" s="1"/>
  <c r="BH865" i="87" s="1"/>
  <c r="BI865" i="87" s="1"/>
  <c r="BJ865" i="87" s="1"/>
  <c r="BK865" i="87" s="1"/>
  <c r="BL865" i="87" s="1"/>
  <c r="BM865" i="87" s="1"/>
  <c r="BN865" i="87" s="1"/>
  <c r="BO865" i="87" s="1"/>
  <c r="BP865" i="87" s="1"/>
  <c r="BQ865" i="87" s="1"/>
  <c r="BR865" i="87" s="1"/>
  <c r="BS865" i="87" s="1"/>
  <c r="BT865" i="87" s="1"/>
  <c r="BU865" i="87" s="1"/>
  <c r="BV865" i="87" s="1"/>
  <c r="BW865" i="87" s="1"/>
  <c r="BX865" i="87" s="1"/>
  <c r="BY865" i="87" s="1"/>
  <c r="BZ865" i="87" s="1"/>
  <c r="CA865" i="87" s="1"/>
  <c r="CB865" i="87" s="1"/>
  <c r="CC865" i="87" s="1"/>
  <c r="CD865" i="87" s="1"/>
  <c r="CE865" i="87" s="1"/>
  <c r="CF865" i="87" s="1"/>
  <c r="CG865" i="87" s="1"/>
  <c r="CH865" i="87" s="1"/>
  <c r="CI865" i="87" s="1"/>
  <c r="M867" i="87" l="1"/>
  <c r="N866" i="87"/>
  <c r="O866" i="87" s="1"/>
  <c r="P866" i="87" s="1"/>
  <c r="Q866" i="87" s="1"/>
  <c r="R866" i="87" s="1"/>
  <c r="S866" i="87" s="1"/>
  <c r="T866" i="87" s="1"/>
  <c r="U866" i="87" s="1"/>
  <c r="V866" i="87" s="1"/>
  <c r="W866" i="87" s="1"/>
  <c r="X866" i="87" s="1"/>
  <c r="Y866" i="87" s="1"/>
  <c r="Z866" i="87" s="1"/>
  <c r="AA866" i="87" s="1"/>
  <c r="AB866" i="87" s="1"/>
  <c r="AC866" i="87" s="1"/>
  <c r="AD866" i="87" s="1"/>
  <c r="AE866" i="87" s="1"/>
  <c r="AF866" i="87" s="1"/>
  <c r="AG866" i="87" s="1"/>
  <c r="AH866" i="87" s="1"/>
  <c r="AI866" i="87" s="1"/>
  <c r="AJ866" i="87" s="1"/>
  <c r="AK866" i="87" s="1"/>
  <c r="AL866" i="87" s="1"/>
  <c r="AM866" i="87" s="1"/>
  <c r="AN866" i="87" s="1"/>
  <c r="AO866" i="87" s="1"/>
  <c r="AP866" i="87" s="1"/>
  <c r="AQ866" i="87" s="1"/>
  <c r="AR866" i="87" s="1"/>
  <c r="AS866" i="87" s="1"/>
  <c r="AT866" i="87" s="1"/>
  <c r="AU866" i="87" s="1"/>
  <c r="AV866" i="87" s="1"/>
  <c r="AW866" i="87" s="1"/>
  <c r="AX866" i="87" s="1"/>
  <c r="AY866" i="87" s="1"/>
  <c r="AZ866" i="87" s="1"/>
  <c r="BA866" i="87" s="1"/>
  <c r="BB866" i="87" s="1"/>
  <c r="BC866" i="87" s="1"/>
  <c r="BD866" i="87" s="1"/>
  <c r="BE866" i="87" s="1"/>
  <c r="BF866" i="87" s="1"/>
  <c r="BG866" i="87" s="1"/>
  <c r="BH866" i="87" s="1"/>
  <c r="BI866" i="87" s="1"/>
  <c r="BJ866" i="87" s="1"/>
  <c r="BK866" i="87" s="1"/>
  <c r="BL866" i="87" s="1"/>
  <c r="BM866" i="87" s="1"/>
  <c r="BN866" i="87" s="1"/>
  <c r="BO866" i="87" s="1"/>
  <c r="BP866" i="87" s="1"/>
  <c r="BQ866" i="87" s="1"/>
  <c r="BR866" i="87" s="1"/>
  <c r="BS866" i="87" s="1"/>
  <c r="BT866" i="87" s="1"/>
  <c r="BU866" i="87" s="1"/>
  <c r="BV866" i="87" s="1"/>
  <c r="BW866" i="87" s="1"/>
  <c r="BX866" i="87" s="1"/>
  <c r="BY866" i="87" s="1"/>
  <c r="BZ866" i="87" s="1"/>
  <c r="CA866" i="87" s="1"/>
  <c r="CB866" i="87" s="1"/>
  <c r="CC866" i="87" s="1"/>
  <c r="CD866" i="87" s="1"/>
  <c r="CE866" i="87" s="1"/>
  <c r="CF866" i="87" s="1"/>
  <c r="CG866" i="87" s="1"/>
  <c r="CH866" i="87" s="1"/>
  <c r="CI866" i="87" s="1"/>
  <c r="M868" i="87" l="1"/>
  <c r="N867" i="87"/>
  <c r="O867" i="87" s="1"/>
  <c r="P867" i="87" s="1"/>
  <c r="Q867" i="87" s="1"/>
  <c r="R867" i="87" s="1"/>
  <c r="S867" i="87" s="1"/>
  <c r="T867" i="87" s="1"/>
  <c r="U867" i="87" s="1"/>
  <c r="V867" i="87" s="1"/>
  <c r="W867" i="87" s="1"/>
  <c r="X867" i="87" s="1"/>
  <c r="Y867" i="87" s="1"/>
  <c r="Z867" i="87" s="1"/>
  <c r="AA867" i="87" s="1"/>
  <c r="AB867" i="87" s="1"/>
  <c r="AC867" i="87" s="1"/>
  <c r="AD867" i="87" s="1"/>
  <c r="AE867" i="87" s="1"/>
  <c r="AF867" i="87" s="1"/>
  <c r="AG867" i="87" s="1"/>
  <c r="AH867" i="87" s="1"/>
  <c r="AI867" i="87" s="1"/>
  <c r="AJ867" i="87" s="1"/>
  <c r="AK867" i="87" s="1"/>
  <c r="AL867" i="87" s="1"/>
  <c r="AM867" i="87" s="1"/>
  <c r="AN867" i="87" s="1"/>
  <c r="AO867" i="87" s="1"/>
  <c r="AP867" i="87" s="1"/>
  <c r="AQ867" i="87" s="1"/>
  <c r="AR867" i="87" s="1"/>
  <c r="AS867" i="87" s="1"/>
  <c r="AT867" i="87" s="1"/>
  <c r="AU867" i="87" s="1"/>
  <c r="AV867" i="87" s="1"/>
  <c r="AW867" i="87" s="1"/>
  <c r="AX867" i="87" s="1"/>
  <c r="AY867" i="87" s="1"/>
  <c r="AZ867" i="87" s="1"/>
  <c r="BA867" i="87" s="1"/>
  <c r="BB867" i="87" s="1"/>
  <c r="BC867" i="87" s="1"/>
  <c r="BD867" i="87" s="1"/>
  <c r="BE867" i="87" s="1"/>
  <c r="BF867" i="87" s="1"/>
  <c r="BG867" i="87" s="1"/>
  <c r="BH867" i="87" s="1"/>
  <c r="BI867" i="87" s="1"/>
  <c r="BJ867" i="87" s="1"/>
  <c r="BK867" i="87" s="1"/>
  <c r="BL867" i="87" s="1"/>
  <c r="BM867" i="87" s="1"/>
  <c r="BN867" i="87" s="1"/>
  <c r="BO867" i="87" s="1"/>
  <c r="BP867" i="87" s="1"/>
  <c r="BQ867" i="87" s="1"/>
  <c r="BR867" i="87" s="1"/>
  <c r="BS867" i="87" s="1"/>
  <c r="BT867" i="87" s="1"/>
  <c r="BU867" i="87" s="1"/>
  <c r="BV867" i="87" s="1"/>
  <c r="BW867" i="87" s="1"/>
  <c r="BX867" i="87" s="1"/>
  <c r="BY867" i="87" s="1"/>
  <c r="BZ867" i="87" s="1"/>
  <c r="CA867" i="87" s="1"/>
  <c r="CB867" i="87" s="1"/>
  <c r="CC867" i="87" s="1"/>
  <c r="CD867" i="87" s="1"/>
  <c r="CE867" i="87" s="1"/>
  <c r="CF867" i="87" s="1"/>
  <c r="CG867" i="87" s="1"/>
  <c r="CH867" i="87" s="1"/>
  <c r="CI867" i="87" s="1"/>
  <c r="N868" i="87" l="1"/>
  <c r="O868" i="87" s="1"/>
  <c r="P868" i="87" s="1"/>
  <c r="Q868" i="87" s="1"/>
  <c r="R868" i="87" s="1"/>
  <c r="S868" i="87" s="1"/>
  <c r="T868" i="87" s="1"/>
  <c r="U868" i="87" s="1"/>
  <c r="V868" i="87" s="1"/>
  <c r="W868" i="87" s="1"/>
  <c r="X868" i="87" s="1"/>
  <c r="Y868" i="87" s="1"/>
  <c r="Z868" i="87" s="1"/>
  <c r="AA868" i="87" s="1"/>
  <c r="AB868" i="87" s="1"/>
  <c r="AC868" i="87" s="1"/>
  <c r="AD868" i="87" s="1"/>
  <c r="AE868" i="87" s="1"/>
  <c r="AF868" i="87" s="1"/>
  <c r="AG868" i="87" s="1"/>
  <c r="AH868" i="87" s="1"/>
  <c r="AI868" i="87" s="1"/>
  <c r="AJ868" i="87" s="1"/>
  <c r="AK868" i="87" s="1"/>
  <c r="AL868" i="87" s="1"/>
  <c r="AM868" i="87" s="1"/>
  <c r="AN868" i="87" s="1"/>
  <c r="AO868" i="87" s="1"/>
  <c r="AP868" i="87" s="1"/>
  <c r="AQ868" i="87" s="1"/>
  <c r="AR868" i="87" s="1"/>
  <c r="AS868" i="87" s="1"/>
  <c r="AT868" i="87" s="1"/>
  <c r="AU868" i="87" s="1"/>
  <c r="AV868" i="87" s="1"/>
  <c r="AW868" i="87" s="1"/>
  <c r="AX868" i="87" s="1"/>
  <c r="AY868" i="87" s="1"/>
  <c r="AZ868" i="87" s="1"/>
  <c r="BA868" i="87" s="1"/>
  <c r="BB868" i="87" s="1"/>
  <c r="BC868" i="87" s="1"/>
  <c r="BD868" i="87" s="1"/>
  <c r="BE868" i="87" s="1"/>
  <c r="BF868" i="87" s="1"/>
  <c r="BG868" i="87" s="1"/>
  <c r="BH868" i="87" s="1"/>
  <c r="BI868" i="87" s="1"/>
  <c r="BJ868" i="87" s="1"/>
  <c r="BK868" i="87" s="1"/>
  <c r="BL868" i="87" s="1"/>
  <c r="BM868" i="87" s="1"/>
  <c r="BN868" i="87" s="1"/>
  <c r="BO868" i="87" s="1"/>
  <c r="BP868" i="87" s="1"/>
  <c r="BQ868" i="87" s="1"/>
  <c r="BR868" i="87" s="1"/>
  <c r="BS868" i="87" s="1"/>
  <c r="BT868" i="87" s="1"/>
  <c r="BU868" i="87" s="1"/>
  <c r="BV868" i="87" s="1"/>
  <c r="BW868" i="87" s="1"/>
  <c r="BX868" i="87" s="1"/>
  <c r="BY868" i="87" s="1"/>
  <c r="BZ868" i="87" s="1"/>
  <c r="CA868" i="87" s="1"/>
  <c r="CB868" i="87" s="1"/>
  <c r="CC868" i="87" s="1"/>
  <c r="CD868" i="87" s="1"/>
  <c r="CE868" i="87" s="1"/>
  <c r="CF868" i="87" s="1"/>
  <c r="CG868" i="87" s="1"/>
  <c r="CH868" i="87" s="1"/>
  <c r="CI868" i="87" s="1"/>
  <c r="M869" i="87"/>
  <c r="M870" i="87" l="1"/>
  <c r="N869" i="87"/>
  <c r="O869" i="87" s="1"/>
  <c r="P869" i="87" s="1"/>
  <c r="Q869" i="87" s="1"/>
  <c r="R869" i="87" s="1"/>
  <c r="S869" i="87" s="1"/>
  <c r="T869" i="87" s="1"/>
  <c r="U869" i="87" s="1"/>
  <c r="V869" i="87" s="1"/>
  <c r="W869" i="87" s="1"/>
  <c r="X869" i="87" s="1"/>
  <c r="Y869" i="87" s="1"/>
  <c r="Z869" i="87" s="1"/>
  <c r="AA869" i="87" s="1"/>
  <c r="AB869" i="87" s="1"/>
  <c r="AC869" i="87" s="1"/>
  <c r="AD869" i="87" s="1"/>
  <c r="AE869" i="87" s="1"/>
  <c r="AF869" i="87" s="1"/>
  <c r="AG869" i="87" s="1"/>
  <c r="AH869" i="87" s="1"/>
  <c r="AI869" i="87" s="1"/>
  <c r="AJ869" i="87" s="1"/>
  <c r="AK869" i="87" s="1"/>
  <c r="AL869" i="87" s="1"/>
  <c r="AM869" i="87" s="1"/>
  <c r="AN869" i="87" s="1"/>
  <c r="AO869" i="87" s="1"/>
  <c r="AP869" i="87" s="1"/>
  <c r="AQ869" i="87" s="1"/>
  <c r="AR869" i="87" s="1"/>
  <c r="AS869" i="87" s="1"/>
  <c r="AT869" i="87" s="1"/>
  <c r="AU869" i="87" s="1"/>
  <c r="AV869" i="87" s="1"/>
  <c r="AW869" i="87" s="1"/>
  <c r="AX869" i="87" s="1"/>
  <c r="AY869" i="87" s="1"/>
  <c r="AZ869" i="87" s="1"/>
  <c r="BA869" i="87" s="1"/>
  <c r="BB869" i="87" s="1"/>
  <c r="BC869" i="87" s="1"/>
  <c r="BD869" i="87" s="1"/>
  <c r="BE869" i="87" s="1"/>
  <c r="BF869" i="87" s="1"/>
  <c r="BG869" i="87" s="1"/>
  <c r="BH869" i="87" s="1"/>
  <c r="BI869" i="87" s="1"/>
  <c r="BJ869" i="87" s="1"/>
  <c r="BK869" i="87" s="1"/>
  <c r="BL869" i="87" s="1"/>
  <c r="BM869" i="87" s="1"/>
  <c r="BN869" i="87" s="1"/>
  <c r="BO869" i="87" s="1"/>
  <c r="BP869" i="87" s="1"/>
  <c r="BQ869" i="87" s="1"/>
  <c r="BR869" i="87" s="1"/>
  <c r="BS869" i="87" s="1"/>
  <c r="BT869" i="87" s="1"/>
  <c r="BU869" i="87" s="1"/>
  <c r="BV869" i="87" s="1"/>
  <c r="BW869" i="87" s="1"/>
  <c r="BX869" i="87" s="1"/>
  <c r="BY869" i="87" s="1"/>
  <c r="BZ869" i="87" s="1"/>
  <c r="CA869" i="87" s="1"/>
  <c r="CB869" i="87" s="1"/>
  <c r="CC869" i="87" s="1"/>
  <c r="CD869" i="87" s="1"/>
  <c r="CE869" i="87" s="1"/>
  <c r="CF869" i="87" s="1"/>
  <c r="CG869" i="87" s="1"/>
  <c r="CH869" i="87" s="1"/>
  <c r="CI869" i="87" s="1"/>
  <c r="N870" i="87" l="1"/>
  <c r="O870" i="87" s="1"/>
  <c r="P870" i="87" s="1"/>
  <c r="Q870" i="87" s="1"/>
  <c r="R870" i="87" s="1"/>
  <c r="S870" i="87" s="1"/>
  <c r="T870" i="87" s="1"/>
  <c r="U870" i="87" s="1"/>
  <c r="V870" i="87" s="1"/>
  <c r="W870" i="87" s="1"/>
  <c r="X870" i="87" s="1"/>
  <c r="Y870" i="87" s="1"/>
  <c r="Z870" i="87" s="1"/>
  <c r="AA870" i="87" s="1"/>
  <c r="AB870" i="87" s="1"/>
  <c r="AC870" i="87" s="1"/>
  <c r="AD870" i="87" s="1"/>
  <c r="AE870" i="87" s="1"/>
  <c r="AF870" i="87" s="1"/>
  <c r="AG870" i="87" s="1"/>
  <c r="AH870" i="87" s="1"/>
  <c r="AI870" i="87" s="1"/>
  <c r="AJ870" i="87" s="1"/>
  <c r="AK870" i="87" s="1"/>
  <c r="AL870" i="87" s="1"/>
  <c r="AM870" i="87" s="1"/>
  <c r="AN870" i="87" s="1"/>
  <c r="AO870" i="87" s="1"/>
  <c r="AP870" i="87" s="1"/>
  <c r="AQ870" i="87" s="1"/>
  <c r="AR870" i="87" s="1"/>
  <c r="AS870" i="87" s="1"/>
  <c r="AT870" i="87" s="1"/>
  <c r="AU870" i="87" s="1"/>
  <c r="AV870" i="87" s="1"/>
  <c r="AW870" i="87" s="1"/>
  <c r="AX870" i="87" s="1"/>
  <c r="AY870" i="87" s="1"/>
  <c r="AZ870" i="87" s="1"/>
  <c r="BA870" i="87" s="1"/>
  <c r="BB870" i="87" s="1"/>
  <c r="BC870" i="87" s="1"/>
  <c r="BD870" i="87" s="1"/>
  <c r="BE870" i="87" s="1"/>
  <c r="BF870" i="87" s="1"/>
  <c r="BG870" i="87" s="1"/>
  <c r="BH870" i="87" s="1"/>
  <c r="BI870" i="87" s="1"/>
  <c r="BJ870" i="87" s="1"/>
  <c r="BK870" i="87" s="1"/>
  <c r="BL870" i="87" s="1"/>
  <c r="BM870" i="87" s="1"/>
  <c r="BN870" i="87" s="1"/>
  <c r="BO870" i="87" s="1"/>
  <c r="BP870" i="87" s="1"/>
  <c r="BQ870" i="87" s="1"/>
  <c r="BR870" i="87" s="1"/>
  <c r="BS870" i="87" s="1"/>
  <c r="BT870" i="87" s="1"/>
  <c r="BU870" i="87" s="1"/>
  <c r="BV870" i="87" s="1"/>
  <c r="BW870" i="87" s="1"/>
  <c r="BX870" i="87" s="1"/>
  <c r="BY870" i="87" s="1"/>
  <c r="BZ870" i="87" s="1"/>
  <c r="CA870" i="87" s="1"/>
  <c r="CB870" i="87" s="1"/>
  <c r="CC870" i="87" s="1"/>
  <c r="CD870" i="87" s="1"/>
  <c r="CE870" i="87" s="1"/>
  <c r="CF870" i="87" s="1"/>
  <c r="CG870" i="87" s="1"/>
  <c r="CH870" i="87" s="1"/>
  <c r="CI870" i="87" s="1"/>
  <c r="M871" i="87"/>
  <c r="M872" i="87" l="1"/>
  <c r="N871" i="87"/>
  <c r="O871" i="87" s="1"/>
  <c r="P871" i="87" s="1"/>
  <c r="Q871" i="87" s="1"/>
  <c r="R871" i="87" s="1"/>
  <c r="S871" i="87" s="1"/>
  <c r="T871" i="87" s="1"/>
  <c r="U871" i="87" s="1"/>
  <c r="V871" i="87" s="1"/>
  <c r="W871" i="87" s="1"/>
  <c r="X871" i="87" s="1"/>
  <c r="Y871" i="87" s="1"/>
  <c r="Z871" i="87" s="1"/>
  <c r="AA871" i="87" s="1"/>
  <c r="AB871" i="87" s="1"/>
  <c r="AC871" i="87" s="1"/>
  <c r="AD871" i="87" s="1"/>
  <c r="AE871" i="87" s="1"/>
  <c r="AF871" i="87" s="1"/>
  <c r="AG871" i="87" s="1"/>
  <c r="AH871" i="87" s="1"/>
  <c r="AI871" i="87" s="1"/>
  <c r="AJ871" i="87" s="1"/>
  <c r="AK871" i="87" s="1"/>
  <c r="AL871" i="87" s="1"/>
  <c r="AM871" i="87" s="1"/>
  <c r="AN871" i="87" s="1"/>
  <c r="AO871" i="87" s="1"/>
  <c r="AP871" i="87" s="1"/>
  <c r="AQ871" i="87" s="1"/>
  <c r="AR871" i="87" s="1"/>
  <c r="AS871" i="87" s="1"/>
  <c r="AT871" i="87" s="1"/>
  <c r="AU871" i="87" s="1"/>
  <c r="AV871" i="87" s="1"/>
  <c r="AW871" i="87" s="1"/>
  <c r="AX871" i="87" s="1"/>
  <c r="AY871" i="87" s="1"/>
  <c r="AZ871" i="87" s="1"/>
  <c r="BA871" i="87" s="1"/>
  <c r="BB871" i="87" s="1"/>
  <c r="BC871" i="87" s="1"/>
  <c r="BD871" i="87" s="1"/>
  <c r="BE871" i="87" s="1"/>
  <c r="BF871" i="87" s="1"/>
  <c r="BG871" i="87" s="1"/>
  <c r="BH871" i="87" s="1"/>
  <c r="BI871" i="87" s="1"/>
  <c r="BJ871" i="87" s="1"/>
  <c r="BK871" i="87" s="1"/>
  <c r="BL871" i="87" s="1"/>
  <c r="BM871" i="87" s="1"/>
  <c r="BN871" i="87" s="1"/>
  <c r="BO871" i="87" s="1"/>
  <c r="BP871" i="87" s="1"/>
  <c r="BQ871" i="87" s="1"/>
  <c r="BR871" i="87" s="1"/>
  <c r="BS871" i="87" s="1"/>
  <c r="BT871" i="87" s="1"/>
  <c r="BU871" i="87" s="1"/>
  <c r="BV871" i="87" s="1"/>
  <c r="BW871" i="87" s="1"/>
  <c r="BX871" i="87" s="1"/>
  <c r="BY871" i="87" s="1"/>
  <c r="BZ871" i="87" s="1"/>
  <c r="CA871" i="87" s="1"/>
  <c r="CB871" i="87" s="1"/>
  <c r="CC871" i="87" s="1"/>
  <c r="CD871" i="87" s="1"/>
  <c r="CE871" i="87" s="1"/>
  <c r="CF871" i="87" s="1"/>
  <c r="CG871" i="87" s="1"/>
  <c r="CH871" i="87" s="1"/>
  <c r="CI871" i="87" s="1"/>
  <c r="M873" i="87" l="1"/>
  <c r="N872" i="87"/>
  <c r="O872" i="87" s="1"/>
  <c r="P872" i="87" s="1"/>
  <c r="Q872" i="87" s="1"/>
  <c r="R872" i="87" s="1"/>
  <c r="S872" i="87" s="1"/>
  <c r="T872" i="87" s="1"/>
  <c r="U872" i="87" s="1"/>
  <c r="V872" i="87" s="1"/>
  <c r="W872" i="87" s="1"/>
  <c r="X872" i="87" s="1"/>
  <c r="Y872" i="87" s="1"/>
  <c r="Z872" i="87" s="1"/>
  <c r="AA872" i="87" s="1"/>
  <c r="AB872" i="87" s="1"/>
  <c r="AC872" i="87" s="1"/>
  <c r="AD872" i="87" s="1"/>
  <c r="AE872" i="87" s="1"/>
  <c r="AF872" i="87" s="1"/>
  <c r="AG872" i="87" s="1"/>
  <c r="AH872" i="87" s="1"/>
  <c r="AI872" i="87" s="1"/>
  <c r="AJ872" i="87" s="1"/>
  <c r="AK872" i="87" s="1"/>
  <c r="AL872" i="87" s="1"/>
  <c r="AM872" i="87" s="1"/>
  <c r="AN872" i="87" s="1"/>
  <c r="AO872" i="87" s="1"/>
  <c r="AP872" i="87" s="1"/>
  <c r="AQ872" i="87" s="1"/>
  <c r="AR872" i="87" s="1"/>
  <c r="AS872" i="87" s="1"/>
  <c r="AT872" i="87" s="1"/>
  <c r="AU872" i="87" s="1"/>
  <c r="AV872" i="87" s="1"/>
  <c r="AW872" i="87" s="1"/>
  <c r="AX872" i="87" s="1"/>
  <c r="AY872" i="87" s="1"/>
  <c r="AZ872" i="87" s="1"/>
  <c r="BA872" i="87" s="1"/>
  <c r="BB872" i="87" s="1"/>
  <c r="BC872" i="87" s="1"/>
  <c r="BD872" i="87" s="1"/>
  <c r="BE872" i="87" s="1"/>
  <c r="BF872" i="87" s="1"/>
  <c r="BG872" i="87" s="1"/>
  <c r="BH872" i="87" s="1"/>
  <c r="BI872" i="87" s="1"/>
  <c r="BJ872" i="87" s="1"/>
  <c r="BK872" i="87" s="1"/>
  <c r="BL872" i="87" s="1"/>
  <c r="BM872" i="87" s="1"/>
  <c r="BN872" i="87" s="1"/>
  <c r="BO872" i="87" s="1"/>
  <c r="BP872" i="87" s="1"/>
  <c r="BQ872" i="87" s="1"/>
  <c r="BR872" i="87" s="1"/>
  <c r="BS872" i="87" s="1"/>
  <c r="BT872" i="87" s="1"/>
  <c r="BU872" i="87" s="1"/>
  <c r="BV872" i="87" s="1"/>
  <c r="BW872" i="87" s="1"/>
  <c r="BX872" i="87" s="1"/>
  <c r="BY872" i="87" s="1"/>
  <c r="BZ872" i="87" s="1"/>
  <c r="CA872" i="87" s="1"/>
  <c r="CB872" i="87" s="1"/>
  <c r="CC872" i="87" s="1"/>
  <c r="CD872" i="87" s="1"/>
  <c r="CE872" i="87" s="1"/>
  <c r="CF872" i="87" s="1"/>
  <c r="CG872" i="87" s="1"/>
  <c r="CH872" i="87" s="1"/>
  <c r="CI872" i="87" s="1"/>
  <c r="N873" i="87" l="1"/>
  <c r="O873" i="87" s="1"/>
  <c r="P873" i="87" s="1"/>
  <c r="Q873" i="87" s="1"/>
  <c r="R873" i="87" s="1"/>
  <c r="S873" i="87" s="1"/>
  <c r="T873" i="87" s="1"/>
  <c r="U873" i="87" s="1"/>
  <c r="V873" i="87" s="1"/>
  <c r="W873" i="87" s="1"/>
  <c r="X873" i="87" s="1"/>
  <c r="Y873" i="87" s="1"/>
  <c r="Z873" i="87" s="1"/>
  <c r="AA873" i="87" s="1"/>
  <c r="AB873" i="87" s="1"/>
  <c r="AC873" i="87" s="1"/>
  <c r="AD873" i="87" s="1"/>
  <c r="AE873" i="87" s="1"/>
  <c r="AF873" i="87" s="1"/>
  <c r="AG873" i="87" s="1"/>
  <c r="AH873" i="87" s="1"/>
  <c r="AI873" i="87" s="1"/>
  <c r="AJ873" i="87" s="1"/>
  <c r="AK873" i="87" s="1"/>
  <c r="AL873" i="87" s="1"/>
  <c r="AM873" i="87" s="1"/>
  <c r="AN873" i="87" s="1"/>
  <c r="AO873" i="87" s="1"/>
  <c r="AP873" i="87" s="1"/>
  <c r="AQ873" i="87" s="1"/>
  <c r="AR873" i="87" s="1"/>
  <c r="AS873" i="87" s="1"/>
  <c r="AT873" i="87" s="1"/>
  <c r="AU873" i="87" s="1"/>
  <c r="AV873" i="87" s="1"/>
  <c r="AW873" i="87" s="1"/>
  <c r="AX873" i="87" s="1"/>
  <c r="AY873" i="87" s="1"/>
  <c r="AZ873" i="87" s="1"/>
  <c r="BA873" i="87" s="1"/>
  <c r="BB873" i="87" s="1"/>
  <c r="BC873" i="87" s="1"/>
  <c r="BD873" i="87" s="1"/>
  <c r="BE873" i="87" s="1"/>
  <c r="BF873" i="87" s="1"/>
  <c r="BG873" i="87" s="1"/>
  <c r="BH873" i="87" s="1"/>
  <c r="BI873" i="87" s="1"/>
  <c r="BJ873" i="87" s="1"/>
  <c r="BK873" i="87" s="1"/>
  <c r="BL873" i="87" s="1"/>
  <c r="BM873" i="87" s="1"/>
  <c r="BN873" i="87" s="1"/>
  <c r="BO873" i="87" s="1"/>
  <c r="BP873" i="87" s="1"/>
  <c r="BQ873" i="87" s="1"/>
  <c r="BR873" i="87" s="1"/>
  <c r="BS873" i="87" s="1"/>
  <c r="BT873" i="87" s="1"/>
  <c r="BU873" i="87" s="1"/>
  <c r="BV873" i="87" s="1"/>
  <c r="BW873" i="87" s="1"/>
  <c r="BX873" i="87" s="1"/>
  <c r="BY873" i="87" s="1"/>
  <c r="BZ873" i="87" s="1"/>
  <c r="CA873" i="87" s="1"/>
  <c r="CB873" i="87" s="1"/>
  <c r="CC873" i="87" s="1"/>
  <c r="CD873" i="87" s="1"/>
  <c r="CE873" i="87" s="1"/>
  <c r="CF873" i="87" s="1"/>
  <c r="CG873" i="87" s="1"/>
  <c r="CH873" i="87" s="1"/>
  <c r="CI873" i="87" s="1"/>
  <c r="M874" i="87"/>
  <c r="N874" i="87" l="1"/>
  <c r="O874" i="87" s="1"/>
  <c r="P874" i="87" s="1"/>
  <c r="Q874" i="87" s="1"/>
  <c r="R874" i="87" s="1"/>
  <c r="S874" i="87" s="1"/>
  <c r="T874" i="87" s="1"/>
  <c r="U874" i="87" s="1"/>
  <c r="V874" i="87" s="1"/>
  <c r="W874" i="87" s="1"/>
  <c r="X874" i="87" s="1"/>
  <c r="Y874" i="87" s="1"/>
  <c r="Z874" i="87" s="1"/>
  <c r="AA874" i="87" s="1"/>
  <c r="AB874" i="87" s="1"/>
  <c r="AC874" i="87" s="1"/>
  <c r="AD874" i="87" s="1"/>
  <c r="AE874" i="87" s="1"/>
  <c r="AF874" i="87" s="1"/>
  <c r="AG874" i="87" s="1"/>
  <c r="AH874" i="87" s="1"/>
  <c r="AI874" i="87" s="1"/>
  <c r="AJ874" i="87" s="1"/>
  <c r="AK874" i="87" s="1"/>
  <c r="AL874" i="87" s="1"/>
  <c r="AM874" i="87" s="1"/>
  <c r="AN874" i="87" s="1"/>
  <c r="AO874" i="87" s="1"/>
  <c r="AP874" i="87" s="1"/>
  <c r="AQ874" i="87" s="1"/>
  <c r="AR874" i="87" s="1"/>
  <c r="AS874" i="87" s="1"/>
  <c r="AT874" i="87" s="1"/>
  <c r="AU874" i="87" s="1"/>
  <c r="AV874" i="87" s="1"/>
  <c r="AW874" i="87" s="1"/>
  <c r="AX874" i="87" s="1"/>
  <c r="AY874" i="87" s="1"/>
  <c r="AZ874" i="87" s="1"/>
  <c r="BA874" i="87" s="1"/>
  <c r="BB874" i="87" s="1"/>
  <c r="BC874" i="87" s="1"/>
  <c r="BD874" i="87" s="1"/>
  <c r="BE874" i="87" s="1"/>
  <c r="BF874" i="87" s="1"/>
  <c r="BG874" i="87" s="1"/>
  <c r="BH874" i="87" s="1"/>
  <c r="BI874" i="87" s="1"/>
  <c r="BJ874" i="87" s="1"/>
  <c r="BK874" i="87" s="1"/>
  <c r="BL874" i="87" s="1"/>
  <c r="BM874" i="87" s="1"/>
  <c r="BN874" i="87" s="1"/>
  <c r="BO874" i="87" s="1"/>
  <c r="BP874" i="87" s="1"/>
  <c r="BQ874" i="87" s="1"/>
  <c r="BR874" i="87" s="1"/>
  <c r="BS874" i="87" s="1"/>
  <c r="BT874" i="87" s="1"/>
  <c r="BU874" i="87" s="1"/>
  <c r="BV874" i="87" s="1"/>
  <c r="BW874" i="87" s="1"/>
  <c r="BX874" i="87" s="1"/>
  <c r="BY874" i="87" s="1"/>
  <c r="BZ874" i="87" s="1"/>
  <c r="CA874" i="87" s="1"/>
  <c r="CB874" i="87" s="1"/>
  <c r="CC874" i="87" s="1"/>
  <c r="CD874" i="87" s="1"/>
  <c r="CE874" i="87" s="1"/>
  <c r="CF874" i="87" s="1"/>
  <c r="CG874" i="87" s="1"/>
  <c r="CH874" i="87" s="1"/>
  <c r="CI874" i="87" s="1"/>
  <c r="M875" i="87"/>
  <c r="M876" i="87" l="1"/>
  <c r="N875" i="87"/>
  <c r="O875" i="87" s="1"/>
  <c r="P875" i="87" s="1"/>
  <c r="Q875" i="87" s="1"/>
  <c r="R875" i="87" s="1"/>
  <c r="S875" i="87" s="1"/>
  <c r="T875" i="87" s="1"/>
  <c r="U875" i="87" s="1"/>
  <c r="V875" i="87" s="1"/>
  <c r="W875" i="87" s="1"/>
  <c r="X875" i="87" s="1"/>
  <c r="Y875" i="87" s="1"/>
  <c r="Z875" i="87" s="1"/>
  <c r="AA875" i="87" s="1"/>
  <c r="AB875" i="87" s="1"/>
  <c r="AC875" i="87" s="1"/>
  <c r="AD875" i="87" s="1"/>
  <c r="AE875" i="87" s="1"/>
  <c r="AF875" i="87" s="1"/>
  <c r="AG875" i="87" s="1"/>
  <c r="AH875" i="87" s="1"/>
  <c r="AI875" i="87" s="1"/>
  <c r="AJ875" i="87" s="1"/>
  <c r="AK875" i="87" s="1"/>
  <c r="AL875" i="87" s="1"/>
  <c r="AM875" i="87" s="1"/>
  <c r="AN875" i="87" s="1"/>
  <c r="AO875" i="87" s="1"/>
  <c r="AP875" i="87" s="1"/>
  <c r="AQ875" i="87" s="1"/>
  <c r="AR875" i="87" s="1"/>
  <c r="AS875" i="87" s="1"/>
  <c r="AT875" i="87" s="1"/>
  <c r="AU875" i="87" s="1"/>
  <c r="AV875" i="87" s="1"/>
  <c r="AW875" i="87" s="1"/>
  <c r="AX875" i="87" s="1"/>
  <c r="AY875" i="87" s="1"/>
  <c r="AZ875" i="87" s="1"/>
  <c r="BA875" i="87" s="1"/>
  <c r="BB875" i="87" s="1"/>
  <c r="BC875" i="87" s="1"/>
  <c r="BD875" i="87" s="1"/>
  <c r="BE875" i="87" s="1"/>
  <c r="BF875" i="87" s="1"/>
  <c r="BG875" i="87" s="1"/>
  <c r="BH875" i="87" s="1"/>
  <c r="BI875" i="87" s="1"/>
  <c r="BJ875" i="87" s="1"/>
  <c r="BK875" i="87" s="1"/>
  <c r="BL875" i="87" s="1"/>
  <c r="BM875" i="87" s="1"/>
  <c r="BN875" i="87" s="1"/>
  <c r="BO875" i="87" s="1"/>
  <c r="BP875" i="87" s="1"/>
  <c r="BQ875" i="87" s="1"/>
  <c r="BR875" i="87" s="1"/>
  <c r="BS875" i="87" s="1"/>
  <c r="BT875" i="87" s="1"/>
  <c r="BU875" i="87" s="1"/>
  <c r="BV875" i="87" s="1"/>
  <c r="BW875" i="87" s="1"/>
  <c r="BX875" i="87" s="1"/>
  <c r="BY875" i="87" s="1"/>
  <c r="BZ875" i="87" s="1"/>
  <c r="CA875" i="87" s="1"/>
  <c r="CB875" i="87" s="1"/>
  <c r="CC875" i="87" s="1"/>
  <c r="CD875" i="87" s="1"/>
  <c r="CE875" i="87" s="1"/>
  <c r="CF875" i="87" s="1"/>
  <c r="CG875" i="87" s="1"/>
  <c r="CH875" i="87" s="1"/>
  <c r="CI875" i="87" s="1"/>
  <c r="M877" i="87" l="1"/>
  <c r="N876" i="87"/>
  <c r="O876" i="87" s="1"/>
  <c r="P876" i="87" s="1"/>
  <c r="Q876" i="87" s="1"/>
  <c r="R876" i="87" s="1"/>
  <c r="S876" i="87" s="1"/>
  <c r="T876" i="87" s="1"/>
  <c r="U876" i="87" s="1"/>
  <c r="V876" i="87" s="1"/>
  <c r="W876" i="87" s="1"/>
  <c r="X876" i="87" s="1"/>
  <c r="Y876" i="87" s="1"/>
  <c r="Z876" i="87" s="1"/>
  <c r="AA876" i="87" s="1"/>
  <c r="AB876" i="87" s="1"/>
  <c r="AC876" i="87" s="1"/>
  <c r="AD876" i="87" s="1"/>
  <c r="AE876" i="87" s="1"/>
  <c r="AF876" i="87" s="1"/>
  <c r="AG876" i="87" s="1"/>
  <c r="AH876" i="87" s="1"/>
  <c r="AI876" i="87" s="1"/>
  <c r="AJ876" i="87" s="1"/>
  <c r="AK876" i="87" s="1"/>
  <c r="AL876" i="87" s="1"/>
  <c r="AM876" i="87" s="1"/>
  <c r="AN876" i="87" s="1"/>
  <c r="AO876" i="87" s="1"/>
  <c r="AP876" i="87" s="1"/>
  <c r="AQ876" i="87" s="1"/>
  <c r="AR876" i="87" s="1"/>
  <c r="AS876" i="87" s="1"/>
  <c r="AT876" i="87" s="1"/>
  <c r="AU876" i="87" s="1"/>
  <c r="AV876" i="87" s="1"/>
  <c r="AW876" i="87" s="1"/>
  <c r="AX876" i="87" s="1"/>
  <c r="AY876" i="87" s="1"/>
  <c r="AZ876" i="87" s="1"/>
  <c r="BA876" i="87" s="1"/>
  <c r="BB876" i="87" s="1"/>
  <c r="BC876" i="87" s="1"/>
  <c r="BD876" i="87" s="1"/>
  <c r="BE876" i="87" s="1"/>
  <c r="BF876" i="87" s="1"/>
  <c r="BG876" i="87" s="1"/>
  <c r="BH876" i="87" s="1"/>
  <c r="BI876" i="87" s="1"/>
  <c r="BJ876" i="87" s="1"/>
  <c r="BK876" i="87" s="1"/>
  <c r="BL876" i="87" s="1"/>
  <c r="BM876" i="87" s="1"/>
  <c r="BN876" i="87" s="1"/>
  <c r="BO876" i="87" s="1"/>
  <c r="BP876" i="87" s="1"/>
  <c r="BQ876" i="87" s="1"/>
  <c r="BR876" i="87" s="1"/>
  <c r="BS876" i="87" s="1"/>
  <c r="BT876" i="87" s="1"/>
  <c r="BU876" i="87" s="1"/>
  <c r="BV876" i="87" s="1"/>
  <c r="BW876" i="87" s="1"/>
  <c r="BX876" i="87" s="1"/>
  <c r="BY876" i="87" s="1"/>
  <c r="BZ876" i="87" s="1"/>
  <c r="CA876" i="87" s="1"/>
  <c r="CB876" i="87" s="1"/>
  <c r="CC876" i="87" s="1"/>
  <c r="CD876" i="87" s="1"/>
  <c r="CE876" i="87" s="1"/>
  <c r="CF876" i="87" s="1"/>
  <c r="CG876" i="87" s="1"/>
  <c r="CH876" i="87" s="1"/>
  <c r="CI876" i="87" s="1"/>
  <c r="N877" i="87" l="1"/>
  <c r="O877" i="87" s="1"/>
  <c r="P877" i="87" s="1"/>
  <c r="Q877" i="87" s="1"/>
  <c r="R877" i="87" s="1"/>
  <c r="S877" i="87" s="1"/>
  <c r="T877" i="87" s="1"/>
  <c r="U877" i="87" s="1"/>
  <c r="V877" i="87" s="1"/>
  <c r="W877" i="87" s="1"/>
  <c r="X877" i="87" s="1"/>
  <c r="Y877" i="87" s="1"/>
  <c r="Z877" i="87" s="1"/>
  <c r="AA877" i="87" s="1"/>
  <c r="AB877" i="87" s="1"/>
  <c r="AC877" i="87" s="1"/>
  <c r="AD877" i="87" s="1"/>
  <c r="AE877" i="87" s="1"/>
  <c r="AF877" i="87" s="1"/>
  <c r="AG877" i="87" s="1"/>
  <c r="AH877" i="87" s="1"/>
  <c r="AI877" i="87" s="1"/>
  <c r="AJ877" i="87" s="1"/>
  <c r="AK877" i="87" s="1"/>
  <c r="AL877" i="87" s="1"/>
  <c r="AM877" i="87" s="1"/>
  <c r="AN877" i="87" s="1"/>
  <c r="AO877" i="87" s="1"/>
  <c r="AP877" i="87" s="1"/>
  <c r="AQ877" i="87" s="1"/>
  <c r="AR877" i="87" s="1"/>
  <c r="AS877" i="87" s="1"/>
  <c r="AT877" i="87" s="1"/>
  <c r="AU877" i="87" s="1"/>
  <c r="AV877" i="87" s="1"/>
  <c r="AW877" i="87" s="1"/>
  <c r="AX877" i="87" s="1"/>
  <c r="AY877" i="87" s="1"/>
  <c r="AZ877" i="87" s="1"/>
  <c r="BA877" i="87" s="1"/>
  <c r="BB877" i="87" s="1"/>
  <c r="BC877" i="87" s="1"/>
  <c r="BD877" i="87" s="1"/>
  <c r="BE877" i="87" s="1"/>
  <c r="BF877" i="87" s="1"/>
  <c r="BG877" i="87" s="1"/>
  <c r="BH877" i="87" s="1"/>
  <c r="BI877" i="87" s="1"/>
  <c r="BJ877" i="87" s="1"/>
  <c r="BK877" i="87" s="1"/>
  <c r="BL877" i="87" s="1"/>
  <c r="BM877" i="87" s="1"/>
  <c r="BN877" i="87" s="1"/>
  <c r="BO877" i="87" s="1"/>
  <c r="BP877" i="87" s="1"/>
  <c r="BQ877" i="87" s="1"/>
  <c r="BR877" i="87" s="1"/>
  <c r="BS877" i="87" s="1"/>
  <c r="BT877" i="87" s="1"/>
  <c r="BU877" i="87" s="1"/>
  <c r="BV877" i="87" s="1"/>
  <c r="BW877" i="87" s="1"/>
  <c r="BX877" i="87" s="1"/>
  <c r="BY877" i="87" s="1"/>
  <c r="BZ877" i="87" s="1"/>
  <c r="CA877" i="87" s="1"/>
  <c r="CB877" i="87" s="1"/>
  <c r="CC877" i="87" s="1"/>
  <c r="CD877" i="87" s="1"/>
  <c r="CE877" i="87" s="1"/>
  <c r="CF877" i="87" s="1"/>
  <c r="CG877" i="87" s="1"/>
  <c r="CH877" i="87" s="1"/>
  <c r="CI877" i="87" s="1"/>
  <c r="M878" i="87"/>
  <c r="M879" i="87" l="1"/>
  <c r="N878" i="87"/>
  <c r="O878" i="87" s="1"/>
  <c r="P878" i="87" s="1"/>
  <c r="Q878" i="87" s="1"/>
  <c r="R878" i="87" s="1"/>
  <c r="S878" i="87" s="1"/>
  <c r="T878" i="87" s="1"/>
  <c r="U878" i="87" s="1"/>
  <c r="V878" i="87" s="1"/>
  <c r="W878" i="87" s="1"/>
  <c r="X878" i="87" s="1"/>
  <c r="Y878" i="87" s="1"/>
  <c r="Z878" i="87" s="1"/>
  <c r="AA878" i="87" s="1"/>
  <c r="AB878" i="87" s="1"/>
  <c r="AC878" i="87" s="1"/>
  <c r="AD878" i="87" s="1"/>
  <c r="AE878" i="87" s="1"/>
  <c r="AF878" i="87" s="1"/>
  <c r="AG878" i="87" s="1"/>
  <c r="AH878" i="87" s="1"/>
  <c r="AI878" i="87" s="1"/>
  <c r="AJ878" i="87" s="1"/>
  <c r="AK878" i="87" s="1"/>
  <c r="AL878" i="87" s="1"/>
  <c r="AM878" i="87" s="1"/>
  <c r="AN878" i="87" s="1"/>
  <c r="AO878" i="87" s="1"/>
  <c r="AP878" i="87" s="1"/>
  <c r="AQ878" i="87" s="1"/>
  <c r="AR878" i="87" s="1"/>
  <c r="AS878" i="87" s="1"/>
  <c r="AT878" i="87" s="1"/>
  <c r="AU878" i="87" s="1"/>
  <c r="AV878" i="87" s="1"/>
  <c r="AW878" i="87" s="1"/>
  <c r="AX878" i="87" s="1"/>
  <c r="AY878" i="87" s="1"/>
  <c r="AZ878" i="87" s="1"/>
  <c r="BA878" i="87" s="1"/>
  <c r="BB878" i="87" s="1"/>
  <c r="BC878" i="87" s="1"/>
  <c r="BD878" i="87" s="1"/>
  <c r="BE878" i="87" s="1"/>
  <c r="BF878" i="87" s="1"/>
  <c r="BG878" i="87" s="1"/>
  <c r="BH878" i="87" s="1"/>
  <c r="BI878" i="87" s="1"/>
  <c r="BJ878" i="87" s="1"/>
  <c r="BK878" i="87" s="1"/>
  <c r="BL878" i="87" s="1"/>
  <c r="BM878" i="87" s="1"/>
  <c r="BN878" i="87" s="1"/>
  <c r="BO878" i="87" s="1"/>
  <c r="BP878" i="87" s="1"/>
  <c r="BQ878" i="87" s="1"/>
  <c r="BR878" i="87" s="1"/>
  <c r="BS878" i="87" s="1"/>
  <c r="BT878" i="87" s="1"/>
  <c r="BU878" i="87" s="1"/>
  <c r="BV878" i="87" s="1"/>
  <c r="BW878" i="87" s="1"/>
  <c r="BX878" i="87" s="1"/>
  <c r="BY878" i="87" s="1"/>
  <c r="BZ878" i="87" s="1"/>
  <c r="CA878" i="87" s="1"/>
  <c r="CB878" i="87" s="1"/>
  <c r="CC878" i="87" s="1"/>
  <c r="CD878" i="87" s="1"/>
  <c r="CE878" i="87" s="1"/>
  <c r="CF878" i="87" s="1"/>
  <c r="CG878" i="87" s="1"/>
  <c r="CH878" i="87" s="1"/>
  <c r="CI878" i="87" s="1"/>
  <c r="M880" i="87" l="1"/>
  <c r="N879" i="87"/>
  <c r="O879" i="87" s="1"/>
  <c r="P879" i="87" s="1"/>
  <c r="Q879" i="87" s="1"/>
  <c r="R879" i="87" s="1"/>
  <c r="S879" i="87" s="1"/>
  <c r="T879" i="87" s="1"/>
  <c r="U879" i="87" s="1"/>
  <c r="V879" i="87" s="1"/>
  <c r="W879" i="87" s="1"/>
  <c r="X879" i="87" s="1"/>
  <c r="Y879" i="87" s="1"/>
  <c r="Z879" i="87" s="1"/>
  <c r="AA879" i="87" s="1"/>
  <c r="AB879" i="87" s="1"/>
  <c r="AC879" i="87" s="1"/>
  <c r="AD879" i="87" s="1"/>
  <c r="AE879" i="87" s="1"/>
  <c r="AF879" i="87" s="1"/>
  <c r="AG879" i="87" s="1"/>
  <c r="AH879" i="87" s="1"/>
  <c r="AI879" i="87" s="1"/>
  <c r="AJ879" i="87" s="1"/>
  <c r="AK879" i="87" s="1"/>
  <c r="AL879" i="87" s="1"/>
  <c r="AM879" i="87" s="1"/>
  <c r="AN879" i="87" s="1"/>
  <c r="AO879" i="87" s="1"/>
  <c r="AP879" i="87" s="1"/>
  <c r="AQ879" i="87" s="1"/>
  <c r="AR879" i="87" s="1"/>
  <c r="AS879" i="87" s="1"/>
  <c r="AT879" i="87" s="1"/>
  <c r="AU879" i="87" s="1"/>
  <c r="AV879" i="87" s="1"/>
  <c r="AW879" i="87" s="1"/>
  <c r="AX879" i="87" s="1"/>
  <c r="AY879" i="87" s="1"/>
  <c r="AZ879" i="87" s="1"/>
  <c r="BA879" i="87" s="1"/>
  <c r="BB879" i="87" s="1"/>
  <c r="BC879" i="87" s="1"/>
  <c r="BD879" i="87" s="1"/>
  <c r="BE879" i="87" s="1"/>
  <c r="BF879" i="87" s="1"/>
  <c r="BG879" i="87" s="1"/>
  <c r="BH879" i="87" s="1"/>
  <c r="BI879" i="87" s="1"/>
  <c r="BJ879" i="87" s="1"/>
  <c r="BK879" i="87" s="1"/>
  <c r="BL879" i="87" s="1"/>
  <c r="BM879" i="87" s="1"/>
  <c r="BN879" i="87" s="1"/>
  <c r="BO879" i="87" s="1"/>
  <c r="BP879" i="87" s="1"/>
  <c r="BQ879" i="87" s="1"/>
  <c r="BR879" i="87" s="1"/>
  <c r="BS879" i="87" s="1"/>
  <c r="BT879" i="87" s="1"/>
  <c r="BU879" i="87" s="1"/>
  <c r="BV879" i="87" s="1"/>
  <c r="BW879" i="87" s="1"/>
  <c r="BX879" i="87" s="1"/>
  <c r="BY879" i="87" s="1"/>
  <c r="BZ879" i="87" s="1"/>
  <c r="CA879" i="87" s="1"/>
  <c r="CB879" i="87" s="1"/>
  <c r="CC879" i="87" s="1"/>
  <c r="CD879" i="87" s="1"/>
  <c r="CE879" i="87" s="1"/>
  <c r="CF879" i="87" s="1"/>
  <c r="CG879" i="87" s="1"/>
  <c r="CH879" i="87" s="1"/>
  <c r="CI879" i="87" s="1"/>
  <c r="N880" i="87" l="1"/>
  <c r="O880" i="87" s="1"/>
  <c r="P880" i="87" s="1"/>
  <c r="Q880" i="87" s="1"/>
  <c r="R880" i="87" s="1"/>
  <c r="S880" i="87" s="1"/>
  <c r="T880" i="87" s="1"/>
  <c r="U880" i="87" s="1"/>
  <c r="V880" i="87" s="1"/>
  <c r="W880" i="87" s="1"/>
  <c r="X880" i="87" s="1"/>
  <c r="Y880" i="87" s="1"/>
  <c r="Z880" i="87" s="1"/>
  <c r="AA880" i="87" s="1"/>
  <c r="AB880" i="87" s="1"/>
  <c r="AC880" i="87" s="1"/>
  <c r="AD880" i="87" s="1"/>
  <c r="AE880" i="87" s="1"/>
  <c r="AF880" i="87" s="1"/>
  <c r="AG880" i="87" s="1"/>
  <c r="AH880" i="87" s="1"/>
  <c r="AI880" i="87" s="1"/>
  <c r="AJ880" i="87" s="1"/>
  <c r="AK880" i="87" s="1"/>
  <c r="AL880" i="87" s="1"/>
  <c r="AM880" i="87" s="1"/>
  <c r="AN880" i="87" s="1"/>
  <c r="AO880" i="87" s="1"/>
  <c r="AP880" i="87" s="1"/>
  <c r="AQ880" i="87" s="1"/>
  <c r="AR880" i="87" s="1"/>
  <c r="AS880" i="87" s="1"/>
  <c r="AT880" i="87" s="1"/>
  <c r="AU880" i="87" s="1"/>
  <c r="AV880" i="87" s="1"/>
  <c r="AW880" i="87" s="1"/>
  <c r="AX880" i="87" s="1"/>
  <c r="AY880" i="87" s="1"/>
  <c r="AZ880" i="87" s="1"/>
  <c r="BA880" i="87" s="1"/>
  <c r="BB880" i="87" s="1"/>
  <c r="BC880" i="87" s="1"/>
  <c r="BD880" i="87" s="1"/>
  <c r="BE880" i="87" s="1"/>
  <c r="BF880" i="87" s="1"/>
  <c r="BG880" i="87" s="1"/>
  <c r="BH880" i="87" s="1"/>
  <c r="BI880" i="87" s="1"/>
  <c r="BJ880" i="87" s="1"/>
  <c r="BK880" i="87" s="1"/>
  <c r="BL880" i="87" s="1"/>
  <c r="BM880" i="87" s="1"/>
  <c r="BN880" i="87" s="1"/>
  <c r="BO880" i="87" s="1"/>
  <c r="BP880" i="87" s="1"/>
  <c r="BQ880" i="87" s="1"/>
  <c r="BR880" i="87" s="1"/>
  <c r="BS880" i="87" s="1"/>
  <c r="BT880" i="87" s="1"/>
  <c r="BU880" i="87" s="1"/>
  <c r="BV880" i="87" s="1"/>
  <c r="BW880" i="87" s="1"/>
  <c r="BX880" i="87" s="1"/>
  <c r="BY880" i="87" s="1"/>
  <c r="BZ880" i="87" s="1"/>
  <c r="CA880" i="87" s="1"/>
  <c r="CB880" i="87" s="1"/>
  <c r="CC880" i="87" s="1"/>
  <c r="CD880" i="87" s="1"/>
  <c r="CE880" i="87" s="1"/>
  <c r="CF880" i="87" s="1"/>
  <c r="CG880" i="87" s="1"/>
  <c r="CH880" i="87" s="1"/>
  <c r="CI880" i="87" s="1"/>
  <c r="M881" i="87"/>
  <c r="M882" i="87" l="1"/>
  <c r="N881" i="87"/>
  <c r="O881" i="87" s="1"/>
  <c r="P881" i="87" s="1"/>
  <c r="Q881" i="87" s="1"/>
  <c r="R881" i="87" s="1"/>
  <c r="S881" i="87" s="1"/>
  <c r="T881" i="87" s="1"/>
  <c r="U881" i="87" s="1"/>
  <c r="V881" i="87" s="1"/>
  <c r="W881" i="87" s="1"/>
  <c r="X881" i="87" s="1"/>
  <c r="Y881" i="87" s="1"/>
  <c r="Z881" i="87" s="1"/>
  <c r="AA881" i="87" s="1"/>
  <c r="AB881" i="87" s="1"/>
  <c r="AC881" i="87" s="1"/>
  <c r="AD881" i="87" s="1"/>
  <c r="AE881" i="87" s="1"/>
  <c r="AF881" i="87" s="1"/>
  <c r="AG881" i="87" s="1"/>
  <c r="AH881" i="87" s="1"/>
  <c r="AI881" i="87" s="1"/>
  <c r="AJ881" i="87" s="1"/>
  <c r="AK881" i="87" s="1"/>
  <c r="AL881" i="87" s="1"/>
  <c r="AM881" i="87" s="1"/>
  <c r="AN881" i="87" s="1"/>
  <c r="AO881" i="87" s="1"/>
  <c r="AP881" i="87" s="1"/>
  <c r="AQ881" i="87" s="1"/>
  <c r="AR881" i="87" s="1"/>
  <c r="AS881" i="87" s="1"/>
  <c r="AT881" i="87" s="1"/>
  <c r="AU881" i="87" s="1"/>
  <c r="AV881" i="87" s="1"/>
  <c r="AW881" i="87" s="1"/>
  <c r="AX881" i="87" s="1"/>
  <c r="AY881" i="87" s="1"/>
  <c r="AZ881" i="87" s="1"/>
  <c r="BA881" i="87" s="1"/>
  <c r="BB881" i="87" s="1"/>
  <c r="BC881" i="87" s="1"/>
  <c r="BD881" i="87" s="1"/>
  <c r="BE881" i="87" s="1"/>
  <c r="BF881" i="87" s="1"/>
  <c r="BG881" i="87" s="1"/>
  <c r="BH881" i="87" s="1"/>
  <c r="BI881" i="87" s="1"/>
  <c r="BJ881" i="87" s="1"/>
  <c r="BK881" i="87" s="1"/>
  <c r="BL881" i="87" s="1"/>
  <c r="BM881" i="87" s="1"/>
  <c r="BN881" i="87" s="1"/>
  <c r="BO881" i="87" s="1"/>
  <c r="BP881" i="87" s="1"/>
  <c r="BQ881" i="87" s="1"/>
  <c r="BR881" i="87" s="1"/>
  <c r="BS881" i="87" s="1"/>
  <c r="BT881" i="87" s="1"/>
  <c r="BU881" i="87" s="1"/>
  <c r="BV881" i="87" s="1"/>
  <c r="BW881" i="87" s="1"/>
  <c r="BX881" i="87" s="1"/>
  <c r="BY881" i="87" s="1"/>
  <c r="BZ881" i="87" s="1"/>
  <c r="CA881" i="87" s="1"/>
  <c r="CB881" i="87" s="1"/>
  <c r="CC881" i="87" s="1"/>
  <c r="CD881" i="87" s="1"/>
  <c r="CE881" i="87" s="1"/>
  <c r="CF881" i="87" s="1"/>
  <c r="CG881" i="87" s="1"/>
  <c r="CH881" i="87" s="1"/>
  <c r="CI881" i="87" s="1"/>
  <c r="M883" i="87" l="1"/>
  <c r="N882" i="87"/>
  <c r="O882" i="87" s="1"/>
  <c r="P882" i="87" s="1"/>
  <c r="Q882" i="87" s="1"/>
  <c r="R882" i="87" s="1"/>
  <c r="S882" i="87" s="1"/>
  <c r="T882" i="87" s="1"/>
  <c r="U882" i="87" s="1"/>
  <c r="V882" i="87" s="1"/>
  <c r="W882" i="87" s="1"/>
  <c r="X882" i="87" s="1"/>
  <c r="Y882" i="87" s="1"/>
  <c r="Z882" i="87" s="1"/>
  <c r="AA882" i="87" s="1"/>
  <c r="AB882" i="87" s="1"/>
  <c r="AC882" i="87" s="1"/>
  <c r="AD882" i="87" s="1"/>
  <c r="AE882" i="87" s="1"/>
  <c r="AF882" i="87" s="1"/>
  <c r="AG882" i="87" s="1"/>
  <c r="AH882" i="87" s="1"/>
  <c r="AI882" i="87" s="1"/>
  <c r="AJ882" i="87" s="1"/>
  <c r="AK882" i="87" s="1"/>
  <c r="AL882" i="87" s="1"/>
  <c r="AM882" i="87" s="1"/>
  <c r="AN882" i="87" s="1"/>
  <c r="AO882" i="87" s="1"/>
  <c r="AP882" i="87" s="1"/>
  <c r="AQ882" i="87" s="1"/>
  <c r="AR882" i="87" s="1"/>
  <c r="AS882" i="87" s="1"/>
  <c r="AT882" i="87" s="1"/>
  <c r="AU882" i="87" s="1"/>
  <c r="AV882" i="87" s="1"/>
  <c r="AW882" i="87" s="1"/>
  <c r="AX882" i="87" s="1"/>
  <c r="AY882" i="87" s="1"/>
  <c r="AZ882" i="87" s="1"/>
  <c r="BA882" i="87" s="1"/>
  <c r="BB882" i="87" s="1"/>
  <c r="BC882" i="87" s="1"/>
  <c r="BD882" i="87" s="1"/>
  <c r="BE882" i="87" s="1"/>
  <c r="BF882" i="87" s="1"/>
  <c r="BG882" i="87" s="1"/>
  <c r="BH882" i="87" s="1"/>
  <c r="BI882" i="87" s="1"/>
  <c r="BJ882" i="87" s="1"/>
  <c r="BK882" i="87" s="1"/>
  <c r="BL882" i="87" s="1"/>
  <c r="BM882" i="87" s="1"/>
  <c r="BN882" i="87" s="1"/>
  <c r="BO882" i="87" s="1"/>
  <c r="BP882" i="87" s="1"/>
  <c r="BQ882" i="87" s="1"/>
  <c r="BR882" i="87" s="1"/>
  <c r="BS882" i="87" s="1"/>
  <c r="BT882" i="87" s="1"/>
  <c r="BU882" i="87" s="1"/>
  <c r="BV882" i="87" s="1"/>
  <c r="BW882" i="87" s="1"/>
  <c r="BX882" i="87" s="1"/>
  <c r="BY882" i="87" s="1"/>
  <c r="BZ882" i="87" s="1"/>
  <c r="CA882" i="87" s="1"/>
  <c r="CB882" i="87" s="1"/>
  <c r="CC882" i="87" s="1"/>
  <c r="CD882" i="87" s="1"/>
  <c r="CE882" i="87" s="1"/>
  <c r="CF882" i="87" s="1"/>
  <c r="CG882" i="87" s="1"/>
  <c r="CH882" i="87" s="1"/>
  <c r="CI882" i="87" s="1"/>
  <c r="M884" i="87" l="1"/>
  <c r="N883" i="87"/>
  <c r="O883" i="87" s="1"/>
  <c r="P883" i="87" s="1"/>
  <c r="Q883" i="87" s="1"/>
  <c r="R883" i="87" s="1"/>
  <c r="S883" i="87" s="1"/>
  <c r="T883" i="87" s="1"/>
  <c r="U883" i="87" s="1"/>
  <c r="V883" i="87" s="1"/>
  <c r="W883" i="87" s="1"/>
  <c r="X883" i="87" s="1"/>
  <c r="Y883" i="87" s="1"/>
  <c r="Z883" i="87" s="1"/>
  <c r="AA883" i="87" s="1"/>
  <c r="AB883" i="87" s="1"/>
  <c r="AC883" i="87" s="1"/>
  <c r="AD883" i="87" s="1"/>
  <c r="AE883" i="87" s="1"/>
  <c r="AF883" i="87" s="1"/>
  <c r="AG883" i="87" s="1"/>
  <c r="AH883" i="87" s="1"/>
  <c r="AI883" i="87" s="1"/>
  <c r="AJ883" i="87" s="1"/>
  <c r="AK883" i="87" s="1"/>
  <c r="AL883" i="87" s="1"/>
  <c r="AM883" i="87" s="1"/>
  <c r="AN883" i="87" s="1"/>
  <c r="AO883" i="87" s="1"/>
  <c r="AP883" i="87" s="1"/>
  <c r="AQ883" i="87" s="1"/>
  <c r="AR883" i="87" s="1"/>
  <c r="AS883" i="87" s="1"/>
  <c r="AT883" i="87" s="1"/>
  <c r="AU883" i="87" s="1"/>
  <c r="AV883" i="87" s="1"/>
  <c r="AW883" i="87" s="1"/>
  <c r="AX883" i="87" s="1"/>
  <c r="AY883" i="87" s="1"/>
  <c r="AZ883" i="87" s="1"/>
  <c r="BA883" i="87" s="1"/>
  <c r="BB883" i="87" s="1"/>
  <c r="BC883" i="87" s="1"/>
  <c r="BD883" i="87" s="1"/>
  <c r="BE883" i="87" s="1"/>
  <c r="BF883" i="87" s="1"/>
  <c r="BG883" i="87" s="1"/>
  <c r="BH883" i="87" s="1"/>
  <c r="BI883" i="87" s="1"/>
  <c r="BJ883" i="87" s="1"/>
  <c r="BK883" i="87" s="1"/>
  <c r="BL883" i="87" s="1"/>
  <c r="BM883" i="87" s="1"/>
  <c r="BN883" i="87" s="1"/>
  <c r="BO883" i="87" s="1"/>
  <c r="BP883" i="87" s="1"/>
  <c r="BQ883" i="87" s="1"/>
  <c r="BR883" i="87" s="1"/>
  <c r="BS883" i="87" s="1"/>
  <c r="BT883" i="87" s="1"/>
  <c r="BU883" i="87" s="1"/>
  <c r="BV883" i="87" s="1"/>
  <c r="BW883" i="87" s="1"/>
  <c r="BX883" i="87" s="1"/>
  <c r="BY883" i="87" s="1"/>
  <c r="BZ883" i="87" s="1"/>
  <c r="CA883" i="87" s="1"/>
  <c r="CB883" i="87" s="1"/>
  <c r="CC883" i="87" s="1"/>
  <c r="CD883" i="87" s="1"/>
  <c r="CE883" i="87" s="1"/>
  <c r="CF883" i="87" s="1"/>
  <c r="CG883" i="87" s="1"/>
  <c r="CH883" i="87" s="1"/>
  <c r="CI883" i="87" s="1"/>
  <c r="N884" i="87" l="1"/>
  <c r="O884" i="87" s="1"/>
  <c r="P884" i="87" s="1"/>
  <c r="Q884" i="87" s="1"/>
  <c r="R884" i="87" s="1"/>
  <c r="S884" i="87" s="1"/>
  <c r="T884" i="87" s="1"/>
  <c r="U884" i="87" s="1"/>
  <c r="V884" i="87" s="1"/>
  <c r="W884" i="87" s="1"/>
  <c r="X884" i="87" s="1"/>
  <c r="Y884" i="87" s="1"/>
  <c r="Z884" i="87" s="1"/>
  <c r="AA884" i="87" s="1"/>
  <c r="AB884" i="87" s="1"/>
  <c r="AC884" i="87" s="1"/>
  <c r="AD884" i="87" s="1"/>
  <c r="AE884" i="87" s="1"/>
  <c r="AF884" i="87" s="1"/>
  <c r="AG884" i="87" s="1"/>
  <c r="AH884" i="87" s="1"/>
  <c r="AI884" i="87" s="1"/>
  <c r="AJ884" i="87" s="1"/>
  <c r="AK884" i="87" s="1"/>
  <c r="AL884" i="87" s="1"/>
  <c r="AM884" i="87" s="1"/>
  <c r="AN884" i="87" s="1"/>
  <c r="AO884" i="87" s="1"/>
  <c r="AP884" i="87" s="1"/>
  <c r="AQ884" i="87" s="1"/>
  <c r="AR884" i="87" s="1"/>
  <c r="AS884" i="87" s="1"/>
  <c r="AT884" i="87" s="1"/>
  <c r="AU884" i="87" s="1"/>
  <c r="AV884" i="87" s="1"/>
  <c r="AW884" i="87" s="1"/>
  <c r="AX884" i="87" s="1"/>
  <c r="AY884" i="87" s="1"/>
  <c r="AZ884" i="87" s="1"/>
  <c r="BA884" i="87" s="1"/>
  <c r="BB884" i="87" s="1"/>
  <c r="BC884" i="87" s="1"/>
  <c r="BD884" i="87" s="1"/>
  <c r="BE884" i="87" s="1"/>
  <c r="BF884" i="87" s="1"/>
  <c r="BG884" i="87" s="1"/>
  <c r="BH884" i="87" s="1"/>
  <c r="BI884" i="87" s="1"/>
  <c r="BJ884" i="87" s="1"/>
  <c r="BK884" i="87" s="1"/>
  <c r="BL884" i="87" s="1"/>
  <c r="BM884" i="87" s="1"/>
  <c r="BN884" i="87" s="1"/>
  <c r="BO884" i="87" s="1"/>
  <c r="BP884" i="87" s="1"/>
  <c r="BQ884" i="87" s="1"/>
  <c r="BR884" i="87" s="1"/>
  <c r="BS884" i="87" s="1"/>
  <c r="BT884" i="87" s="1"/>
  <c r="BU884" i="87" s="1"/>
  <c r="BV884" i="87" s="1"/>
  <c r="BW884" i="87" s="1"/>
  <c r="BX884" i="87" s="1"/>
  <c r="BY884" i="87" s="1"/>
  <c r="BZ884" i="87" s="1"/>
  <c r="CA884" i="87" s="1"/>
  <c r="CB884" i="87" s="1"/>
  <c r="CC884" i="87" s="1"/>
  <c r="CD884" i="87" s="1"/>
  <c r="CE884" i="87" s="1"/>
  <c r="CF884" i="87" s="1"/>
  <c r="CG884" i="87" s="1"/>
  <c r="CH884" i="87" s="1"/>
  <c r="CI884" i="87" s="1"/>
  <c r="M885" i="87"/>
  <c r="M886" i="87" l="1"/>
  <c r="N885" i="87"/>
  <c r="O885" i="87" s="1"/>
  <c r="P885" i="87" s="1"/>
  <c r="Q885" i="87" s="1"/>
  <c r="R885" i="87" s="1"/>
  <c r="S885" i="87" s="1"/>
  <c r="T885" i="87" s="1"/>
  <c r="U885" i="87" s="1"/>
  <c r="V885" i="87" s="1"/>
  <c r="W885" i="87" s="1"/>
  <c r="X885" i="87" s="1"/>
  <c r="Y885" i="87" s="1"/>
  <c r="Z885" i="87" s="1"/>
  <c r="AA885" i="87" s="1"/>
  <c r="AB885" i="87" s="1"/>
  <c r="AC885" i="87" s="1"/>
  <c r="AD885" i="87" s="1"/>
  <c r="AE885" i="87" s="1"/>
  <c r="AF885" i="87" s="1"/>
  <c r="AG885" i="87" s="1"/>
  <c r="AH885" i="87" s="1"/>
  <c r="AI885" i="87" s="1"/>
  <c r="AJ885" i="87" s="1"/>
  <c r="AK885" i="87" s="1"/>
  <c r="AL885" i="87" s="1"/>
  <c r="AM885" i="87" s="1"/>
  <c r="AN885" i="87" s="1"/>
  <c r="AO885" i="87" s="1"/>
  <c r="AP885" i="87" s="1"/>
  <c r="AQ885" i="87" s="1"/>
  <c r="AR885" i="87" s="1"/>
  <c r="AS885" i="87" s="1"/>
  <c r="AT885" i="87" s="1"/>
  <c r="AU885" i="87" s="1"/>
  <c r="AV885" i="87" s="1"/>
  <c r="AW885" i="87" s="1"/>
  <c r="AX885" i="87" s="1"/>
  <c r="AY885" i="87" s="1"/>
  <c r="AZ885" i="87" s="1"/>
  <c r="BA885" i="87" s="1"/>
  <c r="BB885" i="87" s="1"/>
  <c r="BC885" i="87" s="1"/>
  <c r="BD885" i="87" s="1"/>
  <c r="BE885" i="87" s="1"/>
  <c r="BF885" i="87" s="1"/>
  <c r="BG885" i="87" s="1"/>
  <c r="BH885" i="87" s="1"/>
  <c r="BI885" i="87" s="1"/>
  <c r="BJ885" i="87" s="1"/>
  <c r="BK885" i="87" s="1"/>
  <c r="BL885" i="87" s="1"/>
  <c r="BM885" i="87" s="1"/>
  <c r="BN885" i="87" s="1"/>
  <c r="BO885" i="87" s="1"/>
  <c r="BP885" i="87" s="1"/>
  <c r="BQ885" i="87" s="1"/>
  <c r="BR885" i="87" s="1"/>
  <c r="BS885" i="87" s="1"/>
  <c r="BT885" i="87" s="1"/>
  <c r="BU885" i="87" s="1"/>
  <c r="BV885" i="87" s="1"/>
  <c r="BW885" i="87" s="1"/>
  <c r="BX885" i="87" s="1"/>
  <c r="BY885" i="87" s="1"/>
  <c r="BZ885" i="87" s="1"/>
  <c r="CA885" i="87" s="1"/>
  <c r="CB885" i="87" s="1"/>
  <c r="CC885" i="87" s="1"/>
  <c r="CD885" i="87" s="1"/>
  <c r="CE885" i="87" s="1"/>
  <c r="CF885" i="87" s="1"/>
  <c r="CG885" i="87" s="1"/>
  <c r="CH885" i="87" s="1"/>
  <c r="CI885" i="87" s="1"/>
  <c r="N886" i="87" l="1"/>
  <c r="O886" i="87" s="1"/>
  <c r="P886" i="87" s="1"/>
  <c r="Q886" i="87" s="1"/>
  <c r="R886" i="87" s="1"/>
  <c r="S886" i="87" s="1"/>
  <c r="T886" i="87" s="1"/>
  <c r="U886" i="87" s="1"/>
  <c r="V886" i="87" s="1"/>
  <c r="W886" i="87" s="1"/>
  <c r="X886" i="87" s="1"/>
  <c r="Y886" i="87" s="1"/>
  <c r="Z886" i="87" s="1"/>
  <c r="AA886" i="87" s="1"/>
  <c r="AB886" i="87" s="1"/>
  <c r="AC886" i="87" s="1"/>
  <c r="AD886" i="87" s="1"/>
  <c r="AE886" i="87" s="1"/>
  <c r="AF886" i="87" s="1"/>
  <c r="AG886" i="87" s="1"/>
  <c r="AH886" i="87" s="1"/>
  <c r="AI886" i="87" s="1"/>
  <c r="AJ886" i="87" s="1"/>
  <c r="AK886" i="87" s="1"/>
  <c r="AL886" i="87" s="1"/>
  <c r="AM886" i="87" s="1"/>
  <c r="AN886" i="87" s="1"/>
  <c r="AO886" i="87" s="1"/>
  <c r="AP886" i="87" s="1"/>
  <c r="AQ886" i="87" s="1"/>
  <c r="AR886" i="87" s="1"/>
  <c r="AS886" i="87" s="1"/>
  <c r="AT886" i="87" s="1"/>
  <c r="AU886" i="87" s="1"/>
  <c r="AV886" i="87" s="1"/>
  <c r="AW886" i="87" s="1"/>
  <c r="AX886" i="87" s="1"/>
  <c r="AY886" i="87" s="1"/>
  <c r="AZ886" i="87" s="1"/>
  <c r="BA886" i="87" s="1"/>
  <c r="BB886" i="87" s="1"/>
  <c r="BC886" i="87" s="1"/>
  <c r="BD886" i="87" s="1"/>
  <c r="BE886" i="87" s="1"/>
  <c r="BF886" i="87" s="1"/>
  <c r="BG886" i="87" s="1"/>
  <c r="BH886" i="87" s="1"/>
  <c r="BI886" i="87" s="1"/>
  <c r="BJ886" i="87" s="1"/>
  <c r="BK886" i="87" s="1"/>
  <c r="BL886" i="87" s="1"/>
  <c r="BM886" i="87" s="1"/>
  <c r="BN886" i="87" s="1"/>
  <c r="BO886" i="87" s="1"/>
  <c r="BP886" i="87" s="1"/>
  <c r="BQ886" i="87" s="1"/>
  <c r="BR886" i="87" s="1"/>
  <c r="BS886" i="87" s="1"/>
  <c r="BT886" i="87" s="1"/>
  <c r="BU886" i="87" s="1"/>
  <c r="BV886" i="87" s="1"/>
  <c r="BW886" i="87" s="1"/>
  <c r="BX886" i="87" s="1"/>
  <c r="BY886" i="87" s="1"/>
  <c r="BZ886" i="87" s="1"/>
  <c r="CA886" i="87" s="1"/>
  <c r="CB886" i="87" s="1"/>
  <c r="CC886" i="87" s="1"/>
  <c r="CD886" i="87" s="1"/>
  <c r="CE886" i="87" s="1"/>
  <c r="CF886" i="87" s="1"/>
  <c r="CG886" i="87" s="1"/>
  <c r="CH886" i="87" s="1"/>
  <c r="CI886" i="87" s="1"/>
  <c r="M887" i="87"/>
  <c r="M888" i="87" l="1"/>
  <c r="N888" i="87" s="1"/>
  <c r="O888" i="87" s="1"/>
  <c r="P888" i="87" s="1"/>
  <c r="Q888" i="87" s="1"/>
  <c r="R888" i="87" s="1"/>
  <c r="S888" i="87" s="1"/>
  <c r="T888" i="87" s="1"/>
  <c r="U888" i="87" s="1"/>
  <c r="V888" i="87" s="1"/>
  <c r="W888" i="87" s="1"/>
  <c r="X888" i="87" s="1"/>
  <c r="Y888" i="87" s="1"/>
  <c r="Z888" i="87" s="1"/>
  <c r="AA888" i="87" s="1"/>
  <c r="AB888" i="87" s="1"/>
  <c r="AC888" i="87" s="1"/>
  <c r="AD888" i="87" s="1"/>
  <c r="AE888" i="87" s="1"/>
  <c r="AF888" i="87" s="1"/>
  <c r="AG888" i="87" s="1"/>
  <c r="AH888" i="87" s="1"/>
  <c r="AI888" i="87" s="1"/>
  <c r="AJ888" i="87" s="1"/>
  <c r="AK888" i="87" s="1"/>
  <c r="AL888" i="87" s="1"/>
  <c r="AM888" i="87" s="1"/>
  <c r="AN888" i="87" s="1"/>
  <c r="AO888" i="87" s="1"/>
  <c r="AP888" i="87" s="1"/>
  <c r="AQ888" i="87" s="1"/>
  <c r="AR888" i="87" s="1"/>
  <c r="AS888" i="87" s="1"/>
  <c r="AT888" i="87" s="1"/>
  <c r="AU888" i="87" s="1"/>
  <c r="AV888" i="87" s="1"/>
  <c r="AW888" i="87" s="1"/>
  <c r="AX888" i="87" s="1"/>
  <c r="AY888" i="87" s="1"/>
  <c r="AZ888" i="87" s="1"/>
  <c r="BA888" i="87" s="1"/>
  <c r="BB888" i="87" s="1"/>
  <c r="BC888" i="87" s="1"/>
  <c r="BD888" i="87" s="1"/>
  <c r="BE888" i="87" s="1"/>
  <c r="BF888" i="87" s="1"/>
  <c r="BG888" i="87" s="1"/>
  <c r="BH888" i="87" s="1"/>
  <c r="BI888" i="87" s="1"/>
  <c r="BJ888" i="87" s="1"/>
  <c r="BK888" i="87" s="1"/>
  <c r="BL888" i="87" s="1"/>
  <c r="BM888" i="87" s="1"/>
  <c r="BN888" i="87" s="1"/>
  <c r="BO888" i="87" s="1"/>
  <c r="BP888" i="87" s="1"/>
  <c r="BQ888" i="87" s="1"/>
  <c r="BR888" i="87" s="1"/>
  <c r="BS888" i="87" s="1"/>
  <c r="BT888" i="87" s="1"/>
  <c r="BU888" i="87" s="1"/>
  <c r="BV888" i="87" s="1"/>
  <c r="BW888" i="87" s="1"/>
  <c r="BX888" i="87" s="1"/>
  <c r="BY888" i="87" s="1"/>
  <c r="BZ888" i="87" s="1"/>
  <c r="CA888" i="87" s="1"/>
  <c r="CB888" i="87" s="1"/>
  <c r="CC888" i="87" s="1"/>
  <c r="CD888" i="87" s="1"/>
  <c r="CE888" i="87" s="1"/>
  <c r="CF888" i="87" s="1"/>
  <c r="CG888" i="87" s="1"/>
  <c r="CH888" i="87" s="1"/>
  <c r="CI888" i="87" s="1"/>
  <c r="N887" i="87"/>
  <c r="O887" i="87" s="1"/>
  <c r="P887" i="87" s="1"/>
  <c r="Q887" i="87" s="1"/>
  <c r="R887" i="87" s="1"/>
  <c r="S887" i="87" s="1"/>
  <c r="T887" i="87" s="1"/>
  <c r="U887" i="87" s="1"/>
  <c r="V887" i="87" s="1"/>
  <c r="W887" i="87" s="1"/>
  <c r="X887" i="87" s="1"/>
  <c r="Y887" i="87" s="1"/>
  <c r="Z887" i="87" s="1"/>
  <c r="AA887" i="87" s="1"/>
  <c r="AB887" i="87" s="1"/>
  <c r="AC887" i="87" s="1"/>
  <c r="AD887" i="87" s="1"/>
  <c r="AE887" i="87" s="1"/>
  <c r="AF887" i="87" s="1"/>
  <c r="AG887" i="87" s="1"/>
  <c r="AH887" i="87" s="1"/>
  <c r="AI887" i="87" s="1"/>
  <c r="AJ887" i="87" s="1"/>
  <c r="AK887" i="87" s="1"/>
  <c r="AL887" i="87" s="1"/>
  <c r="AM887" i="87" s="1"/>
  <c r="AN887" i="87" s="1"/>
  <c r="AO887" i="87" s="1"/>
  <c r="AP887" i="87" s="1"/>
  <c r="AQ887" i="87" s="1"/>
  <c r="AR887" i="87" s="1"/>
  <c r="AS887" i="87" s="1"/>
  <c r="AT887" i="87" s="1"/>
  <c r="AU887" i="87" s="1"/>
  <c r="AV887" i="87" s="1"/>
  <c r="AW887" i="87" s="1"/>
  <c r="AX887" i="87" s="1"/>
  <c r="AY887" i="87" s="1"/>
  <c r="AZ887" i="87" s="1"/>
  <c r="BA887" i="87" s="1"/>
  <c r="BB887" i="87" s="1"/>
  <c r="BC887" i="87" s="1"/>
  <c r="BD887" i="87" s="1"/>
  <c r="BE887" i="87" s="1"/>
  <c r="BF887" i="87" s="1"/>
  <c r="BG887" i="87" s="1"/>
  <c r="BH887" i="87" s="1"/>
  <c r="BI887" i="87" s="1"/>
  <c r="BJ887" i="87" s="1"/>
  <c r="BK887" i="87" s="1"/>
  <c r="BL887" i="87" s="1"/>
  <c r="BM887" i="87" s="1"/>
  <c r="BN887" i="87" s="1"/>
  <c r="BO887" i="87" s="1"/>
  <c r="BP887" i="87" s="1"/>
  <c r="BQ887" i="87" s="1"/>
  <c r="BR887" i="87" s="1"/>
  <c r="BS887" i="87" s="1"/>
  <c r="BT887" i="87" s="1"/>
  <c r="BU887" i="87" s="1"/>
  <c r="BV887" i="87" s="1"/>
  <c r="BW887" i="87" s="1"/>
  <c r="BX887" i="87" s="1"/>
  <c r="BY887" i="87" s="1"/>
  <c r="BZ887" i="87" s="1"/>
  <c r="CA887" i="87" s="1"/>
  <c r="CB887" i="87" s="1"/>
  <c r="CC887" i="87" s="1"/>
  <c r="CD887" i="87" s="1"/>
  <c r="CE887" i="87" s="1"/>
  <c r="CF887" i="87" s="1"/>
  <c r="CG887" i="87" s="1"/>
  <c r="CH887" i="87" s="1"/>
  <c r="CI887" i="87" s="1"/>
  <c r="M321" i="91" l="1"/>
  <c r="M320" i="91"/>
  <c r="M319" i="91"/>
  <c r="M318" i="91"/>
  <c r="M317" i="91"/>
  <c r="M316" i="91"/>
  <c r="M315" i="91"/>
  <c r="M314" i="91"/>
  <c r="M313" i="91"/>
  <c r="M309" i="91"/>
  <c r="M308" i="91"/>
  <c r="M307" i="91"/>
  <c r="M306" i="91"/>
  <c r="M305" i="91"/>
  <c r="M304" i="91"/>
  <c r="M303" i="91"/>
  <c r="M302" i="91"/>
  <c r="M301" i="91"/>
  <c r="M297" i="91"/>
  <c r="M296" i="91"/>
  <c r="M295" i="91"/>
  <c r="M294" i="91"/>
  <c r="M293" i="91"/>
  <c r="M292" i="91"/>
  <c r="M291" i="91"/>
  <c r="M290" i="91"/>
  <c r="M289" i="91"/>
  <c r="M285" i="91"/>
  <c r="M284" i="91"/>
  <c r="M283" i="91"/>
  <c r="M282" i="91"/>
  <c r="M281" i="91"/>
  <c r="M280" i="91"/>
  <c r="M279" i="91"/>
  <c r="M278" i="91"/>
  <c r="M277" i="91"/>
  <c r="M163" i="91"/>
  <c r="N163" i="91" s="1"/>
  <c r="M162" i="91"/>
  <c r="N162" i="91" s="1"/>
  <c r="M161" i="91"/>
  <c r="N161" i="91" s="1"/>
  <c r="M160" i="91"/>
  <c r="N160" i="91" s="1"/>
  <c r="M159" i="91"/>
  <c r="N159" i="91" s="1"/>
  <c r="M158" i="91"/>
  <c r="N158" i="91" s="1"/>
  <c r="M157" i="91"/>
  <c r="N157" i="91" s="1"/>
  <c r="M156" i="91"/>
  <c r="N156" i="91" s="1"/>
  <c r="M155" i="91"/>
  <c r="H155" i="91"/>
  <c r="G155" i="91"/>
  <c r="N155" i="91" s="1"/>
  <c r="C115" i="91"/>
  <c r="D115" i="91" s="1"/>
  <c r="E115" i="91" s="1"/>
  <c r="F115" i="91" s="1"/>
  <c r="G115" i="91" s="1"/>
  <c r="H115" i="91" s="1"/>
  <c r="I115" i="91" s="1"/>
  <c r="J115" i="91" s="1"/>
  <c r="K115" i="91" s="1"/>
  <c r="L115" i="91" s="1"/>
  <c r="M115" i="91" s="1"/>
  <c r="E17" i="88" l="1"/>
  <c r="D17" i="88"/>
  <c r="C17" i="88"/>
  <c r="B17" i="88"/>
  <c r="E16" i="88"/>
  <c r="C16" i="88"/>
  <c r="B16" i="88"/>
  <c r="D612" i="90" l="1"/>
  <c r="D613" i="90" s="1"/>
  <c r="D600" i="90"/>
  <c r="D601" i="90" s="1"/>
  <c r="F589" i="90"/>
  <c r="E589" i="90"/>
  <c r="D589" i="90"/>
  <c r="C589" i="90"/>
  <c r="B589" i="90"/>
  <c r="F566" i="90"/>
  <c r="E566" i="90"/>
  <c r="D566" i="90"/>
  <c r="C566" i="90"/>
  <c r="B566" i="90"/>
  <c r="G247" i="90"/>
  <c r="F247" i="90"/>
  <c r="E247" i="90"/>
  <c r="D247" i="90"/>
  <c r="C247" i="90"/>
  <c r="B247" i="90"/>
  <c r="E217" i="90"/>
  <c r="E216" i="90"/>
  <c r="E215" i="90"/>
  <c r="E214" i="90"/>
  <c r="E213" i="90"/>
  <c r="E212" i="90"/>
  <c r="E211" i="90"/>
  <c r="E210" i="90"/>
  <c r="E209" i="90"/>
  <c r="E208" i="90"/>
  <c r="E207" i="90"/>
  <c r="E206" i="90"/>
  <c r="E205" i="90"/>
  <c r="E204" i="90"/>
  <c r="E203" i="90"/>
  <c r="E202" i="90"/>
  <c r="E201" i="90"/>
  <c r="E200" i="90"/>
  <c r="E199" i="90"/>
  <c r="E198" i="90"/>
  <c r="E197" i="90"/>
  <c r="E196" i="90"/>
  <c r="E195" i="90"/>
  <c r="E194" i="90"/>
  <c r="E193" i="90"/>
  <c r="E192" i="90"/>
  <c r="E191" i="90"/>
  <c r="E190" i="90"/>
  <c r="E189" i="90"/>
  <c r="E188" i="90"/>
  <c r="K861" i="87" l="1"/>
  <c r="K862" i="87" s="1"/>
  <c r="K863" i="87" s="1"/>
  <c r="K864" i="87" s="1"/>
  <c r="K865" i="87" s="1"/>
  <c r="K866" i="87" s="1"/>
  <c r="K867" i="87" s="1"/>
  <c r="K868" i="87" s="1"/>
  <c r="K869" i="87" s="1"/>
  <c r="K870" i="87" s="1"/>
  <c r="K871" i="87" s="1"/>
  <c r="K872" i="87" s="1"/>
  <c r="K873" i="87" s="1"/>
  <c r="K874" i="87" s="1"/>
  <c r="K875" i="87" s="1"/>
  <c r="K876" i="87" s="1"/>
  <c r="K877" i="87" s="1"/>
  <c r="K878" i="87" s="1"/>
  <c r="K879" i="87" s="1"/>
  <c r="K880" i="87" s="1"/>
  <c r="K881" i="87" s="1"/>
  <c r="K882" i="87" s="1"/>
  <c r="K883" i="87" s="1"/>
  <c r="K884" i="87" s="1"/>
  <c r="K885" i="87" s="1"/>
  <c r="K886" i="87" s="1"/>
  <c r="K887" i="87" s="1"/>
  <c r="K888" i="87" s="1"/>
  <c r="J861" i="87"/>
  <c r="J862" i="87" s="1"/>
  <c r="J863" i="87" s="1"/>
  <c r="J864" i="87" s="1"/>
  <c r="J865" i="87" s="1"/>
  <c r="J866" i="87" s="1"/>
  <c r="J867" i="87" s="1"/>
  <c r="J868" i="87" s="1"/>
  <c r="J869" i="87" s="1"/>
  <c r="J870" i="87" s="1"/>
  <c r="J871" i="87" s="1"/>
  <c r="J872" i="87" s="1"/>
  <c r="J873" i="87" s="1"/>
  <c r="J874" i="87" s="1"/>
  <c r="J875" i="87" s="1"/>
  <c r="J876" i="87" s="1"/>
  <c r="J877" i="87" s="1"/>
  <c r="J878" i="87" s="1"/>
  <c r="J879" i="87" s="1"/>
  <c r="J880" i="87" s="1"/>
  <c r="J881" i="87" s="1"/>
  <c r="J882" i="87" s="1"/>
  <c r="J883" i="87" s="1"/>
  <c r="J884" i="87" s="1"/>
  <c r="J885" i="87" s="1"/>
  <c r="J886" i="87" s="1"/>
  <c r="J887" i="87" s="1"/>
  <c r="J888" i="87" s="1"/>
  <c r="I861" i="87"/>
  <c r="I862" i="87" s="1"/>
  <c r="I863" i="87" s="1"/>
  <c r="I864" i="87" s="1"/>
  <c r="I865" i="87" s="1"/>
  <c r="I866" i="87" s="1"/>
  <c r="I867" i="87" s="1"/>
  <c r="I868" i="87" s="1"/>
  <c r="I869" i="87" s="1"/>
  <c r="I870" i="87" s="1"/>
  <c r="I871" i="87" s="1"/>
  <c r="I872" i="87" s="1"/>
  <c r="I873" i="87" s="1"/>
  <c r="I874" i="87" s="1"/>
  <c r="I875" i="87" s="1"/>
  <c r="I876" i="87" s="1"/>
  <c r="I877" i="87" s="1"/>
  <c r="I878" i="87" s="1"/>
  <c r="I879" i="87" s="1"/>
  <c r="I880" i="87" s="1"/>
  <c r="I881" i="87" s="1"/>
  <c r="I882" i="87" s="1"/>
  <c r="I883" i="87" s="1"/>
  <c r="I884" i="87" s="1"/>
  <c r="I885" i="87" s="1"/>
  <c r="I886" i="87" s="1"/>
  <c r="I887" i="87" s="1"/>
  <c r="I888" i="87" s="1"/>
  <c r="H861" i="87"/>
  <c r="H862" i="87" s="1"/>
  <c r="H863" i="87" s="1"/>
  <c r="H864" i="87" s="1"/>
  <c r="H865" i="87" s="1"/>
  <c r="H866" i="87" s="1"/>
  <c r="H867" i="87" s="1"/>
  <c r="H868" i="87" s="1"/>
  <c r="H869" i="87" s="1"/>
  <c r="H870" i="87" s="1"/>
  <c r="H871" i="87" s="1"/>
  <c r="H872" i="87" s="1"/>
  <c r="H873" i="87" s="1"/>
  <c r="H874" i="87" s="1"/>
  <c r="H875" i="87" s="1"/>
  <c r="H876" i="87" s="1"/>
  <c r="H877" i="87" s="1"/>
  <c r="H878" i="87" s="1"/>
  <c r="H879" i="87" s="1"/>
  <c r="H880" i="87" s="1"/>
  <c r="H881" i="87" s="1"/>
  <c r="H882" i="87" s="1"/>
  <c r="H883" i="87" s="1"/>
  <c r="H884" i="87" s="1"/>
  <c r="H885" i="87" s="1"/>
  <c r="H886" i="87" s="1"/>
  <c r="H887" i="87" s="1"/>
  <c r="H888" i="87" s="1"/>
  <c r="G861" i="87"/>
  <c r="G862" i="87" s="1"/>
  <c r="G863" i="87" s="1"/>
  <c r="G864" i="87" s="1"/>
  <c r="G865" i="87" s="1"/>
  <c r="G866" i="87" s="1"/>
  <c r="G867" i="87" s="1"/>
  <c r="G868" i="87" s="1"/>
  <c r="G869" i="87" s="1"/>
  <c r="G870" i="87" s="1"/>
  <c r="G871" i="87" s="1"/>
  <c r="G872" i="87" s="1"/>
  <c r="G873" i="87" s="1"/>
  <c r="G874" i="87" s="1"/>
  <c r="G875" i="87" s="1"/>
  <c r="G876" i="87" s="1"/>
  <c r="G877" i="87" s="1"/>
  <c r="G878" i="87" s="1"/>
  <c r="G879" i="87" s="1"/>
  <c r="G880" i="87" s="1"/>
  <c r="G881" i="87" s="1"/>
  <c r="G882" i="87" s="1"/>
  <c r="G883" i="87" s="1"/>
  <c r="G884" i="87" s="1"/>
  <c r="G885" i="87" s="1"/>
  <c r="G886" i="87" s="1"/>
  <c r="G887" i="87" s="1"/>
  <c r="G888" i="87" s="1"/>
  <c r="F861" i="87"/>
  <c r="F862" i="87" s="1"/>
  <c r="F863" i="87" s="1"/>
  <c r="F864" i="87" s="1"/>
  <c r="F865" i="87" s="1"/>
  <c r="F866" i="87" s="1"/>
  <c r="F867" i="87" s="1"/>
  <c r="F868" i="87" s="1"/>
  <c r="F869" i="87" s="1"/>
  <c r="F870" i="87" s="1"/>
  <c r="F871" i="87" s="1"/>
  <c r="F872" i="87" s="1"/>
  <c r="F873" i="87" s="1"/>
  <c r="F874" i="87" s="1"/>
  <c r="F875" i="87" s="1"/>
  <c r="F876" i="87" s="1"/>
  <c r="F877" i="87" s="1"/>
  <c r="F878" i="87" s="1"/>
  <c r="F879" i="87" s="1"/>
  <c r="F880" i="87" s="1"/>
  <c r="F881" i="87" s="1"/>
  <c r="F882" i="87" s="1"/>
  <c r="F883" i="87" s="1"/>
  <c r="F884" i="87" s="1"/>
  <c r="F885" i="87" s="1"/>
  <c r="F886" i="87" s="1"/>
  <c r="F887" i="87" s="1"/>
  <c r="F888" i="87" s="1"/>
  <c r="E861" i="87"/>
  <c r="E862" i="87" s="1"/>
  <c r="E863" i="87" s="1"/>
  <c r="E864" i="87" s="1"/>
  <c r="E865" i="87" s="1"/>
  <c r="E866" i="87" s="1"/>
  <c r="E867" i="87" s="1"/>
  <c r="E868" i="87" s="1"/>
  <c r="E869" i="87" s="1"/>
  <c r="E870" i="87" s="1"/>
  <c r="E871" i="87" s="1"/>
  <c r="E872" i="87" s="1"/>
  <c r="E873" i="87" s="1"/>
  <c r="E874" i="87" s="1"/>
  <c r="E875" i="87" s="1"/>
  <c r="E876" i="87" s="1"/>
  <c r="E877" i="87" s="1"/>
  <c r="E878" i="87" s="1"/>
  <c r="E879" i="87" s="1"/>
  <c r="E880" i="87" s="1"/>
  <c r="E881" i="87" s="1"/>
  <c r="E882" i="87" s="1"/>
  <c r="E883" i="87" s="1"/>
  <c r="E884" i="87" s="1"/>
  <c r="E885" i="87" s="1"/>
  <c r="E886" i="87" s="1"/>
  <c r="E887" i="87" s="1"/>
  <c r="E888" i="87" s="1"/>
  <c r="D861" i="87"/>
  <c r="D862" i="87" s="1"/>
  <c r="D863" i="87" s="1"/>
  <c r="D864" i="87" s="1"/>
  <c r="D865" i="87" s="1"/>
  <c r="D866" i="87" s="1"/>
  <c r="D867" i="87" s="1"/>
  <c r="D868" i="87" s="1"/>
  <c r="D869" i="87" s="1"/>
  <c r="D870" i="87" s="1"/>
  <c r="D871" i="87" s="1"/>
  <c r="D872" i="87" s="1"/>
  <c r="D873" i="87" s="1"/>
  <c r="D874" i="87" s="1"/>
  <c r="D875" i="87" s="1"/>
  <c r="D876" i="87" s="1"/>
  <c r="D877" i="87" s="1"/>
  <c r="D878" i="87" s="1"/>
  <c r="D879" i="87" s="1"/>
  <c r="D880" i="87" s="1"/>
  <c r="D881" i="87" s="1"/>
  <c r="D882" i="87" s="1"/>
  <c r="D883" i="87" s="1"/>
  <c r="D884" i="87" s="1"/>
  <c r="D885" i="87" s="1"/>
  <c r="D886" i="87" s="1"/>
  <c r="D887" i="87" s="1"/>
  <c r="D888" i="87" s="1"/>
  <c r="C861" i="87"/>
  <c r="C862" i="87" s="1"/>
  <c r="C863" i="87" s="1"/>
  <c r="C864" i="87" s="1"/>
  <c r="C865" i="87" s="1"/>
  <c r="C866" i="87" s="1"/>
  <c r="C867" i="87" s="1"/>
  <c r="C868" i="87" s="1"/>
  <c r="C869" i="87" s="1"/>
  <c r="C870" i="87" s="1"/>
  <c r="C871" i="87" s="1"/>
  <c r="C872" i="87" s="1"/>
  <c r="C873" i="87" s="1"/>
  <c r="C874" i="87" s="1"/>
  <c r="C875" i="87" s="1"/>
  <c r="C876" i="87" s="1"/>
  <c r="C877" i="87" s="1"/>
  <c r="C878" i="87" s="1"/>
  <c r="C879" i="87" s="1"/>
  <c r="C880" i="87" s="1"/>
  <c r="C881" i="87" s="1"/>
  <c r="C882" i="87" s="1"/>
  <c r="C883" i="87" s="1"/>
  <c r="C884" i="87" s="1"/>
  <c r="C885" i="87" s="1"/>
  <c r="C886" i="87" s="1"/>
  <c r="C887" i="87" s="1"/>
  <c r="C888" i="87" s="1"/>
  <c r="B861" i="87"/>
  <c r="B862" i="87" s="1"/>
  <c r="B863" i="87" s="1"/>
  <c r="B864" i="87" s="1"/>
  <c r="B865" i="87" s="1"/>
  <c r="B866" i="87" s="1"/>
  <c r="B867" i="87" s="1"/>
  <c r="B868" i="87" s="1"/>
  <c r="B869" i="87" s="1"/>
  <c r="B870" i="87" s="1"/>
  <c r="B871" i="87" s="1"/>
  <c r="B872" i="87" s="1"/>
  <c r="B873" i="87" s="1"/>
  <c r="B874" i="87" s="1"/>
  <c r="B875" i="87" s="1"/>
  <c r="B876" i="87" s="1"/>
  <c r="B877" i="87" s="1"/>
  <c r="B878" i="87" s="1"/>
  <c r="B879" i="87" s="1"/>
  <c r="B880" i="87" s="1"/>
  <c r="B881" i="87" s="1"/>
  <c r="B882" i="87" s="1"/>
  <c r="B883" i="87" s="1"/>
  <c r="B884" i="87" s="1"/>
  <c r="B885" i="87" s="1"/>
  <c r="B886" i="87" s="1"/>
  <c r="B887" i="87" s="1"/>
  <c r="B888" i="87" s="1"/>
  <c r="F72" i="88" l="1"/>
  <c r="B71" i="88"/>
  <c r="D52" i="88"/>
  <c r="D51" i="88"/>
  <c r="D50" i="88"/>
  <c r="C915" i="87" l="1"/>
  <c r="D915" i="87" s="1"/>
  <c r="E915" i="87" s="1"/>
  <c r="F915" i="87" s="1"/>
  <c r="G915" i="87" s="1"/>
  <c r="H915" i="87" s="1"/>
  <c r="I915" i="87" s="1"/>
  <c r="J915" i="87" s="1"/>
  <c r="K915" i="87" s="1"/>
  <c r="L915" i="87" s="1"/>
  <c r="M915" i="87" s="1"/>
  <c r="N915" i="87" s="1"/>
  <c r="O915" i="87" s="1"/>
  <c r="P915" i="87" s="1"/>
  <c r="Q915" i="87" s="1"/>
  <c r="R915" i="87" s="1"/>
  <c r="S915" i="87" s="1"/>
  <c r="T915" i="87" s="1"/>
  <c r="U915" i="87" s="1"/>
  <c r="V915" i="87" s="1"/>
  <c r="W915" i="87" s="1"/>
  <c r="X915" i="87" s="1"/>
  <c r="Y915" i="87" s="1"/>
  <c r="Z915" i="87" s="1"/>
  <c r="AA915" i="87" s="1"/>
  <c r="AB915" i="87" s="1"/>
  <c r="AC915" i="87" s="1"/>
  <c r="AD915" i="87" s="1"/>
  <c r="AE915" i="87" s="1"/>
  <c r="AF915" i="87" s="1"/>
  <c r="AG915" i="87" s="1"/>
  <c r="AH915" i="87" s="1"/>
  <c r="AI915" i="87" s="1"/>
  <c r="AJ915" i="87" s="1"/>
  <c r="AK915" i="87" s="1"/>
  <c r="AL915" i="87" s="1"/>
  <c r="AM915" i="87" s="1"/>
  <c r="AN915" i="87" s="1"/>
  <c r="AO915" i="87" s="1"/>
  <c r="AP915" i="87" s="1"/>
  <c r="AQ915" i="87" s="1"/>
  <c r="AR915" i="87" s="1"/>
  <c r="AS915" i="87" s="1"/>
  <c r="AT915" i="87" s="1"/>
  <c r="AU915" i="87" s="1"/>
  <c r="AV915" i="87" s="1"/>
  <c r="AW915" i="87" s="1"/>
  <c r="AX915" i="87" s="1"/>
  <c r="AY915" i="87" s="1"/>
  <c r="AZ915" i="87" s="1"/>
  <c r="BA915" i="87" s="1"/>
  <c r="BB915" i="87" s="1"/>
  <c r="BC915" i="87" s="1"/>
  <c r="BD915" i="87" s="1"/>
  <c r="BE915" i="87" s="1"/>
  <c r="BF915" i="87" s="1"/>
  <c r="BG915" i="87" s="1"/>
  <c r="BH915" i="87" s="1"/>
  <c r="BI915" i="87" s="1"/>
  <c r="BJ915" i="87" s="1"/>
  <c r="BK915" i="87" s="1"/>
  <c r="BL915" i="87" s="1"/>
  <c r="BM915" i="87" s="1"/>
  <c r="BN915" i="87" s="1"/>
  <c r="BO915" i="87" s="1"/>
  <c r="BP915" i="87" s="1"/>
  <c r="BQ915" i="87" s="1"/>
  <c r="BR915" i="87" s="1"/>
  <c r="BS915" i="87" s="1"/>
  <c r="BT915" i="87" s="1"/>
  <c r="BU915" i="87" s="1"/>
  <c r="BV915" i="87" s="1"/>
  <c r="BW915" i="87" s="1"/>
  <c r="BX915" i="87" s="1"/>
  <c r="BY915" i="87" s="1"/>
  <c r="BZ915" i="87" s="1"/>
  <c r="CA915" i="87" s="1"/>
  <c r="CB915" i="87" s="1"/>
  <c r="CC915" i="87" s="1"/>
  <c r="CD915" i="87" s="1"/>
  <c r="CE915" i="87" s="1"/>
  <c r="CF915" i="87" s="1"/>
  <c r="CG915" i="87" s="1"/>
  <c r="CH915" i="87" s="1"/>
  <c r="CI915" i="87" s="1"/>
  <c r="C859" i="87"/>
  <c r="D859" i="87" s="1"/>
  <c r="E859" i="87" s="1"/>
  <c r="F859" i="87" s="1"/>
  <c r="G859" i="87" s="1"/>
  <c r="H859" i="87" s="1"/>
  <c r="I859" i="87" s="1"/>
  <c r="J859" i="87" s="1"/>
  <c r="K859" i="87" s="1"/>
  <c r="L859" i="87" s="1"/>
  <c r="M859" i="87" s="1"/>
  <c r="N859" i="87" s="1"/>
  <c r="O859" i="87" s="1"/>
  <c r="P859" i="87" s="1"/>
  <c r="Q859" i="87" s="1"/>
  <c r="R859" i="87" s="1"/>
  <c r="S859" i="87" s="1"/>
  <c r="T859" i="87" s="1"/>
  <c r="U859" i="87" s="1"/>
  <c r="V859" i="87" s="1"/>
  <c r="W859" i="87" s="1"/>
  <c r="X859" i="87" s="1"/>
  <c r="Y859" i="87" s="1"/>
  <c r="Z859" i="87" s="1"/>
  <c r="AA859" i="87" s="1"/>
  <c r="AB859" i="87" s="1"/>
  <c r="AC859" i="87" s="1"/>
  <c r="AD859" i="87" s="1"/>
  <c r="AE859" i="87" s="1"/>
  <c r="AF859" i="87" s="1"/>
  <c r="AG859" i="87" s="1"/>
  <c r="AH859" i="87" s="1"/>
  <c r="AI859" i="87" s="1"/>
  <c r="AJ859" i="87" s="1"/>
  <c r="AK859" i="87" s="1"/>
  <c r="AL859" i="87" s="1"/>
  <c r="AM859" i="87" s="1"/>
  <c r="AN859" i="87" s="1"/>
  <c r="AO859" i="87" s="1"/>
  <c r="AP859" i="87" s="1"/>
  <c r="AQ859" i="87" s="1"/>
  <c r="AR859" i="87" s="1"/>
  <c r="AS859" i="87" s="1"/>
  <c r="AT859" i="87" s="1"/>
  <c r="AU859" i="87" s="1"/>
  <c r="AV859" i="87" s="1"/>
  <c r="AW859" i="87" s="1"/>
  <c r="AX859" i="87" s="1"/>
  <c r="AY859" i="87" s="1"/>
  <c r="AZ859" i="87" s="1"/>
  <c r="BA859" i="87" s="1"/>
  <c r="BB859" i="87" s="1"/>
  <c r="BC859" i="87" s="1"/>
  <c r="BD859" i="87" s="1"/>
  <c r="BE859" i="87" s="1"/>
  <c r="BF859" i="87" s="1"/>
  <c r="BG859" i="87" s="1"/>
  <c r="BH859" i="87" s="1"/>
  <c r="BI859" i="87" s="1"/>
  <c r="BJ859" i="87" s="1"/>
  <c r="BK859" i="87" s="1"/>
  <c r="BL859" i="87" s="1"/>
  <c r="BM859" i="87" s="1"/>
  <c r="BN859" i="87" s="1"/>
  <c r="BO859" i="87" s="1"/>
  <c r="BP859" i="87" s="1"/>
  <c r="BQ859" i="87" s="1"/>
  <c r="BR859" i="87" s="1"/>
  <c r="BS859" i="87" s="1"/>
  <c r="BT859" i="87" s="1"/>
  <c r="BU859" i="87" s="1"/>
  <c r="BV859" i="87" s="1"/>
  <c r="BW859" i="87" s="1"/>
  <c r="BX859" i="87" s="1"/>
  <c r="BY859" i="87" s="1"/>
  <c r="BZ859" i="87" s="1"/>
  <c r="CA859" i="87" s="1"/>
  <c r="CB859" i="87" s="1"/>
  <c r="CC859" i="87" s="1"/>
  <c r="CD859" i="87" s="1"/>
  <c r="CE859" i="87" s="1"/>
  <c r="CF859" i="87" s="1"/>
  <c r="CG859" i="87" s="1"/>
  <c r="CH859" i="87" s="1"/>
  <c r="CI859" i="87" s="1"/>
  <c r="C304" i="87"/>
  <c r="D304" i="87" s="1"/>
  <c r="E304" i="87" s="1"/>
  <c r="F304" i="87" s="1"/>
  <c r="G304" i="87" s="1"/>
  <c r="H304" i="87" s="1"/>
  <c r="I304" i="87" s="1"/>
  <c r="J304" i="87" s="1"/>
  <c r="K304" i="87" s="1"/>
  <c r="L304" i="87" s="1"/>
  <c r="M304" i="87" s="1"/>
  <c r="N304" i="87" s="1"/>
  <c r="O304" i="87" s="1"/>
  <c r="P304" i="87" s="1"/>
  <c r="Q304" i="87" s="1"/>
  <c r="R304" i="87" s="1"/>
  <c r="S304" i="87" s="1"/>
  <c r="T304" i="87" s="1"/>
  <c r="U304" i="87" s="1"/>
  <c r="V304" i="87" s="1"/>
  <c r="W304" i="87" s="1"/>
  <c r="X304" i="87" s="1"/>
  <c r="Y304" i="87" s="1"/>
  <c r="Z304" i="87" s="1"/>
  <c r="AA304" i="87" s="1"/>
  <c r="AB304" i="87" s="1"/>
  <c r="AC304" i="87" s="1"/>
  <c r="AD304" i="87" s="1"/>
  <c r="AE304" i="87" s="1"/>
  <c r="AF304" i="87" s="1"/>
  <c r="AG304" i="87" s="1"/>
  <c r="AH304" i="87" s="1"/>
  <c r="AI304" i="87" s="1"/>
  <c r="AJ304" i="87" s="1"/>
  <c r="AK304" i="87" s="1"/>
  <c r="O287" i="87"/>
  <c r="P287" i="87" s="1"/>
  <c r="Q287" i="87" s="1"/>
  <c r="R287" i="87" s="1"/>
  <c r="S287" i="87" s="1"/>
  <c r="T287" i="87" s="1"/>
  <c r="U287" i="87" s="1"/>
  <c r="V287" i="87" s="1"/>
  <c r="W287" i="87" s="1"/>
  <c r="X287" i="87" s="1"/>
  <c r="Y287" i="87" s="1"/>
  <c r="Z287" i="87" s="1"/>
  <c r="AA287" i="87" s="1"/>
  <c r="AB287" i="87" s="1"/>
  <c r="AC287" i="87" s="1"/>
  <c r="AD287" i="87" s="1"/>
  <c r="AE287" i="87" s="1"/>
  <c r="AF287" i="87" s="1"/>
  <c r="AG287" i="87" s="1"/>
  <c r="AH287" i="87" s="1"/>
  <c r="AI287" i="87" s="1"/>
  <c r="AJ287" i="87" s="1"/>
  <c r="AK287" i="87" s="1"/>
  <c r="AL287" i="87" s="1"/>
  <c r="AM287" i="87" s="1"/>
  <c r="AN287" i="87" s="1"/>
  <c r="AO287" i="87" s="1"/>
  <c r="AP287" i="87" s="1"/>
  <c r="AQ287" i="87" s="1"/>
  <c r="AR287" i="87" s="1"/>
  <c r="AS287" i="87" s="1"/>
  <c r="AT287" i="87" s="1"/>
  <c r="AU287" i="87" s="1"/>
  <c r="AV287" i="87" s="1"/>
  <c r="AW287" i="87" s="1"/>
  <c r="AX287" i="87" s="1"/>
  <c r="AY287" i="87" s="1"/>
  <c r="AZ287" i="87" s="1"/>
  <c r="BA287" i="87" s="1"/>
  <c r="BB287" i="87" s="1"/>
  <c r="BC287" i="87" s="1"/>
  <c r="BD287" i="87" s="1"/>
  <c r="BE287" i="87" s="1"/>
  <c r="BF287" i="87" s="1"/>
  <c r="BG287" i="87" s="1"/>
  <c r="BH287" i="87" s="1"/>
  <c r="BI287" i="87" s="1"/>
  <c r="BJ287" i="87" s="1"/>
  <c r="BK287" i="87" s="1"/>
  <c r="BL287" i="87" s="1"/>
  <c r="BM287" i="87" s="1"/>
  <c r="BN287" i="87" s="1"/>
  <c r="BO287" i="87" s="1"/>
  <c r="BP287" i="87" s="1"/>
  <c r="BQ287" i="87" s="1"/>
  <c r="BR287" i="87" s="1"/>
  <c r="BS287" i="87" s="1"/>
  <c r="BT287" i="87" s="1"/>
  <c r="BU287" i="87" s="1"/>
  <c r="BV287" i="87" s="1"/>
  <c r="BW287" i="87" s="1"/>
  <c r="BX287" i="87" s="1"/>
  <c r="BY287" i="87" s="1"/>
  <c r="BZ287" i="87" s="1"/>
  <c r="CA287" i="87" s="1"/>
  <c r="CB287" i="87" s="1"/>
  <c r="CC287" i="87" s="1"/>
  <c r="CD287" i="87" s="1"/>
  <c r="CE287" i="87" s="1"/>
  <c r="CF287" i="87" s="1"/>
  <c r="CG287" i="87" s="1"/>
  <c r="CH287" i="87" s="1"/>
  <c r="CI287" i="87" s="1"/>
  <c r="C287" i="87"/>
  <c r="D287" i="87" s="1"/>
  <c r="E287" i="87" s="1"/>
  <c r="F287" i="87" s="1"/>
  <c r="G287" i="87" s="1"/>
  <c r="H287" i="87" s="1"/>
  <c r="I287" i="87" s="1"/>
  <c r="J287" i="87" s="1"/>
  <c r="K287" i="87" s="1"/>
  <c r="L287" i="87" s="1"/>
  <c r="M287" i="87" s="1"/>
  <c r="E364" i="86"/>
  <c r="E363" i="86"/>
  <c r="E362" i="86"/>
  <c r="E361" i="86"/>
  <c r="E360" i="86"/>
  <c r="E359" i="86"/>
  <c r="E358" i="86"/>
  <c r="E357" i="86"/>
  <c r="E356" i="86"/>
  <c r="E355" i="86"/>
  <c r="E354" i="86"/>
  <c r="E353" i="86"/>
  <c r="E352" i="86"/>
  <c r="E351" i="86"/>
  <c r="E350" i="86"/>
  <c r="E349" i="86"/>
  <c r="E348" i="86"/>
  <c r="E347" i="86"/>
  <c r="E346" i="86"/>
  <c r="E345" i="86"/>
  <c r="E344" i="86"/>
  <c r="E343" i="86"/>
  <c r="E342" i="86"/>
  <c r="E341" i="86"/>
  <c r="E340" i="86"/>
  <c r="E339" i="86"/>
  <c r="E338" i="86"/>
  <c r="E337" i="86"/>
  <c r="E326" i="86"/>
  <c r="E325" i="86"/>
  <c r="E324" i="86"/>
  <c r="E323" i="86"/>
  <c r="E322" i="86"/>
  <c r="E321" i="86"/>
  <c r="E320" i="86"/>
  <c r="E319" i="86"/>
  <c r="E318" i="86"/>
  <c r="E317" i="86"/>
  <c r="E316" i="86"/>
  <c r="E315" i="86"/>
  <c r="E314" i="86"/>
  <c r="E313" i="86"/>
  <c r="E312" i="86"/>
  <c r="E311" i="86"/>
  <c r="E310" i="86"/>
  <c r="E309" i="86"/>
  <c r="E308" i="86"/>
  <c r="E307" i="86"/>
  <c r="E306" i="86"/>
  <c r="E305" i="86"/>
  <c r="E304" i="86"/>
  <c r="E303" i="86"/>
  <c r="E302" i="86"/>
  <c r="E301" i="86"/>
  <c r="E300" i="86"/>
  <c r="E299" i="86"/>
  <c r="E288" i="86"/>
  <c r="E287" i="86"/>
  <c r="E286" i="86"/>
  <c r="E285" i="86"/>
  <c r="E284" i="86"/>
  <c r="E283" i="86"/>
  <c r="E282" i="86"/>
  <c r="E281" i="86"/>
  <c r="E280" i="86"/>
  <c r="E279" i="86"/>
  <c r="E278" i="86"/>
  <c r="E277" i="86"/>
  <c r="E276" i="86"/>
  <c r="E275" i="86"/>
  <c r="E274" i="86"/>
  <c r="E273" i="86"/>
  <c r="E272" i="86"/>
  <c r="E271" i="86"/>
  <c r="E270" i="86"/>
  <c r="E269" i="86"/>
  <c r="E268" i="86"/>
  <c r="E267" i="86"/>
  <c r="E266" i="86"/>
  <c r="E265" i="86"/>
  <c r="E264" i="86"/>
  <c r="E263" i="86"/>
  <c r="E262" i="86"/>
  <c r="E261" i="86"/>
  <c r="E174" i="86"/>
  <c r="E173" i="86"/>
  <c r="E172" i="86"/>
  <c r="E171" i="86"/>
  <c r="E170" i="86"/>
  <c r="E169" i="86"/>
  <c r="E168" i="86"/>
  <c r="E167" i="86"/>
  <c r="E166" i="86"/>
  <c r="E165" i="86"/>
  <c r="E164" i="86"/>
  <c r="E163" i="86"/>
  <c r="E162" i="86"/>
  <c r="E161" i="86"/>
  <c r="E160" i="86"/>
  <c r="E159" i="86"/>
  <c r="E158" i="86"/>
  <c r="E157" i="86"/>
  <c r="E156" i="86"/>
  <c r="E155" i="86"/>
  <c r="E154" i="86"/>
  <c r="E153" i="86"/>
  <c r="E152" i="86"/>
  <c r="E151" i="86"/>
  <c r="E150" i="86"/>
  <c r="E149" i="86"/>
  <c r="E148" i="86"/>
  <c r="E147" i="86"/>
  <c r="AL304" i="87" l="1"/>
  <c r="AM304" i="87" s="1"/>
  <c r="AN304" i="87" s="1"/>
  <c r="AO304" i="87" s="1"/>
  <c r="AP304" i="87" s="1"/>
  <c r="AQ304" i="87" s="1"/>
  <c r="AR304" i="87" s="1"/>
  <c r="AS304" i="87" s="1"/>
  <c r="AT304" i="87" s="1"/>
  <c r="AU304" i="87" s="1"/>
  <c r="AV304" i="87" s="1"/>
  <c r="AW304" i="87" s="1"/>
  <c r="AX304" i="87" s="1"/>
  <c r="AY304" i="87" s="1"/>
  <c r="AZ304" i="87" s="1"/>
  <c r="BA304" i="87" s="1"/>
  <c r="BB304" i="87" s="1"/>
  <c r="BC304" i="87" s="1"/>
  <c r="BD304" i="87" s="1"/>
  <c r="BE304" i="87" s="1"/>
  <c r="BF304" i="87" s="1"/>
  <c r="BG304" i="87" s="1"/>
  <c r="BH304" i="87" s="1"/>
  <c r="BI304" i="87" s="1"/>
  <c r="BJ304" i="87" s="1"/>
  <c r="BK304" i="87" s="1"/>
  <c r="BL304" i="87" s="1"/>
  <c r="BM304" i="87" s="1"/>
  <c r="BN304" i="87" s="1"/>
  <c r="BO304" i="87" s="1"/>
  <c r="BP304" i="87" s="1"/>
  <c r="BQ304" i="87" s="1"/>
  <c r="BR304" i="87" s="1"/>
  <c r="BS304" i="87" s="1"/>
  <c r="BT304" i="87" s="1"/>
  <c r="BU304" i="87" s="1"/>
  <c r="BV304" i="87" s="1"/>
  <c r="BW304" i="87" s="1"/>
  <c r="BX304" i="87" s="1"/>
  <c r="BY304" i="87" s="1"/>
  <c r="BZ304" i="87" s="1"/>
  <c r="CA304" i="87" s="1"/>
  <c r="CB304" i="87" s="1"/>
  <c r="CC304" i="87" s="1"/>
  <c r="CD304" i="87" s="1"/>
  <c r="CE304" i="87" s="1"/>
  <c r="CF304" i="87" s="1"/>
  <c r="CG304" i="87" s="1"/>
  <c r="CH304" i="87" s="1"/>
  <c r="CI304" i="87" s="1"/>
  <c r="K862" i="80" l="1"/>
  <c r="J862" i="80"/>
  <c r="I862" i="80"/>
  <c r="H862" i="80"/>
  <c r="G862" i="80"/>
  <c r="F862" i="80"/>
  <c r="E862" i="80"/>
  <c r="D862" i="80"/>
  <c r="L505" i="80"/>
  <c r="L504" i="80"/>
  <c r="L503" i="80"/>
  <c r="L502" i="80"/>
  <c r="L501" i="80"/>
  <c r="L500" i="80"/>
  <c r="L499" i="80"/>
  <c r="L498" i="80"/>
  <c r="L497" i="80"/>
  <c r="L496" i="80"/>
  <c r="L495" i="80"/>
  <c r="L494" i="80"/>
  <c r="L493" i="80"/>
  <c r="L492" i="80"/>
  <c r="L491" i="80"/>
  <c r="L490" i="80"/>
  <c r="L489" i="80"/>
  <c r="L488" i="80"/>
  <c r="L487" i="80"/>
  <c r="L486" i="80"/>
  <c r="L485" i="80"/>
  <c r="L484" i="80"/>
  <c r="L483" i="80"/>
  <c r="L482" i="80"/>
  <c r="L481" i="80"/>
  <c r="L480" i="80"/>
  <c r="L479" i="80"/>
  <c r="L478" i="80"/>
  <c r="L477" i="80"/>
  <c r="L476" i="80"/>
  <c r="L475" i="80"/>
  <c r="L474" i="80"/>
  <c r="L473" i="80"/>
  <c r="L472" i="80"/>
  <c r="AJ238" i="78" l="1"/>
  <c r="AI238" i="78"/>
  <c r="AH238" i="78"/>
  <c r="AG238" i="78"/>
  <c r="AF238" i="78"/>
  <c r="AE238" i="78"/>
  <c r="AD238" i="78"/>
  <c r="AC238" i="78"/>
  <c r="AB238" i="78"/>
  <c r="AA238" i="78"/>
  <c r="Z238" i="78"/>
  <c r="Y238" i="78"/>
  <c r="X238" i="78"/>
  <c r="W238" i="78"/>
  <c r="V238" i="78"/>
  <c r="U238" i="78"/>
  <c r="T238" i="78"/>
  <c r="S238" i="78"/>
  <c r="R238" i="78"/>
  <c r="Q238" i="78"/>
  <c r="P238" i="78"/>
  <c r="O238" i="78"/>
  <c r="N238" i="78"/>
  <c r="M238" i="78"/>
  <c r="L238" i="78"/>
  <c r="K238" i="78"/>
  <c r="J238" i="78"/>
  <c r="I238" i="78"/>
  <c r="H238" i="78"/>
  <c r="G238" i="78"/>
  <c r="F238" i="78"/>
  <c r="E238" i="78"/>
  <c r="D238" i="78"/>
  <c r="C238" i="78"/>
  <c r="B238" i="78"/>
  <c r="AL235" i="78"/>
  <c r="T190" i="78" s="1"/>
  <c r="AL234" i="78"/>
  <c r="AA189" i="78" s="1"/>
  <c r="AL233" i="78"/>
  <c r="AD188" i="78" s="1"/>
  <c r="AL232" i="78"/>
  <c r="Z187" i="78" s="1"/>
  <c r="AL231" i="78"/>
  <c r="AC186" i="78" s="1"/>
  <c r="AL230" i="78"/>
  <c r="R185" i="78" s="1"/>
  <c r="AL229" i="78"/>
  <c r="AB184" i="78" s="1"/>
  <c r="AL228" i="78"/>
  <c r="AJ183" i="78" s="1"/>
  <c r="AL227" i="78"/>
  <c r="D182" i="78" s="1"/>
  <c r="AL226" i="78"/>
  <c r="C181" i="78" s="1"/>
  <c r="AL225" i="78"/>
  <c r="E180" i="78" s="1"/>
  <c r="AL224" i="78"/>
  <c r="S179" i="78" s="1"/>
  <c r="AL223" i="78"/>
  <c r="S178" i="78" s="1"/>
  <c r="AL222" i="78"/>
  <c r="Q177" i="78" s="1"/>
  <c r="AL221" i="78"/>
  <c r="AA176" i="78" s="1"/>
  <c r="AL220" i="78"/>
  <c r="AJ175" i="78" s="1"/>
  <c r="AL219" i="78"/>
  <c r="Y174" i="78" s="1"/>
  <c r="AL218" i="78"/>
  <c r="R173" i="78" s="1"/>
  <c r="AL217" i="78"/>
  <c r="N172" i="78" s="1"/>
  <c r="AL216" i="78"/>
  <c r="Z171" i="78" s="1"/>
  <c r="AL215" i="78"/>
  <c r="P170" i="78" s="1"/>
  <c r="AL214" i="78"/>
  <c r="U169" i="78" s="1"/>
  <c r="AL213" i="78"/>
  <c r="N168" i="78" s="1"/>
  <c r="AL212" i="78"/>
  <c r="W167" i="78" s="1"/>
  <c r="AL211" i="78"/>
  <c r="AA166" i="78" s="1"/>
  <c r="AL210" i="78"/>
  <c r="AH165" i="78" s="1"/>
  <c r="AL209" i="78"/>
  <c r="U164" i="78" s="1"/>
  <c r="AL208" i="78"/>
  <c r="Z163" i="78" s="1"/>
  <c r="AL207" i="78"/>
  <c r="AJ162" i="78" s="1"/>
  <c r="AL206" i="78"/>
  <c r="J161" i="78" s="1"/>
  <c r="AL205" i="78"/>
  <c r="AD160" i="78" s="1"/>
  <c r="AL204" i="78"/>
  <c r="AB159" i="78" s="1"/>
  <c r="AL203" i="78"/>
  <c r="AJ158" i="78" s="1"/>
  <c r="AL202" i="78"/>
  <c r="AI157" i="78" s="1"/>
  <c r="AL201" i="78"/>
  <c r="AI156" i="78" s="1"/>
  <c r="AD189" i="78"/>
  <c r="AC189" i="78"/>
  <c r="J189" i="78"/>
  <c r="I189" i="78"/>
  <c r="AA185" i="78"/>
  <c r="X185" i="78"/>
  <c r="AJ161" i="78"/>
  <c r="AI161" i="78"/>
  <c r="AH161" i="78"/>
  <c r="S159" i="78"/>
  <c r="R159" i="78"/>
  <c r="Q159" i="78"/>
  <c r="J159" i="78"/>
  <c r="Q113" i="78"/>
  <c r="P113" i="78"/>
  <c r="M113" i="78"/>
  <c r="L113" i="78"/>
  <c r="I113" i="78"/>
  <c r="H113" i="78"/>
  <c r="Q112" i="78"/>
  <c r="P112" i="78"/>
  <c r="M112" i="78"/>
  <c r="L112" i="78"/>
  <c r="I112" i="78"/>
  <c r="H112" i="78"/>
  <c r="Q111" i="78"/>
  <c r="P111" i="78"/>
  <c r="M111" i="78"/>
  <c r="L111" i="78"/>
  <c r="I111" i="78"/>
  <c r="H111" i="78"/>
  <c r="Q110" i="78"/>
  <c r="P110" i="78"/>
  <c r="M110" i="78"/>
  <c r="L110" i="78"/>
  <c r="I110" i="78"/>
  <c r="H110" i="78"/>
  <c r="Q109" i="78"/>
  <c r="P109" i="78"/>
  <c r="M109" i="78"/>
  <c r="L109" i="78"/>
  <c r="I109" i="78"/>
  <c r="H109" i="78"/>
  <c r="Q108" i="78"/>
  <c r="P108" i="78"/>
  <c r="M108" i="78"/>
  <c r="L108" i="78"/>
  <c r="I108" i="78"/>
  <c r="H108" i="78"/>
  <c r="Q107" i="78"/>
  <c r="P107" i="78"/>
  <c r="M107" i="78"/>
  <c r="L107" i="78"/>
  <c r="I107" i="78"/>
  <c r="H107" i="78"/>
  <c r="Q106" i="78"/>
  <c r="P106" i="78"/>
  <c r="M106" i="78"/>
  <c r="L106" i="78"/>
  <c r="I106" i="78"/>
  <c r="H106" i="78"/>
  <c r="Q105" i="78"/>
  <c r="P105" i="78"/>
  <c r="M105" i="78"/>
  <c r="L105" i="78"/>
  <c r="I105" i="78"/>
  <c r="H105" i="78"/>
  <c r="Q104" i="78"/>
  <c r="P104" i="78"/>
  <c r="M104" i="78"/>
  <c r="L104" i="78"/>
  <c r="I104" i="78"/>
  <c r="H104" i="78"/>
  <c r="Q103" i="78"/>
  <c r="P103" i="78"/>
  <c r="M103" i="78"/>
  <c r="L103" i="78"/>
  <c r="I103" i="78"/>
  <c r="H103" i="78"/>
  <c r="Q102" i="78"/>
  <c r="P102" i="78"/>
  <c r="M102" i="78"/>
  <c r="L102" i="78"/>
  <c r="I102" i="78"/>
  <c r="H102" i="78"/>
  <c r="Q101" i="78"/>
  <c r="P101" i="78"/>
  <c r="M101" i="78"/>
  <c r="L101" i="78"/>
  <c r="I101" i="78"/>
  <c r="H101" i="78"/>
  <c r="Q100" i="78"/>
  <c r="P100" i="78"/>
  <c r="M100" i="78"/>
  <c r="L100" i="78"/>
  <c r="I100" i="78"/>
  <c r="H100" i="78"/>
  <c r="Q99" i="78"/>
  <c r="P99" i="78"/>
  <c r="M99" i="78"/>
  <c r="L99" i="78"/>
  <c r="I99" i="78"/>
  <c r="H99" i="78"/>
  <c r="Q98" i="78"/>
  <c r="P98" i="78"/>
  <c r="M98" i="78"/>
  <c r="L98" i="78"/>
  <c r="I98" i="78"/>
  <c r="H98" i="78"/>
  <c r="Q97" i="78"/>
  <c r="P97" i="78"/>
  <c r="M97" i="78"/>
  <c r="L97" i="78"/>
  <c r="I97" i="78"/>
  <c r="H97" i="78"/>
  <c r="Q96" i="78"/>
  <c r="P96" i="78"/>
  <c r="M96" i="78"/>
  <c r="L96" i="78"/>
  <c r="I96" i="78"/>
  <c r="H96" i="78"/>
  <c r="Q95" i="78"/>
  <c r="P95" i="78"/>
  <c r="M95" i="78"/>
  <c r="L95" i="78"/>
  <c r="I95" i="78"/>
  <c r="H95" i="78"/>
  <c r="Q94" i="78"/>
  <c r="P94" i="78"/>
  <c r="M94" i="78"/>
  <c r="L94" i="78"/>
  <c r="I94" i="78"/>
  <c r="H94" i="78"/>
  <c r="Q93" i="78"/>
  <c r="P93" i="78"/>
  <c r="M93" i="78"/>
  <c r="L93" i="78"/>
  <c r="I93" i="78"/>
  <c r="H93" i="78"/>
  <c r="Q92" i="78"/>
  <c r="P92" i="78"/>
  <c r="M92" i="78"/>
  <c r="L92" i="78"/>
  <c r="I92" i="78"/>
  <c r="H92" i="78"/>
  <c r="Q91" i="78"/>
  <c r="P91" i="78"/>
  <c r="M91" i="78"/>
  <c r="L91" i="78"/>
  <c r="I91" i="78"/>
  <c r="H91" i="78"/>
  <c r="Q90" i="78"/>
  <c r="P90" i="78"/>
  <c r="M90" i="78"/>
  <c r="L90" i="78"/>
  <c r="I90" i="78"/>
  <c r="H90" i="78"/>
  <c r="Q89" i="78"/>
  <c r="P89" i="78"/>
  <c r="M89" i="78"/>
  <c r="L89" i="78"/>
  <c r="I89" i="78"/>
  <c r="H89" i="78"/>
  <c r="Q88" i="78"/>
  <c r="P88" i="78"/>
  <c r="M88" i="78"/>
  <c r="L88" i="78"/>
  <c r="I88" i="78"/>
  <c r="H88" i="78"/>
  <c r="Q87" i="78"/>
  <c r="P87" i="78"/>
  <c r="M87" i="78"/>
  <c r="L87" i="78"/>
  <c r="I87" i="78"/>
  <c r="H87" i="78"/>
  <c r="Q86" i="78"/>
  <c r="P86" i="78"/>
  <c r="M86" i="78"/>
  <c r="L86" i="78"/>
  <c r="I86" i="78"/>
  <c r="H86" i="78"/>
  <c r="Q85" i="78"/>
  <c r="P85" i="78"/>
  <c r="M85" i="78"/>
  <c r="L85" i="78"/>
  <c r="I85" i="78"/>
  <c r="H85" i="78"/>
  <c r="Q84" i="78"/>
  <c r="P84" i="78"/>
  <c r="M84" i="78"/>
  <c r="L84" i="78"/>
  <c r="I84" i="78"/>
  <c r="H84" i="78"/>
  <c r="Q83" i="78"/>
  <c r="P83" i="78"/>
  <c r="M83" i="78"/>
  <c r="L83" i="78"/>
  <c r="I83" i="78"/>
  <c r="H83" i="78"/>
  <c r="Q82" i="78"/>
  <c r="P82" i="78"/>
  <c r="M82" i="78"/>
  <c r="L82" i="78"/>
  <c r="I82" i="78"/>
  <c r="H82" i="78"/>
  <c r="Q81" i="78"/>
  <c r="P81" i="78"/>
  <c r="M81" i="78"/>
  <c r="L81" i="78"/>
  <c r="I81" i="78"/>
  <c r="H81" i="78"/>
  <c r="Q80" i="78"/>
  <c r="P80" i="78"/>
  <c r="M80" i="78"/>
  <c r="L80" i="78"/>
  <c r="I80" i="78"/>
  <c r="H80" i="78"/>
  <c r="Q79" i="78"/>
  <c r="P79" i="78"/>
  <c r="M79" i="78"/>
  <c r="L79" i="78"/>
  <c r="I79" i="78"/>
  <c r="H79" i="78"/>
  <c r="AG50" i="78"/>
  <c r="AF50" i="78"/>
  <c r="AE50" i="78"/>
  <c r="AD50" i="78"/>
  <c r="AC50" i="78"/>
  <c r="AB50" i="78"/>
  <c r="AA50" i="78"/>
  <c r="AG49" i="78"/>
  <c r="AF49" i="78"/>
  <c r="AE49" i="78"/>
  <c r="AD49" i="78"/>
  <c r="AC49" i="78"/>
  <c r="AB49" i="78"/>
  <c r="AA49" i="78"/>
  <c r="AG48" i="78"/>
  <c r="AF48" i="78"/>
  <c r="AE48" i="78"/>
  <c r="AD48" i="78"/>
  <c r="AC48" i="78"/>
  <c r="AB48" i="78"/>
  <c r="AA48" i="78"/>
  <c r="AG47" i="78"/>
  <c r="AF47" i="78"/>
  <c r="AE47" i="78"/>
  <c r="AD47" i="78"/>
  <c r="AC47" i="78"/>
  <c r="AB47" i="78"/>
  <c r="AA47" i="78"/>
  <c r="AA45" i="78"/>
  <c r="P161" i="78" l="1"/>
  <c r="I187" i="78"/>
  <c r="J187" i="78"/>
  <c r="K187" i="78"/>
  <c r="H187" i="78"/>
  <c r="M187" i="78"/>
  <c r="N187" i="78"/>
  <c r="O187" i="78"/>
  <c r="P187" i="78"/>
  <c r="K189" i="78"/>
  <c r="L189" i="78"/>
  <c r="N189" i="78"/>
  <c r="O189" i="78"/>
  <c r="AB189" i="78"/>
  <c r="L159" i="78"/>
  <c r="M159" i="78"/>
  <c r="O156" i="78"/>
  <c r="U189" i="78"/>
  <c r="P156" i="78"/>
  <c r="AF189" i="78"/>
  <c r="AH189" i="78"/>
  <c r="AI189" i="78"/>
  <c r="AJ189" i="78"/>
  <c r="D190" i="78"/>
  <c r="W185" i="78"/>
  <c r="E190" i="78"/>
  <c r="G190" i="78"/>
  <c r="AC185" i="78"/>
  <c r="R190" i="78"/>
  <c r="G187" i="78"/>
  <c r="U190" i="78"/>
  <c r="AE189" i="78"/>
  <c r="AG189" i="78"/>
  <c r="F190" i="78"/>
  <c r="X190" i="78"/>
  <c r="AB190" i="78"/>
  <c r="AD190" i="78"/>
  <c r="AE190" i="78"/>
  <c r="L187" i="78"/>
  <c r="Q187" i="78"/>
  <c r="S187" i="78"/>
  <c r="X187" i="78"/>
  <c r="AA187" i="78"/>
  <c r="AB187" i="78"/>
  <c r="M156" i="78"/>
  <c r="AC187" i="78"/>
  <c r="R187" i="78"/>
  <c r="AI187" i="78"/>
  <c r="AJ187" i="78"/>
  <c r="B188" i="78"/>
  <c r="AG187" i="78"/>
  <c r="C188" i="78"/>
  <c r="AE187" i="78"/>
  <c r="D188" i="78"/>
  <c r="U172" i="78"/>
  <c r="X172" i="78"/>
  <c r="Y172" i="78"/>
  <c r="Z172" i="78"/>
  <c r="AJ172" i="78"/>
  <c r="C173" i="78"/>
  <c r="D173" i="78"/>
  <c r="E173" i="78"/>
  <c r="I173" i="78"/>
  <c r="AC175" i="78"/>
  <c r="E188" i="78"/>
  <c r="T172" i="78"/>
  <c r="AI175" i="78"/>
  <c r="F188" i="78"/>
  <c r="Q163" i="78"/>
  <c r="B176" i="78"/>
  <c r="G188" i="78"/>
  <c r="D176" i="78"/>
  <c r="D189" i="78"/>
  <c r="Y164" i="78"/>
  <c r="S166" i="78"/>
  <c r="L168" i="78"/>
  <c r="N169" i="78"/>
  <c r="T176" i="78"/>
  <c r="J169" i="78"/>
  <c r="S170" i="78"/>
  <c r="R177" i="78"/>
  <c r="H168" i="78"/>
  <c r="U170" i="78"/>
  <c r="W177" i="78"/>
  <c r="I169" i="78"/>
  <c r="AD162" i="78"/>
  <c r="V170" i="78"/>
  <c r="X177" i="78"/>
  <c r="U166" i="78"/>
  <c r="F169" i="78"/>
  <c r="F176" i="78"/>
  <c r="K176" i="78"/>
  <c r="D163" i="78"/>
  <c r="W170" i="78"/>
  <c r="AA177" i="78"/>
  <c r="F163" i="78"/>
  <c r="X170" i="78"/>
  <c r="AB177" i="78"/>
  <c r="G163" i="78"/>
  <c r="Y170" i="78"/>
  <c r="AC177" i="78"/>
  <c r="R163" i="78"/>
  <c r="K168" i="78"/>
  <c r="M169" i="78"/>
  <c r="H163" i="78"/>
  <c r="Z170" i="78"/>
  <c r="AD177" i="78"/>
  <c r="T166" i="78"/>
  <c r="I163" i="78"/>
  <c r="C171" i="78"/>
  <c r="AE177" i="78"/>
  <c r="X163" i="78"/>
  <c r="H169" i="78"/>
  <c r="J163" i="78"/>
  <c r="J171" i="78"/>
  <c r="AF177" i="78"/>
  <c r="K163" i="78"/>
  <c r="O172" i="78"/>
  <c r="AJ177" i="78"/>
  <c r="W163" i="78"/>
  <c r="L163" i="78"/>
  <c r="Q172" i="78"/>
  <c r="E182" i="78"/>
  <c r="L176" i="78"/>
  <c r="M163" i="78"/>
  <c r="R172" i="78"/>
  <c r="F182" i="78"/>
  <c r="F168" i="78"/>
  <c r="G168" i="78"/>
  <c r="G176" i="78"/>
  <c r="N163" i="78"/>
  <c r="S172" i="78"/>
  <c r="G182" i="78"/>
  <c r="W164" i="78"/>
  <c r="Q166" i="78"/>
  <c r="D168" i="78"/>
  <c r="X164" i="78"/>
  <c r="R166" i="78"/>
  <c r="E168" i="78"/>
  <c r="G169" i="78"/>
  <c r="T170" i="78"/>
  <c r="P172" i="78"/>
  <c r="AF175" i="78"/>
  <c r="S177" i="78"/>
  <c r="AB164" i="78"/>
  <c r="AC166" i="78"/>
  <c r="D165" i="78"/>
  <c r="C167" i="78"/>
  <c r="P168" i="78"/>
  <c r="R169" i="78"/>
  <c r="AB170" i="78"/>
  <c r="O176" i="78"/>
  <c r="G165" i="78"/>
  <c r="E167" i="78"/>
  <c r="Q168" i="78"/>
  <c r="T169" i="78"/>
  <c r="AC170" i="78"/>
  <c r="AA172" i="78"/>
  <c r="P176" i="78"/>
  <c r="AG177" i="78"/>
  <c r="O163" i="78"/>
  <c r="K165" i="78"/>
  <c r="G167" i="78"/>
  <c r="R168" i="78"/>
  <c r="V169" i="78"/>
  <c r="AI170" i="78"/>
  <c r="AC172" i="78"/>
  <c r="Q176" i="78"/>
  <c r="AH177" i="78"/>
  <c r="P163" i="78"/>
  <c r="L165" i="78"/>
  <c r="H167" i="78"/>
  <c r="S168" i="78"/>
  <c r="W169" i="78"/>
  <c r="AJ170" i="78"/>
  <c r="AE172" i="78"/>
  <c r="R176" i="78"/>
  <c r="AI177" i="78"/>
  <c r="P169" i="78"/>
  <c r="T168" i="78"/>
  <c r="AJ176" i="78"/>
  <c r="Y163" i="78"/>
  <c r="Q165" i="78"/>
  <c r="N167" i="78"/>
  <c r="X168" i="78"/>
  <c r="AB169" i="78"/>
  <c r="M171" i="78"/>
  <c r="C177" i="78"/>
  <c r="AJ182" i="78"/>
  <c r="AA163" i="78"/>
  <c r="R165" i="78"/>
  <c r="O167" i="78"/>
  <c r="Y168" i="78"/>
  <c r="AC169" i="78"/>
  <c r="N171" i="78"/>
  <c r="Z174" i="78"/>
  <c r="D177" i="78"/>
  <c r="C183" i="78"/>
  <c r="AC163" i="78"/>
  <c r="S165" i="78"/>
  <c r="P167" i="78"/>
  <c r="Z168" i="78"/>
  <c r="AD169" i="78"/>
  <c r="O171" i="78"/>
  <c r="F175" i="78"/>
  <c r="E177" i="78"/>
  <c r="S185" i="78"/>
  <c r="V176" i="78"/>
  <c r="AD176" i="78"/>
  <c r="I175" i="78"/>
  <c r="H177" i="78"/>
  <c r="AH169" i="78"/>
  <c r="J177" i="78"/>
  <c r="C170" i="78"/>
  <c r="AA170" i="78"/>
  <c r="J167" i="78"/>
  <c r="N165" i="78"/>
  <c r="W168" i="78"/>
  <c r="AG163" i="78"/>
  <c r="AB168" i="78"/>
  <c r="Q171" i="78"/>
  <c r="G177" i="78"/>
  <c r="AJ163" i="78"/>
  <c r="B164" i="78"/>
  <c r="AJ165" i="78"/>
  <c r="AC167" i="78"/>
  <c r="AF168" i="78"/>
  <c r="B172" i="78"/>
  <c r="B162" i="78"/>
  <c r="C164" i="78"/>
  <c r="B166" i="78"/>
  <c r="AD167" i="78"/>
  <c r="AI168" i="78"/>
  <c r="D170" i="78"/>
  <c r="D172" i="78"/>
  <c r="P175" i="78"/>
  <c r="L177" i="78"/>
  <c r="E186" i="78"/>
  <c r="Z164" i="78"/>
  <c r="X166" i="78"/>
  <c r="Y166" i="78"/>
  <c r="Y169" i="78"/>
  <c r="V168" i="78"/>
  <c r="AA169" i="78"/>
  <c r="AF169" i="78"/>
  <c r="AC168" i="78"/>
  <c r="AE168" i="78"/>
  <c r="N175" i="78"/>
  <c r="K177" i="78"/>
  <c r="C162" i="78"/>
  <c r="D164" i="78"/>
  <c r="E166" i="78"/>
  <c r="AF167" i="78"/>
  <c r="AJ168" i="78"/>
  <c r="E170" i="78"/>
  <c r="E172" i="78"/>
  <c r="Q175" i="78"/>
  <c r="M177" i="78"/>
  <c r="G186" i="78"/>
  <c r="AF164" i="78"/>
  <c r="K167" i="78"/>
  <c r="P165" i="78"/>
  <c r="Q167" i="78"/>
  <c r="F177" i="78"/>
  <c r="AB165" i="78"/>
  <c r="AD168" i="78"/>
  <c r="AI165" i="78"/>
  <c r="AF171" i="78"/>
  <c r="AD185" i="78"/>
  <c r="O175" i="78"/>
  <c r="D162" i="78"/>
  <c r="E164" i="78"/>
  <c r="F166" i="78"/>
  <c r="AG167" i="78"/>
  <c r="B169" i="78"/>
  <c r="G170" i="78"/>
  <c r="F172" i="78"/>
  <c r="R175" i="78"/>
  <c r="N177" i="78"/>
  <c r="R186" i="78"/>
  <c r="E189" i="78"/>
  <c r="AA164" i="78"/>
  <c r="M168" i="78"/>
  <c r="O165" i="78"/>
  <c r="Z169" i="78"/>
  <c r="V165" i="78"/>
  <c r="S167" i="78"/>
  <c r="J175" i="78"/>
  <c r="AE185" i="78"/>
  <c r="E162" i="78"/>
  <c r="F164" i="78"/>
  <c r="G166" i="78"/>
  <c r="AI167" i="78"/>
  <c r="C169" i="78"/>
  <c r="O170" i="78"/>
  <c r="G172" i="78"/>
  <c r="S175" i="78"/>
  <c r="O177" i="78"/>
  <c r="Y186" i="78"/>
  <c r="F189" i="78"/>
  <c r="AC164" i="78"/>
  <c r="AD164" i="78"/>
  <c r="M165" i="78"/>
  <c r="X169" i="78"/>
  <c r="L167" i="78"/>
  <c r="K171" i="78"/>
  <c r="U165" i="78"/>
  <c r="AA168" i="78"/>
  <c r="AE169" i="78"/>
  <c r="P171" i="78"/>
  <c r="H175" i="78"/>
  <c r="AH163" i="78"/>
  <c r="R171" i="78"/>
  <c r="AE165" i="78"/>
  <c r="M175" i="78"/>
  <c r="B170" i="78"/>
  <c r="F162" i="78"/>
  <c r="H164" i="78"/>
  <c r="K166" i="78"/>
  <c r="B168" i="78"/>
  <c r="D169" i="78"/>
  <c r="Q170" i="78"/>
  <c r="K172" i="78"/>
  <c r="W175" i="78"/>
  <c r="P177" i="78"/>
  <c r="C187" i="78"/>
  <c r="G189" i="78"/>
  <c r="AB166" i="78"/>
  <c r="O169" i="78"/>
  <c r="O168" i="78"/>
  <c r="U168" i="78"/>
  <c r="M167" i="78"/>
  <c r="L171" i="78"/>
  <c r="AE163" i="78"/>
  <c r="R167" i="78"/>
  <c r="AG169" i="78"/>
  <c r="AI163" i="78"/>
  <c r="X167" i="78"/>
  <c r="W171" i="78"/>
  <c r="I177" i="78"/>
  <c r="AA167" i="78"/>
  <c r="T162" i="78"/>
  <c r="V164" i="78"/>
  <c r="L166" i="78"/>
  <c r="C168" i="78"/>
  <c r="E169" i="78"/>
  <c r="R170" i="78"/>
  <c r="L172" i="78"/>
  <c r="X175" i="78"/>
  <c r="E187" i="78"/>
  <c r="H189" i="78"/>
  <c r="M157" i="78"/>
  <c r="M160" i="78"/>
  <c r="AC179" i="78"/>
  <c r="W183" i="78"/>
  <c r="H188" i="78"/>
  <c r="P157" i="78"/>
  <c r="O160" i="78"/>
  <c r="L162" i="78"/>
  <c r="G164" i="78"/>
  <c r="AE164" i="78"/>
  <c r="T165" i="78"/>
  <c r="S171" i="78"/>
  <c r="S176" i="78"/>
  <c r="AD179" i="78"/>
  <c r="X183" i="78"/>
  <c r="K186" i="78"/>
  <c r="I188" i="78"/>
  <c r="M189" i="78"/>
  <c r="B178" i="78"/>
  <c r="D178" i="78"/>
  <c r="J157" i="78"/>
  <c r="AA179" i="78"/>
  <c r="AE179" i="78"/>
  <c r="J188" i="78"/>
  <c r="AB157" i="78"/>
  <c r="AG164" i="78"/>
  <c r="X171" i="78"/>
  <c r="AE183" i="78"/>
  <c r="S186" i="78"/>
  <c r="K188" i="78"/>
  <c r="AC157" i="78"/>
  <c r="R160" i="78"/>
  <c r="J164" i="78"/>
  <c r="AH164" i="78"/>
  <c r="W165" i="78"/>
  <c r="AA171" i="78"/>
  <c r="W176" i="78"/>
  <c r="G180" i="78"/>
  <c r="AF183" i="78"/>
  <c r="T186" i="78"/>
  <c r="L188" i="78"/>
  <c r="P189" i="78"/>
  <c r="C178" i="78"/>
  <c r="E157" i="78"/>
  <c r="G183" i="78"/>
  <c r="K157" i="78"/>
  <c r="H183" i="78"/>
  <c r="L157" i="78"/>
  <c r="AB179" i="78"/>
  <c r="R183" i="78"/>
  <c r="V162" i="78"/>
  <c r="I164" i="78"/>
  <c r="W162" i="78"/>
  <c r="AG157" i="78"/>
  <c r="S160" i="78"/>
  <c r="X162" i="78"/>
  <c r="S163" i="78"/>
  <c r="K164" i="78"/>
  <c r="AI164" i="78"/>
  <c r="X165" i="78"/>
  <c r="V166" i="78"/>
  <c r="K169" i="78"/>
  <c r="AI169" i="78"/>
  <c r="AD170" i="78"/>
  <c r="AB171" i="78"/>
  <c r="V172" i="78"/>
  <c r="Y176" i="78"/>
  <c r="K180" i="78"/>
  <c r="AG183" i="78"/>
  <c r="U186" i="78"/>
  <c r="T187" i="78"/>
  <c r="M188" i="78"/>
  <c r="Q189" i="78"/>
  <c r="K190" i="78"/>
  <c r="AH157" i="78"/>
  <c r="T160" i="78"/>
  <c r="AA162" i="78"/>
  <c r="T163" i="78"/>
  <c r="L164" i="78"/>
  <c r="AJ164" i="78"/>
  <c r="Y165" i="78"/>
  <c r="W166" i="78"/>
  <c r="AB167" i="78"/>
  <c r="L169" i="78"/>
  <c r="AJ169" i="78"/>
  <c r="AE170" i="78"/>
  <c r="AC171" i="78"/>
  <c r="W172" i="78"/>
  <c r="Z176" i="78"/>
  <c r="Q180" i="78"/>
  <c r="AH183" i="78"/>
  <c r="V186" i="78"/>
  <c r="W187" i="78"/>
  <c r="N188" i="78"/>
  <c r="R189" i="78"/>
  <c r="L190" i="78"/>
  <c r="B160" i="78"/>
  <c r="Y157" i="78"/>
  <c r="AD183" i="78"/>
  <c r="U160" i="78"/>
  <c r="AB162" i="78"/>
  <c r="M164" i="78"/>
  <c r="B165" i="78"/>
  <c r="Z165" i="78"/>
  <c r="AD171" i="78"/>
  <c r="AB176" i="78"/>
  <c r="F181" i="78"/>
  <c r="AI183" i="78"/>
  <c r="W186" i="78"/>
  <c r="O188" i="78"/>
  <c r="S189" i="78"/>
  <c r="O190" i="78"/>
  <c r="Q160" i="78"/>
  <c r="T158" i="78"/>
  <c r="X160" i="78"/>
  <c r="AC162" i="78"/>
  <c r="N164" i="78"/>
  <c r="C165" i="78"/>
  <c r="AA165" i="78"/>
  <c r="AE171" i="78"/>
  <c r="AC176" i="78"/>
  <c r="O181" i="78"/>
  <c r="X186" i="78"/>
  <c r="P188" i="78"/>
  <c r="T189" i="78"/>
  <c r="Q190" i="78"/>
  <c r="AB158" i="78"/>
  <c r="O164" i="78"/>
  <c r="P181" i="78"/>
  <c r="Q184" i="78"/>
  <c r="Q188" i="78"/>
  <c r="AC158" i="78"/>
  <c r="AI160" i="78"/>
  <c r="AE162" i="78"/>
  <c r="P164" i="78"/>
  <c r="E165" i="78"/>
  <c r="AC165" i="78"/>
  <c r="D171" i="78"/>
  <c r="AG171" i="78"/>
  <c r="AE176" i="78"/>
  <c r="Q181" i="78"/>
  <c r="AA184" i="78"/>
  <c r="Z186" i="78"/>
  <c r="R188" i="78"/>
  <c r="V189" i="78"/>
  <c r="AD158" i="78"/>
  <c r="AJ160" i="78"/>
  <c r="AI162" i="78"/>
  <c r="AB163" i="78"/>
  <c r="Q164" i="78"/>
  <c r="F165" i="78"/>
  <c r="AD165" i="78"/>
  <c r="AE166" i="78"/>
  <c r="AH167" i="78"/>
  <c r="Q169" i="78"/>
  <c r="F170" i="78"/>
  <c r="E171" i="78"/>
  <c r="AH171" i="78"/>
  <c r="AB172" i="78"/>
  <c r="AI176" i="78"/>
  <c r="AF181" i="78"/>
  <c r="AD187" i="78"/>
  <c r="S188" i="78"/>
  <c r="W189" i="78"/>
  <c r="V190" i="78"/>
  <c r="P160" i="78"/>
  <c r="AE158" i="78"/>
  <c r="E161" i="78"/>
  <c r="R164" i="78"/>
  <c r="F171" i="78"/>
  <c r="AI171" i="78"/>
  <c r="AH181" i="78"/>
  <c r="K185" i="78"/>
  <c r="T188" i="78"/>
  <c r="X189" i="78"/>
  <c r="C156" i="78"/>
  <c r="AI158" i="78"/>
  <c r="F161" i="78"/>
  <c r="C163" i="78"/>
  <c r="AD163" i="78"/>
  <c r="S164" i="78"/>
  <c r="H165" i="78"/>
  <c r="AF165" i="78"/>
  <c r="D167" i="78"/>
  <c r="AJ167" i="78"/>
  <c r="S169" i="78"/>
  <c r="L170" i="78"/>
  <c r="G171" i="78"/>
  <c r="AJ171" i="78"/>
  <c r="AD172" i="78"/>
  <c r="AI181" i="78"/>
  <c r="M185" i="78"/>
  <c r="D187" i="78"/>
  <c r="AF187" i="78"/>
  <c r="Y188" i="78"/>
  <c r="Y189" i="78"/>
  <c r="AA190" i="78"/>
  <c r="Q156" i="78"/>
  <c r="AF159" i="78"/>
  <c r="E156" i="78"/>
  <c r="G161" i="78"/>
  <c r="T164" i="78"/>
  <c r="I165" i="78"/>
  <c r="AG165" i="78"/>
  <c r="H171" i="78"/>
  <c r="C182" i="78"/>
  <c r="N185" i="78"/>
  <c r="B189" i="78"/>
  <c r="Z189" i="78"/>
  <c r="F156" i="78"/>
  <c r="D159" i="78"/>
  <c r="L161" i="78"/>
  <c r="E163" i="78"/>
  <c r="AF163" i="78"/>
  <c r="J165" i="78"/>
  <c r="F167" i="78"/>
  <c r="I171" i="78"/>
  <c r="C172" i="78"/>
  <c r="AI172" i="78"/>
  <c r="C176" i="78"/>
  <c r="F187" i="78"/>
  <c r="AH187" i="78"/>
  <c r="C189" i="78"/>
  <c r="AC190" i="78"/>
  <c r="AE188" i="78"/>
  <c r="AF188" i="78"/>
  <c r="AG188" i="78"/>
  <c r="AH188" i="78"/>
  <c r="AI188" i="78"/>
  <c r="AJ188" i="78"/>
  <c r="U188" i="78"/>
  <c r="V188" i="78"/>
  <c r="W188" i="78"/>
  <c r="X188" i="78"/>
  <c r="Z188" i="78"/>
  <c r="AA188" i="78"/>
  <c r="AB188" i="78"/>
  <c r="AC188" i="78"/>
  <c r="Q173" i="78"/>
  <c r="N178" i="78"/>
  <c r="M178" i="78"/>
  <c r="AH178" i="78"/>
  <c r="J178" i="78"/>
  <c r="H178" i="78"/>
  <c r="AG178" i="78"/>
  <c r="I178" i="78"/>
  <c r="AF178" i="78"/>
  <c r="Y178" i="78"/>
  <c r="X178" i="78"/>
  <c r="W178" i="78"/>
  <c r="T178" i="78"/>
  <c r="R178" i="78"/>
  <c r="Q178" i="78"/>
  <c r="P178" i="78"/>
  <c r="K178" i="78"/>
  <c r="O178" i="78"/>
  <c r="L178" i="78"/>
  <c r="G178" i="78"/>
  <c r="F178" i="78"/>
  <c r="E178" i="78"/>
  <c r="U178" i="78"/>
  <c r="V178" i="78"/>
  <c r="N180" i="78"/>
  <c r="M180" i="78"/>
  <c r="AH180" i="78"/>
  <c r="J180" i="78"/>
  <c r="AG180" i="78"/>
  <c r="I180" i="78"/>
  <c r="AF180" i="78"/>
  <c r="H180" i="78"/>
  <c r="P180" i="78"/>
  <c r="O180" i="78"/>
  <c r="L180" i="78"/>
  <c r="F180" i="78"/>
  <c r="AJ180" i="78"/>
  <c r="D180" i="78"/>
  <c r="AI180" i="78"/>
  <c r="C180" i="78"/>
  <c r="AE180" i="78"/>
  <c r="B180" i="78"/>
  <c r="AB180" i="78"/>
  <c r="AD180" i="78"/>
  <c r="AC180" i="78"/>
  <c r="AA180" i="78"/>
  <c r="Z180" i="78"/>
  <c r="Y180" i="78"/>
  <c r="R156" i="78"/>
  <c r="R180" i="78"/>
  <c r="Z157" i="78"/>
  <c r="B157" i="78"/>
  <c r="V157" i="78"/>
  <c r="T157" i="78"/>
  <c r="U157" i="78"/>
  <c r="AF157" i="78"/>
  <c r="D157" i="78"/>
  <c r="AE157" i="78"/>
  <c r="C157" i="78"/>
  <c r="AD157" i="78"/>
  <c r="AA157" i="78"/>
  <c r="X157" i="78"/>
  <c r="W157" i="78"/>
  <c r="S157" i="78"/>
  <c r="R157" i="78"/>
  <c r="Q157" i="78"/>
  <c r="O157" i="78"/>
  <c r="N157" i="78"/>
  <c r="S156" i="78"/>
  <c r="S180" i="78"/>
  <c r="N158" i="78"/>
  <c r="AH158" i="78"/>
  <c r="J158" i="78"/>
  <c r="AF158" i="78"/>
  <c r="H158" i="78"/>
  <c r="AG158" i="78"/>
  <c r="I158" i="78"/>
  <c r="X158" i="78"/>
  <c r="W158" i="78"/>
  <c r="V158" i="78"/>
  <c r="S158" i="78"/>
  <c r="Q158" i="78"/>
  <c r="P158" i="78"/>
  <c r="O158" i="78"/>
  <c r="M158" i="78"/>
  <c r="L158" i="78"/>
  <c r="G158" i="78"/>
  <c r="F158" i="78"/>
  <c r="N182" i="78"/>
  <c r="M182" i="78"/>
  <c r="AH182" i="78"/>
  <c r="J182" i="78"/>
  <c r="AG182" i="78"/>
  <c r="I182" i="78"/>
  <c r="AF182" i="78"/>
  <c r="H182" i="78"/>
  <c r="AE182" i="78"/>
  <c r="B182" i="78"/>
  <c r="AD182" i="78"/>
  <c r="AC182" i="78"/>
  <c r="Z182" i="78"/>
  <c r="X182" i="78"/>
  <c r="W182" i="78"/>
  <c r="V182" i="78"/>
  <c r="S182" i="78"/>
  <c r="U182" i="78"/>
  <c r="T182" i="78"/>
  <c r="R182" i="78"/>
  <c r="Q182" i="78"/>
  <c r="P182" i="78"/>
  <c r="U156" i="78"/>
  <c r="B158" i="78"/>
  <c r="AC178" i="78"/>
  <c r="U180" i="78"/>
  <c r="N160" i="78"/>
  <c r="AH160" i="78"/>
  <c r="J160" i="78"/>
  <c r="AF160" i="78"/>
  <c r="H160" i="78"/>
  <c r="AG160" i="78"/>
  <c r="I160" i="78"/>
  <c r="K160" i="78"/>
  <c r="G160" i="78"/>
  <c r="F160" i="78"/>
  <c r="AE160" i="78"/>
  <c r="C160" i="78"/>
  <c r="AC160" i="78"/>
  <c r="AB160" i="78"/>
  <c r="AA160" i="78"/>
  <c r="Z160" i="78"/>
  <c r="Y160" i="78"/>
  <c r="W160" i="78"/>
  <c r="V160" i="78"/>
  <c r="P184" i="78"/>
  <c r="N184" i="78"/>
  <c r="M184" i="78"/>
  <c r="AH184" i="78"/>
  <c r="J184" i="78"/>
  <c r="AG184" i="78"/>
  <c r="I184" i="78"/>
  <c r="AF184" i="78"/>
  <c r="H184" i="78"/>
  <c r="W184" i="78"/>
  <c r="V184" i="78"/>
  <c r="U184" i="78"/>
  <c r="R184" i="78"/>
  <c r="O184" i="78"/>
  <c r="L184" i="78"/>
  <c r="K184" i="78"/>
  <c r="E184" i="78"/>
  <c r="G184" i="78"/>
  <c r="F184" i="78"/>
  <c r="D184" i="78"/>
  <c r="AJ184" i="78"/>
  <c r="C184" i="78"/>
  <c r="AI184" i="78"/>
  <c r="B184" i="78"/>
  <c r="C158" i="78"/>
  <c r="AF173" i="78"/>
  <c r="AD178" i="78"/>
  <c r="S184" i="78"/>
  <c r="Y156" i="78"/>
  <c r="D158" i="78"/>
  <c r="H161" i="78"/>
  <c r="W180" i="78"/>
  <c r="Y182" i="78"/>
  <c r="K158" i="78"/>
  <c r="B174" i="78"/>
  <c r="AJ178" i="78"/>
  <c r="AB182" i="78"/>
  <c r="Y184" i="78"/>
  <c r="AA173" i="78"/>
  <c r="N156" i="78"/>
  <c r="AH156" i="78"/>
  <c r="J156" i="78"/>
  <c r="H156" i="78"/>
  <c r="AG156" i="78"/>
  <c r="I156" i="78"/>
  <c r="L156" i="78"/>
  <c r="K156" i="78"/>
  <c r="G156" i="78"/>
  <c r="AF156" i="78"/>
  <c r="D156" i="78"/>
  <c r="AD156" i="78"/>
  <c r="B156" i="78"/>
  <c r="AC156" i="78"/>
  <c r="AB156" i="78"/>
  <c r="AA156" i="78"/>
  <c r="Z156" i="78"/>
  <c r="X156" i="78"/>
  <c r="W156" i="78"/>
  <c r="AB173" i="78"/>
  <c r="Z178" i="78"/>
  <c r="Z181" i="78"/>
  <c r="B181" i="78"/>
  <c r="Y181" i="78"/>
  <c r="V181" i="78"/>
  <c r="T181" i="78"/>
  <c r="U181" i="78"/>
  <c r="I181" i="78"/>
  <c r="H181" i="78"/>
  <c r="AJ181" i="78"/>
  <c r="G181" i="78"/>
  <c r="AG181" i="78"/>
  <c r="D181" i="78"/>
  <c r="AE181" i="78"/>
  <c r="AC181" i="78"/>
  <c r="X181" i="78"/>
  <c r="AD181" i="78"/>
  <c r="AB181" i="78"/>
  <c r="AA181" i="78"/>
  <c r="W181" i="78"/>
  <c r="S181" i="78"/>
  <c r="R181" i="78"/>
  <c r="AJ157" i="78"/>
  <c r="AC173" i="78"/>
  <c r="AA178" i="78"/>
  <c r="T156" i="78"/>
  <c r="AD173" i="78"/>
  <c r="AB178" i="78"/>
  <c r="T180" i="78"/>
  <c r="K182" i="78"/>
  <c r="Z159" i="78"/>
  <c r="B159" i="78"/>
  <c r="V159" i="78"/>
  <c r="T159" i="78"/>
  <c r="U159" i="78"/>
  <c r="P159" i="78"/>
  <c r="O159" i="78"/>
  <c r="N159" i="78"/>
  <c r="K159" i="78"/>
  <c r="I159" i="78"/>
  <c r="AJ159" i="78"/>
  <c r="H159" i="78"/>
  <c r="AI159" i="78"/>
  <c r="G159" i="78"/>
  <c r="AH159" i="78"/>
  <c r="F159" i="78"/>
  <c r="AG159" i="78"/>
  <c r="E159" i="78"/>
  <c r="AE159" i="78"/>
  <c r="C159" i="78"/>
  <c r="AD159" i="78"/>
  <c r="Z183" i="78"/>
  <c r="B183" i="78"/>
  <c r="Y183" i="78"/>
  <c r="V183" i="78"/>
  <c r="T183" i="78"/>
  <c r="U183" i="78"/>
  <c r="AC183" i="78"/>
  <c r="AB183" i="78"/>
  <c r="AA183" i="78"/>
  <c r="S183" i="78"/>
  <c r="Q183" i="78"/>
  <c r="P183" i="78"/>
  <c r="O183" i="78"/>
  <c r="L183" i="78"/>
  <c r="N183" i="78"/>
  <c r="M183" i="78"/>
  <c r="K183" i="78"/>
  <c r="J183" i="78"/>
  <c r="I183" i="78"/>
  <c r="W159" i="78"/>
  <c r="AE173" i="78"/>
  <c r="L182" i="78"/>
  <c r="V156" i="78"/>
  <c r="X159" i="78"/>
  <c r="V180" i="78"/>
  <c r="O182" i="78"/>
  <c r="Z161" i="78"/>
  <c r="B161" i="78"/>
  <c r="Y161" i="78"/>
  <c r="V161" i="78"/>
  <c r="U161" i="78"/>
  <c r="T161" i="78"/>
  <c r="AG161" i="78"/>
  <c r="D161" i="78"/>
  <c r="AF161" i="78"/>
  <c r="C161" i="78"/>
  <c r="AE161" i="78"/>
  <c r="AB161" i="78"/>
  <c r="X161" i="78"/>
  <c r="W161" i="78"/>
  <c r="S161" i="78"/>
  <c r="R161" i="78"/>
  <c r="Q161" i="78"/>
  <c r="O161" i="78"/>
  <c r="N161" i="78"/>
  <c r="M161" i="78"/>
  <c r="AB185" i="78"/>
  <c r="D185" i="78"/>
  <c r="Z185" i="78"/>
  <c r="B185" i="78"/>
  <c r="Y185" i="78"/>
  <c r="V185" i="78"/>
  <c r="T185" i="78"/>
  <c r="U185" i="78"/>
  <c r="Q185" i="78"/>
  <c r="P185" i="78"/>
  <c r="O185" i="78"/>
  <c r="L185" i="78"/>
  <c r="J185" i="78"/>
  <c r="I185" i="78"/>
  <c r="H185" i="78"/>
  <c r="E185" i="78"/>
  <c r="AI185" i="78"/>
  <c r="G185" i="78"/>
  <c r="AJ185" i="78"/>
  <c r="F185" i="78"/>
  <c r="AH185" i="78"/>
  <c r="C185" i="78"/>
  <c r="AG185" i="78"/>
  <c r="AF185" i="78"/>
  <c r="Y159" i="78"/>
  <c r="AG173" i="78"/>
  <c r="AE178" i="78"/>
  <c r="T184" i="78"/>
  <c r="AE156" i="78"/>
  <c r="E158" i="78"/>
  <c r="AA159" i="78"/>
  <c r="I161" i="78"/>
  <c r="AH173" i="78"/>
  <c r="AI178" i="78"/>
  <c r="X180" i="78"/>
  <c r="AA182" i="78"/>
  <c r="X184" i="78"/>
  <c r="AJ156" i="78"/>
  <c r="R158" i="78"/>
  <c r="AC159" i="78"/>
  <c r="K161" i="78"/>
  <c r="K174" i="78"/>
  <c r="F179" i="78"/>
  <c r="E181" i="78"/>
  <c r="AI182" i="78"/>
  <c r="Z184" i="78"/>
  <c r="O174" i="78"/>
  <c r="L179" i="78"/>
  <c r="F157" i="78"/>
  <c r="U158" i="78"/>
  <c r="P174" i="78"/>
  <c r="N179" i="78"/>
  <c r="G157" i="78"/>
  <c r="D160" i="78"/>
  <c r="O179" i="78"/>
  <c r="D183" i="78"/>
  <c r="H157" i="78"/>
  <c r="Z158" i="78"/>
  <c r="E160" i="78"/>
  <c r="AC161" i="78"/>
  <c r="U174" i="78"/>
  <c r="L181" i="78"/>
  <c r="E183" i="78"/>
  <c r="AD184" i="78"/>
  <c r="Z179" i="78"/>
  <c r="B179" i="78"/>
  <c r="Y179" i="78"/>
  <c r="V179" i="78"/>
  <c r="U179" i="78"/>
  <c r="T179" i="78"/>
  <c r="R179" i="78"/>
  <c r="Q179" i="78"/>
  <c r="P179" i="78"/>
  <c r="M179" i="78"/>
  <c r="K179" i="78"/>
  <c r="J179" i="78"/>
  <c r="I179" i="78"/>
  <c r="AI179" i="78"/>
  <c r="H179" i="78"/>
  <c r="AJ179" i="78"/>
  <c r="G179" i="78"/>
  <c r="AH179" i="78"/>
  <c r="E179" i="78"/>
  <c r="AG179" i="78"/>
  <c r="D179" i="78"/>
  <c r="AF179" i="78"/>
  <c r="C179" i="78"/>
  <c r="J181" i="78"/>
  <c r="Y158" i="78"/>
  <c r="AA161" i="78"/>
  <c r="T174" i="78"/>
  <c r="K181" i="78"/>
  <c r="AC184" i="78"/>
  <c r="I157" i="78"/>
  <c r="AA158" i="78"/>
  <c r="L160" i="78"/>
  <c r="AD161" i="78"/>
  <c r="V174" i="78"/>
  <c r="W179" i="78"/>
  <c r="M181" i="78"/>
  <c r="F183" i="78"/>
  <c r="AE184" i="78"/>
  <c r="W174" i="78"/>
  <c r="X179" i="78"/>
  <c r="N181" i="78"/>
  <c r="X174" i="78"/>
  <c r="Z173" i="78"/>
  <c r="B173" i="78"/>
  <c r="Y173" i="78"/>
  <c r="V173" i="78"/>
  <c r="T173" i="78"/>
  <c r="U173" i="78"/>
  <c r="X173" i="78"/>
  <c r="W173" i="78"/>
  <c r="S173" i="78"/>
  <c r="P173" i="78"/>
  <c r="N173" i="78"/>
  <c r="M173" i="78"/>
  <c r="L173" i="78"/>
  <c r="K173" i="78"/>
  <c r="J173" i="78"/>
  <c r="H173" i="78"/>
  <c r="AJ173" i="78"/>
  <c r="G173" i="78"/>
  <c r="AI173" i="78"/>
  <c r="F173" i="78"/>
  <c r="N174" i="78"/>
  <c r="M174" i="78"/>
  <c r="AH174" i="78"/>
  <c r="J174" i="78"/>
  <c r="AG174" i="78"/>
  <c r="I174" i="78"/>
  <c r="AF174" i="78"/>
  <c r="H174" i="78"/>
  <c r="S174" i="78"/>
  <c r="R174" i="78"/>
  <c r="Q174" i="78"/>
  <c r="L174" i="78"/>
  <c r="G174" i="78"/>
  <c r="F174" i="78"/>
  <c r="E174" i="78"/>
  <c r="AJ174" i="78"/>
  <c r="D174" i="78"/>
  <c r="AI174" i="78"/>
  <c r="C174" i="78"/>
  <c r="AD174" i="78"/>
  <c r="AC174" i="78"/>
  <c r="AB174" i="78"/>
  <c r="AA174" i="78"/>
  <c r="AE174" i="78"/>
  <c r="O173" i="78"/>
  <c r="N162" i="78"/>
  <c r="M162" i="78"/>
  <c r="AH162" i="78"/>
  <c r="J162" i="78"/>
  <c r="H162" i="78"/>
  <c r="AG162" i="78"/>
  <c r="I162" i="78"/>
  <c r="AF162" i="78"/>
  <c r="P186" i="78"/>
  <c r="N186" i="78"/>
  <c r="M186" i="78"/>
  <c r="AH186" i="78"/>
  <c r="J186" i="78"/>
  <c r="AG186" i="78"/>
  <c r="I186" i="78"/>
  <c r="AF186" i="78"/>
  <c r="H186" i="78"/>
  <c r="G162" i="78"/>
  <c r="Z166" i="78"/>
  <c r="AA175" i="78"/>
  <c r="AA186" i="78"/>
  <c r="S190" i="78"/>
  <c r="K162" i="78"/>
  <c r="AB175" i="78"/>
  <c r="U176" i="78"/>
  <c r="AB186" i="78"/>
  <c r="O162" i="78"/>
  <c r="AD175" i="78"/>
  <c r="AD186" i="78"/>
  <c r="N166" i="78"/>
  <c r="M166" i="78"/>
  <c r="AH166" i="78"/>
  <c r="J166" i="78"/>
  <c r="H166" i="78"/>
  <c r="AG166" i="78"/>
  <c r="I166" i="78"/>
  <c r="AF166" i="78"/>
  <c r="P190" i="78"/>
  <c r="N190" i="78"/>
  <c r="M190" i="78"/>
  <c r="AH190" i="78"/>
  <c r="J190" i="78"/>
  <c r="AG190" i="78"/>
  <c r="I190" i="78"/>
  <c r="AF190" i="78"/>
  <c r="H190" i="78"/>
  <c r="P162" i="78"/>
  <c r="AD166" i="78"/>
  <c r="AE175" i="78"/>
  <c r="X176" i="78"/>
  <c r="AE186" i="78"/>
  <c r="W190" i="78"/>
  <c r="Z167" i="78"/>
  <c r="B167" i="78"/>
  <c r="Y167" i="78"/>
  <c r="V167" i="78"/>
  <c r="U167" i="78"/>
  <c r="T167" i="78"/>
  <c r="AJ186" i="78"/>
  <c r="Y190" i="78"/>
  <c r="Q162" i="78"/>
  <c r="C175" i="78"/>
  <c r="B186" i="78"/>
  <c r="AI186" i="78"/>
  <c r="R162" i="78"/>
  <c r="C166" i="78"/>
  <c r="AI166" i="78"/>
  <c r="D175" i="78"/>
  <c r="AG175" i="78"/>
  <c r="C186" i="78"/>
  <c r="S162" i="78"/>
  <c r="D166" i="78"/>
  <c r="AJ166" i="78"/>
  <c r="AE167" i="78"/>
  <c r="E175" i="78"/>
  <c r="AH175" i="78"/>
  <c r="D186" i="78"/>
  <c r="Z190" i="78"/>
  <c r="N170" i="78"/>
  <c r="M170" i="78"/>
  <c r="AH170" i="78"/>
  <c r="J170" i="78"/>
  <c r="AG170" i="78"/>
  <c r="I170" i="78"/>
  <c r="AF170" i="78"/>
  <c r="H170" i="78"/>
  <c r="U162" i="78"/>
  <c r="G175" i="78"/>
  <c r="F186" i="78"/>
  <c r="L186" i="78"/>
  <c r="Z175" i="78"/>
  <c r="B175" i="78"/>
  <c r="Y175" i="78"/>
  <c r="V175" i="78"/>
  <c r="U175" i="78"/>
  <c r="T175" i="78"/>
  <c r="Y162" i="78"/>
  <c r="O166" i="78"/>
  <c r="K175" i="78"/>
  <c r="O186" i="78"/>
  <c r="B190" i="78"/>
  <c r="AI190" i="78"/>
  <c r="N176" i="78"/>
  <c r="M176" i="78"/>
  <c r="AH176" i="78"/>
  <c r="J176" i="78"/>
  <c r="AG176" i="78"/>
  <c r="I176" i="78"/>
  <c r="AF176" i="78"/>
  <c r="H176" i="78"/>
  <c r="Z162" i="78"/>
  <c r="P166" i="78"/>
  <c r="I167" i="78"/>
  <c r="K170" i="78"/>
  <c r="L175" i="78"/>
  <c r="E176" i="78"/>
  <c r="Q186" i="78"/>
  <c r="C190" i="78"/>
  <c r="AJ190" i="78"/>
  <c r="Z177" i="78"/>
  <c r="B177" i="78"/>
  <c r="Y177" i="78"/>
  <c r="V177" i="78"/>
  <c r="U177" i="78"/>
  <c r="T177" i="78"/>
  <c r="T171" i="78"/>
  <c r="H172" i="78"/>
  <c r="AF172" i="78"/>
  <c r="U163" i="78"/>
  <c r="I168" i="78"/>
  <c r="AG168" i="78"/>
  <c r="U171" i="78"/>
  <c r="I172" i="78"/>
  <c r="AG172" i="78"/>
  <c r="U187" i="78"/>
  <c r="V163" i="78"/>
  <c r="J168" i="78"/>
  <c r="AH168" i="78"/>
  <c r="V171" i="78"/>
  <c r="J172" i="78"/>
  <c r="AH172" i="78"/>
  <c r="V187" i="78"/>
  <c r="Y171" i="78"/>
  <c r="M172" i="78"/>
  <c r="Y187" i="78"/>
  <c r="B163" i="78"/>
  <c r="B171" i="78"/>
  <c r="B187" i="78"/>
  <c r="AL169" i="78" l="1"/>
  <c r="AL163" i="78"/>
  <c r="AL165" i="78"/>
  <c r="AL164" i="78"/>
  <c r="AL189" i="78"/>
  <c r="AL188" i="78"/>
  <c r="AL176" i="78"/>
  <c r="AL170" i="78"/>
  <c r="M197" i="78"/>
  <c r="AI197" i="78"/>
  <c r="AL173" i="78"/>
  <c r="AL166" i="78"/>
  <c r="AL172" i="78"/>
  <c r="AL178" i="78"/>
  <c r="E197" i="78"/>
  <c r="AL168" i="78"/>
  <c r="S197" i="78"/>
  <c r="F197" i="78"/>
  <c r="AL160" i="78"/>
  <c r="P197" i="78"/>
  <c r="C197" i="78"/>
  <c r="O197" i="78"/>
  <c r="Q197" i="78"/>
  <c r="AL162" i="78"/>
  <c r="AD197" i="78"/>
  <c r="AL175" i="78"/>
  <c r="AF197" i="78"/>
  <c r="G197" i="78"/>
  <c r="K197" i="78"/>
  <c r="L197" i="78"/>
  <c r="I197" i="78"/>
  <c r="AG197" i="78"/>
  <c r="AL186" i="78"/>
  <c r="AL159" i="78"/>
  <c r="H197" i="78"/>
  <c r="AH197" i="78"/>
  <c r="AJ197" i="78"/>
  <c r="Y197" i="78"/>
  <c r="AL180" i="78"/>
  <c r="D197" i="78"/>
  <c r="AL158" i="78"/>
  <c r="U197" i="78"/>
  <c r="AL184" i="78"/>
  <c r="AE197" i="78"/>
  <c r="AL161" i="78"/>
  <c r="J197" i="78"/>
  <c r="AL185" i="78"/>
  <c r="AL183" i="78"/>
  <c r="N197" i="78"/>
  <c r="V197" i="78"/>
  <c r="AL181" i="78"/>
  <c r="T197" i="78"/>
  <c r="AL157" i="78"/>
  <c r="AL187" i="78"/>
  <c r="AL182" i="78"/>
  <c r="AC197" i="78"/>
  <c r="B197" i="78"/>
  <c r="AL156" i="78"/>
  <c r="AL171" i="78"/>
  <c r="AL190" i="78"/>
  <c r="W197" i="78"/>
  <c r="R197" i="78"/>
  <c r="AL167" i="78"/>
  <c r="AL179" i="78"/>
  <c r="X197" i="78"/>
  <c r="AL174" i="78"/>
  <c r="AL177" i="78"/>
  <c r="Z197" i="78"/>
  <c r="AA197" i="78"/>
  <c r="AB197" i="78"/>
  <c r="C172" i="71" l="1"/>
  <c r="D172" i="71" s="1"/>
  <c r="E172" i="71" s="1"/>
  <c r="F172" i="71" s="1"/>
  <c r="G172" i="71" s="1"/>
  <c r="H172" i="71" s="1"/>
  <c r="I172" i="71" s="1"/>
  <c r="J172" i="71" s="1"/>
  <c r="K172" i="71" s="1"/>
  <c r="L172" i="71" s="1"/>
  <c r="M172" i="71" s="1"/>
  <c r="N172" i="71" s="1"/>
  <c r="O172" i="71" s="1"/>
  <c r="P172" i="71" s="1"/>
  <c r="Q172" i="71" s="1"/>
  <c r="R172" i="71" s="1"/>
  <c r="S172" i="71" s="1"/>
  <c r="T172" i="71" s="1"/>
  <c r="U172" i="71" s="1"/>
  <c r="V172" i="71" s="1"/>
  <c r="W172" i="71" s="1"/>
  <c r="X172" i="71" s="1"/>
  <c r="Y172" i="71" s="1"/>
  <c r="Z172" i="71" s="1"/>
  <c r="AA172" i="71" s="1"/>
  <c r="AB172" i="71" s="1"/>
  <c r="AC172" i="71" s="1"/>
  <c r="AD172" i="71" s="1"/>
  <c r="AE172" i="71" s="1"/>
  <c r="AF172" i="71" s="1"/>
  <c r="AG172" i="71" s="1"/>
  <c r="AH172" i="71" s="1"/>
  <c r="AI172" i="71" s="1"/>
  <c r="AJ172" i="71" s="1"/>
  <c r="AK172" i="71" s="1"/>
  <c r="AL172" i="71" s="1"/>
  <c r="AM172" i="71" s="1"/>
  <c r="AN172" i="71" s="1"/>
  <c r="AO172" i="71" s="1"/>
  <c r="AP172" i="71" s="1"/>
  <c r="AQ172" i="71" s="1"/>
  <c r="AR172" i="71" s="1"/>
  <c r="AS172" i="71" s="1"/>
  <c r="AT172" i="71" s="1"/>
  <c r="AU172" i="71" s="1"/>
  <c r="AV172" i="71" s="1"/>
  <c r="AW172" i="71" s="1"/>
  <c r="AX172" i="71" s="1"/>
  <c r="AY172" i="71" s="1"/>
  <c r="AZ172" i="71" s="1"/>
  <c r="BA172" i="71" s="1"/>
  <c r="BB172" i="71" s="1"/>
  <c r="BC172" i="71" s="1"/>
  <c r="BD172" i="71" s="1"/>
  <c r="BE172" i="71" s="1"/>
  <c r="BF172" i="71" s="1"/>
  <c r="BG172" i="71" s="1"/>
  <c r="BH172" i="71" s="1"/>
  <c r="BI172" i="71" s="1"/>
  <c r="BJ172" i="71" s="1"/>
  <c r="BK172" i="71" s="1"/>
  <c r="BL172" i="71" s="1"/>
  <c r="BM172" i="71" s="1"/>
  <c r="BN172" i="71" s="1"/>
  <c r="BO172" i="71" s="1"/>
  <c r="BP172" i="71" s="1"/>
  <c r="BQ172" i="71" s="1"/>
  <c r="BR172" i="71" s="1"/>
  <c r="BS172" i="71" s="1"/>
  <c r="BT172" i="71" s="1"/>
  <c r="BU172" i="71" s="1"/>
  <c r="BV172" i="71" s="1"/>
  <c r="BW172" i="71" s="1"/>
  <c r="BX172" i="71" s="1"/>
  <c r="BY172" i="71" s="1"/>
  <c r="BZ172" i="71" s="1"/>
  <c r="CA172" i="71" s="1"/>
  <c r="CB172" i="71" s="1"/>
  <c r="CC172" i="71" s="1"/>
  <c r="CD172" i="71" s="1"/>
  <c r="CE172" i="71" s="1"/>
  <c r="CF172" i="71" s="1"/>
  <c r="CG172" i="71" s="1"/>
  <c r="CH172" i="71" s="1"/>
  <c r="CI172" i="71" s="1"/>
  <c r="C171" i="71"/>
  <c r="D171" i="71" s="1"/>
  <c r="E171" i="71" s="1"/>
  <c r="F171" i="71" s="1"/>
  <c r="G171" i="71" s="1"/>
  <c r="H171" i="71" s="1"/>
  <c r="I171" i="71" s="1"/>
  <c r="J171" i="71" s="1"/>
  <c r="K171" i="71" s="1"/>
  <c r="L171" i="71" s="1"/>
  <c r="M171" i="71" s="1"/>
  <c r="N171" i="71" s="1"/>
  <c r="O171" i="71" s="1"/>
  <c r="P171" i="71" s="1"/>
  <c r="Q171" i="71" s="1"/>
  <c r="R171" i="71" s="1"/>
  <c r="S171" i="71" s="1"/>
  <c r="T171" i="71" s="1"/>
  <c r="U171" i="71" s="1"/>
  <c r="V171" i="71" s="1"/>
  <c r="W171" i="71" s="1"/>
  <c r="X171" i="71" s="1"/>
  <c r="Y171" i="71" s="1"/>
  <c r="Z171" i="71" s="1"/>
  <c r="AA171" i="71" s="1"/>
  <c r="AB171" i="71" s="1"/>
  <c r="AC171" i="71" s="1"/>
  <c r="AD171" i="71" s="1"/>
  <c r="AE171" i="71" s="1"/>
  <c r="AF171" i="71" s="1"/>
  <c r="AG171" i="71" s="1"/>
  <c r="AH171" i="71" s="1"/>
  <c r="AI171" i="71" s="1"/>
  <c r="AJ171" i="71" s="1"/>
  <c r="AK171" i="71" s="1"/>
  <c r="AL171" i="71" s="1"/>
  <c r="AM171" i="71" s="1"/>
  <c r="AN171" i="71" s="1"/>
  <c r="AO171" i="71" s="1"/>
  <c r="AP171" i="71" s="1"/>
  <c r="AQ171" i="71" s="1"/>
  <c r="AR171" i="71" s="1"/>
  <c r="AS171" i="71" s="1"/>
  <c r="AT171" i="71" s="1"/>
  <c r="AU171" i="71" s="1"/>
  <c r="AV171" i="71" s="1"/>
  <c r="AW171" i="71" s="1"/>
  <c r="AX171" i="71" s="1"/>
  <c r="AY171" i="71" s="1"/>
  <c r="AZ171" i="71" s="1"/>
  <c r="BA171" i="71" s="1"/>
  <c r="BB171" i="71" s="1"/>
  <c r="BC171" i="71" s="1"/>
  <c r="BD171" i="71" s="1"/>
  <c r="BE171" i="71" s="1"/>
  <c r="BF171" i="71" s="1"/>
  <c r="BG171" i="71" s="1"/>
  <c r="BH171" i="71" s="1"/>
  <c r="BI171" i="71" s="1"/>
  <c r="BJ171" i="71" s="1"/>
  <c r="BK171" i="71" s="1"/>
  <c r="BL171" i="71" s="1"/>
  <c r="BM171" i="71" s="1"/>
  <c r="BN171" i="71" s="1"/>
  <c r="BO171" i="71" s="1"/>
  <c r="BP171" i="71" s="1"/>
  <c r="BQ171" i="71" s="1"/>
  <c r="BR171" i="71" s="1"/>
  <c r="BS171" i="71" s="1"/>
  <c r="BT171" i="71" s="1"/>
  <c r="BU171" i="71" s="1"/>
  <c r="BV171" i="71" s="1"/>
  <c r="BW171" i="71" s="1"/>
  <c r="BX171" i="71" s="1"/>
  <c r="BY171" i="71" s="1"/>
  <c r="BZ171" i="71" s="1"/>
  <c r="CA171" i="71" s="1"/>
  <c r="CB171" i="71" s="1"/>
  <c r="CC171" i="71" s="1"/>
  <c r="CD171" i="71" s="1"/>
  <c r="CE171" i="71" s="1"/>
  <c r="CF171" i="71" s="1"/>
  <c r="CG171" i="71" s="1"/>
  <c r="CH171" i="71" s="1"/>
  <c r="CI171" i="71" s="1"/>
  <c r="C170" i="71"/>
  <c r="D170" i="71" s="1"/>
  <c r="E170" i="71" s="1"/>
  <c r="F170" i="71" s="1"/>
  <c r="G170" i="71" s="1"/>
  <c r="H170" i="71" s="1"/>
  <c r="I170" i="71" s="1"/>
  <c r="J170" i="71" s="1"/>
  <c r="K170" i="71" s="1"/>
  <c r="L170" i="71" s="1"/>
  <c r="M170" i="71" s="1"/>
  <c r="N170" i="71" s="1"/>
  <c r="O170" i="71" s="1"/>
  <c r="P170" i="71" s="1"/>
  <c r="Q170" i="71" s="1"/>
  <c r="R170" i="71" s="1"/>
  <c r="S170" i="71" s="1"/>
  <c r="T170" i="71" s="1"/>
  <c r="U170" i="71" s="1"/>
  <c r="V170" i="71" s="1"/>
  <c r="W170" i="71" s="1"/>
  <c r="X170" i="71" s="1"/>
  <c r="Y170" i="71" s="1"/>
  <c r="Z170" i="71" s="1"/>
  <c r="AA170" i="71" s="1"/>
  <c r="AB170" i="71" s="1"/>
  <c r="AC170" i="71" s="1"/>
  <c r="AD170" i="71" s="1"/>
  <c r="AE170" i="71" s="1"/>
  <c r="AF170" i="71" s="1"/>
  <c r="AG170" i="71" s="1"/>
  <c r="AH170" i="71" s="1"/>
  <c r="AI170" i="71" s="1"/>
  <c r="AJ170" i="71" s="1"/>
  <c r="AK170" i="71" s="1"/>
  <c r="AL170" i="71" s="1"/>
  <c r="AM170" i="71" s="1"/>
  <c r="AN170" i="71" s="1"/>
  <c r="AO170" i="71" s="1"/>
  <c r="AP170" i="71" s="1"/>
  <c r="AQ170" i="71" s="1"/>
  <c r="AR170" i="71" s="1"/>
  <c r="AS170" i="71" s="1"/>
  <c r="AT170" i="71" s="1"/>
  <c r="AU170" i="71" s="1"/>
  <c r="AV170" i="71" s="1"/>
  <c r="AW170" i="71" s="1"/>
  <c r="AX170" i="71" s="1"/>
  <c r="AY170" i="71" s="1"/>
  <c r="AZ170" i="71" s="1"/>
  <c r="BA170" i="71" s="1"/>
  <c r="BB170" i="71" s="1"/>
  <c r="BC170" i="71" s="1"/>
  <c r="BD170" i="71" s="1"/>
  <c r="BE170" i="71" s="1"/>
  <c r="BF170" i="71" s="1"/>
  <c r="BG170" i="71" s="1"/>
  <c r="BH170" i="71" s="1"/>
  <c r="BI170" i="71" s="1"/>
  <c r="BJ170" i="71" s="1"/>
  <c r="BK170" i="71" s="1"/>
  <c r="BL170" i="71" s="1"/>
  <c r="BM170" i="71" s="1"/>
  <c r="BN170" i="71" s="1"/>
  <c r="BO170" i="71" s="1"/>
  <c r="BP170" i="71" s="1"/>
  <c r="BQ170" i="71" s="1"/>
  <c r="BR170" i="71" s="1"/>
  <c r="BS170" i="71" s="1"/>
  <c r="BT170" i="71" s="1"/>
  <c r="BU170" i="71" s="1"/>
  <c r="BV170" i="71" s="1"/>
  <c r="BW170" i="71" s="1"/>
  <c r="BX170" i="71" s="1"/>
  <c r="BY170" i="71" s="1"/>
  <c r="BZ170" i="71" s="1"/>
  <c r="CA170" i="71" s="1"/>
  <c r="CB170" i="71" s="1"/>
  <c r="CC170" i="71" s="1"/>
  <c r="CD170" i="71" s="1"/>
  <c r="CE170" i="71" s="1"/>
  <c r="CF170" i="71" s="1"/>
  <c r="CG170" i="71" s="1"/>
  <c r="CH170" i="71" s="1"/>
  <c r="CI170" i="71" s="1"/>
  <c r="C169" i="71"/>
  <c r="D169" i="71" s="1"/>
  <c r="E169" i="71" s="1"/>
  <c r="F169" i="71" s="1"/>
  <c r="G169" i="71" s="1"/>
  <c r="H169" i="71" s="1"/>
  <c r="I169" i="71" s="1"/>
  <c r="J169" i="71" s="1"/>
  <c r="K169" i="71" s="1"/>
  <c r="L169" i="71" s="1"/>
  <c r="M169" i="71" s="1"/>
  <c r="N169" i="71" s="1"/>
  <c r="O169" i="71" s="1"/>
  <c r="P169" i="71" s="1"/>
  <c r="Q169" i="71" s="1"/>
  <c r="R169" i="71" s="1"/>
  <c r="S169" i="71" s="1"/>
  <c r="T169" i="71" s="1"/>
  <c r="U169" i="71" s="1"/>
  <c r="V169" i="71" s="1"/>
  <c r="W169" i="71" s="1"/>
  <c r="X169" i="71" s="1"/>
  <c r="Y169" i="71" s="1"/>
  <c r="Z169" i="71" s="1"/>
  <c r="AA169" i="71" s="1"/>
  <c r="AB169" i="71" s="1"/>
  <c r="AC169" i="71" s="1"/>
  <c r="AD169" i="71" s="1"/>
  <c r="AE169" i="71" s="1"/>
  <c r="AF169" i="71" s="1"/>
  <c r="AG169" i="71" s="1"/>
  <c r="AH169" i="71" s="1"/>
  <c r="AI169" i="71" s="1"/>
  <c r="AJ169" i="71" s="1"/>
  <c r="AK169" i="71" s="1"/>
  <c r="AL169" i="71" s="1"/>
  <c r="AM169" i="71" s="1"/>
  <c r="AN169" i="71" s="1"/>
  <c r="AO169" i="71" s="1"/>
  <c r="AP169" i="71" s="1"/>
  <c r="AQ169" i="71" s="1"/>
  <c r="AR169" i="71" s="1"/>
  <c r="AS169" i="71" s="1"/>
  <c r="AT169" i="71" s="1"/>
  <c r="AU169" i="71" s="1"/>
  <c r="AV169" i="71" s="1"/>
  <c r="AW169" i="71" s="1"/>
  <c r="AX169" i="71" s="1"/>
  <c r="AY169" i="71" s="1"/>
  <c r="AZ169" i="71" s="1"/>
  <c r="BA169" i="71" s="1"/>
  <c r="BB169" i="71" s="1"/>
  <c r="BC169" i="71" s="1"/>
  <c r="BD169" i="71" s="1"/>
  <c r="BE169" i="71" s="1"/>
  <c r="BF169" i="71" s="1"/>
  <c r="BG169" i="71" s="1"/>
  <c r="BH169" i="71" s="1"/>
  <c r="BI169" i="71" s="1"/>
  <c r="BJ169" i="71" s="1"/>
  <c r="BK169" i="71" s="1"/>
  <c r="BL169" i="71" s="1"/>
  <c r="BM169" i="71" s="1"/>
  <c r="BN169" i="71" s="1"/>
  <c r="BO169" i="71" s="1"/>
  <c r="BP169" i="71" s="1"/>
  <c r="BQ169" i="71" s="1"/>
  <c r="BR169" i="71" s="1"/>
  <c r="BS169" i="71" s="1"/>
  <c r="BT169" i="71" s="1"/>
  <c r="BU169" i="71" s="1"/>
  <c r="BV169" i="71" s="1"/>
  <c r="BW169" i="71" s="1"/>
  <c r="BX169" i="71" s="1"/>
  <c r="BY169" i="71" s="1"/>
  <c r="BZ169" i="71" s="1"/>
  <c r="CA169" i="71" s="1"/>
  <c r="CB169" i="71" s="1"/>
  <c r="CC169" i="71" s="1"/>
  <c r="CD169" i="71" s="1"/>
  <c r="CE169" i="71" s="1"/>
  <c r="CF169" i="71" s="1"/>
  <c r="CG169" i="71" s="1"/>
  <c r="CH169" i="71" s="1"/>
  <c r="CI169" i="71" s="1"/>
  <c r="C168" i="71"/>
  <c r="D168" i="71" s="1"/>
  <c r="E168" i="71" s="1"/>
  <c r="F168" i="71" s="1"/>
  <c r="G168" i="71" s="1"/>
  <c r="H168" i="71" s="1"/>
  <c r="I168" i="71" s="1"/>
  <c r="J168" i="71" s="1"/>
  <c r="K168" i="71" s="1"/>
  <c r="L168" i="71" s="1"/>
  <c r="M168" i="71" s="1"/>
  <c r="N168" i="71" s="1"/>
  <c r="O168" i="71" s="1"/>
  <c r="P168" i="71" s="1"/>
  <c r="Q168" i="71" s="1"/>
  <c r="R168" i="71" s="1"/>
  <c r="S168" i="71" s="1"/>
  <c r="T168" i="71" s="1"/>
  <c r="U168" i="71" s="1"/>
  <c r="V168" i="71" s="1"/>
  <c r="W168" i="71" s="1"/>
  <c r="X168" i="71" s="1"/>
  <c r="Y168" i="71" s="1"/>
  <c r="Z168" i="71" s="1"/>
  <c r="AA168" i="71" s="1"/>
  <c r="AB168" i="71" s="1"/>
  <c r="AC168" i="71" s="1"/>
  <c r="AD168" i="71" s="1"/>
  <c r="AE168" i="71" s="1"/>
  <c r="AF168" i="71" s="1"/>
  <c r="AG168" i="71" s="1"/>
  <c r="AH168" i="71" s="1"/>
  <c r="AI168" i="71" s="1"/>
  <c r="AJ168" i="71" s="1"/>
  <c r="AK168" i="71" s="1"/>
  <c r="AL168" i="71" s="1"/>
  <c r="AM168" i="71" s="1"/>
  <c r="AN168" i="71" s="1"/>
  <c r="AO168" i="71" s="1"/>
  <c r="AP168" i="71" s="1"/>
  <c r="AQ168" i="71" s="1"/>
  <c r="AR168" i="71" s="1"/>
  <c r="AS168" i="71" s="1"/>
  <c r="AT168" i="71" s="1"/>
  <c r="AU168" i="71" s="1"/>
  <c r="AV168" i="71" s="1"/>
  <c r="AW168" i="71" s="1"/>
  <c r="AX168" i="71" s="1"/>
  <c r="AY168" i="71" s="1"/>
  <c r="AZ168" i="71" s="1"/>
  <c r="BA168" i="71" s="1"/>
  <c r="BB168" i="71" s="1"/>
  <c r="BC168" i="71" s="1"/>
  <c r="BD168" i="71" s="1"/>
  <c r="BE168" i="71" s="1"/>
  <c r="BF168" i="71" s="1"/>
  <c r="BG168" i="71" s="1"/>
  <c r="BH168" i="71" s="1"/>
  <c r="BI168" i="71" s="1"/>
  <c r="BJ168" i="71" s="1"/>
  <c r="BK168" i="71" s="1"/>
  <c r="BL168" i="71" s="1"/>
  <c r="BM168" i="71" s="1"/>
  <c r="BN168" i="71" s="1"/>
  <c r="BO168" i="71" s="1"/>
  <c r="BP168" i="71" s="1"/>
  <c r="BQ168" i="71" s="1"/>
  <c r="BR168" i="71" s="1"/>
  <c r="BS168" i="71" s="1"/>
  <c r="BT168" i="71" s="1"/>
  <c r="BU168" i="71" s="1"/>
  <c r="BV168" i="71" s="1"/>
  <c r="BW168" i="71" s="1"/>
  <c r="BX168" i="71" s="1"/>
  <c r="BY168" i="71" s="1"/>
  <c r="BZ168" i="71" s="1"/>
  <c r="CA168" i="71" s="1"/>
  <c r="CB168" i="71" s="1"/>
  <c r="CC168" i="71" s="1"/>
  <c r="CD168" i="71" s="1"/>
  <c r="CE168" i="71" s="1"/>
  <c r="CF168" i="71" s="1"/>
  <c r="CG168" i="71" s="1"/>
  <c r="CH168" i="71" s="1"/>
  <c r="CI168" i="71" s="1"/>
  <c r="C167" i="71"/>
  <c r="D167" i="71" s="1"/>
  <c r="E167" i="71" s="1"/>
  <c r="F167" i="71" s="1"/>
  <c r="G167" i="71" s="1"/>
  <c r="H167" i="71" s="1"/>
  <c r="I167" i="71" s="1"/>
  <c r="J167" i="71" s="1"/>
  <c r="K167" i="71" s="1"/>
  <c r="L167" i="71" s="1"/>
  <c r="M167" i="71" s="1"/>
  <c r="N167" i="71" s="1"/>
  <c r="O167" i="71" s="1"/>
  <c r="P167" i="71" s="1"/>
  <c r="Q167" i="71" s="1"/>
  <c r="R167" i="71" s="1"/>
  <c r="S167" i="71" s="1"/>
  <c r="T167" i="71" s="1"/>
  <c r="U167" i="71" s="1"/>
  <c r="V167" i="71" s="1"/>
  <c r="W167" i="71" s="1"/>
  <c r="X167" i="71" s="1"/>
  <c r="Y167" i="71" s="1"/>
  <c r="Z167" i="71" s="1"/>
  <c r="AA167" i="71" s="1"/>
  <c r="AB167" i="71" s="1"/>
  <c r="AC167" i="71" s="1"/>
  <c r="AD167" i="71" s="1"/>
  <c r="AE167" i="71" s="1"/>
  <c r="AF167" i="71" s="1"/>
  <c r="AG167" i="71" s="1"/>
  <c r="AH167" i="71" s="1"/>
  <c r="AI167" i="71" s="1"/>
  <c r="AJ167" i="71" s="1"/>
  <c r="AK167" i="71" s="1"/>
  <c r="AL167" i="71" s="1"/>
  <c r="AM167" i="71" s="1"/>
  <c r="AN167" i="71" s="1"/>
  <c r="AO167" i="71" s="1"/>
  <c r="AP167" i="71" s="1"/>
  <c r="AQ167" i="71" s="1"/>
  <c r="AR167" i="71" s="1"/>
  <c r="AS167" i="71" s="1"/>
  <c r="AT167" i="71" s="1"/>
  <c r="AU167" i="71" s="1"/>
  <c r="AV167" i="71" s="1"/>
  <c r="AW167" i="71" s="1"/>
  <c r="AX167" i="71" s="1"/>
  <c r="AY167" i="71" s="1"/>
  <c r="AZ167" i="71" s="1"/>
  <c r="BA167" i="71" s="1"/>
  <c r="BB167" i="71" s="1"/>
  <c r="BC167" i="71" s="1"/>
  <c r="BD167" i="71" s="1"/>
  <c r="BE167" i="71" s="1"/>
  <c r="BF167" i="71" s="1"/>
  <c r="BG167" i="71" s="1"/>
  <c r="BH167" i="71" s="1"/>
  <c r="BI167" i="71" s="1"/>
  <c r="BJ167" i="71" s="1"/>
  <c r="BK167" i="71" s="1"/>
  <c r="BL167" i="71" s="1"/>
  <c r="BM167" i="71" s="1"/>
  <c r="BN167" i="71" s="1"/>
  <c r="BO167" i="71" s="1"/>
  <c r="BP167" i="71" s="1"/>
  <c r="BQ167" i="71" s="1"/>
  <c r="BR167" i="71" s="1"/>
  <c r="BS167" i="71" s="1"/>
  <c r="BT167" i="71" s="1"/>
  <c r="BU167" i="71" s="1"/>
  <c r="BV167" i="71" s="1"/>
  <c r="BW167" i="71" s="1"/>
  <c r="BX167" i="71" s="1"/>
  <c r="BY167" i="71" s="1"/>
  <c r="BZ167" i="71" s="1"/>
  <c r="CA167" i="71" s="1"/>
  <c r="CB167" i="71" s="1"/>
  <c r="CC167" i="71" s="1"/>
  <c r="CD167" i="71" s="1"/>
  <c r="CE167" i="71" s="1"/>
  <c r="CF167" i="71" s="1"/>
  <c r="CG167" i="71" s="1"/>
  <c r="CH167" i="71" s="1"/>
  <c r="CI167" i="71" s="1"/>
  <c r="C166" i="71"/>
  <c r="D166" i="71" s="1"/>
  <c r="E166" i="71" s="1"/>
  <c r="F166" i="71" s="1"/>
  <c r="G166" i="71" s="1"/>
  <c r="H166" i="71" s="1"/>
  <c r="I166" i="71" s="1"/>
  <c r="J166" i="71" s="1"/>
  <c r="K166" i="71" s="1"/>
  <c r="L166" i="71" s="1"/>
  <c r="M166" i="71" s="1"/>
  <c r="N166" i="71" s="1"/>
  <c r="O166" i="71" s="1"/>
  <c r="P166" i="71" s="1"/>
  <c r="Q166" i="71" s="1"/>
  <c r="R166" i="71" s="1"/>
  <c r="S166" i="71" s="1"/>
  <c r="T166" i="71" s="1"/>
  <c r="U166" i="71" s="1"/>
  <c r="V166" i="71" s="1"/>
  <c r="W166" i="71" s="1"/>
  <c r="X166" i="71" s="1"/>
  <c r="Y166" i="71" s="1"/>
  <c r="Z166" i="71" s="1"/>
  <c r="AA166" i="71" s="1"/>
  <c r="AB166" i="71" s="1"/>
  <c r="AC166" i="71" s="1"/>
  <c r="AD166" i="71" s="1"/>
  <c r="AE166" i="71" s="1"/>
  <c r="AF166" i="71" s="1"/>
  <c r="AG166" i="71" s="1"/>
  <c r="AH166" i="71" s="1"/>
  <c r="AI166" i="71" s="1"/>
  <c r="AJ166" i="71" s="1"/>
  <c r="AK166" i="71" s="1"/>
  <c r="AL166" i="71" s="1"/>
  <c r="AM166" i="71" s="1"/>
  <c r="AN166" i="71" s="1"/>
  <c r="AO166" i="71" s="1"/>
  <c r="AP166" i="71" s="1"/>
  <c r="AQ166" i="71" s="1"/>
  <c r="AR166" i="71" s="1"/>
  <c r="AS166" i="71" s="1"/>
  <c r="AT166" i="71" s="1"/>
  <c r="AU166" i="71" s="1"/>
  <c r="AV166" i="71" s="1"/>
  <c r="AW166" i="71" s="1"/>
  <c r="AX166" i="71" s="1"/>
  <c r="AY166" i="71" s="1"/>
  <c r="AZ166" i="71" s="1"/>
  <c r="BA166" i="71" s="1"/>
  <c r="BB166" i="71" s="1"/>
  <c r="BC166" i="71" s="1"/>
  <c r="BD166" i="71" s="1"/>
  <c r="BE166" i="71" s="1"/>
  <c r="BF166" i="71" s="1"/>
  <c r="BG166" i="71" s="1"/>
  <c r="BH166" i="71" s="1"/>
  <c r="BI166" i="71" s="1"/>
  <c r="BJ166" i="71" s="1"/>
  <c r="BK166" i="71" s="1"/>
  <c r="BL166" i="71" s="1"/>
  <c r="BM166" i="71" s="1"/>
  <c r="BN166" i="71" s="1"/>
  <c r="BO166" i="71" s="1"/>
  <c r="BP166" i="71" s="1"/>
  <c r="BQ166" i="71" s="1"/>
  <c r="BR166" i="71" s="1"/>
  <c r="BS166" i="71" s="1"/>
  <c r="BT166" i="71" s="1"/>
  <c r="BU166" i="71" s="1"/>
  <c r="BV166" i="71" s="1"/>
  <c r="BW166" i="71" s="1"/>
  <c r="BX166" i="71" s="1"/>
  <c r="BY166" i="71" s="1"/>
  <c r="BZ166" i="71" s="1"/>
  <c r="CA166" i="71" s="1"/>
  <c r="CB166" i="71" s="1"/>
  <c r="CC166" i="71" s="1"/>
  <c r="CD166" i="71" s="1"/>
  <c r="CE166" i="71" s="1"/>
  <c r="CF166" i="71" s="1"/>
  <c r="CG166" i="71" s="1"/>
  <c r="CH166" i="71" s="1"/>
  <c r="CI166" i="71" s="1"/>
  <c r="C165" i="71"/>
  <c r="D165" i="71" s="1"/>
  <c r="E165" i="71" s="1"/>
  <c r="F165" i="71" s="1"/>
  <c r="G165" i="71" s="1"/>
  <c r="H165" i="71" s="1"/>
  <c r="I165" i="71" s="1"/>
  <c r="J165" i="71" s="1"/>
  <c r="K165" i="71" s="1"/>
  <c r="L165" i="71" s="1"/>
  <c r="M165" i="71" s="1"/>
  <c r="N165" i="71" s="1"/>
  <c r="O165" i="71" s="1"/>
  <c r="P165" i="71" s="1"/>
  <c r="Q165" i="71" s="1"/>
  <c r="R165" i="71" s="1"/>
  <c r="S165" i="71" s="1"/>
  <c r="T165" i="71" s="1"/>
  <c r="U165" i="71" s="1"/>
  <c r="V165" i="71" s="1"/>
  <c r="W165" i="71" s="1"/>
  <c r="X165" i="71" s="1"/>
  <c r="Y165" i="71" s="1"/>
  <c r="Z165" i="71" s="1"/>
  <c r="AA165" i="71" s="1"/>
  <c r="AB165" i="71" s="1"/>
  <c r="AC165" i="71" s="1"/>
  <c r="AD165" i="71" s="1"/>
  <c r="AE165" i="71" s="1"/>
  <c r="AF165" i="71" s="1"/>
  <c r="AG165" i="71" s="1"/>
  <c r="AH165" i="71" s="1"/>
  <c r="AI165" i="71" s="1"/>
  <c r="AJ165" i="71" s="1"/>
  <c r="AK165" i="71" s="1"/>
  <c r="AL165" i="71" s="1"/>
  <c r="AM165" i="71" s="1"/>
  <c r="AN165" i="71" s="1"/>
  <c r="AO165" i="71" s="1"/>
  <c r="AP165" i="71" s="1"/>
  <c r="AQ165" i="71" s="1"/>
  <c r="AR165" i="71" s="1"/>
  <c r="AS165" i="71" s="1"/>
  <c r="AT165" i="71" s="1"/>
  <c r="AU165" i="71" s="1"/>
  <c r="AV165" i="71" s="1"/>
  <c r="AW165" i="71" s="1"/>
  <c r="AX165" i="71" s="1"/>
  <c r="AY165" i="71" s="1"/>
  <c r="AZ165" i="71" s="1"/>
  <c r="BA165" i="71" s="1"/>
  <c r="BB165" i="71" s="1"/>
  <c r="BC165" i="71" s="1"/>
  <c r="BD165" i="71" s="1"/>
  <c r="BE165" i="71" s="1"/>
  <c r="BF165" i="71" s="1"/>
  <c r="BG165" i="71" s="1"/>
  <c r="BH165" i="71" s="1"/>
  <c r="BI165" i="71" s="1"/>
  <c r="BJ165" i="71" s="1"/>
  <c r="BK165" i="71" s="1"/>
  <c r="BL165" i="71" s="1"/>
  <c r="BM165" i="71" s="1"/>
  <c r="BN165" i="71" s="1"/>
  <c r="BO165" i="71" s="1"/>
  <c r="BP165" i="71" s="1"/>
  <c r="BQ165" i="71" s="1"/>
  <c r="BR165" i="71" s="1"/>
  <c r="BS165" i="71" s="1"/>
  <c r="BT165" i="71" s="1"/>
  <c r="BU165" i="71" s="1"/>
  <c r="BV165" i="71" s="1"/>
  <c r="BW165" i="71" s="1"/>
  <c r="BX165" i="71" s="1"/>
  <c r="BY165" i="71" s="1"/>
  <c r="BZ165" i="71" s="1"/>
  <c r="CA165" i="71" s="1"/>
  <c r="CB165" i="71" s="1"/>
  <c r="CC165" i="71" s="1"/>
  <c r="CD165" i="71" s="1"/>
  <c r="CE165" i="71" s="1"/>
  <c r="CF165" i="71" s="1"/>
  <c r="CG165" i="71" s="1"/>
  <c r="CH165" i="71" s="1"/>
  <c r="CI165" i="71" s="1"/>
  <c r="C164" i="71"/>
  <c r="D164" i="71" s="1"/>
  <c r="E164" i="71" s="1"/>
  <c r="F164" i="71" s="1"/>
  <c r="G164" i="71" s="1"/>
  <c r="H164" i="71" s="1"/>
  <c r="I164" i="71" s="1"/>
  <c r="J164" i="71" s="1"/>
  <c r="K164" i="71" s="1"/>
  <c r="L164" i="71" s="1"/>
  <c r="M164" i="71" s="1"/>
  <c r="N164" i="71" s="1"/>
  <c r="O164" i="71" s="1"/>
  <c r="P164" i="71" s="1"/>
  <c r="Q164" i="71" s="1"/>
  <c r="R164" i="71" s="1"/>
  <c r="S164" i="71" s="1"/>
  <c r="T164" i="71" s="1"/>
  <c r="U164" i="71" s="1"/>
  <c r="V164" i="71" s="1"/>
  <c r="W164" i="71" s="1"/>
  <c r="X164" i="71" s="1"/>
  <c r="Y164" i="71" s="1"/>
  <c r="Z164" i="71" s="1"/>
  <c r="AA164" i="71" s="1"/>
  <c r="AB164" i="71" s="1"/>
  <c r="AC164" i="71" s="1"/>
  <c r="AD164" i="71" s="1"/>
  <c r="AE164" i="71" s="1"/>
  <c r="AF164" i="71" s="1"/>
  <c r="AG164" i="71" s="1"/>
  <c r="AH164" i="71" s="1"/>
  <c r="AI164" i="71" s="1"/>
  <c r="AJ164" i="71" s="1"/>
  <c r="AK164" i="71" s="1"/>
  <c r="AL164" i="71" s="1"/>
  <c r="AM164" i="71" s="1"/>
  <c r="AN164" i="71" s="1"/>
  <c r="AO164" i="71" s="1"/>
  <c r="AP164" i="71" s="1"/>
  <c r="AQ164" i="71" s="1"/>
  <c r="AR164" i="71" s="1"/>
  <c r="AS164" i="71" s="1"/>
  <c r="AT164" i="71" s="1"/>
  <c r="AU164" i="71" s="1"/>
  <c r="AV164" i="71" s="1"/>
  <c r="AW164" i="71" s="1"/>
  <c r="AX164" i="71" s="1"/>
  <c r="AY164" i="71" s="1"/>
  <c r="AZ164" i="71" s="1"/>
  <c r="BA164" i="71" s="1"/>
  <c r="BB164" i="71" s="1"/>
  <c r="BC164" i="71" s="1"/>
  <c r="BD164" i="71" s="1"/>
  <c r="BE164" i="71" s="1"/>
  <c r="BF164" i="71" s="1"/>
  <c r="BG164" i="71" s="1"/>
  <c r="BH164" i="71" s="1"/>
  <c r="BI164" i="71" s="1"/>
  <c r="BJ164" i="71" s="1"/>
  <c r="BK164" i="71" s="1"/>
  <c r="BL164" i="71" s="1"/>
  <c r="BM164" i="71" s="1"/>
  <c r="BN164" i="71" s="1"/>
  <c r="BO164" i="71" s="1"/>
  <c r="BP164" i="71" s="1"/>
  <c r="BQ164" i="71" s="1"/>
  <c r="BR164" i="71" s="1"/>
  <c r="BS164" i="71" s="1"/>
  <c r="BT164" i="71" s="1"/>
  <c r="BU164" i="71" s="1"/>
  <c r="BV164" i="71" s="1"/>
  <c r="BW164" i="71" s="1"/>
  <c r="BX164" i="71" s="1"/>
  <c r="BY164" i="71" s="1"/>
  <c r="BZ164" i="71" s="1"/>
  <c r="CA164" i="71" s="1"/>
  <c r="CB164" i="71" s="1"/>
  <c r="CC164" i="71" s="1"/>
  <c r="CD164" i="71" s="1"/>
  <c r="CE164" i="71" s="1"/>
  <c r="CF164" i="71" s="1"/>
  <c r="CG164" i="71" s="1"/>
  <c r="CH164" i="71" s="1"/>
  <c r="CI164" i="71" s="1"/>
  <c r="AL118" i="66" l="1"/>
  <c r="AK118" i="66"/>
  <c r="AJ118" i="66"/>
  <c r="AI118" i="66"/>
  <c r="AH118" i="66"/>
  <c r="AG118" i="66"/>
  <c r="AF118" i="66"/>
  <c r="AE118" i="66"/>
  <c r="AD118" i="66"/>
  <c r="AC118" i="66"/>
  <c r="AB118" i="66"/>
  <c r="AA118" i="66"/>
  <c r="Z118" i="66"/>
  <c r="Y118" i="66"/>
  <c r="X118" i="66"/>
  <c r="W118" i="66"/>
  <c r="V118" i="66"/>
  <c r="U118" i="66"/>
  <c r="T118" i="66"/>
  <c r="S118" i="66"/>
  <c r="R118" i="66"/>
  <c r="Q118" i="66"/>
  <c r="P118" i="66"/>
  <c r="O118" i="66"/>
  <c r="N118" i="66"/>
  <c r="M118" i="66"/>
  <c r="L118" i="66"/>
  <c r="K118" i="66"/>
  <c r="J118" i="66"/>
  <c r="I118" i="66"/>
  <c r="H118" i="66"/>
  <c r="G118" i="66"/>
  <c r="F118" i="66"/>
  <c r="E118" i="66"/>
  <c r="D118" i="66"/>
  <c r="C118" i="66"/>
  <c r="AL117" i="66"/>
  <c r="AK117" i="66"/>
  <c r="AJ117" i="66"/>
  <c r="AI117" i="66"/>
  <c r="AH117" i="66"/>
  <c r="AG117" i="66"/>
  <c r="AF117" i="66"/>
  <c r="AE117" i="66"/>
  <c r="AD117" i="66"/>
  <c r="AC117" i="66"/>
  <c r="AB117" i="66"/>
  <c r="AA117" i="66"/>
  <c r="Z117" i="66"/>
  <c r="Y117" i="66"/>
  <c r="X117" i="66"/>
  <c r="W117" i="66"/>
  <c r="V117" i="66"/>
  <c r="U117" i="66"/>
  <c r="T117" i="66"/>
  <c r="S117" i="66"/>
  <c r="R117" i="66"/>
  <c r="Q117" i="66"/>
  <c r="P117" i="66"/>
  <c r="O117" i="66"/>
  <c r="N117" i="66"/>
  <c r="M117" i="66"/>
  <c r="L117" i="66"/>
  <c r="K117" i="66"/>
  <c r="J117" i="66"/>
  <c r="I117" i="66"/>
  <c r="H117" i="66"/>
  <c r="G117" i="66"/>
  <c r="F117" i="66"/>
  <c r="E117" i="66"/>
  <c r="D117" i="66"/>
  <c r="C117" i="66"/>
  <c r="AL116" i="66"/>
  <c r="AK116" i="66"/>
  <c r="AJ116" i="66"/>
  <c r="AI116" i="66"/>
  <c r="AH116" i="66"/>
  <c r="AG116" i="66"/>
  <c r="AF116" i="66"/>
  <c r="AE116" i="66"/>
  <c r="AD116" i="66"/>
  <c r="AC116" i="66"/>
  <c r="AB116" i="66"/>
  <c r="AA116" i="66"/>
  <c r="Z116" i="66"/>
  <c r="Y116" i="66"/>
  <c r="X116" i="66"/>
  <c r="W116" i="66"/>
  <c r="V116" i="66"/>
  <c r="U116" i="66"/>
  <c r="T116" i="66"/>
  <c r="S116" i="66"/>
  <c r="R116" i="66"/>
  <c r="Q116" i="66"/>
  <c r="P116" i="66"/>
  <c r="O116" i="66"/>
  <c r="N116" i="66"/>
  <c r="M116" i="66"/>
  <c r="L116" i="66"/>
  <c r="K116" i="66"/>
  <c r="J116" i="66"/>
  <c r="I116" i="66"/>
  <c r="H116" i="66"/>
  <c r="G116" i="66"/>
  <c r="F116" i="66"/>
  <c r="E116" i="66"/>
  <c r="D116" i="66"/>
  <c r="C116" i="66"/>
  <c r="AL115" i="66"/>
  <c r="AK115" i="66"/>
  <c r="AJ115" i="66"/>
  <c r="AI115" i="66"/>
  <c r="AH115" i="66"/>
  <c r="AG115" i="66"/>
  <c r="AF115" i="66"/>
  <c r="AE115" i="66"/>
  <c r="AD115" i="66"/>
  <c r="AC115" i="66"/>
  <c r="AB115" i="66"/>
  <c r="AA115" i="66"/>
  <c r="Z115" i="66"/>
  <c r="Y115" i="66"/>
  <c r="X115" i="66"/>
  <c r="W115" i="66"/>
  <c r="V115" i="66"/>
  <c r="U115" i="66"/>
  <c r="T115" i="66"/>
  <c r="S115" i="66"/>
  <c r="R115" i="66"/>
  <c r="Q115" i="66"/>
  <c r="P115" i="66"/>
  <c r="O115" i="66"/>
  <c r="N115" i="66"/>
  <c r="M115" i="66"/>
  <c r="L115" i="66"/>
  <c r="K115" i="66"/>
  <c r="J115" i="66"/>
  <c r="I115" i="66"/>
  <c r="H115" i="66"/>
  <c r="G115" i="66"/>
  <c r="F115" i="66"/>
  <c r="E115" i="66"/>
  <c r="D115" i="66"/>
  <c r="C115" i="66"/>
  <c r="AL114" i="66"/>
  <c r="AK114" i="66"/>
  <c r="AJ114" i="66"/>
  <c r="AI114" i="66"/>
  <c r="AH114" i="66"/>
  <c r="AG114" i="66"/>
  <c r="AF114" i="66"/>
  <c r="AE114" i="66"/>
  <c r="AD114" i="66"/>
  <c r="AC114" i="66"/>
  <c r="AB114" i="66"/>
  <c r="AA114" i="66"/>
  <c r="Z114" i="66"/>
  <c r="Y114" i="66"/>
  <c r="X114" i="66"/>
  <c r="W114" i="66"/>
  <c r="V114" i="66"/>
  <c r="U114" i="66"/>
  <c r="T114" i="66"/>
  <c r="S114" i="66"/>
  <c r="R114" i="66"/>
  <c r="Q114" i="66"/>
  <c r="P114" i="66"/>
  <c r="O114" i="66"/>
  <c r="N114" i="66"/>
  <c r="M114" i="66"/>
  <c r="L114" i="66"/>
  <c r="K114" i="66"/>
  <c r="J114" i="66"/>
  <c r="I114" i="66"/>
  <c r="H114" i="66"/>
  <c r="G114" i="66"/>
  <c r="F114" i="66"/>
  <c r="E114" i="66"/>
  <c r="D114" i="66"/>
  <c r="C114" i="66"/>
  <c r="AL113" i="66"/>
  <c r="AK113" i="66"/>
  <c r="AJ113" i="66"/>
  <c r="AI113" i="66"/>
  <c r="AH113" i="66"/>
  <c r="AG113" i="66"/>
  <c r="AF113" i="66"/>
  <c r="AE113" i="66"/>
  <c r="AD113" i="66"/>
  <c r="AC113" i="66"/>
  <c r="AB113" i="66"/>
  <c r="AA113" i="66"/>
  <c r="Z113" i="66"/>
  <c r="Y113" i="66"/>
  <c r="X113" i="66"/>
  <c r="W113" i="66"/>
  <c r="V113" i="66"/>
  <c r="U113" i="66"/>
  <c r="T113" i="66"/>
  <c r="S113" i="66"/>
  <c r="R113" i="66"/>
  <c r="Q113" i="66"/>
  <c r="P113" i="66"/>
  <c r="O113" i="66"/>
  <c r="N113" i="66"/>
  <c r="M113" i="66"/>
  <c r="L113" i="66"/>
  <c r="K113" i="66"/>
  <c r="J113" i="66"/>
  <c r="I113" i="66"/>
  <c r="H113" i="66"/>
  <c r="G113" i="66"/>
  <c r="F113" i="66"/>
  <c r="E113" i="66"/>
  <c r="D113" i="66"/>
  <c r="C113" i="66"/>
  <c r="AL112" i="66"/>
  <c r="AK112" i="66"/>
  <c r="AJ112" i="66"/>
  <c r="AI112" i="66"/>
  <c r="AH112" i="66"/>
  <c r="AG112" i="66"/>
  <c r="AF112" i="66"/>
  <c r="AE112" i="66"/>
  <c r="AD112" i="66"/>
  <c r="AC112" i="66"/>
  <c r="AB112" i="66"/>
  <c r="AA112" i="66"/>
  <c r="Z112" i="66"/>
  <c r="Y112" i="66"/>
  <c r="X112" i="66"/>
  <c r="W112" i="66"/>
  <c r="V112" i="66"/>
  <c r="U112" i="66"/>
  <c r="T112" i="66"/>
  <c r="S112" i="66"/>
  <c r="R112" i="66"/>
  <c r="Q112" i="66"/>
  <c r="P112" i="66"/>
  <c r="O112" i="66"/>
  <c r="N112" i="66"/>
  <c r="M112" i="66"/>
  <c r="L112" i="66"/>
  <c r="K112" i="66"/>
  <c r="J112" i="66"/>
  <c r="I112" i="66"/>
  <c r="H112" i="66"/>
  <c r="G112" i="66"/>
  <c r="F112" i="66"/>
  <c r="E112" i="66"/>
  <c r="D112" i="66"/>
  <c r="C112" i="66"/>
  <c r="AL111" i="66"/>
  <c r="AK111" i="66"/>
  <c r="AJ111" i="66"/>
  <c r="AI111" i="66"/>
  <c r="AH111" i="66"/>
  <c r="AG111" i="66"/>
  <c r="AF111" i="66"/>
  <c r="AE111" i="66"/>
  <c r="AD111" i="66"/>
  <c r="AC111" i="66"/>
  <c r="AB111" i="66"/>
  <c r="AA111" i="66"/>
  <c r="Z111" i="66"/>
  <c r="Y111" i="66"/>
  <c r="X111" i="66"/>
  <c r="W111" i="66"/>
  <c r="V111" i="66"/>
  <c r="U111" i="66"/>
  <c r="T111" i="66"/>
  <c r="S111" i="66"/>
  <c r="R111" i="66"/>
  <c r="Q111" i="66"/>
  <c r="P111" i="66"/>
  <c r="O111" i="66"/>
  <c r="N111" i="66"/>
  <c r="M111" i="66"/>
  <c r="L111" i="66"/>
  <c r="K111" i="66"/>
  <c r="J111" i="66"/>
  <c r="I111" i="66"/>
  <c r="H111" i="66"/>
  <c r="G111" i="66"/>
  <c r="F111" i="66"/>
  <c r="E111" i="66"/>
  <c r="D111" i="66"/>
  <c r="C111" i="66"/>
  <c r="AL110" i="66"/>
  <c r="AK110" i="66"/>
  <c r="AJ110" i="66"/>
  <c r="AI110" i="66"/>
  <c r="AH110" i="66"/>
  <c r="AG110" i="66"/>
  <c r="AF110" i="66"/>
  <c r="AE110" i="66"/>
  <c r="AD110" i="66"/>
  <c r="AC110" i="66"/>
  <c r="AB110" i="66"/>
  <c r="AA110" i="66"/>
  <c r="Z110" i="66"/>
  <c r="Y110" i="66"/>
  <c r="X110" i="66"/>
  <c r="W110" i="66"/>
  <c r="V110" i="66"/>
  <c r="U110" i="66"/>
  <c r="T110" i="66"/>
  <c r="S110" i="66"/>
  <c r="R110" i="66"/>
  <c r="Q110" i="66"/>
  <c r="P110" i="66"/>
  <c r="O110" i="66"/>
  <c r="N110" i="66"/>
  <c r="M110" i="66"/>
  <c r="L110" i="66"/>
  <c r="K110" i="66"/>
  <c r="J110" i="66"/>
  <c r="I110" i="66"/>
  <c r="H110" i="66"/>
  <c r="G110" i="66"/>
  <c r="F110" i="66"/>
  <c r="E110" i="66"/>
  <c r="D110" i="66"/>
  <c r="C110" i="66"/>
  <c r="AL106" i="66"/>
  <c r="AK106" i="66"/>
  <c r="AJ106" i="66"/>
  <c r="AI106" i="66"/>
  <c r="AH106" i="66"/>
  <c r="AG106" i="66"/>
  <c r="AF106" i="66"/>
  <c r="AE106" i="66"/>
  <c r="AD106" i="66"/>
  <c r="AC106" i="66"/>
  <c r="AB106" i="66"/>
  <c r="AA106" i="66"/>
  <c r="Z106" i="66"/>
  <c r="Y106" i="66"/>
  <c r="X106" i="66"/>
  <c r="W106" i="66"/>
  <c r="V106" i="66"/>
  <c r="U106" i="66"/>
  <c r="T106" i="66"/>
  <c r="S106" i="66"/>
  <c r="R106" i="66"/>
  <c r="Q106" i="66"/>
  <c r="P106" i="66"/>
  <c r="O106" i="66"/>
  <c r="N106" i="66"/>
  <c r="M106" i="66"/>
  <c r="L106" i="66"/>
  <c r="K106" i="66"/>
  <c r="J106" i="66"/>
  <c r="I106" i="66"/>
  <c r="H106" i="66"/>
  <c r="G106" i="66"/>
  <c r="F106" i="66"/>
  <c r="E106" i="66"/>
  <c r="D106" i="66"/>
  <c r="C106" i="66"/>
  <c r="AL105" i="66"/>
  <c r="AK105" i="66"/>
  <c r="AJ105" i="66"/>
  <c r="AI105" i="66"/>
  <c r="AH105" i="66"/>
  <c r="AG105" i="66"/>
  <c r="AF105" i="66"/>
  <c r="AE105" i="66"/>
  <c r="AD105" i="66"/>
  <c r="AC105" i="66"/>
  <c r="AB105" i="66"/>
  <c r="AA105" i="66"/>
  <c r="Z105" i="66"/>
  <c r="Y105" i="66"/>
  <c r="X105" i="66"/>
  <c r="W105" i="66"/>
  <c r="V105" i="66"/>
  <c r="U105" i="66"/>
  <c r="T105" i="66"/>
  <c r="S105" i="66"/>
  <c r="R105" i="66"/>
  <c r="Q105" i="66"/>
  <c r="P105" i="66"/>
  <c r="O105" i="66"/>
  <c r="N105" i="66"/>
  <c r="M105" i="66"/>
  <c r="L105" i="66"/>
  <c r="K105" i="66"/>
  <c r="J105" i="66"/>
  <c r="I105" i="66"/>
  <c r="H105" i="66"/>
  <c r="G105" i="66"/>
  <c r="F105" i="66"/>
  <c r="E105" i="66"/>
  <c r="D105" i="66"/>
  <c r="C105" i="66"/>
  <c r="AL104" i="66"/>
  <c r="AK104" i="66"/>
  <c r="AJ104" i="66"/>
  <c r="AI104" i="66"/>
  <c r="AH104" i="66"/>
  <c r="AG104" i="66"/>
  <c r="AF104" i="66"/>
  <c r="AE104" i="66"/>
  <c r="AD104" i="66"/>
  <c r="AC104" i="66"/>
  <c r="AB104" i="66"/>
  <c r="AA104" i="66"/>
  <c r="Z104" i="66"/>
  <c r="Y104" i="66"/>
  <c r="X104" i="66"/>
  <c r="W104" i="66"/>
  <c r="V104" i="66"/>
  <c r="U104" i="66"/>
  <c r="T104" i="66"/>
  <c r="S104" i="66"/>
  <c r="R104" i="66"/>
  <c r="Q104" i="66"/>
  <c r="P104" i="66"/>
  <c r="O104" i="66"/>
  <c r="N104" i="66"/>
  <c r="M104" i="66"/>
  <c r="L104" i="66"/>
  <c r="K104" i="66"/>
  <c r="J104" i="66"/>
  <c r="I104" i="66"/>
  <c r="H104" i="66"/>
  <c r="G104" i="66"/>
  <c r="F104" i="66"/>
  <c r="E104" i="66"/>
  <c r="D104" i="66"/>
  <c r="C104" i="66"/>
  <c r="AL103" i="66"/>
  <c r="AK103" i="66"/>
  <c r="AJ103" i="66"/>
  <c r="AI103" i="66"/>
  <c r="AH103" i="66"/>
  <c r="AG103" i="66"/>
  <c r="AF103" i="66"/>
  <c r="AE103" i="66"/>
  <c r="AD103" i="66"/>
  <c r="AC103" i="66"/>
  <c r="AB103" i="66"/>
  <c r="AA103" i="66"/>
  <c r="Z103" i="66"/>
  <c r="Y103" i="66"/>
  <c r="X103" i="66"/>
  <c r="W103" i="66"/>
  <c r="V103" i="66"/>
  <c r="U103" i="66"/>
  <c r="T103" i="66"/>
  <c r="S103" i="66"/>
  <c r="R103" i="66"/>
  <c r="Q103" i="66"/>
  <c r="P103" i="66"/>
  <c r="O103" i="66"/>
  <c r="N103" i="66"/>
  <c r="M103" i="66"/>
  <c r="L103" i="66"/>
  <c r="K103" i="66"/>
  <c r="J103" i="66"/>
  <c r="I103" i="66"/>
  <c r="H103" i="66"/>
  <c r="G103" i="66"/>
  <c r="F103" i="66"/>
  <c r="E103" i="66"/>
  <c r="D103" i="66"/>
  <c r="C103" i="66"/>
  <c r="AL102" i="66"/>
  <c r="AK102" i="66"/>
  <c r="AJ102" i="66"/>
  <c r="AI102" i="66"/>
  <c r="AH102" i="66"/>
  <c r="AG102" i="66"/>
  <c r="AF102" i="66"/>
  <c r="AE102" i="66"/>
  <c r="AD102" i="66"/>
  <c r="AC102" i="66"/>
  <c r="AB102" i="66"/>
  <c r="AA102" i="66"/>
  <c r="Z102" i="66"/>
  <c r="Y102" i="66"/>
  <c r="X102" i="66"/>
  <c r="W102" i="66"/>
  <c r="V102" i="66"/>
  <c r="U102" i="66"/>
  <c r="T102" i="66"/>
  <c r="S102" i="66"/>
  <c r="R102" i="66"/>
  <c r="Q102" i="66"/>
  <c r="P102" i="66"/>
  <c r="O102" i="66"/>
  <c r="N102" i="66"/>
  <c r="M102" i="66"/>
  <c r="L102" i="66"/>
  <c r="K102" i="66"/>
  <c r="J102" i="66"/>
  <c r="I102" i="66"/>
  <c r="H102" i="66"/>
  <c r="G102" i="66"/>
  <c r="F102" i="66"/>
  <c r="E102" i="66"/>
  <c r="D102" i="66"/>
  <c r="C102" i="66"/>
  <c r="AL101" i="66"/>
  <c r="AK101" i="66"/>
  <c r="AJ101" i="66"/>
  <c r="AI101" i="66"/>
  <c r="AH101" i="66"/>
  <c r="AG101" i="66"/>
  <c r="AF101" i="66"/>
  <c r="AE101" i="66"/>
  <c r="AD101" i="66"/>
  <c r="AC101" i="66"/>
  <c r="AB101" i="66"/>
  <c r="AA101" i="66"/>
  <c r="Z101" i="66"/>
  <c r="Y101" i="66"/>
  <c r="X101" i="66"/>
  <c r="W101" i="66"/>
  <c r="V101" i="66"/>
  <c r="U101" i="66"/>
  <c r="T101" i="66"/>
  <c r="S101" i="66"/>
  <c r="R101" i="66"/>
  <c r="Q101" i="66"/>
  <c r="P101" i="66"/>
  <c r="O101" i="66"/>
  <c r="N101" i="66"/>
  <c r="M101" i="66"/>
  <c r="L101" i="66"/>
  <c r="K101" i="66"/>
  <c r="J101" i="66"/>
  <c r="I101" i="66"/>
  <c r="H101" i="66"/>
  <c r="G101" i="66"/>
  <c r="F101" i="66"/>
  <c r="E101" i="66"/>
  <c r="D101" i="66"/>
  <c r="C101" i="66"/>
  <c r="AL100" i="66"/>
  <c r="AK100" i="66"/>
  <c r="AJ100" i="66"/>
  <c r="AI100" i="66"/>
  <c r="AH100" i="66"/>
  <c r="AG100" i="66"/>
  <c r="AF100" i="66"/>
  <c r="AE100" i="66"/>
  <c r="AD100" i="66"/>
  <c r="AC100" i="66"/>
  <c r="AB100" i="66"/>
  <c r="AA100" i="66"/>
  <c r="Z100" i="66"/>
  <c r="Y100" i="66"/>
  <c r="X100" i="66"/>
  <c r="W100" i="66"/>
  <c r="V100" i="66"/>
  <c r="U100" i="66"/>
  <c r="T100" i="66"/>
  <c r="S100" i="66"/>
  <c r="R100" i="66"/>
  <c r="Q100" i="66"/>
  <c r="P100" i="66"/>
  <c r="O100" i="66"/>
  <c r="N100" i="66"/>
  <c r="M100" i="66"/>
  <c r="L100" i="66"/>
  <c r="K100" i="66"/>
  <c r="J100" i="66"/>
  <c r="I100" i="66"/>
  <c r="H100" i="66"/>
  <c r="G100" i="66"/>
  <c r="F100" i="66"/>
  <c r="E100" i="66"/>
  <c r="D100" i="66"/>
  <c r="C100" i="66"/>
  <c r="AL99" i="66"/>
  <c r="AK99" i="66"/>
  <c r="AJ99" i="66"/>
  <c r="AI99" i="66"/>
  <c r="AH99" i="66"/>
  <c r="AG99" i="66"/>
  <c r="AF99" i="66"/>
  <c r="AE99" i="66"/>
  <c r="AD99" i="66"/>
  <c r="AC99" i="66"/>
  <c r="AB99" i="66"/>
  <c r="AA99" i="66"/>
  <c r="Z99" i="66"/>
  <c r="Y99" i="66"/>
  <c r="X99" i="66"/>
  <c r="W99" i="66"/>
  <c r="V99" i="66"/>
  <c r="U99" i="66"/>
  <c r="T99" i="66"/>
  <c r="S99" i="66"/>
  <c r="R99" i="66"/>
  <c r="Q99" i="66"/>
  <c r="P99" i="66"/>
  <c r="O99" i="66"/>
  <c r="N99" i="66"/>
  <c r="M99" i="66"/>
  <c r="L99" i="66"/>
  <c r="K99" i="66"/>
  <c r="J99" i="66"/>
  <c r="I99" i="66"/>
  <c r="H99" i="66"/>
  <c r="G99" i="66"/>
  <c r="F99" i="66"/>
  <c r="E99" i="66"/>
  <c r="D99" i="66"/>
  <c r="C99" i="66"/>
  <c r="AL98" i="66"/>
  <c r="AK98" i="66"/>
  <c r="AJ98" i="66"/>
  <c r="AI98" i="66"/>
  <c r="AH98" i="66"/>
  <c r="AG98" i="66"/>
  <c r="AF98" i="66"/>
  <c r="AE98" i="66"/>
  <c r="AD98" i="66"/>
  <c r="AC98" i="66"/>
  <c r="AB98" i="66"/>
  <c r="AA98" i="66"/>
  <c r="Z98" i="66"/>
  <c r="Y98" i="66"/>
  <c r="X98" i="66"/>
  <c r="W98" i="66"/>
  <c r="V98" i="66"/>
  <c r="U98" i="66"/>
  <c r="T98" i="66"/>
  <c r="S98" i="66"/>
  <c r="R98" i="66"/>
  <c r="Q98" i="66"/>
  <c r="P98" i="66"/>
  <c r="O98" i="66"/>
  <c r="N98" i="66"/>
  <c r="M98" i="66"/>
  <c r="L98" i="66"/>
  <c r="K98" i="66"/>
  <c r="J98" i="66"/>
  <c r="I98" i="66"/>
  <c r="H98" i="66"/>
  <c r="G98" i="66"/>
  <c r="F98" i="66"/>
  <c r="E98" i="66"/>
  <c r="D98" i="66"/>
  <c r="C98" i="66"/>
  <c r="AL90" i="66"/>
  <c r="AK90" i="66"/>
  <c r="AJ90" i="66"/>
  <c r="AI90" i="66"/>
  <c r="AH90" i="66"/>
  <c r="AG90" i="66"/>
  <c r="AF90" i="66"/>
  <c r="AE90" i="66"/>
  <c r="AD90" i="66"/>
  <c r="AC90" i="66"/>
  <c r="AB90" i="66"/>
  <c r="AA90" i="66"/>
  <c r="Z90" i="66"/>
  <c r="Y90" i="66"/>
  <c r="X90" i="66"/>
  <c r="W90" i="66"/>
  <c r="V90" i="66"/>
  <c r="U90" i="66"/>
  <c r="T90" i="66"/>
  <c r="S90" i="66"/>
  <c r="R90" i="66"/>
  <c r="Q90" i="66"/>
  <c r="P90" i="66"/>
  <c r="O90" i="66"/>
  <c r="N90" i="66"/>
  <c r="M90" i="66"/>
  <c r="L90" i="66"/>
  <c r="K90" i="66"/>
  <c r="J90" i="66"/>
  <c r="I90" i="66"/>
  <c r="H90" i="66"/>
  <c r="G90" i="66"/>
  <c r="F90" i="66"/>
  <c r="E90" i="66"/>
  <c r="D90" i="66"/>
  <c r="C90" i="66"/>
  <c r="AL89" i="66"/>
  <c r="AK89" i="66"/>
  <c r="AJ89" i="66"/>
  <c r="AI89" i="66"/>
  <c r="AH89" i="66"/>
  <c r="AG89" i="66"/>
  <c r="AF89" i="66"/>
  <c r="AE89" i="66"/>
  <c r="AD89" i="66"/>
  <c r="AC89" i="66"/>
  <c r="AB89" i="66"/>
  <c r="AA89" i="66"/>
  <c r="Z89" i="66"/>
  <c r="Y89" i="66"/>
  <c r="X89" i="66"/>
  <c r="W89" i="66"/>
  <c r="V89" i="66"/>
  <c r="U89" i="66"/>
  <c r="T89" i="66"/>
  <c r="S89" i="66"/>
  <c r="R89" i="66"/>
  <c r="Q89" i="66"/>
  <c r="P89" i="66"/>
  <c r="O89" i="66"/>
  <c r="N89" i="66"/>
  <c r="M89" i="66"/>
  <c r="L89" i="66"/>
  <c r="K89" i="66"/>
  <c r="J89" i="66"/>
  <c r="I89" i="66"/>
  <c r="H89" i="66"/>
  <c r="G89" i="66"/>
  <c r="F89" i="66"/>
  <c r="E89" i="66"/>
  <c r="D89" i="66"/>
  <c r="C89" i="66"/>
  <c r="AL88" i="66"/>
  <c r="AK88" i="66"/>
  <c r="AJ88" i="66"/>
  <c r="AI88" i="66"/>
  <c r="AH88" i="66"/>
  <c r="AG88" i="66"/>
  <c r="AF88" i="66"/>
  <c r="AE88" i="66"/>
  <c r="AD88" i="66"/>
  <c r="AC88" i="66"/>
  <c r="AB88" i="66"/>
  <c r="AA88" i="66"/>
  <c r="Z88" i="66"/>
  <c r="Y88" i="66"/>
  <c r="X88" i="66"/>
  <c r="W88" i="66"/>
  <c r="V88" i="66"/>
  <c r="U88" i="66"/>
  <c r="T88" i="66"/>
  <c r="S88" i="66"/>
  <c r="R88" i="66"/>
  <c r="Q88" i="66"/>
  <c r="P88" i="66"/>
  <c r="O88" i="66"/>
  <c r="N88" i="66"/>
  <c r="M88" i="66"/>
  <c r="L88" i="66"/>
  <c r="K88" i="66"/>
  <c r="J88" i="66"/>
  <c r="I88" i="66"/>
  <c r="H88" i="66"/>
  <c r="G88" i="66"/>
  <c r="F88" i="66"/>
  <c r="E88" i="66"/>
  <c r="D88" i="66"/>
  <c r="C88" i="66"/>
  <c r="AL87" i="66"/>
  <c r="AK87" i="66"/>
  <c r="AJ87" i="66"/>
  <c r="AI87" i="66"/>
  <c r="AH87" i="66"/>
  <c r="AG87" i="66"/>
  <c r="AF87" i="66"/>
  <c r="AE87" i="66"/>
  <c r="AD87" i="66"/>
  <c r="AC87" i="66"/>
  <c r="AB87" i="66"/>
  <c r="AA87" i="66"/>
  <c r="Z87" i="66"/>
  <c r="Y87" i="66"/>
  <c r="X87" i="66"/>
  <c r="W87" i="66"/>
  <c r="V87" i="66"/>
  <c r="U87" i="66"/>
  <c r="T87" i="66"/>
  <c r="S87" i="66"/>
  <c r="R87" i="66"/>
  <c r="Q87" i="66"/>
  <c r="P87" i="66"/>
  <c r="O87" i="66"/>
  <c r="N87" i="66"/>
  <c r="M87" i="66"/>
  <c r="L87" i="66"/>
  <c r="K87" i="66"/>
  <c r="J87" i="66"/>
  <c r="I87" i="66"/>
  <c r="H87" i="66"/>
  <c r="G87" i="66"/>
  <c r="F87" i="66"/>
  <c r="E87" i="66"/>
  <c r="D87" i="66"/>
  <c r="C87" i="66"/>
  <c r="AL86" i="66"/>
  <c r="AK86" i="66"/>
  <c r="AJ86" i="66"/>
  <c r="AI86" i="66"/>
  <c r="AH86" i="66"/>
  <c r="AG86" i="66"/>
  <c r="AF86" i="66"/>
  <c r="AE86" i="66"/>
  <c r="AD86" i="66"/>
  <c r="AC86" i="66"/>
  <c r="AB86" i="66"/>
  <c r="AA86" i="66"/>
  <c r="Z86" i="66"/>
  <c r="Y86" i="66"/>
  <c r="X86" i="66"/>
  <c r="W86" i="66"/>
  <c r="V86" i="66"/>
  <c r="U86" i="66"/>
  <c r="T86" i="66"/>
  <c r="S86" i="66"/>
  <c r="R86" i="66"/>
  <c r="Q86" i="66"/>
  <c r="P86" i="66"/>
  <c r="O86" i="66"/>
  <c r="N86" i="66"/>
  <c r="M86" i="66"/>
  <c r="L86" i="66"/>
  <c r="K86" i="66"/>
  <c r="J86" i="66"/>
  <c r="I86" i="66"/>
  <c r="H86" i="66"/>
  <c r="G86" i="66"/>
  <c r="F86" i="66"/>
  <c r="E86" i="66"/>
  <c r="D86" i="66"/>
  <c r="C86" i="66"/>
  <c r="AL85" i="66"/>
  <c r="AK85" i="66"/>
  <c r="AJ85" i="66"/>
  <c r="AI85" i="66"/>
  <c r="AH85" i="66"/>
  <c r="AG85" i="66"/>
  <c r="AF85" i="66"/>
  <c r="AE85" i="66"/>
  <c r="AD85" i="66"/>
  <c r="AC85" i="66"/>
  <c r="AB85" i="66"/>
  <c r="AA85" i="66"/>
  <c r="Z85" i="66"/>
  <c r="Y85" i="66"/>
  <c r="X85" i="66"/>
  <c r="W85" i="66"/>
  <c r="V85" i="66"/>
  <c r="U85" i="66"/>
  <c r="T85" i="66"/>
  <c r="S85" i="66"/>
  <c r="R85" i="66"/>
  <c r="Q85" i="66"/>
  <c r="P85" i="66"/>
  <c r="O85" i="66"/>
  <c r="N85" i="66"/>
  <c r="M85" i="66"/>
  <c r="L85" i="66"/>
  <c r="K85" i="66"/>
  <c r="J85" i="66"/>
  <c r="I85" i="66"/>
  <c r="H85" i="66"/>
  <c r="G85" i="66"/>
  <c r="F85" i="66"/>
  <c r="E85" i="66"/>
  <c r="D85" i="66"/>
  <c r="C85" i="66"/>
  <c r="AL84" i="66"/>
  <c r="AK84" i="66"/>
  <c r="AJ84" i="66"/>
  <c r="AI84" i="66"/>
  <c r="AH84" i="66"/>
  <c r="AG84" i="66"/>
  <c r="AF84" i="66"/>
  <c r="AE84" i="66"/>
  <c r="AD84" i="66"/>
  <c r="AC84" i="66"/>
  <c r="AB84" i="66"/>
  <c r="AA84" i="66"/>
  <c r="Z84" i="66"/>
  <c r="Y84" i="66"/>
  <c r="X84" i="66"/>
  <c r="W84" i="66"/>
  <c r="V84" i="66"/>
  <c r="U84" i="66"/>
  <c r="T84" i="66"/>
  <c r="S84" i="66"/>
  <c r="R84" i="66"/>
  <c r="Q84" i="66"/>
  <c r="P84" i="66"/>
  <c r="O84" i="66"/>
  <c r="N84" i="66"/>
  <c r="M84" i="66"/>
  <c r="L84" i="66"/>
  <c r="K84" i="66"/>
  <c r="J84" i="66"/>
  <c r="I84" i="66"/>
  <c r="H84" i="66"/>
  <c r="G84" i="66"/>
  <c r="F84" i="66"/>
  <c r="E84" i="66"/>
  <c r="D84" i="66"/>
  <c r="C84" i="66"/>
  <c r="AL83" i="66"/>
  <c r="AK83" i="66"/>
  <c r="AJ83" i="66"/>
  <c r="AI83" i="66"/>
  <c r="AH83" i="66"/>
  <c r="AG83" i="66"/>
  <c r="AF83" i="66"/>
  <c r="AE83" i="66"/>
  <c r="AD83" i="66"/>
  <c r="AC83" i="66"/>
  <c r="AB83" i="66"/>
  <c r="AA83" i="66"/>
  <c r="Z83" i="66"/>
  <c r="Y83" i="66"/>
  <c r="X83" i="66"/>
  <c r="W83" i="66"/>
  <c r="V83" i="66"/>
  <c r="U83" i="66"/>
  <c r="T83" i="66"/>
  <c r="S83" i="66"/>
  <c r="R83" i="66"/>
  <c r="Q83" i="66"/>
  <c r="P83" i="66"/>
  <c r="O83" i="66"/>
  <c r="N83" i="66"/>
  <c r="M83" i="66"/>
  <c r="L83" i="66"/>
  <c r="K83" i="66"/>
  <c r="J83" i="66"/>
  <c r="I83" i="66"/>
  <c r="H83" i="66"/>
  <c r="G83" i="66"/>
  <c r="F83" i="66"/>
  <c r="E83" i="66"/>
  <c r="D83" i="66"/>
  <c r="C83" i="66"/>
  <c r="AL82" i="66"/>
  <c r="AK82" i="66"/>
  <c r="AJ82" i="66"/>
  <c r="AI82" i="66"/>
  <c r="AH82" i="66"/>
  <c r="AG82" i="66"/>
  <c r="AF82" i="66"/>
  <c r="AE82" i="66"/>
  <c r="AD82" i="66"/>
  <c r="AC82" i="66"/>
  <c r="AB82" i="66"/>
  <c r="AA82" i="66"/>
  <c r="Z82" i="66"/>
  <c r="Y82" i="66"/>
  <c r="X82" i="66"/>
  <c r="W82" i="66"/>
  <c r="V82" i="66"/>
  <c r="U82" i="66"/>
  <c r="T82" i="66"/>
  <c r="S82" i="66"/>
  <c r="R82" i="66"/>
  <c r="Q82" i="66"/>
  <c r="P82" i="66"/>
  <c r="O82" i="66"/>
  <c r="N82" i="66"/>
  <c r="M82" i="66"/>
  <c r="L82" i="66"/>
  <c r="K82" i="66"/>
  <c r="J82" i="66"/>
  <c r="I82" i="66"/>
  <c r="H82" i="66"/>
  <c r="G82" i="66"/>
  <c r="F82" i="66"/>
  <c r="E82" i="66"/>
  <c r="D82" i="66"/>
  <c r="C82" i="66"/>
  <c r="AL78" i="66"/>
  <c r="AK78" i="66"/>
  <c r="AJ78" i="66"/>
  <c r="AI78" i="66"/>
  <c r="AH78" i="66"/>
  <c r="AG78" i="66"/>
  <c r="AF78" i="66"/>
  <c r="AE78" i="66"/>
  <c r="AD78" i="66"/>
  <c r="AC78" i="66"/>
  <c r="AB78" i="66"/>
  <c r="AA78" i="66"/>
  <c r="Z78" i="66"/>
  <c r="Y78" i="66"/>
  <c r="X78" i="66"/>
  <c r="W78" i="66"/>
  <c r="V78" i="66"/>
  <c r="U78" i="66"/>
  <c r="T78" i="66"/>
  <c r="S78" i="66"/>
  <c r="R78" i="66"/>
  <c r="Q78" i="66"/>
  <c r="P78" i="66"/>
  <c r="O78" i="66"/>
  <c r="N78" i="66"/>
  <c r="M78" i="66"/>
  <c r="L78" i="66"/>
  <c r="K78" i="66"/>
  <c r="J78" i="66"/>
  <c r="I78" i="66"/>
  <c r="H78" i="66"/>
  <c r="G78" i="66"/>
  <c r="F78" i="66"/>
  <c r="E78" i="66"/>
  <c r="D78" i="66"/>
  <c r="C78" i="66"/>
  <c r="AL77" i="66"/>
  <c r="AK77" i="66"/>
  <c r="AJ77" i="66"/>
  <c r="AI77" i="66"/>
  <c r="AH77" i="66"/>
  <c r="AG77" i="66"/>
  <c r="AF77" i="66"/>
  <c r="AE77" i="66"/>
  <c r="AD77" i="66"/>
  <c r="AC77" i="66"/>
  <c r="AB77" i="66"/>
  <c r="AA77" i="66"/>
  <c r="Z77" i="66"/>
  <c r="Y77" i="66"/>
  <c r="X77" i="66"/>
  <c r="W77" i="66"/>
  <c r="V77" i="66"/>
  <c r="U77" i="66"/>
  <c r="T77" i="66"/>
  <c r="S77" i="66"/>
  <c r="R77" i="66"/>
  <c r="Q77" i="66"/>
  <c r="P77" i="66"/>
  <c r="O77" i="66"/>
  <c r="N77" i="66"/>
  <c r="M77" i="66"/>
  <c r="L77" i="66"/>
  <c r="K77" i="66"/>
  <c r="J77" i="66"/>
  <c r="I77" i="66"/>
  <c r="H77" i="66"/>
  <c r="G77" i="66"/>
  <c r="F77" i="66"/>
  <c r="E77" i="66"/>
  <c r="D77" i="66"/>
  <c r="C77" i="66"/>
  <c r="AL76" i="66"/>
  <c r="AK76" i="66"/>
  <c r="AJ76" i="66"/>
  <c r="AI76" i="66"/>
  <c r="AH76" i="66"/>
  <c r="AG76" i="66"/>
  <c r="AF76" i="66"/>
  <c r="AE76" i="66"/>
  <c r="AD76" i="66"/>
  <c r="AC76" i="66"/>
  <c r="AB76" i="66"/>
  <c r="AA76" i="66"/>
  <c r="Z76" i="66"/>
  <c r="Y76" i="66"/>
  <c r="X76" i="66"/>
  <c r="W76" i="66"/>
  <c r="V76" i="66"/>
  <c r="U76" i="66"/>
  <c r="T76" i="66"/>
  <c r="S76" i="66"/>
  <c r="R76" i="66"/>
  <c r="Q76" i="66"/>
  <c r="P76" i="66"/>
  <c r="O76" i="66"/>
  <c r="N76" i="66"/>
  <c r="M76" i="66"/>
  <c r="L76" i="66"/>
  <c r="K76" i="66"/>
  <c r="J76" i="66"/>
  <c r="I76" i="66"/>
  <c r="H76" i="66"/>
  <c r="G76" i="66"/>
  <c r="F76" i="66"/>
  <c r="E76" i="66"/>
  <c r="D76" i="66"/>
  <c r="C76" i="66"/>
  <c r="AL75" i="66"/>
  <c r="AK75" i="66"/>
  <c r="AJ75" i="66"/>
  <c r="AI75" i="66"/>
  <c r="AH75" i="66"/>
  <c r="AG75" i="66"/>
  <c r="AF75" i="66"/>
  <c r="AE75" i="66"/>
  <c r="AD75" i="66"/>
  <c r="AC75" i="66"/>
  <c r="AB75" i="66"/>
  <c r="AA75" i="66"/>
  <c r="Z75" i="66"/>
  <c r="Y75" i="66"/>
  <c r="X75" i="66"/>
  <c r="W75" i="66"/>
  <c r="V75" i="66"/>
  <c r="U75" i="66"/>
  <c r="T75" i="66"/>
  <c r="S75" i="66"/>
  <c r="R75" i="66"/>
  <c r="Q75" i="66"/>
  <c r="P75" i="66"/>
  <c r="O75" i="66"/>
  <c r="N75" i="66"/>
  <c r="M75" i="66"/>
  <c r="L75" i="66"/>
  <c r="K75" i="66"/>
  <c r="J75" i="66"/>
  <c r="I75" i="66"/>
  <c r="H75" i="66"/>
  <c r="G75" i="66"/>
  <c r="F75" i="66"/>
  <c r="E75" i="66"/>
  <c r="D75" i="66"/>
  <c r="C75" i="66"/>
  <c r="AL74" i="66"/>
  <c r="AK74" i="66"/>
  <c r="AJ74" i="66"/>
  <c r="AI74" i="66"/>
  <c r="AH74" i="66"/>
  <c r="AG74" i="66"/>
  <c r="AF74" i="66"/>
  <c r="AE74" i="66"/>
  <c r="AD74" i="66"/>
  <c r="AC74" i="66"/>
  <c r="AB74" i="66"/>
  <c r="AA74" i="66"/>
  <c r="Z74" i="66"/>
  <c r="Y74" i="66"/>
  <c r="X74" i="66"/>
  <c r="W74" i="66"/>
  <c r="V74" i="66"/>
  <c r="U74" i="66"/>
  <c r="T74" i="66"/>
  <c r="S74" i="66"/>
  <c r="R74" i="66"/>
  <c r="Q74" i="66"/>
  <c r="P74" i="66"/>
  <c r="O74" i="66"/>
  <c r="N74" i="66"/>
  <c r="M74" i="66"/>
  <c r="L74" i="66"/>
  <c r="K74" i="66"/>
  <c r="J74" i="66"/>
  <c r="I74" i="66"/>
  <c r="H74" i="66"/>
  <c r="G74" i="66"/>
  <c r="F74" i="66"/>
  <c r="E74" i="66"/>
  <c r="D74" i="66"/>
  <c r="C74" i="66"/>
  <c r="AL73" i="66"/>
  <c r="AK73" i="66"/>
  <c r="AJ73" i="66"/>
  <c r="AI73" i="66"/>
  <c r="AH73" i="66"/>
  <c r="AG73" i="66"/>
  <c r="AF73" i="66"/>
  <c r="AE73" i="66"/>
  <c r="AD73" i="66"/>
  <c r="AC73" i="66"/>
  <c r="AB73" i="66"/>
  <c r="AA73" i="66"/>
  <c r="Z73" i="66"/>
  <c r="Y73" i="66"/>
  <c r="X73" i="66"/>
  <c r="W73" i="66"/>
  <c r="V73" i="66"/>
  <c r="U73" i="66"/>
  <c r="T73" i="66"/>
  <c r="S73" i="66"/>
  <c r="R73" i="66"/>
  <c r="Q73" i="66"/>
  <c r="P73" i="66"/>
  <c r="O73" i="66"/>
  <c r="N73" i="66"/>
  <c r="M73" i="66"/>
  <c r="L73" i="66"/>
  <c r="K73" i="66"/>
  <c r="J73" i="66"/>
  <c r="I73" i="66"/>
  <c r="H73" i="66"/>
  <c r="G73" i="66"/>
  <c r="F73" i="66"/>
  <c r="E73" i="66"/>
  <c r="D73" i="66"/>
  <c r="C73" i="66"/>
  <c r="AL72" i="66"/>
  <c r="AK72" i="66"/>
  <c r="AJ72" i="66"/>
  <c r="AI72" i="66"/>
  <c r="AH72" i="66"/>
  <c r="AG72" i="66"/>
  <c r="AF72" i="66"/>
  <c r="AE72" i="66"/>
  <c r="AD72" i="66"/>
  <c r="AC72" i="66"/>
  <c r="AB72" i="66"/>
  <c r="AA72" i="66"/>
  <c r="Z72" i="66"/>
  <c r="Y72" i="66"/>
  <c r="X72" i="66"/>
  <c r="W72" i="66"/>
  <c r="V72" i="66"/>
  <c r="U72" i="66"/>
  <c r="T72" i="66"/>
  <c r="S72" i="66"/>
  <c r="R72" i="66"/>
  <c r="Q72" i="66"/>
  <c r="P72" i="66"/>
  <c r="O72" i="66"/>
  <c r="N72" i="66"/>
  <c r="M72" i="66"/>
  <c r="L72" i="66"/>
  <c r="K72" i="66"/>
  <c r="J72" i="66"/>
  <c r="I72" i="66"/>
  <c r="H72" i="66"/>
  <c r="G72" i="66"/>
  <c r="F72" i="66"/>
  <c r="E72" i="66"/>
  <c r="D72" i="66"/>
  <c r="C72" i="66"/>
  <c r="AL71" i="66"/>
  <c r="AK71" i="66"/>
  <c r="AJ71" i="66"/>
  <c r="AI71" i="66"/>
  <c r="AH71" i="66"/>
  <c r="AG71" i="66"/>
  <c r="AF71" i="66"/>
  <c r="AE71" i="66"/>
  <c r="AD71" i="66"/>
  <c r="AC71" i="66"/>
  <c r="AB71" i="66"/>
  <c r="AA71" i="66"/>
  <c r="Z71" i="66"/>
  <c r="Y71" i="66"/>
  <c r="X71" i="66"/>
  <c r="W71" i="66"/>
  <c r="V71" i="66"/>
  <c r="U71" i="66"/>
  <c r="T71" i="66"/>
  <c r="S71" i="66"/>
  <c r="R71" i="66"/>
  <c r="Q71" i="66"/>
  <c r="P71" i="66"/>
  <c r="O71" i="66"/>
  <c r="N71" i="66"/>
  <c r="M71" i="66"/>
  <c r="L71" i="66"/>
  <c r="K71" i="66"/>
  <c r="J71" i="66"/>
  <c r="I71" i="66"/>
  <c r="H71" i="66"/>
  <c r="G71" i="66"/>
  <c r="F71" i="66"/>
  <c r="E71" i="66"/>
  <c r="D71" i="66"/>
  <c r="C71" i="66"/>
  <c r="AL70" i="66"/>
  <c r="AK70" i="66"/>
  <c r="AJ70" i="66"/>
  <c r="AI70" i="66"/>
  <c r="AH70" i="66"/>
  <c r="AG70" i="66"/>
  <c r="AF70" i="66"/>
  <c r="AE70" i="66"/>
  <c r="AD70" i="66"/>
  <c r="AC70" i="66"/>
  <c r="AB70" i="66"/>
  <c r="AA70" i="66"/>
  <c r="Z70" i="66"/>
  <c r="Y70" i="66"/>
  <c r="X70" i="66"/>
  <c r="W70" i="66"/>
  <c r="V70" i="66"/>
  <c r="U70" i="66"/>
  <c r="T70" i="66"/>
  <c r="S70" i="66"/>
  <c r="R70" i="66"/>
  <c r="Q70" i="66"/>
  <c r="P70" i="66"/>
  <c r="O70" i="66"/>
  <c r="N70" i="66"/>
  <c r="M70" i="66"/>
  <c r="L70" i="66"/>
  <c r="K70" i="66"/>
  <c r="J70" i="66"/>
  <c r="I70" i="66"/>
  <c r="H70" i="66"/>
  <c r="G70" i="66"/>
  <c r="F70" i="66"/>
  <c r="E70" i="66"/>
  <c r="D70" i="66"/>
  <c r="C70" i="66"/>
  <c r="AL66" i="66"/>
  <c r="AK66" i="66"/>
  <c r="AJ66" i="66"/>
  <c r="AI66" i="66"/>
  <c r="AH66" i="66"/>
  <c r="AG66" i="66"/>
  <c r="AF66" i="66"/>
  <c r="AE66" i="66"/>
  <c r="AD66" i="66"/>
  <c r="AC66" i="66"/>
  <c r="AB66" i="66"/>
  <c r="AA66" i="66"/>
  <c r="Z66" i="66"/>
  <c r="Y66" i="66"/>
  <c r="X66" i="66"/>
  <c r="W66" i="66"/>
  <c r="V66" i="66"/>
  <c r="U66" i="66"/>
  <c r="T66" i="66"/>
  <c r="S66" i="66"/>
  <c r="R66" i="66"/>
  <c r="Q66" i="66"/>
  <c r="P66" i="66"/>
  <c r="O66" i="66"/>
  <c r="N66" i="66"/>
  <c r="M66" i="66"/>
  <c r="L66" i="66"/>
  <c r="K66" i="66"/>
  <c r="J66" i="66"/>
  <c r="I66" i="66"/>
  <c r="H66" i="66"/>
  <c r="G66" i="66"/>
  <c r="F66" i="66"/>
  <c r="E66" i="66"/>
  <c r="D66" i="66"/>
  <c r="C66" i="66"/>
  <c r="AL65" i="66"/>
  <c r="AK65" i="66"/>
  <c r="AJ65" i="66"/>
  <c r="AI65" i="66"/>
  <c r="AH65" i="66"/>
  <c r="AG65" i="66"/>
  <c r="AF65" i="66"/>
  <c r="AE65" i="66"/>
  <c r="AD65" i="66"/>
  <c r="AC65" i="66"/>
  <c r="AB65" i="66"/>
  <c r="AA65" i="66"/>
  <c r="Z65" i="66"/>
  <c r="Y65" i="66"/>
  <c r="X65" i="66"/>
  <c r="W65" i="66"/>
  <c r="V65" i="66"/>
  <c r="U65" i="66"/>
  <c r="T65" i="66"/>
  <c r="S65" i="66"/>
  <c r="R65" i="66"/>
  <c r="Q65" i="66"/>
  <c r="P65" i="66"/>
  <c r="O65" i="66"/>
  <c r="N65" i="66"/>
  <c r="M65" i="66"/>
  <c r="L65" i="66"/>
  <c r="K65" i="66"/>
  <c r="J65" i="66"/>
  <c r="I65" i="66"/>
  <c r="H65" i="66"/>
  <c r="G65" i="66"/>
  <c r="F65" i="66"/>
  <c r="E65" i="66"/>
  <c r="D65" i="66"/>
  <c r="C65" i="66"/>
  <c r="AL64" i="66"/>
  <c r="AK64" i="66"/>
  <c r="AJ64" i="66"/>
  <c r="AI64" i="66"/>
  <c r="AH64" i="66"/>
  <c r="AG64" i="66"/>
  <c r="AF64" i="66"/>
  <c r="AE64" i="66"/>
  <c r="AD64" i="66"/>
  <c r="AC64" i="66"/>
  <c r="AB64" i="66"/>
  <c r="AA64" i="66"/>
  <c r="Z64" i="66"/>
  <c r="Y64" i="66"/>
  <c r="X64" i="66"/>
  <c r="W64" i="66"/>
  <c r="V64" i="66"/>
  <c r="U64" i="66"/>
  <c r="T64" i="66"/>
  <c r="S64" i="66"/>
  <c r="R64" i="66"/>
  <c r="Q64" i="66"/>
  <c r="P64" i="66"/>
  <c r="O64" i="66"/>
  <c r="N64" i="66"/>
  <c r="M64" i="66"/>
  <c r="L64" i="66"/>
  <c r="K64" i="66"/>
  <c r="J64" i="66"/>
  <c r="I64" i="66"/>
  <c r="H64" i="66"/>
  <c r="G64" i="66"/>
  <c r="F64" i="66"/>
  <c r="E64" i="66"/>
  <c r="D64" i="66"/>
  <c r="C64" i="66"/>
  <c r="AL63" i="66"/>
  <c r="AK63" i="66"/>
  <c r="AJ63" i="66"/>
  <c r="AI63" i="66"/>
  <c r="AH63" i="66"/>
  <c r="AG63" i="66"/>
  <c r="AF63" i="66"/>
  <c r="AE63" i="66"/>
  <c r="AD63" i="66"/>
  <c r="AC63" i="66"/>
  <c r="AB63" i="66"/>
  <c r="AA63" i="66"/>
  <c r="Z63" i="66"/>
  <c r="Y63" i="66"/>
  <c r="X63" i="66"/>
  <c r="W63" i="66"/>
  <c r="V63" i="66"/>
  <c r="U63" i="66"/>
  <c r="T63" i="66"/>
  <c r="S63" i="66"/>
  <c r="R63" i="66"/>
  <c r="Q63" i="66"/>
  <c r="P63" i="66"/>
  <c r="O63" i="66"/>
  <c r="N63" i="66"/>
  <c r="M63" i="66"/>
  <c r="L63" i="66"/>
  <c r="K63" i="66"/>
  <c r="J63" i="66"/>
  <c r="I63" i="66"/>
  <c r="H63" i="66"/>
  <c r="G63" i="66"/>
  <c r="F63" i="66"/>
  <c r="E63" i="66"/>
  <c r="D63" i="66"/>
  <c r="C63" i="66"/>
  <c r="AL62" i="66"/>
  <c r="AK62" i="66"/>
  <c r="AJ62" i="66"/>
  <c r="AI62" i="66"/>
  <c r="AH62" i="66"/>
  <c r="AG62" i="66"/>
  <c r="AF62" i="66"/>
  <c r="AE62" i="66"/>
  <c r="AD62" i="66"/>
  <c r="AC62" i="66"/>
  <c r="AB62" i="66"/>
  <c r="AA62" i="66"/>
  <c r="Z62" i="66"/>
  <c r="Y62" i="66"/>
  <c r="X62" i="66"/>
  <c r="W62" i="66"/>
  <c r="V62" i="66"/>
  <c r="U62" i="66"/>
  <c r="T62" i="66"/>
  <c r="S62" i="66"/>
  <c r="R62" i="66"/>
  <c r="Q62" i="66"/>
  <c r="P62" i="66"/>
  <c r="O62" i="66"/>
  <c r="N62" i="66"/>
  <c r="M62" i="66"/>
  <c r="L62" i="66"/>
  <c r="K62" i="66"/>
  <c r="J62" i="66"/>
  <c r="I62" i="66"/>
  <c r="H62" i="66"/>
  <c r="G62" i="66"/>
  <c r="F62" i="66"/>
  <c r="E62" i="66"/>
  <c r="D62" i="66"/>
  <c r="C62" i="66"/>
  <c r="AL61" i="66"/>
  <c r="AK61" i="66"/>
  <c r="AJ61" i="66"/>
  <c r="AI61" i="66"/>
  <c r="AH61" i="66"/>
  <c r="AG61" i="66"/>
  <c r="AF61" i="66"/>
  <c r="AE61" i="66"/>
  <c r="AD61" i="66"/>
  <c r="AC61" i="66"/>
  <c r="AB61" i="66"/>
  <c r="AA61" i="66"/>
  <c r="Z61" i="66"/>
  <c r="Y61" i="66"/>
  <c r="X61" i="66"/>
  <c r="W61" i="66"/>
  <c r="V61" i="66"/>
  <c r="U61" i="66"/>
  <c r="T61" i="66"/>
  <c r="S61" i="66"/>
  <c r="R61" i="66"/>
  <c r="Q61" i="66"/>
  <c r="P61" i="66"/>
  <c r="O61" i="66"/>
  <c r="N61" i="66"/>
  <c r="M61" i="66"/>
  <c r="L61" i="66"/>
  <c r="K61" i="66"/>
  <c r="J61" i="66"/>
  <c r="I61" i="66"/>
  <c r="H61" i="66"/>
  <c r="G61" i="66"/>
  <c r="F61" i="66"/>
  <c r="E61" i="66"/>
  <c r="D61" i="66"/>
  <c r="C61" i="66"/>
  <c r="AL60" i="66"/>
  <c r="AK60" i="66"/>
  <c r="AJ60" i="66"/>
  <c r="AI60" i="66"/>
  <c r="AH60" i="66"/>
  <c r="AG60" i="66"/>
  <c r="AF60" i="66"/>
  <c r="AE60" i="66"/>
  <c r="AD60" i="66"/>
  <c r="AC60" i="66"/>
  <c r="AB60" i="66"/>
  <c r="AA60" i="66"/>
  <c r="Z60" i="66"/>
  <c r="Y60" i="66"/>
  <c r="X60" i="66"/>
  <c r="W60" i="66"/>
  <c r="V60" i="66"/>
  <c r="U60" i="66"/>
  <c r="T60" i="66"/>
  <c r="S60" i="66"/>
  <c r="R60" i="66"/>
  <c r="Q60" i="66"/>
  <c r="P60" i="66"/>
  <c r="O60" i="66"/>
  <c r="N60" i="66"/>
  <c r="M60" i="66"/>
  <c r="L60" i="66"/>
  <c r="K60" i="66"/>
  <c r="J60" i="66"/>
  <c r="I60" i="66"/>
  <c r="H60" i="66"/>
  <c r="G60" i="66"/>
  <c r="F60" i="66"/>
  <c r="E60" i="66"/>
  <c r="D60" i="66"/>
  <c r="C60" i="66"/>
  <c r="AL59" i="66"/>
  <c r="AK59" i="66"/>
  <c r="AJ59" i="66"/>
  <c r="AI59" i="66"/>
  <c r="AH59" i="66"/>
  <c r="AG59" i="66"/>
  <c r="AF59" i="66"/>
  <c r="AE59" i="66"/>
  <c r="AD59" i="66"/>
  <c r="AC59" i="66"/>
  <c r="AB59" i="66"/>
  <c r="AA59" i="66"/>
  <c r="Z59" i="66"/>
  <c r="Y59" i="66"/>
  <c r="X59" i="66"/>
  <c r="W59" i="66"/>
  <c r="V59" i="66"/>
  <c r="U59" i="66"/>
  <c r="T59" i="66"/>
  <c r="S59" i="66"/>
  <c r="R59" i="66"/>
  <c r="Q59" i="66"/>
  <c r="P59" i="66"/>
  <c r="O59" i="66"/>
  <c r="N59" i="66"/>
  <c r="M59" i="66"/>
  <c r="L59" i="66"/>
  <c r="K59" i="66"/>
  <c r="J59" i="66"/>
  <c r="I59" i="66"/>
  <c r="H59" i="66"/>
  <c r="G59" i="66"/>
  <c r="F59" i="66"/>
  <c r="E59" i="66"/>
  <c r="D59" i="66"/>
  <c r="C59" i="66"/>
  <c r="AL58" i="66"/>
  <c r="AK58" i="66"/>
  <c r="AJ58" i="66"/>
  <c r="AI58" i="66"/>
  <c r="AH58" i="66"/>
  <c r="AG58" i="66"/>
  <c r="AF58" i="66"/>
  <c r="AE58" i="66"/>
  <c r="AD58" i="66"/>
  <c r="AC58" i="66"/>
  <c r="AB58" i="66"/>
  <c r="AA58" i="66"/>
  <c r="Z58" i="66"/>
  <c r="Y58" i="66"/>
  <c r="X58" i="66"/>
  <c r="W58" i="66"/>
  <c r="V58" i="66"/>
  <c r="U58" i="66"/>
  <c r="T58" i="66"/>
  <c r="S58" i="66"/>
  <c r="R58" i="66"/>
  <c r="Q58" i="66"/>
  <c r="P58" i="66"/>
  <c r="O58" i="66"/>
  <c r="N58" i="66"/>
  <c r="M58" i="66"/>
  <c r="L58" i="66"/>
  <c r="K58" i="66"/>
  <c r="J58" i="66"/>
  <c r="I58" i="66"/>
  <c r="H58" i="66"/>
  <c r="G58" i="66"/>
  <c r="F58" i="66"/>
  <c r="E58" i="66"/>
  <c r="D58" i="66"/>
  <c r="C58" i="66"/>
  <c r="AL54" i="66"/>
  <c r="AK54" i="66"/>
  <c r="AJ54" i="66"/>
  <c r="AI54" i="66"/>
  <c r="AH54" i="66"/>
  <c r="AG54" i="66"/>
  <c r="AF54" i="66"/>
  <c r="AE54" i="66"/>
  <c r="AD54" i="66"/>
  <c r="AC54" i="66"/>
  <c r="AB54" i="66"/>
  <c r="AA54" i="66"/>
  <c r="Z54" i="66"/>
  <c r="Y54" i="66"/>
  <c r="X54" i="66"/>
  <c r="W54" i="66"/>
  <c r="V54" i="66"/>
  <c r="U54" i="66"/>
  <c r="T54" i="66"/>
  <c r="S54" i="66"/>
  <c r="R54" i="66"/>
  <c r="Q54" i="66"/>
  <c r="P54" i="66"/>
  <c r="O54" i="66"/>
  <c r="N54" i="66"/>
  <c r="M54" i="66"/>
  <c r="L54" i="66"/>
  <c r="K54" i="66"/>
  <c r="J54" i="66"/>
  <c r="I54" i="66"/>
  <c r="H54" i="66"/>
  <c r="G54" i="66"/>
  <c r="F54" i="66"/>
  <c r="E54" i="66"/>
  <c r="D54" i="66"/>
  <c r="C54" i="66"/>
  <c r="AL53" i="66"/>
  <c r="AK53" i="66"/>
  <c r="AJ53" i="66"/>
  <c r="AI53" i="66"/>
  <c r="AH53" i="66"/>
  <c r="AG53" i="66"/>
  <c r="AF53" i="66"/>
  <c r="AE53" i="66"/>
  <c r="AD53" i="66"/>
  <c r="AC53" i="66"/>
  <c r="AB53" i="66"/>
  <c r="AA53" i="66"/>
  <c r="Z53" i="66"/>
  <c r="Y53" i="66"/>
  <c r="X53" i="66"/>
  <c r="W53" i="66"/>
  <c r="V53" i="66"/>
  <c r="U53" i="66"/>
  <c r="T53" i="66"/>
  <c r="S53" i="66"/>
  <c r="R53" i="66"/>
  <c r="Q53" i="66"/>
  <c r="P53" i="66"/>
  <c r="O53" i="66"/>
  <c r="N53" i="66"/>
  <c r="M53" i="66"/>
  <c r="L53" i="66"/>
  <c r="K53" i="66"/>
  <c r="J53" i="66"/>
  <c r="I53" i="66"/>
  <c r="H53" i="66"/>
  <c r="G53" i="66"/>
  <c r="F53" i="66"/>
  <c r="E53" i="66"/>
  <c r="D53" i="66"/>
  <c r="C53" i="66"/>
  <c r="AL52" i="66"/>
  <c r="AK52" i="66"/>
  <c r="AJ52" i="66"/>
  <c r="AI52" i="66"/>
  <c r="AH52" i="66"/>
  <c r="AG52" i="66"/>
  <c r="AF52" i="66"/>
  <c r="AE52" i="66"/>
  <c r="AD52" i="66"/>
  <c r="AC52" i="66"/>
  <c r="AB52" i="66"/>
  <c r="AA52" i="66"/>
  <c r="Z52" i="66"/>
  <c r="Y52" i="66"/>
  <c r="X52" i="66"/>
  <c r="W52" i="66"/>
  <c r="V52" i="66"/>
  <c r="U52" i="66"/>
  <c r="T52" i="66"/>
  <c r="S52" i="66"/>
  <c r="R52" i="66"/>
  <c r="Q52" i="66"/>
  <c r="P52" i="66"/>
  <c r="O52" i="66"/>
  <c r="N52" i="66"/>
  <c r="M52" i="66"/>
  <c r="L52" i="66"/>
  <c r="K52" i="66"/>
  <c r="J52" i="66"/>
  <c r="I52" i="66"/>
  <c r="H52" i="66"/>
  <c r="G52" i="66"/>
  <c r="F52" i="66"/>
  <c r="E52" i="66"/>
  <c r="D52" i="66"/>
  <c r="C52" i="66"/>
  <c r="AL51" i="66"/>
  <c r="AK51" i="66"/>
  <c r="AJ51" i="66"/>
  <c r="AI51" i="66"/>
  <c r="AH51" i="66"/>
  <c r="AG51" i="66"/>
  <c r="AF51" i="66"/>
  <c r="AE51" i="66"/>
  <c r="AD51" i="66"/>
  <c r="AC51" i="66"/>
  <c r="AB51" i="66"/>
  <c r="AA51" i="66"/>
  <c r="Z51" i="66"/>
  <c r="Y51" i="66"/>
  <c r="X51" i="66"/>
  <c r="W51" i="66"/>
  <c r="V51" i="66"/>
  <c r="U51" i="66"/>
  <c r="T51" i="66"/>
  <c r="S51" i="66"/>
  <c r="R51" i="66"/>
  <c r="Q51" i="66"/>
  <c r="P51" i="66"/>
  <c r="O51" i="66"/>
  <c r="N51" i="66"/>
  <c r="M51" i="66"/>
  <c r="L51" i="66"/>
  <c r="K51" i="66"/>
  <c r="J51" i="66"/>
  <c r="I51" i="66"/>
  <c r="H51" i="66"/>
  <c r="G51" i="66"/>
  <c r="F51" i="66"/>
  <c r="E51" i="66"/>
  <c r="D51" i="66"/>
  <c r="C51" i="66"/>
  <c r="AL50" i="66"/>
  <c r="AK50" i="66"/>
  <c r="AJ50" i="66"/>
  <c r="AI50" i="66"/>
  <c r="AH50" i="66"/>
  <c r="AG50" i="66"/>
  <c r="AF50" i="66"/>
  <c r="AE50" i="66"/>
  <c r="AD50" i="66"/>
  <c r="AC50" i="66"/>
  <c r="AB50" i="66"/>
  <c r="AA50" i="66"/>
  <c r="Z50" i="66"/>
  <c r="Y50" i="66"/>
  <c r="X50" i="66"/>
  <c r="W50" i="66"/>
  <c r="V50" i="66"/>
  <c r="U50" i="66"/>
  <c r="T50" i="66"/>
  <c r="S50" i="66"/>
  <c r="R50" i="66"/>
  <c r="Q50" i="66"/>
  <c r="P50" i="66"/>
  <c r="O50" i="66"/>
  <c r="N50" i="66"/>
  <c r="M50" i="66"/>
  <c r="L50" i="66"/>
  <c r="K50" i="66"/>
  <c r="J50" i="66"/>
  <c r="I50" i="66"/>
  <c r="H50" i="66"/>
  <c r="G50" i="66"/>
  <c r="F50" i="66"/>
  <c r="E50" i="66"/>
  <c r="D50" i="66"/>
  <c r="C50" i="66"/>
  <c r="AL49" i="66"/>
  <c r="AK49" i="66"/>
  <c r="AJ49" i="66"/>
  <c r="AI49" i="66"/>
  <c r="AH49" i="66"/>
  <c r="AG49" i="66"/>
  <c r="AF49" i="66"/>
  <c r="AE49" i="66"/>
  <c r="AD49" i="66"/>
  <c r="AC49" i="66"/>
  <c r="AB49" i="66"/>
  <c r="AA49" i="66"/>
  <c r="Z49" i="66"/>
  <c r="Y49" i="66"/>
  <c r="X49" i="66"/>
  <c r="W49" i="66"/>
  <c r="V49" i="66"/>
  <c r="U49" i="66"/>
  <c r="T49" i="66"/>
  <c r="S49" i="66"/>
  <c r="R49" i="66"/>
  <c r="Q49" i="66"/>
  <c r="P49" i="66"/>
  <c r="O49" i="66"/>
  <c r="N49" i="66"/>
  <c r="M49" i="66"/>
  <c r="L49" i="66"/>
  <c r="K49" i="66"/>
  <c r="J49" i="66"/>
  <c r="I49" i="66"/>
  <c r="H49" i="66"/>
  <c r="G49" i="66"/>
  <c r="F49" i="66"/>
  <c r="E49" i="66"/>
  <c r="D49" i="66"/>
  <c r="C49" i="66"/>
  <c r="AL48" i="66"/>
  <c r="AK48" i="66"/>
  <c r="AJ48" i="66"/>
  <c r="AI48" i="66"/>
  <c r="AH48" i="66"/>
  <c r="AG48" i="66"/>
  <c r="AF48" i="66"/>
  <c r="AE48" i="66"/>
  <c r="AD48" i="66"/>
  <c r="AC48" i="66"/>
  <c r="AB48" i="66"/>
  <c r="AA48" i="66"/>
  <c r="Z48" i="66"/>
  <c r="Y48" i="66"/>
  <c r="X48" i="66"/>
  <c r="W48" i="66"/>
  <c r="V48" i="66"/>
  <c r="U48" i="66"/>
  <c r="T48" i="66"/>
  <c r="S48" i="66"/>
  <c r="R48" i="66"/>
  <c r="Q48" i="66"/>
  <c r="P48" i="66"/>
  <c r="O48" i="66"/>
  <c r="N48" i="66"/>
  <c r="M48" i="66"/>
  <c r="L48" i="66"/>
  <c r="K48" i="66"/>
  <c r="J48" i="66"/>
  <c r="I48" i="66"/>
  <c r="H48" i="66"/>
  <c r="G48" i="66"/>
  <c r="F48" i="66"/>
  <c r="E48" i="66"/>
  <c r="D48" i="66"/>
  <c r="C48" i="66"/>
  <c r="AL47" i="66"/>
  <c r="AK47" i="66"/>
  <c r="AJ47" i="66"/>
  <c r="AI47" i="66"/>
  <c r="AH47" i="66"/>
  <c r="AG47" i="66"/>
  <c r="AF47" i="66"/>
  <c r="AE47" i="66"/>
  <c r="AD47" i="66"/>
  <c r="AC47" i="66"/>
  <c r="AB47" i="66"/>
  <c r="AA47" i="66"/>
  <c r="Z47" i="66"/>
  <c r="Y47" i="66"/>
  <c r="X47" i="66"/>
  <c r="W47" i="66"/>
  <c r="V47" i="66"/>
  <c r="U47" i="66"/>
  <c r="T47" i="66"/>
  <c r="S47" i="66"/>
  <c r="R47" i="66"/>
  <c r="Q47" i="66"/>
  <c r="P47" i="66"/>
  <c r="O47" i="66"/>
  <c r="N47" i="66"/>
  <c r="M47" i="66"/>
  <c r="L47" i="66"/>
  <c r="K47" i="66"/>
  <c r="J47" i="66"/>
  <c r="I47" i="66"/>
  <c r="H47" i="66"/>
  <c r="G47" i="66"/>
  <c r="F47" i="66"/>
  <c r="E47" i="66"/>
  <c r="D47" i="66"/>
  <c r="C47" i="66"/>
  <c r="AL46" i="66"/>
  <c r="AK46" i="66"/>
  <c r="AJ46" i="66"/>
  <c r="AI46" i="66"/>
  <c r="AH46" i="66"/>
  <c r="AG46" i="66"/>
  <c r="AF46" i="66"/>
  <c r="AE46" i="66"/>
  <c r="AD46" i="66"/>
  <c r="AC46" i="66"/>
  <c r="AB46" i="66"/>
  <c r="AA46" i="66"/>
  <c r="Z46" i="66"/>
  <c r="Y46" i="66"/>
  <c r="X46" i="66"/>
  <c r="W46" i="66"/>
  <c r="V46" i="66"/>
  <c r="U46" i="66"/>
  <c r="T46" i="66"/>
  <c r="S46" i="66"/>
  <c r="R46" i="66"/>
  <c r="Q46" i="66"/>
  <c r="P46" i="66"/>
  <c r="O46" i="66"/>
  <c r="N46" i="66"/>
  <c r="M46" i="66"/>
  <c r="L46" i="66"/>
  <c r="K46" i="66"/>
  <c r="J46" i="66"/>
  <c r="I46" i="66"/>
  <c r="H46" i="66"/>
  <c r="G46" i="66"/>
  <c r="F46" i="66"/>
  <c r="E46" i="66"/>
  <c r="D46" i="66"/>
  <c r="C46" i="66"/>
  <c r="AL42" i="66"/>
  <c r="AK42" i="66"/>
  <c r="AJ42" i="66"/>
  <c r="AI42" i="66"/>
  <c r="AH42" i="66"/>
  <c r="AG42" i="66"/>
  <c r="AF42" i="66"/>
  <c r="AE42" i="66"/>
  <c r="AD42" i="66"/>
  <c r="AC42" i="66"/>
  <c r="AB42" i="66"/>
  <c r="AA42" i="66"/>
  <c r="Z42" i="66"/>
  <c r="Y42" i="66"/>
  <c r="X42" i="66"/>
  <c r="W42" i="66"/>
  <c r="V42" i="66"/>
  <c r="U42" i="66"/>
  <c r="T42" i="66"/>
  <c r="S42" i="66"/>
  <c r="R42" i="66"/>
  <c r="Q42" i="66"/>
  <c r="P42" i="66"/>
  <c r="O42" i="66"/>
  <c r="N42" i="66"/>
  <c r="M42" i="66"/>
  <c r="L42" i="66"/>
  <c r="K42" i="66"/>
  <c r="J42" i="66"/>
  <c r="I42" i="66"/>
  <c r="H42" i="66"/>
  <c r="G42" i="66"/>
  <c r="F42" i="66"/>
  <c r="E42" i="66"/>
  <c r="D42" i="66"/>
  <c r="C42" i="66"/>
  <c r="AL41" i="66"/>
  <c r="AK41" i="66"/>
  <c r="AJ41" i="66"/>
  <c r="AI41" i="66"/>
  <c r="AH41" i="66"/>
  <c r="AG41" i="66"/>
  <c r="AF41" i="66"/>
  <c r="AE41" i="66"/>
  <c r="AD41" i="66"/>
  <c r="AC41" i="66"/>
  <c r="AB41" i="66"/>
  <c r="AA41" i="66"/>
  <c r="Z41" i="66"/>
  <c r="Y41" i="66"/>
  <c r="X41" i="66"/>
  <c r="W41" i="66"/>
  <c r="V41" i="66"/>
  <c r="U41" i="66"/>
  <c r="T41" i="66"/>
  <c r="S41" i="66"/>
  <c r="R41" i="66"/>
  <c r="Q41" i="66"/>
  <c r="P41" i="66"/>
  <c r="O41" i="66"/>
  <c r="N41" i="66"/>
  <c r="M41" i="66"/>
  <c r="L41" i="66"/>
  <c r="K41" i="66"/>
  <c r="J41" i="66"/>
  <c r="I41" i="66"/>
  <c r="H41" i="66"/>
  <c r="G41" i="66"/>
  <c r="F41" i="66"/>
  <c r="E41" i="66"/>
  <c r="D41" i="66"/>
  <c r="C41" i="66"/>
  <c r="AL40" i="66"/>
  <c r="AK40" i="66"/>
  <c r="AJ40" i="66"/>
  <c r="AI40" i="66"/>
  <c r="AH40" i="66"/>
  <c r="AG40" i="66"/>
  <c r="AF40" i="66"/>
  <c r="AE40" i="66"/>
  <c r="AD40" i="66"/>
  <c r="AC40" i="66"/>
  <c r="AB40" i="66"/>
  <c r="AA40" i="66"/>
  <c r="Z40" i="66"/>
  <c r="Y40" i="66"/>
  <c r="X40" i="66"/>
  <c r="W40" i="66"/>
  <c r="V40" i="66"/>
  <c r="U40" i="66"/>
  <c r="T40" i="66"/>
  <c r="S40" i="66"/>
  <c r="R40" i="66"/>
  <c r="Q40" i="66"/>
  <c r="P40" i="66"/>
  <c r="O40" i="66"/>
  <c r="N40" i="66"/>
  <c r="M40" i="66"/>
  <c r="L40" i="66"/>
  <c r="K40" i="66"/>
  <c r="J40" i="66"/>
  <c r="I40" i="66"/>
  <c r="H40" i="66"/>
  <c r="G40" i="66"/>
  <c r="F40" i="66"/>
  <c r="E40" i="66"/>
  <c r="D40" i="66"/>
  <c r="C40" i="66"/>
  <c r="AL39" i="66"/>
  <c r="AK39" i="66"/>
  <c r="AJ39" i="66"/>
  <c r="AI39" i="66"/>
  <c r="AH39" i="66"/>
  <c r="AG39" i="66"/>
  <c r="AF39" i="66"/>
  <c r="AE39" i="66"/>
  <c r="AD39" i="66"/>
  <c r="AC39" i="66"/>
  <c r="AB39" i="66"/>
  <c r="AA39" i="66"/>
  <c r="Z39" i="66"/>
  <c r="Y39" i="66"/>
  <c r="X39" i="66"/>
  <c r="W39" i="66"/>
  <c r="V39" i="66"/>
  <c r="U39" i="66"/>
  <c r="T39" i="66"/>
  <c r="S39" i="66"/>
  <c r="R39" i="66"/>
  <c r="Q39" i="66"/>
  <c r="P39" i="66"/>
  <c r="O39" i="66"/>
  <c r="N39" i="66"/>
  <c r="M39" i="66"/>
  <c r="L39" i="66"/>
  <c r="K39" i="66"/>
  <c r="J39" i="66"/>
  <c r="I39" i="66"/>
  <c r="H39" i="66"/>
  <c r="G39" i="66"/>
  <c r="F39" i="66"/>
  <c r="E39" i="66"/>
  <c r="D39" i="66"/>
  <c r="C39" i="66"/>
  <c r="AL38" i="66"/>
  <c r="AK38" i="66"/>
  <c r="AJ38" i="66"/>
  <c r="AI38" i="66"/>
  <c r="AH38" i="66"/>
  <c r="AG38" i="66"/>
  <c r="AF38" i="66"/>
  <c r="AE38" i="66"/>
  <c r="AD38" i="66"/>
  <c r="AC38" i="66"/>
  <c r="AB38" i="66"/>
  <c r="AA38" i="66"/>
  <c r="Z38" i="66"/>
  <c r="Y38" i="66"/>
  <c r="X38" i="66"/>
  <c r="W38" i="66"/>
  <c r="V38" i="66"/>
  <c r="U38" i="66"/>
  <c r="T38" i="66"/>
  <c r="S38" i="66"/>
  <c r="R38" i="66"/>
  <c r="Q38" i="66"/>
  <c r="P38" i="66"/>
  <c r="O38" i="66"/>
  <c r="N38" i="66"/>
  <c r="M38" i="66"/>
  <c r="L38" i="66"/>
  <c r="K38" i="66"/>
  <c r="J38" i="66"/>
  <c r="I38" i="66"/>
  <c r="H38" i="66"/>
  <c r="G38" i="66"/>
  <c r="F38" i="66"/>
  <c r="E38" i="66"/>
  <c r="D38" i="66"/>
  <c r="C38" i="66"/>
  <c r="AL37" i="66"/>
  <c r="AK37" i="66"/>
  <c r="AJ37" i="66"/>
  <c r="AI37" i="66"/>
  <c r="AH37" i="66"/>
  <c r="AG37" i="66"/>
  <c r="AF37" i="66"/>
  <c r="AE37" i="66"/>
  <c r="AD37" i="66"/>
  <c r="AC37" i="66"/>
  <c r="AB37" i="66"/>
  <c r="AA37" i="66"/>
  <c r="Z37" i="66"/>
  <c r="Y37" i="66"/>
  <c r="X37" i="66"/>
  <c r="W37" i="66"/>
  <c r="V37" i="66"/>
  <c r="U37" i="66"/>
  <c r="T37" i="66"/>
  <c r="S37" i="66"/>
  <c r="R37" i="66"/>
  <c r="Q37" i="66"/>
  <c r="P37" i="66"/>
  <c r="O37" i="66"/>
  <c r="N37" i="66"/>
  <c r="M37" i="66"/>
  <c r="L37" i="66"/>
  <c r="K37" i="66"/>
  <c r="J37" i="66"/>
  <c r="I37" i="66"/>
  <c r="H37" i="66"/>
  <c r="G37" i="66"/>
  <c r="F37" i="66"/>
  <c r="E37" i="66"/>
  <c r="D37" i="66"/>
  <c r="C37" i="66"/>
  <c r="AL36" i="66"/>
  <c r="AK36" i="66"/>
  <c r="AJ36" i="66"/>
  <c r="AI36" i="66"/>
  <c r="AH36" i="66"/>
  <c r="AG36" i="66"/>
  <c r="AF36" i="66"/>
  <c r="AE36" i="66"/>
  <c r="AD36" i="66"/>
  <c r="AC36" i="66"/>
  <c r="AB36" i="66"/>
  <c r="AA36" i="66"/>
  <c r="Z36" i="66"/>
  <c r="Y36" i="66"/>
  <c r="X36" i="66"/>
  <c r="W36" i="66"/>
  <c r="V36" i="66"/>
  <c r="U36" i="66"/>
  <c r="T36" i="66"/>
  <c r="S36" i="66"/>
  <c r="R36" i="66"/>
  <c r="Q36" i="66"/>
  <c r="P36" i="66"/>
  <c r="O36" i="66"/>
  <c r="N36" i="66"/>
  <c r="M36" i="66"/>
  <c r="L36" i="66"/>
  <c r="K36" i="66"/>
  <c r="J36" i="66"/>
  <c r="I36" i="66"/>
  <c r="H36" i="66"/>
  <c r="G36" i="66"/>
  <c r="F36" i="66"/>
  <c r="E36" i="66"/>
  <c r="D36" i="66"/>
  <c r="C36" i="66"/>
  <c r="AL35" i="66"/>
  <c r="AK35" i="66"/>
  <c r="AJ35" i="66"/>
  <c r="AI35" i="66"/>
  <c r="AH35" i="66"/>
  <c r="AG35" i="66"/>
  <c r="AF35" i="66"/>
  <c r="AE35" i="66"/>
  <c r="AD35" i="66"/>
  <c r="AC35" i="66"/>
  <c r="AB35" i="66"/>
  <c r="AA35" i="66"/>
  <c r="Z35" i="66"/>
  <c r="Y35" i="66"/>
  <c r="X35" i="66"/>
  <c r="W35" i="66"/>
  <c r="V35" i="66"/>
  <c r="U35" i="66"/>
  <c r="T35" i="66"/>
  <c r="S35" i="66"/>
  <c r="R35" i="66"/>
  <c r="Q35" i="66"/>
  <c r="P35" i="66"/>
  <c r="O35" i="66"/>
  <c r="N35" i="66"/>
  <c r="M35" i="66"/>
  <c r="L35" i="66"/>
  <c r="K35" i="66"/>
  <c r="J35" i="66"/>
  <c r="I35" i="66"/>
  <c r="H35" i="66"/>
  <c r="G35" i="66"/>
  <c r="F35" i="66"/>
  <c r="E35" i="66"/>
  <c r="D35" i="66"/>
  <c r="C35" i="66"/>
  <c r="AL34" i="66"/>
  <c r="AK34" i="66"/>
  <c r="AJ34" i="66"/>
  <c r="AI34" i="66"/>
  <c r="AH34" i="66"/>
  <c r="AG34" i="66"/>
  <c r="AF34" i="66"/>
  <c r="AE34" i="66"/>
  <c r="AD34" i="66"/>
  <c r="AC34" i="66"/>
  <c r="AB34" i="66"/>
  <c r="AA34" i="66"/>
  <c r="Z34" i="66"/>
  <c r="Y34" i="66"/>
  <c r="X34" i="66"/>
  <c r="W34" i="66"/>
  <c r="V34" i="66"/>
  <c r="U34" i="66"/>
  <c r="T34" i="66"/>
  <c r="S34" i="66"/>
  <c r="R34" i="66"/>
  <c r="Q34" i="66"/>
  <c r="P34" i="66"/>
  <c r="O34" i="66"/>
  <c r="N34" i="66"/>
  <c r="M34" i="66"/>
  <c r="L34" i="66"/>
  <c r="K34" i="66"/>
  <c r="J34" i="66"/>
  <c r="I34" i="66"/>
  <c r="H34" i="66"/>
  <c r="G34" i="66"/>
  <c r="F34" i="66"/>
  <c r="E34" i="66"/>
  <c r="D34" i="66"/>
  <c r="C34" i="66"/>
  <c r="AQ6" i="37" l="1"/>
  <c r="CD6" i="37" s="1"/>
  <c r="DQ6" i="37" s="1"/>
  <c r="FD6" i="37" s="1"/>
  <c r="AR6" i="37"/>
  <c r="CE6" i="37" s="1"/>
  <c r="DR6" i="37" s="1"/>
  <c r="FE6" i="37" s="1"/>
  <c r="AS6" i="37"/>
  <c r="CF6" i="37" s="1"/>
  <c r="DS6" i="37" s="1"/>
  <c r="FF6" i="37" s="1"/>
  <c r="AT6" i="37"/>
  <c r="CG6" i="37" s="1"/>
  <c r="DT6" i="37" s="1"/>
  <c r="FG6" i="37" s="1"/>
  <c r="AU6" i="37"/>
  <c r="CH6" i="37" s="1"/>
  <c r="DU6" i="37" s="1"/>
  <c r="FH6" i="37" s="1"/>
  <c r="AV6" i="37"/>
  <c r="CI6" i="37" s="1"/>
  <c r="DV6" i="37" s="1"/>
  <c r="FI6" i="37" s="1"/>
  <c r="AW6" i="37"/>
  <c r="CJ6" i="37" s="1"/>
  <c r="DW6" i="37" s="1"/>
  <c r="FJ6" i="37" s="1"/>
  <c r="AX6" i="37"/>
  <c r="CK6" i="37" s="1"/>
  <c r="DX6" i="37" s="1"/>
  <c r="FK6" i="37" s="1"/>
  <c r="AY6" i="37"/>
  <c r="CL6" i="37" s="1"/>
  <c r="DY6" i="37" s="1"/>
  <c r="FL6" i="37" s="1"/>
  <c r="AZ6" i="37"/>
  <c r="CM6" i="37" s="1"/>
  <c r="DZ6" i="37" s="1"/>
  <c r="FM6" i="37" s="1"/>
  <c r="BA6" i="37"/>
  <c r="CN6" i="37" s="1"/>
  <c r="EA6" i="37" s="1"/>
  <c r="FN6" i="37" s="1"/>
  <c r="BB6" i="37"/>
  <c r="CO6" i="37" s="1"/>
  <c r="EB6" i="37" s="1"/>
  <c r="FO6" i="37" s="1"/>
  <c r="BC6" i="37"/>
  <c r="CP6" i="37" s="1"/>
  <c r="EC6" i="37" s="1"/>
  <c r="FP6" i="37" s="1"/>
  <c r="BD6" i="37"/>
  <c r="CQ6" i="37" s="1"/>
  <c r="ED6" i="37" s="1"/>
  <c r="FQ6" i="37" s="1"/>
  <c r="BE6" i="37"/>
  <c r="CR6" i="37" s="1"/>
  <c r="EE6" i="37" s="1"/>
  <c r="FR6" i="37" s="1"/>
  <c r="BF6" i="37"/>
  <c r="CS6" i="37" s="1"/>
  <c r="EF6" i="37" s="1"/>
  <c r="FS6" i="37" s="1"/>
  <c r="BG6" i="37"/>
  <c r="CT6" i="37" s="1"/>
  <c r="EG6" i="37" s="1"/>
  <c r="FT6" i="37" s="1"/>
  <c r="BH6" i="37"/>
  <c r="CU6" i="37" s="1"/>
  <c r="EH6" i="37" s="1"/>
  <c r="FU6" i="37" s="1"/>
  <c r="BI6" i="37"/>
  <c r="CV6" i="37" s="1"/>
  <c r="EI6" i="37" s="1"/>
  <c r="FV6" i="37" s="1"/>
  <c r="BJ6" i="37"/>
  <c r="CW6" i="37" s="1"/>
  <c r="EJ6" i="37" s="1"/>
  <c r="FW6" i="37" s="1"/>
  <c r="BK6" i="37"/>
  <c r="CX6" i="37" s="1"/>
  <c r="EK6" i="37" s="1"/>
  <c r="FX6" i="37" s="1"/>
  <c r="BL6" i="37"/>
  <c r="CY6" i="37" s="1"/>
  <c r="EL6" i="37" s="1"/>
  <c r="FY6" i="37" s="1"/>
  <c r="BM6" i="37"/>
  <c r="CZ6" i="37" s="1"/>
  <c r="EM6" i="37" s="1"/>
  <c r="FZ6" i="37" s="1"/>
  <c r="BN6" i="37"/>
  <c r="DA6" i="37" s="1"/>
  <c r="EN6" i="37" s="1"/>
  <c r="GA6" i="37" s="1"/>
  <c r="BO6" i="37"/>
  <c r="DB6" i="37" s="1"/>
  <c r="EO6" i="37" s="1"/>
  <c r="GB6" i="37" s="1"/>
  <c r="BP6" i="37"/>
  <c r="DC6" i="37" s="1"/>
  <c r="EP6" i="37" s="1"/>
  <c r="GC6" i="37" s="1"/>
  <c r="BQ6" i="37"/>
  <c r="DD6" i="37" s="1"/>
  <c r="EQ6" i="37" s="1"/>
  <c r="GD6" i="37" s="1"/>
  <c r="BR6" i="37"/>
  <c r="DE6" i="37" s="1"/>
  <c r="ER6" i="37" s="1"/>
  <c r="GE6" i="37" s="1"/>
  <c r="BS6" i="37"/>
  <c r="DF6" i="37" s="1"/>
  <c r="ES6" i="37" s="1"/>
  <c r="GF6" i="37" s="1"/>
  <c r="BT6" i="37"/>
  <c r="DG6" i="37" s="1"/>
  <c r="ET6" i="37" s="1"/>
  <c r="GG6" i="37" s="1"/>
  <c r="BU6" i="37"/>
  <c r="DH6" i="37" s="1"/>
  <c r="EU6" i="37" s="1"/>
  <c r="GH6" i="37" s="1"/>
  <c r="BV6" i="37"/>
  <c r="DI6" i="37" s="1"/>
  <c r="EV6" i="37" s="1"/>
  <c r="GI6" i="37" s="1"/>
  <c r="BW6" i="37"/>
  <c r="DJ6" i="37" s="1"/>
  <c r="EW6" i="37" s="1"/>
  <c r="GJ6" i="37" s="1"/>
  <c r="BX6" i="37"/>
  <c r="DK6" i="37" s="1"/>
  <c r="EX6" i="37" s="1"/>
  <c r="GK6" i="37" s="1"/>
  <c r="BY6" i="37"/>
  <c r="DL6" i="37" s="1"/>
  <c r="EY6" i="37" s="1"/>
  <c r="GL6" i="37" s="1"/>
  <c r="AP6" i="37"/>
  <c r="CC6" i="37" s="1"/>
  <c r="DP6" i="37" s="1"/>
  <c r="FC6" i="37" s="1"/>
  <c r="L471" i="80" l="1"/>
  <c r="C862" i="8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Iñaki Arto</author>
  </authors>
  <commentList>
    <comment ref="E788" authorId="0" shapeId="0" xr:uid="{65E8B524-35B7-4103-B39C-0CA6EED7D249}">
      <text>
        <r>
          <rPr>
            <sz val="9"/>
            <color indexed="81"/>
            <rFont val="Tahoma"/>
            <family val="2"/>
          </rPr>
          <t>Difference (ratio) between the CO2 tas paid by each sector and the average CO2 price defined in CO2_TAX_SECTORS_SP</t>
        </r>
      </text>
    </comment>
    <comment ref="B1024" authorId="0" shapeId="0" xr:uid="{B8AC457E-7C0F-423C-861D-1DC7BAE42A46}">
      <text>
        <r>
          <rPr>
            <sz val="9"/>
            <color indexed="81"/>
            <rFont val="Tahoma"/>
            <family val="2"/>
          </rPr>
          <t>The tax is defined in CO2_TAX_HOUSEHOLDS_SP.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GEEDS</author>
    <author>Mohamed LIFI</author>
  </authors>
  <commentList>
    <comment ref="E303" authorId="0" shapeId="0" xr:uid="{5C6E4EBE-CA3C-4027-AB31-94969EA5245E}">
      <text>
        <r>
          <rPr>
            <b/>
            <sz val="9"/>
            <color indexed="81"/>
            <rFont val="Tahoma"/>
            <family val="2"/>
          </rPr>
          <t>GEEDS:</t>
        </r>
        <r>
          <rPr>
            <sz val="9"/>
            <color indexed="81"/>
            <rFont val="Tahoma"/>
            <family val="2"/>
          </rPr>
          <t xml:space="preserve">
Calibrated value to endogenize the installation of new capacities in the historical period</t>
        </r>
      </text>
    </comment>
    <comment ref="A747" authorId="1" shapeId="0" xr:uid="{C7FC75F6-90E3-449C-82F9-F7C9B24ECE2E}">
      <text>
        <r>
          <rPr>
            <b/>
            <sz val="9"/>
            <color indexed="81"/>
            <rFont val="Tahoma"/>
            <family val="2"/>
          </rPr>
          <t>Mohamed LIFI:</t>
        </r>
        <r>
          <rPr>
            <sz val="9"/>
            <color indexed="81"/>
            <rFont val="Tahoma"/>
            <family val="2"/>
          </rPr>
          <t xml:space="preserve">
(PV_PANEL_EFFICIENCY_C_Si_Mono)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Iñaki Arto</author>
  </authors>
  <commentList>
    <comment ref="C11" authorId="0" shapeId="0" xr:uid="{7AEA8A0A-E9B8-4E3A-A01F-42227A657631}">
      <text>
        <r>
          <rPr>
            <sz val="9"/>
            <color indexed="81"/>
            <rFont val="Tahoma"/>
            <family val="2"/>
          </rPr>
          <t>Values ranging from 0 to 1</t>
        </r>
      </text>
    </comment>
    <comment ref="B31" authorId="0" shapeId="0" xr:uid="{3E0EA9E8-B67D-4EED-9822-C2E688026C21}">
      <text>
        <r>
          <rPr>
            <sz val="9"/>
            <color indexed="81"/>
            <rFont val="Tahoma"/>
            <family val="2"/>
          </rPr>
          <t>values for reference</t>
        </r>
      </text>
    </comment>
    <comment ref="B69" authorId="0" shapeId="0" xr:uid="{3C0B5206-D533-4D25-B5C0-FE15AD11BE93}">
      <text>
        <r>
          <rPr>
            <sz val="9"/>
            <color indexed="81"/>
            <rFont val="Tahoma"/>
            <family val="2"/>
          </rPr>
          <t>values for reference</t>
        </r>
      </text>
    </comment>
    <comment ref="B107" authorId="0" shapeId="0" xr:uid="{B067A374-A0F8-4777-8326-FDF76F4410DC}">
      <text>
        <r>
          <rPr>
            <sz val="9"/>
            <color indexed="81"/>
            <rFont val="Tahoma"/>
            <family val="2"/>
          </rPr>
          <t>values for reference</t>
        </r>
      </text>
    </comment>
    <comment ref="B147" authorId="0" shapeId="0" xr:uid="{3348A824-C952-4FE7-BC68-D1843FD9BB4A}">
      <text>
        <r>
          <rPr>
            <sz val="9"/>
            <color indexed="81"/>
            <rFont val="Tahoma"/>
            <family val="2"/>
          </rPr>
          <t>values for reference</t>
        </r>
      </text>
    </comment>
    <comment ref="B185" authorId="0" shapeId="0" xr:uid="{307BF808-4E9C-4FA4-BBB7-B93BE4C5A4A8}">
      <text>
        <r>
          <rPr>
            <sz val="9"/>
            <color indexed="81"/>
            <rFont val="Tahoma"/>
            <family val="2"/>
          </rPr>
          <t>values for reference</t>
        </r>
      </text>
    </comment>
    <comment ref="B223" authorId="0" shapeId="0" xr:uid="{39DC5199-B450-4692-870A-795C94B79277}">
      <text>
        <r>
          <rPr>
            <sz val="9"/>
            <color indexed="81"/>
            <rFont val="Tahoma"/>
            <family val="2"/>
          </rPr>
          <t>values for reference</t>
        </r>
      </text>
    </comment>
    <comment ref="B261" authorId="0" shapeId="0" xr:uid="{7346E4F7-9951-472F-8EAE-23176E25976C}">
      <text>
        <r>
          <rPr>
            <sz val="9"/>
            <color indexed="81"/>
            <rFont val="Tahoma"/>
            <family val="2"/>
          </rPr>
          <t>values for reference</t>
        </r>
      </text>
    </comment>
    <comment ref="B299" authorId="0" shapeId="0" xr:uid="{4B00801E-9E89-4E4F-8AD9-22C03A751C5F}">
      <text>
        <r>
          <rPr>
            <sz val="9"/>
            <color indexed="81"/>
            <rFont val="Tahoma"/>
            <family val="2"/>
          </rPr>
          <t>values for reference</t>
        </r>
      </text>
    </comment>
    <comment ref="B337" authorId="0" shapeId="0" xr:uid="{27F13610-7A67-4236-85D3-F26F0BFFF895}">
      <text>
        <r>
          <rPr>
            <sz val="9"/>
            <color indexed="81"/>
            <rFont val="Tahoma"/>
            <family val="2"/>
          </rPr>
          <t>values for reference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Mohamed LIFI</author>
    <author>Noelia Ferreras</author>
  </authors>
  <commentList>
    <comment ref="A173" authorId="0" shapeId="0" xr:uid="{1918EDAD-4101-4248-8300-F880FF2B05CB}">
      <text>
        <r>
          <rPr>
            <b/>
            <sz val="9"/>
            <color indexed="81"/>
            <rFont val="Tahoma"/>
            <family val="2"/>
          </rPr>
          <t>Mohamed LIFI:</t>
        </r>
        <r>
          <rPr>
            <sz val="9"/>
            <color indexed="81"/>
            <rFont val="Tahoma"/>
            <family val="2"/>
          </rPr>
          <t xml:space="preserve">
 estas habrá que ponerlas diferentes por cada región ¿no? estarian mejor como proorcion de la actual quizá?</t>
        </r>
      </text>
    </comment>
    <comment ref="A185" authorId="0" shapeId="0" xr:uid="{E192DE16-3161-4B1C-8A13-AE88FE7D6528}">
      <text>
        <r>
          <rPr>
            <b/>
            <sz val="9"/>
            <color indexed="81"/>
            <rFont val="Tahoma"/>
            <family val="2"/>
          </rPr>
          <t>Mohamed LIFI:</t>
        </r>
        <r>
          <rPr>
            <sz val="9"/>
            <color indexed="81"/>
            <rFont val="Tahoma"/>
            <family val="2"/>
          </rPr>
          <t xml:space="preserve">
Priorities of the demand of land use changes. Applied only to those land changes driven by demand (not trends or policy limits). It ican only be apllied to forest plantations, managed forest, cropland and solar, (in previous version only to forest plantations and cropland). The value introduced is a number between 0 and 1, 0= lowest priority, 1= highest priority to that use.
</t>
        </r>
      </text>
    </comment>
    <comment ref="A241" authorId="1" shapeId="0" xr:uid="{EC24193F-D63B-4DE1-9BA4-10CA2324B75C}">
      <text>
        <r>
          <rPr>
            <b/>
            <sz val="9"/>
            <color indexed="81"/>
            <rFont val="Tahoma"/>
            <family val="2"/>
          </rPr>
          <t>Noelia Ferreras:</t>
        </r>
        <r>
          <rPr>
            <sz val="9"/>
            <color indexed="81"/>
            <rFont val="Tahoma"/>
            <family val="2"/>
          </rPr>
          <t xml:space="preserve">
value of 0 is keeping with current trends (not change).
The values from 0 to 4 comes from IPCC while Regenerative grazing is based on additional literature</t>
        </r>
      </text>
    </comment>
    <comment ref="A337" authorId="0" shapeId="0" xr:uid="{A9AF9548-74D8-4324-8757-85E74B01D42E}">
      <text>
        <r>
          <rPr>
            <b/>
            <sz val="9"/>
            <color indexed="81"/>
            <rFont val="Tahoma"/>
            <family val="2"/>
          </rPr>
          <t>Mohamed LIFI:</t>
        </r>
        <r>
          <rPr>
            <sz val="9"/>
            <color indexed="81"/>
            <rFont val="Tahoma"/>
            <family val="2"/>
          </rPr>
          <t xml:space="preserve">
esto deberia ir diferente para cada region</t>
        </r>
      </text>
    </comment>
    <comment ref="A509" authorId="0" shapeId="0" xr:uid="{350473DC-9EFB-42D9-9451-AF741D4800A5}">
      <text>
        <r>
          <rPr>
            <b/>
            <sz val="9"/>
            <color indexed="81"/>
            <rFont val="Tahoma"/>
            <family val="2"/>
          </rPr>
          <t>Mohamed LIFI:</t>
        </r>
        <r>
          <rPr>
            <sz val="9"/>
            <color indexed="81"/>
            <rFont val="Tahoma"/>
            <family val="2"/>
          </rPr>
          <t xml:space="preserve">
ESTO METERLO EN EL EXCEL DE POLICIES!!! 1 for normal use, 0 for exogenous demands</t>
        </r>
      </text>
    </comment>
    <comment ref="A511" authorId="0" shapeId="0" xr:uid="{419C44C6-BAE8-4001-BCB2-3648A32E683D}">
      <text>
        <r>
          <rPr>
            <b/>
            <sz val="9"/>
            <color indexed="81"/>
            <rFont val="Tahoma"/>
            <family val="2"/>
          </rPr>
          <t>Mohamed LIFI:</t>
        </r>
        <r>
          <rPr>
            <sz val="9"/>
            <color indexed="81"/>
            <rFont val="Tahoma"/>
            <family val="2"/>
          </rPr>
          <t xml:space="preserve">
ESTO METERLO EN EL EXCEL DE POLICIES!!!</t>
        </r>
      </text>
    </comment>
    <comment ref="A532" authorId="0" shapeId="0" xr:uid="{E56B9A6D-6D9B-42DE-87FF-9ECFB0A5488C}">
      <text>
        <r>
          <rPr>
            <b/>
            <sz val="9"/>
            <color indexed="81"/>
            <rFont val="Tahoma"/>
            <family val="2"/>
          </rPr>
          <t>Mohamed LIFI:</t>
        </r>
        <r>
          <rPr>
            <sz val="9"/>
            <color indexed="81"/>
            <rFont val="Tahoma"/>
            <family val="2"/>
          </rPr>
          <t xml:space="preserve">
provisionales, iguales a los actuales (tomando en cuenta el efecto de irrigated)</t>
        </r>
      </text>
    </comment>
  </commentList>
</comments>
</file>

<file path=xl/sharedStrings.xml><?xml version="1.0" encoding="utf-8"?>
<sst xmlns="http://schemas.openxmlformats.org/spreadsheetml/2006/main" count="9464" uniqueCount="2216">
  <si>
    <t>From the year:</t>
  </si>
  <si>
    <t>start year P recycling minerals alt technologies</t>
  </si>
  <si>
    <t>annual recycling rate variation (%)</t>
  </si>
  <si>
    <t>start year P recycling minerals Rest</t>
  </si>
  <si>
    <t>P recycling minerals Rest</t>
  </si>
  <si>
    <t>Common annual variation for all minerals (2):</t>
  </si>
  <si>
    <t>share in target year</t>
  </si>
  <si>
    <t>Nickel (Ni)</t>
  </si>
  <si>
    <t>Copper (Cu)</t>
  </si>
  <si>
    <t>Aluminium (Al)</t>
  </si>
  <si>
    <t>Disaggregated by mineral (1):</t>
  </si>
  <si>
    <t>Minerals recycling rates (recycled content)</t>
  </si>
  <si>
    <t>Year</t>
  </si>
  <si>
    <t>%</t>
  </si>
  <si>
    <t>GAS</t>
  </si>
  <si>
    <t>OIL</t>
  </si>
  <si>
    <t>Population</t>
  </si>
  <si>
    <t>Disaggregated by mineral(1)or common annual variation for all minerals(2)</t>
  </si>
  <si>
    <t>In the target year</t>
  </si>
  <si>
    <t>Starting in the year</t>
  </si>
  <si>
    <t>P recycling minerals alternative technologies(RES elec&amp;EV batteries)</t>
  </si>
  <si>
    <t>Glass</t>
  </si>
  <si>
    <t>Iron (Fe)</t>
  </si>
  <si>
    <t>Limestone</t>
  </si>
  <si>
    <t>Rock</t>
  </si>
  <si>
    <t>Sand</t>
  </si>
  <si>
    <t>Maximum Life expectancy at birth (years)</t>
  </si>
  <si>
    <t>Female</t>
  </si>
  <si>
    <t>Male</t>
  </si>
  <si>
    <t>Model</t>
  </si>
  <si>
    <t>Scenario</t>
  </si>
  <si>
    <t>Region</t>
  </si>
  <si>
    <t>Variable</t>
  </si>
  <si>
    <t>Unit</t>
  </si>
  <si>
    <t>Notes</t>
  </si>
  <si>
    <t>AIM/CGE</t>
  </si>
  <si>
    <t>SSP3-Baseline</t>
  </si>
  <si>
    <t>World</t>
  </si>
  <si>
    <t>million</t>
  </si>
  <si>
    <t>GCAM4</t>
  </si>
  <si>
    <t>SSP4-Baseline</t>
  </si>
  <si>
    <t>IMAGE</t>
  </si>
  <si>
    <t>SSP1-Baseline</t>
  </si>
  <si>
    <t>MESSAGE-GLOBIOM</t>
  </si>
  <si>
    <t>SSP2-Baseline</t>
  </si>
  <si>
    <t>REMIND-MAGPIE</t>
  </si>
  <si>
    <t>SSP5-Baseline</t>
  </si>
  <si>
    <t>© SSP Public Database (Version 2.0) https://tntcat.iiasa.ac.at/SspDb 
 generated: 2021-01-26 09:05:58</t>
  </si>
  <si>
    <t>For recommended citation please follow this link: https://tntcat.iiasa.ac.at/SspDb/dsd?Action=htmlpage&amp;page=citation</t>
  </si>
  <si>
    <t xml:space="preserve">Austria </t>
  </si>
  <si>
    <t>15-19</t>
  </si>
  <si>
    <t>20-24</t>
  </si>
  <si>
    <t>25-29</t>
  </si>
  <si>
    <t>30-34</t>
  </si>
  <si>
    <t>35-39</t>
  </si>
  <si>
    <t>40-44</t>
  </si>
  <si>
    <t>45-49</t>
  </si>
  <si>
    <t>Belgium</t>
  </si>
  <si>
    <t>Bulgaria</t>
  </si>
  <si>
    <t>Croatia</t>
  </si>
  <si>
    <t>Cyprus</t>
  </si>
  <si>
    <t>Czech Republic</t>
  </si>
  <si>
    <t>Denmark</t>
  </si>
  <si>
    <t>Estonia</t>
  </si>
  <si>
    <t>Finland</t>
  </si>
  <si>
    <t>France</t>
  </si>
  <si>
    <t>Germany</t>
  </si>
  <si>
    <t>Greece</t>
  </si>
  <si>
    <t>Hungary</t>
  </si>
  <si>
    <t>Ireland</t>
  </si>
  <si>
    <t>Italy</t>
  </si>
  <si>
    <t>Latvia</t>
  </si>
  <si>
    <t xml:space="preserve">Lithuania </t>
  </si>
  <si>
    <t>Luxembourg</t>
  </si>
  <si>
    <t>Malta</t>
  </si>
  <si>
    <t>Netherlands</t>
  </si>
  <si>
    <t>Poland</t>
  </si>
  <si>
    <t>Portugal</t>
  </si>
  <si>
    <t>Romania</t>
  </si>
  <si>
    <t>Slovakia</t>
  </si>
  <si>
    <t>Slovenia</t>
  </si>
  <si>
    <t>Spain</t>
  </si>
  <si>
    <t>Sweden</t>
  </si>
  <si>
    <t>UK</t>
  </si>
  <si>
    <t>CNHK</t>
  </si>
  <si>
    <t>EASTOC</t>
  </si>
  <si>
    <t>IND</t>
  </si>
  <si>
    <t>LATAM</t>
  </si>
  <si>
    <t>RUS</t>
  </si>
  <si>
    <t>USMCA</t>
  </si>
  <si>
    <t>LROW</t>
  </si>
  <si>
    <t>HIGH</t>
  </si>
  <si>
    <t>LOW</t>
  </si>
  <si>
    <t>MEDIUM</t>
  </si>
  <si>
    <t>AUSTRIA</t>
  </si>
  <si>
    <t>BELGIUM</t>
  </si>
  <si>
    <t>BULGARIA</t>
  </si>
  <si>
    <t>CROATIA</t>
  </si>
  <si>
    <t>CYPRUS</t>
  </si>
  <si>
    <t>CZECH_REPUBLIC</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</si>
  <si>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</si>
  <si>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</si>
  <si>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</si>
  <si>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</si>
  <si>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</si>
  <si>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</si>
  <si>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</si>
  <si>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</si>
  <si>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</si>
  <si>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</si>
  <si>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</si>
  <si>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</si>
  <si>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</si>
  <si>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</si>
  <si>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</si>
  <si>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</si>
  <si>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</si>
  <si>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</si>
  <si>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</si>
  <si>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</si>
  <si>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</si>
  <si>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sex</t>
  </si>
  <si>
    <t>region</t>
  </si>
  <si>
    <t>LIFE EXPECTANCY AT BIRTH (years)</t>
  </si>
  <si>
    <t>FERTILITY - births per 1000 women</t>
  </si>
  <si>
    <t>_SCALAR(PARAMETER)</t>
  </si>
  <si>
    <t>UNIT</t>
  </si>
  <si>
    <t>_VALUE</t>
  </si>
  <si>
    <t>DMNL</t>
  </si>
  <si>
    <t>CEREALS_DIET</t>
  </si>
  <si>
    <t>TUBERS_DIET</t>
  </si>
  <si>
    <t>PULSES_LEGUMES_NUTS</t>
  </si>
  <si>
    <t>FRUITS_VEGETABLES_DIET</t>
  </si>
  <si>
    <t>FATS_VEGETAL</t>
  </si>
  <si>
    <t>FATS_ANIMAL</t>
  </si>
  <si>
    <t>DAIRY</t>
  </si>
  <si>
    <t>EGGS</t>
  </si>
  <si>
    <t>MEAT_RUMINANTS</t>
  </si>
  <si>
    <t>MEAT_MONOGASTRIC</t>
  </si>
  <si>
    <t>FISH</t>
  </si>
  <si>
    <t>SUGARS</t>
  </si>
  <si>
    <t>BEVERAGES</t>
  </si>
  <si>
    <t>STIMULANTS</t>
  </si>
  <si>
    <t>EU27</t>
  </si>
  <si>
    <t>CHINA</t>
  </si>
  <si>
    <t>INDIA</t>
  </si>
  <si>
    <t>RUSSIA</t>
  </si>
  <si>
    <t>LDV</t>
  </si>
  <si>
    <t>NMT</t>
  </si>
  <si>
    <t>ICE_gasoline</t>
  </si>
  <si>
    <t>ICE_diesel</t>
  </si>
  <si>
    <t>ICE_LPG</t>
  </si>
  <si>
    <t xml:space="preserve">ICE_gas </t>
  </si>
  <si>
    <t>BEV</t>
  </si>
  <si>
    <t>PHEV</t>
  </si>
  <si>
    <t>HEV</t>
  </si>
  <si>
    <t>FCEV</t>
  </si>
  <si>
    <t>EV</t>
  </si>
  <si>
    <t>HPV</t>
  </si>
  <si>
    <t>BUS</t>
  </si>
  <si>
    <t>2W</t>
  </si>
  <si>
    <t>RAIL</t>
  </si>
  <si>
    <t>MARINE</t>
  </si>
  <si>
    <t>CZECH REPUBLIC</t>
  </si>
  <si>
    <t>EASOC</t>
  </si>
  <si>
    <t>Austria</t>
  </si>
  <si>
    <t>Czechia</t>
  </si>
  <si>
    <t>Lithuania</t>
  </si>
  <si>
    <t>_VALUE_OPTIONS│Dmnl</t>
  </si>
  <si>
    <t>_OPTIONS</t>
  </si>
  <si>
    <t>_VALUE_SELECTED_OPTION</t>
  </si>
  <si>
    <t>INITIAL_YEAR_ANNUAL_VARIATION_CAPACITY_EXPANSION_PROSTO_DEDICATED_SP</t>
  </si>
  <si>
    <t>1/year</t>
  </si>
  <si>
    <t>PHS</t>
  </si>
  <si>
    <t>STATIONARY_BATTERIES</t>
  </si>
  <si>
    <t>CROPS</t>
  </si>
  <si>
    <t>ANIMALS</t>
  </si>
  <si>
    <t>FORESTRY</t>
  </si>
  <si>
    <t>FISHNG</t>
  </si>
  <si>
    <t>MINING_COAL</t>
  </si>
  <si>
    <t>EXTRACTION_OIL</t>
  </si>
  <si>
    <t>EXTRACTION_GAS</t>
  </si>
  <si>
    <t>EXTRACTION_OTHER_GAS</t>
  </si>
  <si>
    <t>MINING_NON_METALS</t>
  </si>
  <si>
    <t>MANUFACTURE_FOOD</t>
  </si>
  <si>
    <t>MANUFACTURE_WOOD</t>
  </si>
  <si>
    <t>COKE</t>
  </si>
  <si>
    <t>REFINING</t>
  </si>
  <si>
    <t>MANUFACTURE_CHEMICAL</t>
  </si>
  <si>
    <t>MANUFACTURE_PLASTIC</t>
  </si>
  <si>
    <t>MANUFACTURE_OTHER_NON_METAL</t>
  </si>
  <si>
    <t>MANUFACTURE_METAL_PRODUCTS</t>
  </si>
  <si>
    <t>MANUFACTURE_ELECTRONICS</t>
  </si>
  <si>
    <t>MANUFACTURE_ELECTRICAL_EQUIPMENT</t>
  </si>
  <si>
    <t>MANUFACTURE_MACHINERY</t>
  </si>
  <si>
    <t>MANUFACTURE_VEHICLES</t>
  </si>
  <si>
    <t>MANUFACTURE_OTHER</t>
  </si>
  <si>
    <t>ELECTRICITY_COAL</t>
  </si>
  <si>
    <t>ELECTRICITY_GAS</t>
  </si>
  <si>
    <t>ELECTRICITY_NUCLEAR</t>
  </si>
  <si>
    <t>ELECTRICITY_HYDRO</t>
  </si>
  <si>
    <t>ELECTRICITY_WIND</t>
  </si>
  <si>
    <t>ELECTRICITY_OIL</t>
  </si>
  <si>
    <t>ELECTRICITY_SOLAR_PV</t>
  </si>
  <si>
    <t>ELECTRICITY_SOLAR_THERMAL</t>
  </si>
  <si>
    <t>ELECTRICITY_OTHER</t>
  </si>
  <si>
    <t>DISTRIBUTION_ELECTRICITY</t>
  </si>
  <si>
    <t>DISTRIBUTION_GAS</t>
  </si>
  <si>
    <t>STEAM_HOT_WATER</t>
  </si>
  <si>
    <t>WASTE_MANAGEMENT</t>
  </si>
  <si>
    <t>CONSTRUCTION</t>
  </si>
  <si>
    <t>TRADE_REPAIR_VEHICLES</t>
  </si>
  <si>
    <t>TRANSPORT_RAIL</t>
  </si>
  <si>
    <t>TRANSPORT_OTHER_LAND</t>
  </si>
  <si>
    <t>TRANSPORT_PIPELINE</t>
  </si>
  <si>
    <t>TRANSPORT_SEA</t>
  </si>
  <si>
    <t>TRANSPORT_INLAND_WATER</t>
  </si>
  <si>
    <t>TRANSPORT_AIR</t>
  </si>
  <si>
    <t>ACCOMMODATION</t>
  </si>
  <si>
    <t>TELECOMMUNICATIONS</t>
  </si>
  <si>
    <t>FINANCE</t>
  </si>
  <si>
    <t>REAL_ESTATE</t>
  </si>
  <si>
    <t>OTHER_SERVICES</t>
  </si>
  <si>
    <t>PUBLIC_ADMINISTRATION</t>
  </si>
  <si>
    <t>EDUCATION</t>
  </si>
  <si>
    <t>HEALTH</t>
  </si>
  <si>
    <t>ENTERTAIMENT</t>
  </si>
  <si>
    <t>PRIVATE_HOUSEHOLDS</t>
  </si>
  <si>
    <t xml:space="preserve">AUSTRIA </t>
  </si>
  <si>
    <t xml:space="preserve">LITHUANIA </t>
  </si>
  <si>
    <t>INITIAL_YEAR_LABOUR_PRODUCTIVITY_VARIATION_SP</t>
  </si>
  <si>
    <t>INITIAL_YEAR_WORKING_TIME_VARIATION_SP</t>
  </si>
  <si>
    <t>RAINFED</t>
  </si>
  <si>
    <t>IRRIGATED</t>
  </si>
  <si>
    <t>FOREST_MANAGED</t>
  </si>
  <si>
    <t>FOREST_PRIMARY</t>
  </si>
  <si>
    <t>FOREST_PLANTATIONS</t>
  </si>
  <si>
    <t>SHRUBLAND</t>
  </si>
  <si>
    <t>GRASSLAND</t>
  </si>
  <si>
    <t>WETLAND</t>
  </si>
  <si>
    <t>URBAN</t>
  </si>
  <si>
    <t>SOLAR</t>
  </si>
  <si>
    <t>SNOW_ICE_WATERBODIES</t>
  </si>
  <si>
    <t>OTHER_LAND</t>
  </si>
  <si>
    <t>DMNL/year</t>
  </si>
  <si>
    <t>SHARE_PV_INSTALLATIONS_SINGLE_FAMILY_VS_TOTAL_HOUSEHOLDS_BUILDINGS_SP</t>
  </si>
  <si>
    <t>INITIAL_YEAR_REDUCTION_MATERIAL_INTENSITY_PV_SP</t>
  </si>
  <si>
    <t>REDUCTION_RATE_MATERIAL_INTENSITY_PV_REST_OF_MATERIALS_SP</t>
  </si>
  <si>
    <t>INITIAL_YEAR_EFFICIENCY_INCREASE_RATE_PV_SP</t>
  </si>
  <si>
    <t>people/household</t>
  </si>
  <si>
    <t>Constant 2015 values</t>
  </si>
  <si>
    <t>Timeseries per region</t>
  </si>
  <si>
    <t>SWITCH_DIET_CHANGE_SP</t>
  </si>
  <si>
    <t>YEAR_INITIAL_DIET_CHANGE_SP</t>
  </si>
  <si>
    <t>YEAR_FINAL_DIET_CHANGE_SP</t>
  </si>
  <si>
    <t>SHARE_OF_CHANGE_TO_POLICY_DIET_INICIAL_VALUE_SP</t>
  </si>
  <si>
    <t>ANNUAL_EFFICIENCY_INCREASE_PV_SP</t>
  </si>
  <si>
    <t>CHP_gas_fuels</t>
  </si>
  <si>
    <t>CHP_gas_fuels_CCS</t>
  </si>
  <si>
    <t>CHP_geothermal</t>
  </si>
  <si>
    <t>CHP_liquid_fuels</t>
  </si>
  <si>
    <t>CHP_liquid_fuels_CCS</t>
  </si>
  <si>
    <t>CHP_solid_fossil</t>
  </si>
  <si>
    <t>CHP_solid_fossil_CCS</t>
  </si>
  <si>
    <t>CHP_waste</t>
  </si>
  <si>
    <t>CHP_solid_bio</t>
  </si>
  <si>
    <t>CHP_solid_bio_CCS</t>
  </si>
  <si>
    <t>HP_gas_fuels</t>
  </si>
  <si>
    <t>HP_solid_bio</t>
  </si>
  <si>
    <t>HP_geothermal</t>
  </si>
  <si>
    <t>HP_liquid_fuels</t>
  </si>
  <si>
    <t>HP_solar</t>
  </si>
  <si>
    <t>HP_solid_fossil</t>
  </si>
  <si>
    <t>HP_waste</t>
  </si>
  <si>
    <t>PP_solid_bio</t>
  </si>
  <si>
    <t>PP_solid_bio_CCS</t>
  </si>
  <si>
    <t>PP_gas_fuels</t>
  </si>
  <si>
    <t>PP_gas_fuels_CCS</t>
  </si>
  <si>
    <t>PP_geothermal</t>
  </si>
  <si>
    <t>PP_hydropower_dammed</t>
  </si>
  <si>
    <t>PP_hydropower_run_of_river</t>
  </si>
  <si>
    <t>PP_liquid_fuels</t>
  </si>
  <si>
    <t>PP_liquid_fuels_CCS</t>
  </si>
  <si>
    <t>PP_nuclear</t>
  </si>
  <si>
    <t>PP_oceanic</t>
  </si>
  <si>
    <t>PP_solar_CSP</t>
  </si>
  <si>
    <t>PP_solar_PV</t>
  </si>
  <si>
    <t>PP_solar_urban_PV</t>
  </si>
  <si>
    <t>PP_solid_fossil</t>
  </si>
  <si>
    <t>PP_solid_fossil_CCS</t>
  </si>
  <si>
    <t>PP_waste</t>
  </si>
  <si>
    <t>PP_waste_CCS</t>
  </si>
  <si>
    <t>PP_wind_offshore</t>
  </si>
  <si>
    <t>PP_wind_onshore</t>
  </si>
  <si>
    <t>blending_gas_fuels</t>
  </si>
  <si>
    <t>blending_liquid_fuels</t>
  </si>
  <si>
    <t>no_process_TI_hydrogen</t>
  </si>
  <si>
    <t>no_process_TI_solid_bio</t>
  </si>
  <si>
    <t>no_process_TI_solid_fossil</t>
  </si>
  <si>
    <t>AIR_DOMESTIC</t>
  </si>
  <si>
    <t>AIR_INTRA_EU</t>
  </si>
  <si>
    <t>AIR_INTERNATIONAL</t>
  </si>
  <si>
    <t>OBJECTIVE_DIET_CHANGE_SP</t>
  </si>
  <si>
    <t xml:space="preserve">Module Name </t>
  </si>
  <si>
    <t>Brief Description</t>
  </si>
  <si>
    <t>AFFORESTATION_SP</t>
  </si>
  <si>
    <t>Protection of Primary Forest Policy</t>
  </si>
  <si>
    <t>SHARE_OF_CHANGE_TO_POLICY_DIET_SP</t>
  </si>
  <si>
    <t>SWITCH_AFFORESTATION_SP</t>
  </si>
  <si>
    <t>YEAR_FINAL_AFFORESTATION_SP</t>
  </si>
  <si>
    <t>OBJECTIVE_AFFORESTATION_SP</t>
  </si>
  <si>
    <t>SWITCH_REGENERATIVE_AGRICULTURE_SP</t>
  </si>
  <si>
    <t>YEAR_INITIAL_REGENERATIVE_AGRICULTURE_SP</t>
  </si>
  <si>
    <t>YEAR_FINAL_REGENERATIVE_AGRICULTURE_SP</t>
  </si>
  <si>
    <t>OBJECTIVE_REGENERATIVE_AGRICULTURE_SP</t>
  </si>
  <si>
    <t>TRADITIONAL_TO_INDUSTRIAL_AGRICULTURE_SP</t>
  </si>
  <si>
    <t>CHANGE_TO_REGENERATIVE_AGRICULTURE_SP</t>
  </si>
  <si>
    <r>
      <rPr>
        <b/>
        <sz val="11"/>
        <color theme="1"/>
        <rFont val="Calibri"/>
        <family val="2"/>
        <scheme val="minor"/>
      </rPr>
      <t>SWITCH_</t>
    </r>
    <r>
      <rPr>
        <sz val="11"/>
        <color theme="1"/>
        <rFont val="Calibri"/>
        <family val="2"/>
        <scheme val="minor"/>
      </rPr>
      <t xml:space="preserve"> (Activate or deactivate the policy or hypothesis)</t>
    </r>
  </si>
  <si>
    <r>
      <rPr>
        <b/>
        <sz val="11"/>
        <color theme="1"/>
        <rFont val="Calibri"/>
        <family val="2"/>
        <scheme val="minor"/>
      </rPr>
      <t xml:space="preserve">INITIAL_YEAR_ </t>
    </r>
    <r>
      <rPr>
        <sz val="11"/>
        <color theme="1"/>
        <rFont val="Calibri"/>
        <family val="2"/>
        <scheme val="minor"/>
      </rPr>
      <t>(Initial year of application of the policy or hypothesis)</t>
    </r>
  </si>
  <si>
    <r>
      <rPr>
        <b/>
        <sz val="11"/>
        <color theme="1"/>
        <rFont val="Calibri"/>
        <family val="2"/>
        <scheme val="minor"/>
      </rPr>
      <t>FINAL_YEAR_</t>
    </r>
    <r>
      <rPr>
        <sz val="11"/>
        <color theme="1"/>
        <rFont val="Calibri"/>
        <family val="2"/>
        <scheme val="minor"/>
      </rPr>
      <t xml:space="preserve"> (Final year of application of the policy or hypothesis)</t>
    </r>
  </si>
  <si>
    <r>
      <rPr>
        <b/>
        <sz val="11"/>
        <color theme="1"/>
        <rFont val="Calibri"/>
        <family val="2"/>
        <scheme val="minor"/>
      </rPr>
      <t>OBJECTIVE_</t>
    </r>
    <r>
      <rPr>
        <sz val="11"/>
        <color theme="1"/>
        <rFont val="Calibri"/>
        <family val="2"/>
        <scheme val="minor"/>
      </rPr>
      <t xml:space="preserve"> (Desired value by applying the policy or hypothesis)</t>
    </r>
  </si>
  <si>
    <r>
      <rPr>
        <b/>
        <sz val="11"/>
        <color theme="1"/>
        <rFont val="Calibri"/>
        <family val="2"/>
        <scheme val="minor"/>
      </rPr>
      <t>SHAPE_</t>
    </r>
    <r>
      <rPr>
        <sz val="11"/>
        <color theme="1"/>
        <rFont val="Calibri"/>
        <family val="2"/>
        <scheme val="minor"/>
      </rPr>
      <t xml:space="preserve"> (Shape of the evolution of the applied policy or hypothesis over time).</t>
    </r>
    <r>
      <rPr>
        <b/>
        <sz val="11"/>
        <color theme="1"/>
        <rFont val="Calibri"/>
        <family val="2"/>
        <scheme val="minor"/>
      </rPr>
      <t xml:space="preserve"> N.B:</t>
    </r>
    <r>
      <rPr>
        <sz val="11"/>
        <color theme="1"/>
        <rFont val="Calibri"/>
        <family val="2"/>
        <scheme val="minor"/>
      </rPr>
      <t xml:space="preserve"> It is not necessary to have this variable in all the policies or hypothesis.</t>
    </r>
  </si>
  <si>
    <t>YEAR</t>
  </si>
  <si>
    <t>POLICY SCENARIO PARAMETERS</t>
  </si>
  <si>
    <t>DIET_ACORDING_TO_POLICIES_SP</t>
  </si>
  <si>
    <t>SELECT_POLICY_DIET_PATTERNS_SP</t>
  </si>
  <si>
    <t>MODERATELY DEGRADED</t>
  </si>
  <si>
    <t>SEVERELY DEGRADED</t>
  </si>
  <si>
    <t>IMPROVED GRASSLAND MEDIUM INPUT</t>
  </si>
  <si>
    <t>IMPROVED GRASSLAND HIGH INPUT</t>
  </si>
  <si>
    <t>From Traditional to Industrial Agriculture Policy</t>
  </si>
  <si>
    <t>Change to Regenerative Agriculture Policy</t>
  </si>
  <si>
    <t>Definition</t>
  </si>
  <si>
    <t>Examples</t>
  </si>
  <si>
    <t>OVERALL GOAL (aka overall objective)</t>
  </si>
  <si>
    <t>Full net decarbonisation by 2050; global average temperature &lt; 1.5⁰C; achieve full employment; maintain a certain level of societal equity; annual GDPpc growth of 3%; SDGs, etc.</t>
  </si>
  <si>
    <t>STORYLINE (aka narrative)</t>
  </si>
  <si>
    <t>Business as usual, Green Growth, Degrowth, etc.</t>
  </si>
  <si>
    <t>POLICY</t>
  </si>
  <si>
    <t>Energy Policy, Economic Policy, Trade Policy, Health policy, Environmental policy, etc.</t>
  </si>
  <si>
    <t>POLICY OBJECTIVE (aka policy goal)</t>
  </si>
  <si>
    <t>Decarbonization, transition to renewables, reduce unemployment, reduce inequalities, GDPpc growth, increase exports, decrease energy use in buildings, etc.</t>
  </si>
  <si>
    <t>POLICY MEASURE</t>
  </si>
  <si>
    <t>Intervention in a part of the existing system (economy, environment, social welfare, etc.) typically promoted by institutions such as governments and regulatory institutions to drive a technological, behavioural, infrastructure, etc. change with relation to current trends.</t>
  </si>
  <si>
    <t>Feed-in-tariffs for renewables, carbon tax, border adjustment tax, raising awareness to consume sustainable products, new laws limiting or prohibiting the consumption or production of polluting products, etc.</t>
  </si>
  <si>
    <t>POLICY TARGET</t>
  </si>
  <si>
    <t>32% of renewable energy in total energy by 2030, increasing public transport passengers by 20%, reducing the same 20% of private transport passengers, reduce meat consumption in the diet by 10%, targets from the SDGs, etc.</t>
  </si>
  <si>
    <t>POLICY INSTRUMENT</t>
  </si>
  <si>
    <t>Laws, regulations, codes, subsidies, taxes, campaigns to raise awareness, new infrastructure projects for transport or urban planning, focused education and training for professionals, obligation schemes, public procurement, science funding, etc.</t>
  </si>
  <si>
    <t>HYPOTHESIS</t>
  </si>
  <si>
    <t>Oil reserves, mineral reserves, tipping points
How much oil is available at X extraction cost in region Z?</t>
  </si>
  <si>
    <t>SCENARIO</t>
  </si>
  <si>
    <t>(Same as for storylines)</t>
  </si>
  <si>
    <t>ADAPTIVE SCENARIO</t>
  </si>
  <si>
    <t>LIST OF DEFINITIONS:</t>
  </si>
  <si>
    <t>Submodule Name (Wiliam View in Vensim)</t>
  </si>
  <si>
    <t>LOAD_FACTOR_SP</t>
  </si>
  <si>
    <t>POWER_TRAIN_I</t>
  </si>
  <si>
    <t>REGIONS_I</t>
  </si>
  <si>
    <t>SWITCH_FUEL_CONSUMPTION_EFFICIENCY_CHANGE_SP</t>
  </si>
  <si>
    <t>YEAR_INITIAL_FUEL_CONSUMPTION_EFFICIENCY_CHANGE_SP</t>
  </si>
  <si>
    <t>YEAR_FINAL_FUEL_CONSUMPTION_EFFICIENCY_CHANGE_SP</t>
  </si>
  <si>
    <t>FUEL_CONSUMPTION_EFFICIENCY_CHANGE</t>
  </si>
  <si>
    <t>energy-end_use.transport_passengers</t>
  </si>
  <si>
    <t>V2G_SP</t>
  </si>
  <si>
    <t>YEAR_INITIAL_V2G_SP</t>
  </si>
  <si>
    <t>YEAR_FINAL_V2G_SP</t>
  </si>
  <si>
    <t>OBJECTIVE_V2G_SP</t>
  </si>
  <si>
    <t>SWITCH_V2G_SP</t>
  </si>
  <si>
    <t>INITIAL_V2G_SP</t>
  </si>
  <si>
    <t>SC_SP</t>
  </si>
  <si>
    <t>SWITCH_SC_SP</t>
  </si>
  <si>
    <t>YEAR_INITIAL_SC_SP</t>
  </si>
  <si>
    <t>YEAR_FINAL_SC_SP</t>
  </si>
  <si>
    <t>OBJECTIVE_SC_SP</t>
  </si>
  <si>
    <t>INITIAL_SC_SP</t>
  </si>
  <si>
    <t>Vehicle to Grid</t>
  </si>
  <si>
    <t>Smart Chargers</t>
  </si>
  <si>
    <r>
      <t>REGIONS_I</t>
    </r>
    <r>
      <rPr>
        <sz val="11"/>
        <rFont val="Calibri"/>
        <family val="2"/>
      </rPr>
      <t>│_</t>
    </r>
    <r>
      <rPr>
        <sz val="11"/>
        <rFont val="Calibri"/>
        <family val="2"/>
        <scheme val="minor"/>
      </rPr>
      <t>UNIT</t>
    </r>
  </si>
  <si>
    <r>
      <t>REGIONS_I</t>
    </r>
    <r>
      <rPr>
        <sz val="11"/>
        <rFont val="Calibri"/>
        <family val="2"/>
      </rPr>
      <t>│kg/person</t>
    </r>
  </si>
  <si>
    <t>_UNIT</t>
  </si>
  <si>
    <t>POWER_TRAIN_I│DMNL</t>
  </si>
  <si>
    <t>Energy</t>
  </si>
  <si>
    <r>
      <t>Each policy can be found in the model by clicking in Vensim (when the .mdl is opened) on</t>
    </r>
    <r>
      <rPr>
        <b/>
        <sz val="11"/>
        <color theme="1"/>
        <rFont val="Calibri"/>
        <family val="2"/>
        <scheme val="minor"/>
      </rPr>
      <t xml:space="preserve"> EDIT</t>
    </r>
    <r>
      <rPr>
        <sz val="11"/>
        <color theme="1"/>
        <rFont val="Calibri"/>
        <family val="2"/>
        <scheme val="minor"/>
      </rPr>
      <t xml:space="preserve"> -&gt; </t>
    </r>
    <r>
      <rPr>
        <b/>
        <sz val="11"/>
        <color theme="1"/>
        <rFont val="Calibri"/>
        <family val="2"/>
        <scheme val="minor"/>
      </rPr>
      <t>FIND</t>
    </r>
  </si>
  <si>
    <t>RCP 2.6</t>
  </si>
  <si>
    <t>RCP 4.5</t>
  </si>
  <si>
    <t>RCP 6.0</t>
  </si>
  <si>
    <t>RCP 8.5</t>
  </si>
  <si>
    <t>SELECT_GWP_TIME_FRAME_SP</t>
  </si>
  <si>
    <t>20 year</t>
  </si>
  <si>
    <t>100 year</t>
  </si>
  <si>
    <t>CLIMATE_SENSITIVITY_SP</t>
  </si>
  <si>
    <t>climate-impacts.temperature_change</t>
  </si>
  <si>
    <t xml:space="preserve">Policy or Hypothesis Name </t>
  </si>
  <si>
    <t xml:space="preserve">Policy or Hypothesis Name In Wiliam Model </t>
  </si>
  <si>
    <t>Global Warming Potential (GWP) time frame</t>
  </si>
  <si>
    <t xml:space="preserve">Climate sensitivity </t>
  </si>
  <si>
    <t>STATIONARY_BATTERIES_MAXIMUM_SP</t>
  </si>
  <si>
    <t>NRG_PROTRA_I│dmnl</t>
  </si>
  <si>
    <t>materials-requirements.PV_subtechn</t>
  </si>
  <si>
    <t>energy-transformation.efficiency_improvements</t>
  </si>
  <si>
    <t>PROTRA_CAPACITY_EXPANSION_PRIORITIES_VECTOR_SP</t>
  </si>
  <si>
    <t>energy-capacities</t>
  </si>
  <si>
    <t>FERTILITY_RATES_SP</t>
  </si>
  <si>
    <t>OBJECTIVE_FERTILITY_RATES_SP</t>
  </si>
  <si>
    <t>Fertility rates</t>
  </si>
  <si>
    <t>Life expectancy at birth</t>
  </si>
  <si>
    <t>REGION_35_I│1/year</t>
  </si>
  <si>
    <t>dmnl</t>
  </si>
  <si>
    <t>Damage function represent impacts from all the hazards</t>
  </si>
  <si>
    <t>Damage function represent impacts from heatwaves</t>
  </si>
  <si>
    <t>Damage function represent impacts from wildfires</t>
  </si>
  <si>
    <t>Damage function represent impacts from droughts</t>
  </si>
  <si>
    <t>Maximum damages (the statistic measure 'maximum' is used to calibrate the damage function)</t>
  </si>
  <si>
    <t>Minimum damages (the statistic measure 'minimum' is used to calibrate the damage function)</t>
  </si>
  <si>
    <t>Median damages (the statistic measure 'median' is used to calibrate the damage function)</t>
  </si>
  <si>
    <t>Average damages (the statistic measure 'mean' is used to calibrate the damage function)</t>
  </si>
  <si>
    <t>SELECT_CLIMATE_CHANGE_IMPACT_UNCERTAINTY_SCENARIO_SP</t>
  </si>
  <si>
    <t>Economy</t>
  </si>
  <si>
    <t>Climate</t>
  </si>
  <si>
    <t>Demography</t>
  </si>
  <si>
    <t>economy-firms.investment</t>
  </si>
  <si>
    <t>economy-labour</t>
  </si>
  <si>
    <t xml:space="preserve">economy-government </t>
  </si>
  <si>
    <t>economy-climate_change_impacts</t>
  </si>
  <si>
    <t>Equilibrium Climate Sensitivity hypothesis. It is the amount of global warming over hundreds of years after a doubling of the atmospheric CO2 concentration. There is a high uncertainty about this parameter.</t>
  </si>
  <si>
    <t>SHARED SOCIOECONOMIC PATHWAYS (SSP)</t>
  </si>
  <si>
    <t>LIFE_EXPECTANCY_AT_BIRTH_SP</t>
  </si>
  <si>
    <t>Migrations</t>
  </si>
  <si>
    <t>MIGRATION_SP</t>
  </si>
  <si>
    <t>SWITCH_MIGRATION_SP</t>
  </si>
  <si>
    <t>Shares Immigration 
(ROW-ORIGIN\COLUMN-DESTINATION
SUM_COLS_OF_ROW = 1</t>
  </si>
  <si>
    <t>Emigrations (Abel&amp;Cohen_2022)</t>
  </si>
  <si>
    <t>AUT</t>
  </si>
  <si>
    <t>BEL</t>
  </si>
  <si>
    <t>BGR</t>
  </si>
  <si>
    <t>HRV</t>
  </si>
  <si>
    <t>CYP</t>
  </si>
  <si>
    <t>CZE</t>
  </si>
  <si>
    <t>DNK</t>
  </si>
  <si>
    <t>EST</t>
  </si>
  <si>
    <t>FIN</t>
  </si>
  <si>
    <t>FRA</t>
  </si>
  <si>
    <t>DEU</t>
  </si>
  <si>
    <t>GRC</t>
  </si>
  <si>
    <t>HUN</t>
  </si>
  <si>
    <t>IRL</t>
  </si>
  <si>
    <t>ITA</t>
  </si>
  <si>
    <t>LVA</t>
  </si>
  <si>
    <t>LTU</t>
  </si>
  <si>
    <t>LUX</t>
  </si>
  <si>
    <t>MLT</t>
  </si>
  <si>
    <t>NLD</t>
  </si>
  <si>
    <t>POL</t>
  </si>
  <si>
    <t>PRT</t>
  </si>
  <si>
    <t>ROU</t>
  </si>
  <si>
    <t>SVK</t>
  </si>
  <si>
    <t>SVN</t>
  </si>
  <si>
    <t>ESP</t>
  </si>
  <si>
    <t>SWE</t>
  </si>
  <si>
    <t>GBR</t>
  </si>
  <si>
    <t>CHI</t>
  </si>
  <si>
    <t>% (emigration / population)</t>
  </si>
  <si>
    <t>Mean values for future trend</t>
  </si>
  <si>
    <t>Evolution of EU27 households composition</t>
  </si>
  <si>
    <t>Evolution of number of people per household in non-EU regions</t>
  </si>
  <si>
    <t>demography-households_composition</t>
  </si>
  <si>
    <t>demography-population_change</t>
  </si>
  <si>
    <t>#</t>
  </si>
  <si>
    <t>SELECT_CLIMATE_HAZARDS_SP</t>
  </si>
  <si>
    <t>Economic climate change impacts uncertainty scenario</t>
  </si>
  <si>
    <t>Hypothesis with the following options derived from statistical analysis: maximum, minimum, median and average</t>
  </si>
  <si>
    <t>Variation over time of average number of people per household for non EU regions.</t>
  </si>
  <si>
    <t>Reduction in total transport passenger demand</t>
  </si>
  <si>
    <t>Improve load factor passenger transport</t>
  </si>
  <si>
    <t>Improve fuel efficiency transport</t>
  </si>
  <si>
    <t>PV panel efficiency improvements</t>
  </si>
  <si>
    <t>Priorities for the allocation of capacity expansion priorities of process transformation</t>
  </si>
  <si>
    <t>energy-RES_potentials</t>
  </si>
  <si>
    <t>YEAR_INITIAL_GENDER_PARITY_INDEX_SP</t>
  </si>
  <si>
    <t>YEAR_FINAL_GENDER_PARITY_INDEX_SP</t>
  </si>
  <si>
    <t>GENDER PARITY INDEX TARGET</t>
  </si>
  <si>
    <t>Society</t>
  </si>
  <si>
    <t>society-education</t>
  </si>
  <si>
    <t>Gender parity in education</t>
  </si>
  <si>
    <t>Capital productivity change</t>
  </si>
  <si>
    <t>Labour productivity change</t>
  </si>
  <si>
    <t>Working time variation</t>
  </si>
  <si>
    <t>Government deficit of surplus</t>
  </si>
  <si>
    <t>Each RCP represents a level of radiative forcing (W/m2) by 2100. Four pathways were used for climate modeling and research for the IPCC fifth Assessment Report (AR5) in 2014. The pathways describe different climate futures, all of which are considered possible depending on the volume of greenhouse gases (GHG) emitted in the years to come.
This hypothesis is used in WILIAM to drive the evolution of some dimensions which have not been fully endogenized (e.g., some GHG other than CO2, CH4 and N2O, etc.).</t>
  </si>
  <si>
    <t>Materials</t>
  </si>
  <si>
    <t>$/bbl</t>
  </si>
  <si>
    <t>OPEC_TARGET_PRICE_HIGH</t>
  </si>
  <si>
    <t>OPEC_TARGET_PRICE_OTHER</t>
  </si>
  <si>
    <t xml:space="preserve">User defines </t>
  </si>
  <si>
    <t>TAX RATE ON EXTRACTION OF OIL SP</t>
  </si>
  <si>
    <t>TAX RATE ON EXTRACTION OF GAS SP</t>
  </si>
  <si>
    <t>TAX RATE ON EXTRACTION OF COAL SP</t>
  </si>
  <si>
    <t>materials-Hydrocarbons_module</t>
  </si>
  <si>
    <t>Greenhouse gases (GHGs) warm the Earth by absorbing energy and slowing the rate at which the energy escapes to space. Different GHGs can have different effects on the Earth's warming. Two key ways in which these gases differ from each other are their ability to absorb energy (their "radiative efficiency"), and how long they stay in the atmosphere (also known as their "lifetime").
The GWP was developed to allow comparisons of the global warming impacts of different gases. Specifically, it is a measure of how much energy the emissions of 1 ton of a gas will absorb over a given period of time, relative to the emissions of 1 ton of carbon dioxide (CO2). The larger the GWP, the more that a given gas warms the Earth compared to CO2 over that time period. The time period usually used for GWPs is 100 years, but it may be argued that a shorter time- frame could be used to assess the shorter-term effects of some gases such as CH4 which has a much higher short-term warming effect than CO2 (e.g., Howarth, R.W., Santoro, R., Ingraffea, A., 2011. Methane and the greenhouse-gas footprint of natural gas from shale formations. Climatic Change 106, 679–690. https://doi.org/10.1007/s10584-011-0061-5).</t>
  </si>
  <si>
    <t>OPEC_OIL_TARGET_PRICE_LOW</t>
  </si>
  <si>
    <t>OPEC_OIL_TARGET_PRICE_SP</t>
  </si>
  <si>
    <t>TAX_RATE_ON_EXTRATION_OF_RESOURCES_SP</t>
  </si>
  <si>
    <t>REDUCTION_RATE_MATERIAL_INTENSITY_PV_PANELS_SP</t>
  </si>
  <si>
    <t>Reduction rate material intensities PV panels</t>
  </si>
  <si>
    <t>PV panels are made of a diversity of materials, which are accounted for in the model in the form of material intensities (kg/MW). One of the ways technological improvements are developed is through the reduction in these material intensities over time for some materials. Those materials, their trends and thermodynamical limits should be assessed for scenario projections.</t>
  </si>
  <si>
    <t>ONGOING MODELLING WORK !!
This is an hypothetical policy measure which would consist on  the taxing of the hydrocarbons and materials in terms of the energy or mass-content</t>
  </si>
  <si>
    <t>P1</t>
  </si>
  <si>
    <t>P2</t>
  </si>
  <si>
    <t>P3</t>
  </si>
  <si>
    <t>P12</t>
  </si>
  <si>
    <t>P16</t>
  </si>
  <si>
    <t>P19</t>
  </si>
  <si>
    <t>P20</t>
  </si>
  <si>
    <t>Afforestation Policy</t>
  </si>
  <si>
    <t>HYPOTHESES</t>
  </si>
  <si>
    <t>H1</t>
  </si>
  <si>
    <t>H2</t>
  </si>
  <si>
    <t>H3</t>
  </si>
  <si>
    <t>POLICIES (measures and targets)</t>
  </si>
  <si>
    <t>P4</t>
  </si>
  <si>
    <t>P5</t>
  </si>
  <si>
    <t>P6</t>
  </si>
  <si>
    <t>P7</t>
  </si>
  <si>
    <t>P8</t>
  </si>
  <si>
    <t>P9</t>
  </si>
  <si>
    <t>P10</t>
  </si>
  <si>
    <t>P11</t>
  </si>
  <si>
    <t>P13</t>
  </si>
  <si>
    <t>P17</t>
  </si>
  <si>
    <t>P18</t>
  </si>
  <si>
    <t>P21</t>
  </si>
  <si>
    <t>P22</t>
  </si>
  <si>
    <t>P23</t>
  </si>
  <si>
    <t>P24</t>
  </si>
  <si>
    <t>P29</t>
  </si>
  <si>
    <t>P30</t>
  </si>
  <si>
    <t>P31</t>
  </si>
  <si>
    <t>P36</t>
  </si>
  <si>
    <t>P37</t>
  </si>
  <si>
    <t>P38</t>
  </si>
  <si>
    <t>P41</t>
  </si>
  <si>
    <t>P42</t>
  </si>
  <si>
    <t>TOTAL POLICIES</t>
  </si>
  <si>
    <t>TOTAL HYPOTHESES</t>
  </si>
  <si>
    <t>H4</t>
  </si>
  <si>
    <t>Technology Utilization Priorities - Policy weight</t>
  </si>
  <si>
    <t>_VECTOR(PROTRA_technology_utilization_priorities)</t>
  </si>
  <si>
    <t>dmnl / yr</t>
  </si>
  <si>
    <t>PROTRA_CHP_gas_fuels</t>
  </si>
  <si>
    <t>PROTRA_CHP_gas_fuels_CCS</t>
  </si>
  <si>
    <t>PROTRA_CHP_geothermal</t>
  </si>
  <si>
    <t>PROTRA_CHP_liquid_fuels</t>
  </si>
  <si>
    <t>PROTRA_CHP_liquid_fuels_CCS</t>
  </si>
  <si>
    <t>PROTRA_CHP_solid_fossil</t>
  </si>
  <si>
    <t>PROTRA_CHP_solid_fossil_CCS</t>
  </si>
  <si>
    <t>PROTRA_CHP_waste</t>
  </si>
  <si>
    <t>PROTRA_CHP_solid_bio</t>
  </si>
  <si>
    <t>PROTRA_CHP_solid_bio_CCS</t>
  </si>
  <si>
    <t>PROTRA_HP_gas_fuels</t>
  </si>
  <si>
    <t>PROTRA_HP_solid_bio</t>
  </si>
  <si>
    <t>PROTRA_HP_geothermal</t>
  </si>
  <si>
    <t>PROTRA_HP_liquid_fuels</t>
  </si>
  <si>
    <t>PROTRA_HP_solar</t>
  </si>
  <si>
    <t>PROTRA_HP_solid_fossil</t>
  </si>
  <si>
    <t>PROTRA_HP_waste</t>
  </si>
  <si>
    <t>PROTRA_PP_solid_bio</t>
  </si>
  <si>
    <t>PROTRA_PP_solid_bio_CCS</t>
  </si>
  <si>
    <t>PROTRA_PP_gas_fuels</t>
  </si>
  <si>
    <t>PROTRA_PP_gas_fuels_CCS</t>
  </si>
  <si>
    <t>PROTRA_PP_geothermal</t>
  </si>
  <si>
    <t>PROTRA_PP_hydropower_dammed</t>
  </si>
  <si>
    <t>PROTRA_PP_hydropower_run_of_river</t>
  </si>
  <si>
    <t>PROTRA_PP_liquid_fuels</t>
  </si>
  <si>
    <t>PROTRA_PP_liquid_fuels_CCS</t>
  </si>
  <si>
    <t>PROTRA_PP_nuclear</t>
  </si>
  <si>
    <t>PROTRA_PP_oceanic</t>
  </si>
  <si>
    <t>PROTRA_PP_solar_CSP</t>
  </si>
  <si>
    <t>PROTRA_PP_solar_open_space_PV</t>
  </si>
  <si>
    <t>PROTRA_PP_solar_urban_PV</t>
  </si>
  <si>
    <t>PROTRA_PP_solid_fossil</t>
  </si>
  <si>
    <t>PROTRA_PP_solid_fossil_CCS</t>
  </si>
  <si>
    <t>PROTRA_PP_waste</t>
  </si>
  <si>
    <t>PROTRA_PP_waste_CCS</t>
  </si>
  <si>
    <t>PROTRA_PP_wind_offshore</t>
  </si>
  <si>
    <t>PROTRA_PP_wind_onshore</t>
  </si>
  <si>
    <t>PROTRA_blending_gas_fuels</t>
  </si>
  <si>
    <t>PROTRA_blending_liquid_fuels</t>
  </si>
  <si>
    <t>PROTRA_no_process_TI_hydrogen</t>
  </si>
  <si>
    <t>PROTRA_no_process_TI_solid_bio</t>
  </si>
  <si>
    <t>PROTRA_no_process_TI_solid_fossil</t>
  </si>
  <si>
    <t>demography</t>
  </si>
  <si>
    <t>society</t>
  </si>
  <si>
    <t>economy</t>
  </si>
  <si>
    <t>finance</t>
  </si>
  <si>
    <t>energy</t>
  </si>
  <si>
    <t>energy-transport</t>
  </si>
  <si>
    <t>land_and_water</t>
  </si>
  <si>
    <t>climate</t>
  </si>
  <si>
    <t>materials</t>
  </si>
  <si>
    <t>Tab description</t>
  </si>
  <si>
    <t>glossary_and_narratives</t>
  </si>
  <si>
    <t>Tab name</t>
  </si>
  <si>
    <t>List of definitions of scenario concepts (overall goals, policies, policy measures, policy targets, hypotheses, etc.). Much heterogeinity exists in the literature in the interpretation of these words. The objetive of this glossary is to share a common consistent framework for the implementation of scenarios and policies in WILIAM .</t>
  </si>
  <si>
    <t>list_policies_hypotheses</t>
  </si>
  <si>
    <t>Scenario input parameters file storing data to simulate scenarios with WILIAM model</t>
  </si>
  <si>
    <t>demography-data</t>
  </si>
  <si>
    <t>Data underlying scenario options given in the main tab 'demography'</t>
  </si>
  <si>
    <r>
      <t xml:space="preserve">Open </t>
    </r>
    <r>
      <rPr>
        <b/>
        <sz val="11"/>
        <color theme="1"/>
        <rFont val="Calibri"/>
        <family val="2"/>
        <scheme val="minor"/>
      </rPr>
      <t>Wiliam</t>
    </r>
    <r>
      <rPr>
        <sz val="11"/>
        <color theme="1"/>
        <rFont val="Calibri"/>
        <family val="2"/>
        <scheme val="minor"/>
      </rPr>
      <t xml:space="preserve"> Model --&gt; Go to the desired </t>
    </r>
    <r>
      <rPr>
        <b/>
        <sz val="11"/>
        <color theme="1"/>
        <rFont val="Calibri"/>
        <family val="2"/>
        <scheme val="minor"/>
      </rPr>
      <t>module</t>
    </r>
    <r>
      <rPr>
        <sz val="11"/>
        <color theme="1"/>
        <rFont val="Calibri"/>
        <family val="2"/>
        <scheme val="minor"/>
      </rPr>
      <t xml:space="preserve"> ---&gt; Go to the desired </t>
    </r>
    <r>
      <rPr>
        <b/>
        <sz val="11"/>
        <color theme="1"/>
        <rFont val="Calibri"/>
        <family val="2"/>
        <scheme val="minor"/>
      </rPr>
      <t>submodule</t>
    </r>
    <r>
      <rPr>
        <sz val="11"/>
        <color theme="1"/>
        <rFont val="Calibri"/>
        <family val="2"/>
        <scheme val="minor"/>
      </rPr>
      <t xml:space="preserve"> ---&gt; Find all variables in </t>
    </r>
    <r>
      <rPr>
        <b/>
        <sz val="11"/>
        <color theme="1"/>
        <rFont val="Calibri"/>
        <family val="2"/>
        <scheme val="minor"/>
      </rPr>
      <t>pink color</t>
    </r>
    <r>
      <rPr>
        <sz val="11"/>
        <color theme="1"/>
        <rFont val="Calibri"/>
        <family val="2"/>
        <scheme val="minor"/>
      </rPr>
      <t xml:space="preserve"> ---&gt; Find your desired </t>
    </r>
    <r>
      <rPr>
        <b/>
        <sz val="11"/>
        <color theme="1"/>
        <rFont val="Calibri"/>
        <family val="2"/>
        <scheme val="minor"/>
      </rPr>
      <t>policy or hypothesis</t>
    </r>
  </si>
  <si>
    <t>HOW TO FIND A POLICY OR HYPOTHESIS WITH THEIR SCENARIO PARAMETERS IN WILIAM MODEL?</t>
  </si>
  <si>
    <t>Scenario input parameters belonging to the demography module</t>
  </si>
  <si>
    <t>Scenario input parameters belonging to the society module</t>
  </si>
  <si>
    <t>Scenario input parameters belonging to the economy module</t>
  </si>
  <si>
    <t>Scenario input parameters belonging to the finance module</t>
  </si>
  <si>
    <t>Scenario input parameters belonging to the land_and_water module</t>
  </si>
  <si>
    <t>Scenario input parameters belonging to the materials module</t>
  </si>
  <si>
    <t>Scenario input parameters belonging to the climate module</t>
  </si>
  <si>
    <t>Scenario input parameters belonging to the passenger transport submodule</t>
  </si>
  <si>
    <t>Scenario input parameters belonging to the energy module (excepting those related to passenger transport)</t>
  </si>
  <si>
    <t>SCENARIO PARAMETER OPTIONS:</t>
  </si>
  <si>
    <t>REGIONS_9_I│dmnl / yr</t>
  </si>
  <si>
    <t>PROCESS TRANSFORMATION I│REGIONS_9_I</t>
  </si>
  <si>
    <t>PROTRA_UTILIZATION_ALLOCATION_POLICY_PRIORITIES_SP</t>
  </si>
  <si>
    <t>energy-transformation.allocation</t>
  </si>
  <si>
    <t>Select RCP for setting the GHG emissions of those gases not being modelled endogenously</t>
  </si>
  <si>
    <t>SELECT_RCP_FOR_EXOGENOUS_GHG_EMISSIONS_SP</t>
  </si>
  <si>
    <t>H5</t>
  </si>
  <si>
    <t>Tax rate on extraction of hydrocarbons and materials
ONGOING MODELLING WORK !! Ignore</t>
  </si>
  <si>
    <t>This policy target activates (1) or disactivate (0) the existence of international bilateral migration flows for the future. Default incluced data from (Abel&amp;Cohen, 2022): https://www.nature.com/articles/s41597-022-01271-z, but they can be changed</t>
  </si>
  <si>
    <t>Medium</t>
  </si>
  <si>
    <t>PROTRA_PP_solar_CSP </t>
  </si>
  <si>
    <t>_VECTOR(PROTRA_RES_I; REGIONS_9_I)│EJ/year</t>
  </si>
  <si>
    <t>EXOGENOUS_PROTRA_RES_POTENTIALS_SP</t>
  </si>
  <si>
    <t>SELECT_PROTRA_RES_POTENTIALS_SP</t>
  </si>
  <si>
    <t>Exogenous potentials (set here as scenario parameter hypothesis).</t>
  </si>
  <si>
    <t>Unlimited RES potentials</t>
  </si>
  <si>
    <t>Unlimited uranium supply</t>
  </si>
  <si>
    <r>
      <t xml:space="preserve">EWG 2006 (maximum </t>
    </r>
    <r>
      <rPr>
        <sz val="11"/>
        <color theme="1"/>
        <rFont val="Calibri"/>
        <family val="2"/>
      </rPr>
      <t>~80 kt/year)</t>
    </r>
  </si>
  <si>
    <t>Zittel 2012 (maximum ~100 kt/year)</t>
  </si>
  <si>
    <t>EWG 2013  (maximum ~120 kt/year)</t>
  </si>
  <si>
    <t>USER DEFINED URANIUM_MAXIMUM_SUPPLY_CURVE</t>
  </si>
  <si>
    <t>EJ</t>
  </si>
  <si>
    <t>RURR uranium</t>
  </si>
  <si>
    <t>maximum extraction rate uranium</t>
  </si>
  <si>
    <t>EJ/year</t>
  </si>
  <si>
    <t>User defined uranium maximum supply curve (load data below)</t>
  </si>
  <si>
    <t>Maximum global supply curve for uranium</t>
  </si>
  <si>
    <t>materials-uranium</t>
  </si>
  <si>
    <t>Uranium extraction is constrained by a global maximum supply curve which is a curve of maximum energy extraction rate as a function of time (cf. Appendix B in Capellán-Pérez, I., Mediavilla, M., de Castro, C., Carpintero, Ó., Miguel, L.J., 2014. Fossil fuel depletion and socio-economic scenarios: An integrated approach. Energy 77, 641–666. https://doi.org/10.1016/j.energy.2014.09.063 for details)</t>
  </si>
  <si>
    <t>POLICY SCENARIO PARAMETER</t>
  </si>
  <si>
    <t>START_YEAR_ENERGY_EFFICIENCY_ANNUAL IMPROVEMENT_SP</t>
  </si>
  <si>
    <t>Value</t>
  </si>
  <si>
    <t>No final energy substitution</t>
  </si>
  <si>
    <t>Final energy substitution follows historical trends*</t>
  </si>
  <si>
    <t>*The evolution of the final energy substitution is not only exogenous defiened by those variables, it also depends endogenously on the final energy prices</t>
  </si>
  <si>
    <t>Final energy substitution defined by user: FINAL ENERGY SUBSTITUTION*</t>
  </si>
  <si>
    <t>FE_Elec</t>
  </si>
  <si>
    <t>FE_gas</t>
  </si>
  <si>
    <t>FE_heat</t>
  </si>
  <si>
    <t>FE_hydrogen</t>
  </si>
  <si>
    <t>FE_liquid</t>
  </si>
  <si>
    <t>FE_solid_bio</t>
  </si>
  <si>
    <t>FE_solid_fossil</t>
  </si>
  <si>
    <t>P43</t>
  </si>
  <si>
    <t>energy-end_use.energy_intensities</t>
  </si>
  <si>
    <t>P44</t>
  </si>
  <si>
    <t>TW</t>
  </si>
  <si>
    <t>SWITCH_FLEX_ELEC_DEMAND_SP</t>
  </si>
  <si>
    <t>INITIAL_YEAR_FLEX_ELEC_DEMAND_SP</t>
  </si>
  <si>
    <t>YEAR_FINAL_FLEX_ELEC_DEMAND_SP</t>
  </si>
  <si>
    <t>OBJECTIVE_FLEX_ELEC_DEMAND_SP</t>
  </si>
  <si>
    <t>REGIONS_I│_UNIT</t>
  </si>
  <si>
    <t>TWh</t>
  </si>
  <si>
    <t>Flexible electricity demand</t>
  </si>
  <si>
    <t>P46</t>
  </si>
  <si>
    <t>TAX RATE ON EXTRACTION OF COPPER SP</t>
  </si>
  <si>
    <t>TAX RATE ON EXTRACTION OF ALUMINIUM SP</t>
  </si>
  <si>
    <t>TAX RATE ON EXTRACTION OF IRON SP</t>
  </si>
  <si>
    <t>TAX RATE ON EXTRACTION OF NICKEL SP</t>
  </si>
  <si>
    <t>TAX_RATE_ON_EXTRACTION_LOW</t>
  </si>
  <si>
    <t>TAX_RATE_ON_EXTRACTION_MEDIUM</t>
  </si>
  <si>
    <t>TAX_RATE_ON_EXTRACTION_HIGH</t>
  </si>
  <si>
    <t>TAX_RATE_ON_EXTRACTION_OTHER</t>
  </si>
  <si>
    <t>START YEAR MIGRATIONS_SP</t>
  </si>
  <si>
    <t>SWITCH_INDUSTRIAL_AGRICULTURE_SP</t>
  </si>
  <si>
    <t>YEAR_INITIAL_INDUSTRIAL_AGRICULTURE_SP</t>
  </si>
  <si>
    <t>YEAR_FINAL_INDUSTRIAL_AGRICULTURE_SP</t>
  </si>
  <si>
    <t>OBJECTIVE_INDUSTRIAL_AGRICULTURE_SP</t>
  </si>
  <si>
    <t>URBAN_LAND_DENSITY_SP</t>
  </si>
  <si>
    <t>SWITCH_URBAN_LAND_DENSITY_SP</t>
  </si>
  <si>
    <t>YEAR_INITIAL_URBAN_LAND_DENSITY_SP</t>
  </si>
  <si>
    <t>YEAR_FINAL_URBAN_LAND_DENSITY_SP</t>
  </si>
  <si>
    <t>OBJECTIVE_URBAN_LAND_DENSITY_SP</t>
  </si>
  <si>
    <t>m2/person</t>
  </si>
  <si>
    <t>REGIONS_I│Dmnl</t>
  </si>
  <si>
    <t>NATURAL_LAND_PROTECTION_SP</t>
  </si>
  <si>
    <t>YEAR_FINAL_NATURAL_LAND_PROTECTION_SP</t>
  </si>
  <si>
    <t>GRASSLAND_PROTECTION_SP</t>
  </si>
  <si>
    <t>CROPLAND_RAINFED</t>
  </si>
  <si>
    <t>SOLAR_LAND</t>
  </si>
  <si>
    <t>SOLAR_LAND_FROM_OTHERS_SP</t>
  </si>
  <si>
    <t>SWITCH_SOLAR_LAND_FROM_OTHERS_SP</t>
  </si>
  <si>
    <t>YEAR_INITIAL_SOLAR_LAND_FROM_OTHERS_SP</t>
  </si>
  <si>
    <t>YEAR_FINAL_SOLAR_LAND_FROM_OTHERS_SP</t>
  </si>
  <si>
    <r>
      <t>REGIONS_I</t>
    </r>
    <r>
      <rPr>
        <sz val="11"/>
        <rFont val="Calibri"/>
        <family val="2"/>
      </rPr>
      <t>│_DMNL</t>
    </r>
  </si>
  <si>
    <t>LANDS_I</t>
  </si>
  <si>
    <t>[%]</t>
  </si>
  <si>
    <t>PRIORITIES_OF_LAND_PRODUCTS_DISTRIBUTION_AMONG_REGIONS_SP</t>
  </si>
  <si>
    <t>CORN</t>
  </si>
  <si>
    <t>RICE</t>
  </si>
  <si>
    <t>CEREALS_OTHER</t>
  </si>
  <si>
    <t>TUBERS</t>
  </si>
  <si>
    <t>SOY</t>
  </si>
  <si>
    <t>PULSES_NUTS</t>
  </si>
  <si>
    <t>OILCROPS</t>
  </si>
  <si>
    <t>SUGARS_CROPS</t>
  </si>
  <si>
    <t>FRUITS_VEGETABLES</t>
  </si>
  <si>
    <t>BIOFUEL_2GCROP</t>
  </si>
  <si>
    <t>OTHER_CROPS</t>
  </si>
  <si>
    <t>WOOD</t>
  </si>
  <si>
    <t>RESIDUES</t>
  </si>
  <si>
    <t>WIDTH_OF_LAND_PRODUCTS_DISTRIBUTION_AMONG_REGIONS_SP</t>
  </si>
  <si>
    <t>LAND_PRODUCTS_GLOBAL_POOL_SP</t>
  </si>
  <si>
    <t>SWITCH_LAND_PRODUCTS_GLOBAL_POOL_SP</t>
  </si>
  <si>
    <t>YEAR_INITIAL_LAND_PRODUCTS_GLOBAL_POOL_SP</t>
  </si>
  <si>
    <t>YEAR_FINAL_LAND_PRODUCTS_GLOBAL_POOL_SP</t>
  </si>
  <si>
    <t>OBJECTIVE_LAND_PRODUCTS_GLOBAL_POOL_SP</t>
  </si>
  <si>
    <t>CROPS_FOR_ENERGY_SP</t>
  </si>
  <si>
    <t>SWITCH_CROPS_FOR_ENERGY_SP</t>
  </si>
  <si>
    <t>YEAR_INITIAL_CROPS_FOR_ENERGY_SP</t>
  </si>
  <si>
    <t>YEAR_FINAL_CROPS_FOR_ENERGY_SP</t>
  </si>
  <si>
    <t>OBJECTIVE_CROPS_FOR_ENERGY_SP</t>
  </si>
  <si>
    <t>WOOD_FOR_ENERGY_SP</t>
  </si>
  <si>
    <t>SWITCH_WOOD_FOR_ENERGY_SP</t>
  </si>
  <si>
    <t>YEAR_INITIAL_WOOD_FOR_ENERGY_SP</t>
  </si>
  <si>
    <t>YEAR_FINAL_WOOD_FOR_ENERGY_SP</t>
  </si>
  <si>
    <t>OBJECTIVE_WOOD_FOR_ENERGY_SP</t>
  </si>
  <si>
    <t>EFFECT_OIL_AND_GAS_ON_AGRICULTURE_SP</t>
  </si>
  <si>
    <t>SWITCH_EFFECT_OIL_AND_GAS_ON_AGRICULTURE_SP</t>
  </si>
  <si>
    <t>PERMANENTLY CLEARING LAND VEGETATION</t>
  </si>
  <si>
    <t>MANTAIN/RESTORE PREVIOUS VEGETATION (UP TO 30 CM)</t>
  </si>
  <si>
    <t>SEEDING AND MANAGEMENT AS PASTURES</t>
  </si>
  <si>
    <t>SOLARLAND_MANAGEMENT_SP</t>
  </si>
  <si>
    <t>P49</t>
  </si>
  <si>
    <t>P51</t>
  </si>
  <si>
    <t>P52</t>
  </si>
  <si>
    <t>P53</t>
  </si>
  <si>
    <t>P56</t>
  </si>
  <si>
    <t>H6</t>
  </si>
  <si>
    <t>SELECT_ROOFTOP_USE_SOLAR_TECHNOLOGIES_SP</t>
  </si>
  <si>
    <t>Rooftop split 0% (PV) - 100% (solar thermal)</t>
  </si>
  <si>
    <t>Rooftop split 25% (PV) - 75% (solar thermal)</t>
  </si>
  <si>
    <t>Rooftop split 50% (PV) - 50% (solar thermal)</t>
  </si>
  <si>
    <t>Rooftop split 75% (PV) - 25% (solar thermal)</t>
  </si>
  <si>
    <t>Rooftop split 100% (PV) - 0% (solar thermal)</t>
  </si>
  <si>
    <t>User defined energy potential for rooftop PV and rooftop solar thermal (see below)</t>
  </si>
  <si>
    <t>SOLAR_THERMAL_ROOFTOP_POTENTIAL_USER_DEFINED_SP</t>
  </si>
  <si>
    <t>PJ/year</t>
  </si>
  <si>
    <t>China</t>
  </si>
  <si>
    <t>India</t>
  </si>
  <si>
    <t>Russia</t>
  </si>
  <si>
    <t>SOLAR_THERMAL_ROOFTOP_POTENTIAL_0PV_100TH_SP</t>
  </si>
  <si>
    <t>SOLAR_THERMAL_ROOFTOP_POTENTIAL_25PV_75TH_SP</t>
  </si>
  <si>
    <t>SOLAR_THERMAL_ROOFTOP_POTENTIAL_50PV_50TH_SP</t>
  </si>
  <si>
    <t>SOLAR_THERMAL_ROOFTOP_POTENTIAL_75PV_25TH_SP</t>
  </si>
  <si>
    <t>SOLAR_THERMAL_ROOFTOP_POTENTIAL_100PV_0TH_SP</t>
  </si>
  <si>
    <t>Select rooftop potential use solar technologies</t>
  </si>
  <si>
    <t>AVERAGE_PEOPLE_PER_HOUSEHOLD_NON_EU_REGIONS_TIMESERIES_TARGET_SP</t>
  </si>
  <si>
    <t xml:space="preserve">OBJECTIVE_GENDER_PARITY_INDEX_SP </t>
  </si>
  <si>
    <t>TARGET_YEAR_FERTILITY_RATES_SP</t>
  </si>
  <si>
    <t>PERCENTAGE_EMIGRATIONS_SP</t>
  </si>
  <si>
    <t>SELECT_SLOPE_EVOLUTION_OF_EU27_HOUSEHOLDS_COMPOSITION_SP</t>
  </si>
  <si>
    <t>SELECT_VARIATION_OF_AVERAGE_PEOPLE_PER_HOUSEHOLD_IN_NON_EU_REGIONS_SP</t>
  </si>
  <si>
    <t>FINAL_GENDER_PARITY_INDEX_SP</t>
  </si>
  <si>
    <t>SWITCH_POLICY_GENDER_PARITY_INDEX_SP</t>
  </si>
  <si>
    <t>MEDIUM_EDUCATION [DMNL]</t>
  </si>
  <si>
    <t>HIGH_EDUCATION [DMNL]</t>
  </si>
  <si>
    <t>CAPITAL_PRODUCTIVITY_VARIATION</t>
  </si>
  <si>
    <t>LABOUR_PRODUCTIVITY_VARIATION</t>
  </si>
  <si>
    <t>WORKING_TIME_VARIATION_SP</t>
  </si>
  <si>
    <t>GOVERNMENT_BUDGET_BALANCE_TO_GDP_OBJECTIVE_TARGET_SP</t>
  </si>
  <si>
    <t>SWITCH_PASSENGER_TRANSPORT_MODAL_SHARE_SP</t>
  </si>
  <si>
    <t>YEAR_INITIAL_PASSENGER_TRANSPORT_SHARE_SP</t>
  </si>
  <si>
    <t>YEAR_FINAL_PASSENGER_TRANSPORT_SHARE_SP</t>
  </si>
  <si>
    <t>SWITCH_REDUCTION_PASSENGER_TRANSPORT_DEMAND_SP</t>
  </si>
  <si>
    <t>YEAR_INITIAL_REDUCTION_PASSENGER_TRANSPORT_DEMAND_SP</t>
  </si>
  <si>
    <t>YEAR_FINAL_REDUCTION_PASSENGER_TRANSPORT_DEMAND_SP</t>
  </si>
  <si>
    <t>REDUCTION_PASSENGER_TRANSPORT_DEMAND_SP</t>
  </si>
  <si>
    <t>PROTRA_UTILIZATION_PRIORITIES_POLICYWEIGHT_SP</t>
  </si>
  <si>
    <t>PROSUP_P2H_SP (PROSUP_P2H EXPANSION POLICY)</t>
  </si>
  <si>
    <t>FLEXIBLE_ELEC_DEMAND_SP</t>
  </si>
  <si>
    <t>INITIAL_YEAR_TAX_RATE_ON_EXTRACTION_OF_RESOURCES_SP</t>
  </si>
  <si>
    <t>MATERIALS_RECYCLING_SP</t>
  </si>
  <si>
    <t>Materials recycling policy</t>
  </si>
  <si>
    <t>Materials-Al-Ni-Cu-Fe_modules</t>
  </si>
  <si>
    <t>PRIMARY_FOREST_PROTECTION_SP</t>
  </si>
  <si>
    <t>MANAGED_FOREST_PROTECTION_SP</t>
  </si>
  <si>
    <t>CROPLAND_PROTECTION_SP</t>
  </si>
  <si>
    <t>P39</t>
  </si>
  <si>
    <t>P40</t>
  </si>
  <si>
    <t>P50</t>
  </si>
  <si>
    <t>ANNUAL_VARIATION_CAPACITY_EXPANSION_PROSTO_DEDICATED_SP</t>
  </si>
  <si>
    <t>Urban land density policy</t>
  </si>
  <si>
    <t>Solar land from others policy</t>
  </si>
  <si>
    <t>Priorities of land products distribution among regions policy</t>
  </si>
  <si>
    <t>Land products global pool policy</t>
  </si>
  <si>
    <t>Effect oil and gas on agriculture policy</t>
  </si>
  <si>
    <t>EROImin = 2:1</t>
  </si>
  <si>
    <t>no EROImin</t>
  </si>
  <si>
    <t>EROImin = 3:1</t>
  </si>
  <si>
    <t>EROImin = 5:1</t>
  </si>
  <si>
    <t>EROImin = 8:1</t>
  </si>
  <si>
    <t>EROImin = 10:1</t>
  </si>
  <si>
    <t>HEAT PUMPS PARAMETERS</t>
  </si>
  <si>
    <t>ELECTRIC BOILERS PARAMETERS</t>
  </si>
  <si>
    <t>INITIAL_YEAR_P2H_EXPANSION_SP</t>
  </si>
  <si>
    <t>YEAR_FINAL_P2H_EXPANSION_SP</t>
  </si>
  <si>
    <t>OBJECTIVE_P2H_EXPANSION_SP</t>
  </si>
  <si>
    <t>REGIONS_I|PJ/year│%</t>
  </si>
  <si>
    <t xml:space="preserve">SOLAR_PV_ROOFTOP_POTENTIAL_C_Si_MONO_USER_DEFINED_SP </t>
  </si>
  <si>
    <t>YEAR_INITIAL_EFFECT_OF_OIL_AND_GAS_ON_AGRICULTURE_SP</t>
  </si>
  <si>
    <t>YEAR_FINAL_EFFECT_OF_OIL_AND_GAS_ON_AGRICULTURE_SP</t>
  </si>
  <si>
    <t>OBJECTIVE_EFFECT_OF_OIL_AND_GAS_ON_AGRICULTURE_SP</t>
  </si>
  <si>
    <t>SWITCH_POLICIES_LAND_PROTECTION_SP</t>
  </si>
  <si>
    <t>YEAR_INITIAL_LAND_PROTECTION_SP</t>
  </si>
  <si>
    <t>YEAR_FINAL_LAND_PROTECTION_SP</t>
  </si>
  <si>
    <t>OBJECTIVE_LAND_PROTECTION_SP</t>
  </si>
  <si>
    <t>GRASSLAND_MANAGEMENT_SP</t>
  </si>
  <si>
    <t>SELECT_SELECTION_MANAGEMENT_SOLARLAND_SP</t>
  </si>
  <si>
    <t xml:space="preserve">SOLARLAND_MANAGEMENT_SP </t>
  </si>
  <si>
    <t>OPEC_TARGET_PRICE_LOW_MED_HIGH_OTHER_SP</t>
  </si>
  <si>
    <t>SELECT_URANIUM_MAXIMUM_SUPPLY_CURVE_SP</t>
  </si>
  <si>
    <t>SOLAR ROOFTOP POTENTIAL</t>
  </si>
  <si>
    <t>_FUNCTION:SOLAR_PV_ROOFTOP_POTENTIAL_C_Si_Mono_0PV_100TH_SP(PV_PANEL_EFFICIENCY_C_Si_Mono)</t>
  </si>
  <si>
    <t>_FUNCTION:SOLAR_PV_ROOFTOP_POTENTIAL_C_Si_Mono_25PV_75TH_SP(PV_PANEL_EFFICIENCY_C_Si_Mono)</t>
  </si>
  <si>
    <t>_FUNCTION:SOLAR_PV_ROOFTOP_POTENTIAL_C_Si_Mono_50PV_50TH_SP(PV_PANEL_EFFICIENCY_C_Si_Mono)</t>
  </si>
  <si>
    <t>_FUNCTION:SOLAR_PV_ROOFTOP_POTENTIAL_C_Si_Mono_75PV_25TH_SP(PV_PANEL_EFFICIENCY_C_Si_Mono)</t>
  </si>
  <si>
    <t>_FUNCTION:SOLAR_PV_ROOFTOP_POTENTIAL_C_Si_Mono_100PV_0TH_SP(PV_PANEL_EFFICIENCY_C_Si_Mono)</t>
  </si>
  <si>
    <r>
      <t>PJ/year</t>
    </r>
    <r>
      <rPr>
        <sz val="9"/>
        <color theme="1"/>
        <rFont val="Calibri"/>
        <family val="2"/>
      </rPr>
      <t>│</t>
    </r>
    <r>
      <rPr>
        <sz val="9"/>
        <color theme="1"/>
        <rFont val="Calibri"/>
        <family val="2"/>
        <scheme val="minor"/>
      </rPr>
      <t>%</t>
    </r>
  </si>
  <si>
    <t>2005-2010</t>
  </si>
  <si>
    <t>AGE</t>
  </si>
  <si>
    <t>REGION</t>
  </si>
  <si>
    <t>MINIMUMS</t>
  </si>
  <si>
    <t>AVERAGES</t>
  </si>
  <si>
    <t>MAXIMUMS</t>
  </si>
  <si>
    <t>energy-data</t>
  </si>
  <si>
    <t>Data underlying scenario options given in the main tabs 'energy and energy-transport'</t>
  </si>
  <si>
    <t>Constant user defined value per region</t>
  </si>
  <si>
    <t>PWIDTH_PROTRA_UTILIZATION_ALLOCATION_POLICY_PRIORITIES_SP</t>
  </si>
  <si>
    <t>PWIDTH_PROTRA_CAPACITY_EXPANSION_PRIORITIES_VECTOR_SP</t>
  </si>
  <si>
    <r>
      <t>REGIONS_36_I</t>
    </r>
    <r>
      <rPr>
        <sz val="11"/>
        <rFont val="Calibri"/>
        <family val="2"/>
      </rPr>
      <t>│</t>
    </r>
    <r>
      <rPr>
        <sz val="11"/>
        <rFont val="Calibri"/>
        <family val="2"/>
        <scheme val="minor"/>
      </rPr>
      <t>$/tCO2</t>
    </r>
  </si>
  <si>
    <t>OTHER</t>
  </si>
  <si>
    <t>REGIONS_I|LANDS_I</t>
  </si>
  <si>
    <t>[km2/Year]</t>
  </si>
  <si>
    <t>EXOGENOUS_LAND_USE_DEMANDS_SP</t>
  </si>
  <si>
    <t>EXOGENOUS_LAND_USE_DEMANDS</t>
  </si>
  <si>
    <t>COLOR CODE</t>
  </si>
  <si>
    <t>Name of policy or hypothesis</t>
  </si>
  <si>
    <t>name of element of a vector defined in WILIAM</t>
  </si>
  <si>
    <t>Data to be filled by model user</t>
  </si>
  <si>
    <t>-&gt; cell not to modify by model user</t>
  </si>
  <si>
    <t>PROTRA_PP_solar_urban_PV (see below SELECT_ROOFTOP_USE_SOLAR_TECHNOLOGIES_SP)</t>
  </si>
  <si>
    <t>$/bbl*percent</t>
  </si>
  <si>
    <t>$/million_Btu*percent</t>
  </si>
  <si>
    <t>$/t*percent</t>
  </si>
  <si>
    <t xml:space="preserve">    To ease model usability, we store some large arrays of data in separated tabs. This data are pre-parametrized options which must not be edited by the model user. If there is a need for specific parametrizatoin, this should be done through editing of the 'User defined' options.</t>
  </si>
  <si>
    <t xml:space="preserve">    Follows a list of tab containing the scenario parameter inputs (policies and hypotheses) structured by (sub)modules:</t>
  </si>
  <si>
    <t xml:space="preserve">    Tabs with qualitative content about terminology, narratives of scenarios, list of policies and hypotheses </t>
  </si>
  <si>
    <t>NOT TO BE EDITED BY MODEL USER</t>
  </si>
  <si>
    <t>SWITCH_TAX_RATE_ON_EXTRACTION_OF_RESOURCES_SP</t>
  </si>
  <si>
    <t>BASIC_INCOME_SP</t>
  </si>
  <si>
    <t>INITIAL_YEAR_BASIC_INCOME_SP</t>
  </si>
  <si>
    <t>RATIO_BASIC_INCOME_TO_AVERAGE_DISPOSABLE_INCOME_SP</t>
  </si>
  <si>
    <t>SELECT_EROI_MIN_POTENTIAL_SOLAR_WIND_SP</t>
  </si>
  <si>
    <t>Treshold EROIst for solar PV and wind potentials</t>
  </si>
  <si>
    <t>Hypothesis about the threshold of EROI standard (EROIst) selected by the user for the solar PV and wind technologies potential. Those locations having an EROI below that threshold (named EROImin) are excluded from the potential.</t>
  </si>
  <si>
    <t>EROImin = 12:1</t>
  </si>
  <si>
    <t>EROImin = 15:1</t>
  </si>
  <si>
    <t>High</t>
  </si>
  <si>
    <t>Low</t>
  </si>
  <si>
    <t>France 2005_2010</t>
  </si>
  <si>
    <t>EU_mean_2015_2020</t>
  </si>
  <si>
    <t>EU_mean_2015_2022</t>
  </si>
  <si>
    <t>CURRENT CONFIGURATION OF FERTILITY RATES (if year is not specified, it is assumed the last historical value, i.e., 2015-2020)</t>
  </si>
  <si>
    <t>PROTRA_CHP_geothermal (DEACTIVATED)</t>
  </si>
  <si>
    <t>PROTRA_HP_solar (DEACTIVATED)</t>
  </si>
  <si>
    <t>MANURE MANAGEMENT SYSTEM_SP</t>
  </si>
  <si>
    <t>Selection of the % of the types  manure systems by type of animal , for the calculation of methane emissions due to manure management</t>
  </si>
  <si>
    <t>SWITCH_MANURE_MANAGEMENT_SYSTEM_SP</t>
  </si>
  <si>
    <t>YEAR_INITIAL_MANURE_MANAGEMENT_SYSTEM_SP</t>
  </si>
  <si>
    <t>YEAR_FINAL_MANURE_MANAGEMENT_SYSTEM_SP</t>
  </si>
  <si>
    <t>DAIRY CATTLE</t>
  </si>
  <si>
    <t>% you can change here the  MS by default. The "less emissions" options are: solid storage, dry lot, range/paddock, daily spread and Pit storage &lt;1month</t>
  </si>
  <si>
    <t>Lagoon</t>
  </si>
  <si>
    <t xml:space="preserve">Liquid/Slurry </t>
  </si>
  <si>
    <t>Solid storage</t>
  </si>
  <si>
    <t xml:space="preserve">Dry lot </t>
  </si>
  <si>
    <t xml:space="preserve">Pasture/Range/ Paddock </t>
  </si>
  <si>
    <t xml:space="preserve">Daily spread </t>
  </si>
  <si>
    <t>Digester</t>
  </si>
  <si>
    <t>Burned for fuel</t>
  </si>
  <si>
    <t>PIT &lt; 1 month</t>
  </si>
  <si>
    <t>PIT &gt; 1 month</t>
  </si>
  <si>
    <t>other</t>
  </si>
  <si>
    <t>OTHER CATTLE</t>
  </si>
  <si>
    <t>BUFFALO</t>
  </si>
  <si>
    <t>SWINE</t>
  </si>
  <si>
    <t>HARD_COAL</t>
  </si>
  <si>
    <t>BROWN_COAL</t>
  </si>
  <si>
    <t xml:space="preserve">bbl </t>
  </si>
  <si>
    <t xml:space="preserve">EJ </t>
  </si>
  <si>
    <t>Select option 0 to 3 =&gt;</t>
  </si>
  <si>
    <t>TARGET_YEAR_LIFE_EXPECTANCY_AT_BIRTH_SP</t>
  </si>
  <si>
    <t>OBJECTIVE_LIFE_EXPECTANCY_AT_BIRTH_SP</t>
  </si>
  <si>
    <t>LIFE_EXPECTANCY_AT_BIRTH_MAXIMUMS_SP</t>
  </si>
  <si>
    <t>LIFE_EXPECTANCY_AT_BIRTH_AVERAGES_SP</t>
  </si>
  <si>
    <t>LIFE_EXPECTANCY_AT_BIRTH_MINIMUMS_SP</t>
  </si>
  <si>
    <t>CAPITAL_PRODUCTIVITY_VARIATION_SP</t>
  </si>
  <si>
    <t>SELECT_LABOUR_PRODUCTIVITY_VARIATION_SP</t>
  </si>
  <si>
    <t>LABOUR_PRODUCTIVITY_VARIATION_SP</t>
  </si>
  <si>
    <t>Climate hazards</t>
  </si>
  <si>
    <t>economy-government</t>
  </si>
  <si>
    <t>_Weight (scenario_switch_for_utilization_allocation_priorities)</t>
  </si>
  <si>
    <t>REDUCTION_RATE_MATERIAL_INTENSITY_C_SI_PV_Sn_SP</t>
  </si>
  <si>
    <t>REDUCTION_RATE_MATERIAL_INTENSITY_C_SI_PV_Si_SP</t>
  </si>
  <si>
    <t>TAX_RATE_ON_EXTRACTION_OF_RESOURCES_SP</t>
  </si>
  <si>
    <t>Hypothesis to be able to select individually or together all climate hazards for economic impacts (heatwaves, wildfires, droughts)</t>
  </si>
  <si>
    <t>INCOME1_DENSE_SINGLE</t>
  </si>
  <si>
    <t>INCOME1_DENSE_SINGLEWCHILDREN</t>
  </si>
  <si>
    <t>INCOME1_DENSE_COUPLE</t>
  </si>
  <si>
    <t>INCOME1_DENSE_COUPLEWCHILDREN</t>
  </si>
  <si>
    <t>INCOME1_DENSE_OTHER</t>
  </si>
  <si>
    <t>INCOME1_DENSE_OTHERWCHILDREN</t>
  </si>
  <si>
    <t>INCOME1_SPARSE_SINGLE</t>
  </si>
  <si>
    <t>INCOME1_SPARSE_SINGLEWCHILDREN</t>
  </si>
  <si>
    <t>INCOME1_SPARSE_COUPLE</t>
  </si>
  <si>
    <t>INCOME1_SPARSE_COUPLEWCHILDREN</t>
  </si>
  <si>
    <t>INCOME1_SPARSE_OTHER</t>
  </si>
  <si>
    <t>INCOME1_SPARSE_OTHERWCHILDREN</t>
  </si>
  <si>
    <t>INCOME2_DENSE_SINGLE</t>
  </si>
  <si>
    <t>INCOME2_DENSE_SINGLEWCHILDREN</t>
  </si>
  <si>
    <t>INCOME2_DENSE_COUPLE</t>
  </si>
  <si>
    <t>INCOME2_DENSE_COUPLEWCHILDREN</t>
  </si>
  <si>
    <t>INCOME2_DENSE_OTHER</t>
  </si>
  <si>
    <t>INCOME2_DENSE_OTHERWCHILDREN</t>
  </si>
  <si>
    <t>INCOME2_SPARSE_SINGLE</t>
  </si>
  <si>
    <t>INCOME2_SPARSE_SINGLEWCHILDREN</t>
  </si>
  <si>
    <t>INCOME2_SPARSE_COUPLE</t>
  </si>
  <si>
    <t>INCOME2_SPARSE_COUPLEWCHILDREN</t>
  </si>
  <si>
    <t>INCOME2_SPARSE_OTHER</t>
  </si>
  <si>
    <t>INCOME2_SPARSE_OTHERWCHILDREN</t>
  </si>
  <si>
    <t>INCOME3_DENSE_SINGLE</t>
  </si>
  <si>
    <t>INCOME3_DENSE_SINGLEWCHILDREN</t>
  </si>
  <si>
    <t>INCOME3_DENSE_COUPLE</t>
  </si>
  <si>
    <t>INCOME3_DENSE_COUPLEWCHILDREN</t>
  </si>
  <si>
    <t>INCOME3_DENSE_OTHER</t>
  </si>
  <si>
    <t>INCOME3_DENSE_OTHERWCHILDREN</t>
  </si>
  <si>
    <t>INCOME3_SPARSE_SINGLE</t>
  </si>
  <si>
    <t>INCOME3_SPARSE_SINGLEWCHILDREN</t>
  </si>
  <si>
    <t>INCOME3_SPARSE_COUPLE</t>
  </si>
  <si>
    <t>INCOME3_SPARSE_COUPLEWCHILDREN</t>
  </si>
  <si>
    <t>INCOME3_SPARSE_OTHER</t>
  </si>
  <si>
    <t>INCOME3_SPARSE_OTHERWCHILDREN</t>
  </si>
  <si>
    <t>INCOME4_DENSE_SINGLE</t>
  </si>
  <si>
    <t>INCOME4_DENSE_SINGLEWCHILDREN</t>
  </si>
  <si>
    <t>INCOME4_DENSE_COUPLE</t>
  </si>
  <si>
    <t>INCOME4_DENSE_COUPLEWCHILDREN</t>
  </si>
  <si>
    <t>INCOME4_DENSE_OTHER</t>
  </si>
  <si>
    <t>INCOME4_DENSE_OTHERWCHILDREN</t>
  </si>
  <si>
    <t>INCOME4_SPARSE_SINGLE</t>
  </si>
  <si>
    <t>INCOME4_SPARSE_SINGLEWCHILDREN</t>
  </si>
  <si>
    <t>INCOME4_SPARSE_COUPLE</t>
  </si>
  <si>
    <t>INCOME4_SPARSE_COUPLEWCHILDREN</t>
  </si>
  <si>
    <t>INCOME4_SPARSE_OTHER</t>
  </si>
  <si>
    <t>INCOME4_SPARSE_OTHERWCHILDREN</t>
  </si>
  <si>
    <t>INCOME5_DENSE_SINGLE</t>
  </si>
  <si>
    <t>INCOME5_DENSE_SINGLEWCHILDREN</t>
  </si>
  <si>
    <t>INCOME5_DENSE_COUPLE</t>
  </si>
  <si>
    <t>INCOME5_DENSE_COUPLEWCHILDREN</t>
  </si>
  <si>
    <t>INCOME5_DENSE_OTHER</t>
  </si>
  <si>
    <t>INCOME5_DENSE_OTHERWCHILDREN</t>
  </si>
  <si>
    <t>INCOME5_SPARSE_SINGLE</t>
  </si>
  <si>
    <t>INCOME5_SPARSE_SINGLEWCHILDREN</t>
  </si>
  <si>
    <t>INCOME5_SPARSE_COUPLE</t>
  </si>
  <si>
    <t>INCOME5_SPARSE_COUPLEWCHILDREN</t>
  </si>
  <si>
    <t>INCOME5_SPARSE_OTHER</t>
  </si>
  <si>
    <t>INCOME5_SPARSE_OTHERWCHILDREN</t>
  </si>
  <si>
    <t>REPRESENTATIVE_HOUSEHOLD</t>
  </si>
  <si>
    <t>OBJECTIVE_REDUCTION_PASSENGER_TRANSPORT_DEMAND_SP (POWER_TRAIN_I,PASSENGERS_TRANSPORT_MODE_I)</t>
  </si>
  <si>
    <t>OBJECTIVE_FUEL_CONSUMPTION_EFFICIENCY_CHANGE_SP (POWER_TRAIN_I,PASSENGERS_TRANSPORT_MODE_I)</t>
  </si>
  <si>
    <t>User defined resource estimation (enter data in this cell)</t>
  </si>
  <si>
    <t>FOSSIL_RESOURCE_ESTIMATION_LOW_MED_HIGH_OTHER_SP</t>
  </si>
  <si>
    <t>0: FOSSIL_RESOURCE_ESTIMATION_LOW_SP</t>
  </si>
  <si>
    <t>1: FOSSIL_RESOURCE_ESTIMATION_MED_SP</t>
  </si>
  <si>
    <t>2: FOSSIL_RESOURCE_ESTIMATION_HIGH_SP</t>
  </si>
  <si>
    <t>3: FOSSIL_RESOURCE_ESTIMATION_OTHER_SP</t>
  </si>
  <si>
    <t>Select user defined fossil resource =&gt;</t>
  </si>
  <si>
    <t>H7</t>
  </si>
  <si>
    <t>H8</t>
  </si>
  <si>
    <t>3 pre-defined levels for the resources of each fossil fuel are given, together with an User Defined option.</t>
  </si>
  <si>
    <t>CLIMATE_SENSITIVITY_TO_DOUBLE_CARBON_DIOXIDE_CONCENTRATION_SP</t>
  </si>
  <si>
    <t>P14</t>
  </si>
  <si>
    <t>P15</t>
  </si>
  <si>
    <t>_Weight (scenario_switch_for_capacity_expansion_allocation_priorities)</t>
  </si>
  <si>
    <t>PROTRA_CAPACITY_EXPANSION_POLICY_WEIGHT_SP</t>
  </si>
  <si>
    <t>SELECT_POLICY_FINANCE_BASIC_INCOME_SP</t>
  </si>
  <si>
    <t>New tax on wealth</t>
  </si>
  <si>
    <t>SELECT_CLIMATE_CHANGE_IMPACTS_REMOVE_EXTRAPOLATIONS_SP</t>
  </si>
  <si>
    <t>Damage of extrapolated clusters are multiplied by 0 (EXTRAPOLATIONS OFF)</t>
  </si>
  <si>
    <t>No sectors are multiplied by 0 (EXTRAPOLATIONS ON)</t>
  </si>
  <si>
    <t>SELECT_CLIMATE_CHANGE_IMPACTS_SENSITIVITY</t>
  </si>
  <si>
    <t>SWITCH_POLICY_LAND_PROTECTION_FROM_SOLAR_PV_SP</t>
  </si>
  <si>
    <t>Protected = 0 , if it is not protected =1</t>
  </si>
  <si>
    <t>RUSIA</t>
  </si>
  <si>
    <t>POLICY_MAXIMUM_SHARE_SOLAR_URBAN_SP</t>
  </si>
  <si>
    <t>SWITCH_POLICY_MAXIMUM_SHARE_SOLAR_URBAN_SP</t>
  </si>
  <si>
    <t>YEAR_INITIAL_FOREST_PLANTATIONS_SP</t>
  </si>
  <si>
    <t>FORESTRY_SELF_SUFFICIENCY_SP</t>
  </si>
  <si>
    <t>SWITCH_FORESTRY_SELF_SUFFICIENCY_SP</t>
  </si>
  <si>
    <t>YEAR_INITIAL_FORESTRY_SELF_SUFFICIENCY_SP</t>
  </si>
  <si>
    <t>YEAR_FINAL_FORESTRY_SELF_SUFFICIENCY_SP</t>
  </si>
  <si>
    <t>OBJECTIVE_FORESTRY_SELF_SUFFICIENCY_SP</t>
  </si>
  <si>
    <t>OBJECTIVE_FOREST_PLANTATIONS_SP</t>
  </si>
  <si>
    <t>POLICY_SWITCH_FOREST_PLANTATIONS_SP</t>
  </si>
  <si>
    <t>YEAR_INITIAL_FOREST_PLANTATIONS</t>
  </si>
  <si>
    <t>YEAR_FINAL_FOREST_PLANTATION</t>
  </si>
  <si>
    <t>OBJECTIVE_FOREST_PLANTATIONS</t>
  </si>
  <si>
    <t>FOREST_PLANTATIONS_INCREASE_SP</t>
  </si>
  <si>
    <t>SWITCH_FOREST_PLANTATIONS_SP</t>
  </si>
  <si>
    <t>YEAR_FINAL_FOREST_PLANTATIONS_SP</t>
  </si>
  <si>
    <t>energy-transformation</t>
  </si>
  <si>
    <t>Capital costs investments energy technologies</t>
  </si>
  <si>
    <t>SELECT_CAPACITY_INVESTMENT_COST_DEVELOPMENT_SP</t>
  </si>
  <si>
    <t>energy-capacities.investment_cost</t>
  </si>
  <si>
    <t>Hypothesis to select cases of high, low or user-defined costs with relation to medium expected capital cost ($/MW) evolution</t>
  </si>
  <si>
    <t>H9</t>
  </si>
  <si>
    <t>constant 2015 values</t>
  </si>
  <si>
    <t>low cost improvement development</t>
  </si>
  <si>
    <t>medium cost improvement development</t>
  </si>
  <si>
    <t>high cost improvement development</t>
  </si>
  <si>
    <t>CAPACITY_INVESTMENT_COST_PROTRA_CHP_HP_PP_USER_DEFINED_SP</t>
  </si>
  <si>
    <t>[mil. USD2015/MW] PROTRA_PP_CHP_HP_I</t>
  </si>
  <si>
    <t>PROTRA_CHP_geothermal_DEACTIVATED</t>
  </si>
  <si>
    <t>PROTRA_HP_solar_DEACTIVATED</t>
  </si>
  <si>
    <t>PROSUP_FLEXOPT_CAPACITY_EXPANSION_POLICYWEIGHT_SP</t>
  </si>
  <si>
    <t>RATIO_MAXIMUM_PROFLEX_EXPANSION_SP</t>
  </si>
  <si>
    <t>PROSUP_FLEXOPT_CAPACITY_EXPANSION_ALLOCATION_POLICY_PRIORITIES_SP</t>
  </si>
  <si>
    <t>PROSUP_CAPACITY_EXPANSION_ALLOCATION_POLICY_PWIDTH_SP</t>
  </si>
  <si>
    <t>MINIMUM_POTENTIAL_PROFLEX_EXPANSION_SP</t>
  </si>
  <si>
    <t>PROSUP_P2H_heat_pump</t>
  </si>
  <si>
    <t>PROSUP_P2H_electric_boiler</t>
  </si>
  <si>
    <t>PROSUP_elec_2_hydrogen</t>
  </si>
  <si>
    <t>PROSTO_V2G</t>
  </si>
  <si>
    <t>PROSTO_PHS</t>
  </si>
  <si>
    <t>PROSTO_STATIONARY_BATTERIES</t>
  </si>
  <si>
    <t>PROSUP_DSM</t>
  </si>
  <si>
    <t>CAPACITY_INVESTMENT_COST_PROFLEX_USER_DEFINED_SP</t>
  </si>
  <si>
    <t>[mil. USD2015/MW] PRO FLEXOPT</t>
  </si>
  <si>
    <t>PRODEM_DSM</t>
  </si>
  <si>
    <r>
      <t>REGIONS_9_I</t>
    </r>
    <r>
      <rPr>
        <sz val="11"/>
        <rFont val="Calibri"/>
        <family val="2"/>
      </rPr>
      <t>│_</t>
    </r>
    <r>
      <rPr>
        <sz val="11"/>
        <rFont val="Calibri"/>
        <family val="2"/>
        <scheme val="minor"/>
      </rPr>
      <t>UNIT</t>
    </r>
  </si>
  <si>
    <t>OPEC SPARE CAPACITY SET BY TARGET PRICE</t>
  </si>
  <si>
    <t>OPEC SPARE CAPACITY SET BY QUANTITIES OF SPARE CAP</t>
  </si>
  <si>
    <t>Oil_Module</t>
  </si>
  <si>
    <t>bbl/day</t>
  </si>
  <si>
    <t>SET_OPEC_SPARE_CAPACITY_SP</t>
  </si>
  <si>
    <t>SET_OPEC_SPARE_CAPACITY_BEFORE_AND_AFTER_SCENARIO_SP</t>
  </si>
  <si>
    <t>Shock on private passenger transport caused by lockdown in 2030</t>
  </si>
  <si>
    <t xml:space="preserve">No limit for energy consumption over total non durables </t>
  </si>
  <si>
    <t xml:space="preserve">Limit for energy consumption over total non durables </t>
  </si>
  <si>
    <t>only available: electrolyzers</t>
  </si>
  <si>
    <t>only available: wind offshore floating</t>
  </si>
  <si>
    <t xml:space="preserve">Availability in the future of today unmature energy technologies </t>
  </si>
  <si>
    <t>SELECT_AVAILABILITY_UNMATURE_ENERGY_TECHNOLOGIES_SP</t>
  </si>
  <si>
    <t>all unmature energy technologies are assumed to be available</t>
  </si>
  <si>
    <t>Hypothesis to select the availability at large commercial scale in the future of today unmature/unproven energy technologies (H2, CCS, wind offshore floating, marine). It is possible to select individually which technology might be available, as well as none and all.</t>
  </si>
  <si>
    <t>only available: oceanic</t>
  </si>
  <si>
    <t>only available: CCS</t>
  </si>
  <si>
    <t>none unmature technology available</t>
  </si>
  <si>
    <t>Manure management system policy</t>
  </si>
  <si>
    <t>Uncertainty with relation to fossil fuel endowments</t>
  </si>
  <si>
    <t>Tax income corporation</t>
  </si>
  <si>
    <t>Put a 1 to those households whose weaLth is taxed to collect revenues for the basic income</t>
  </si>
  <si>
    <t>PRO_FLEXOPT_I│REGIONS_9_I</t>
  </si>
  <si>
    <t>REGIONS_9_I│UNIT</t>
  </si>
  <si>
    <t>FLEXIBLE_ELECTROLYZERS_CAPACITY_EXPANSION_TARGET_SP</t>
  </si>
  <si>
    <t>SWITCH_POLICY_FLEXIBLE_ELECTROLYZERS_EXPANSION_SP</t>
  </si>
  <si>
    <t>INITIAL_YEAR_FLEXIBLE_ELECTROLIZERS_EXPANSION_SP</t>
  </si>
  <si>
    <t>YEAR_FINAL_FLEXIBLE_ELECTROLIZERS_EXPANSION_SP</t>
  </si>
  <si>
    <t>OBJECTIVE_FLEXIBLE_ELECTROLIZERS_EXPANSION_SP</t>
  </si>
  <si>
    <t>TW/year</t>
  </si>
  <si>
    <t>OBJECTIVE_P2H_CAPACITY_SP</t>
  </si>
  <si>
    <t xml:space="preserve">PROSTO_V2G </t>
  </si>
  <si>
    <t xml:space="preserve">PROSTO_PHS </t>
  </si>
  <si>
    <t>SHARE_FE_LIQUID_AND_GAS_SUBSTITUTED_BY_H2_SYNFUELS_SP</t>
  </si>
  <si>
    <t>SWITCH_POLICY_SHARE_FE_LIQUID_AND_GAS_SUBSTITUTED_BY_H2_SYNFUELS_SP</t>
  </si>
  <si>
    <t>This policy consists of transitioning from traditional to industrial agriculture, with an objective that varies from 0 to 1 (0 = no change, 1 = complete transition from traditional to industrial agriculture)</t>
  </si>
  <si>
    <t>This policy consists of transitioning to regenerative agriculture, with an objective that varies from 0 to 1 (0 = no change, 1 = complete transition to regenerative agriculture)</t>
  </si>
  <si>
    <t>EXOGENOUS_CAPACITY_EXPANSION_VARIABILITY_MANAGEMENT_OPTIONS_SP</t>
  </si>
  <si>
    <t>P57</t>
  </si>
  <si>
    <t>FOREST_LOSS_LIMIT_SP</t>
  </si>
  <si>
    <t>SWITCH_FOREST_LOSS_LIMIT_SP</t>
  </si>
  <si>
    <t>YEAR_INITIAL_FOREST_LOSS_LIMIT_SP</t>
  </si>
  <si>
    <t>YEAR_FINAL_FOREST_LOSS_LIMIT_SP</t>
  </si>
  <si>
    <t>OBJECTIVE_FOREST_LOSS_LIMIT_SP</t>
  </si>
  <si>
    <t>P58</t>
  </si>
  <si>
    <t>P59</t>
  </si>
  <si>
    <t>P60</t>
  </si>
  <si>
    <t>CO2_TAX_SECTORS_SP</t>
  </si>
  <si>
    <t>CO2_TAX_HOUSEHOLDS_SP</t>
  </si>
  <si>
    <t>CO2</t>
  </si>
  <si>
    <t>CH4</t>
  </si>
  <si>
    <t>CO2, CGH4, N2O</t>
  </si>
  <si>
    <t>N2O</t>
  </si>
  <si>
    <t>GROWTH_MATERIAL_INTENSITIES_SP</t>
  </si>
  <si>
    <t>_VECTOR(PARAMETER,METALS_W_I)</t>
  </si>
  <si>
    <t>METALS_W_I │UNIT</t>
  </si>
  <si>
    <t>Cu_W</t>
  </si>
  <si>
    <t>Al_W</t>
  </si>
  <si>
    <t>Fe_W</t>
  </si>
  <si>
    <t>Ni_W</t>
  </si>
  <si>
    <t xml:space="preserve">If this policy is applied, the primary forest is protected and its area does not fall below a certain value. If SWITCH_PRIMARY_FOREST_PROTECTION_SP =1 , the protection starts in YEAR_INITIAL_PRIMARY_FOREST_PROTECTION_SP   and ends in  YEAR_FINAL_PRIMARY_FOREST_PROTECTION_SP  . OBJECTIVE_PRIMARY_FOREST_PROTECTION_SP  is expressed as a share of the initial area of primary forest in 2015 ( =1 means that an area equal to the primary forest in 2015 is protected, =0 means that there are no limits to deforestation) .If primary forest area in  YEAR_INITIAL_PRIMARY_FOREST_PROTECTION_SP    is lower than OBJECTIVE_PRIMARY_FOREST_PROTECTION_SP  times forest area in 2015, the area in INITIYEAR_INITIAL_PRIMARY_FOREST_PROTECTION_SP is maintained. </t>
  </si>
  <si>
    <t>Protection of Managed Forest Policy</t>
  </si>
  <si>
    <t xml:space="preserve">If this policy is applied, the managed forest is protected and its area does not fall below a certain value. If SWITCH_MANAGED_FOREST_PROTECTION_SP =1 , the protection starts in YEAR_INITIAL_MANAGED_FOREST_PROTECTION_SP   and ends in  YEAR_FINAL_MANAGED_FOREST_PROTECTION_SP  . OBJECTIVE_MANAGED_FOREST_PROTECTION_SP  is expressed as a share of the initial area of managed forest in 2015 ( =1 means that an area equal to the managed forest in 2015 is protected, =0 means that there are no limits to deforestation) .If managed forest area in  YEAR_INITIAL_MANAGED_FOREST_PROTECTION_SP    is lower than OBJECTIVE_MANAGED_FOREST_PROTECTION_SP  times forest area in 2015, the area in YEAR_INITIAL_MANAGED_FOREST_PROTECTION_SP is maintained. </t>
  </si>
  <si>
    <t>Protection of Cropland Policy</t>
  </si>
  <si>
    <t xml:space="preserve">If this policy is applied, the cropland is protected and its area does not fall below a certain value. It applies both to irrigated and rainfed cropland. If SWITCH_CROPLAND_PROTECTION_SP =1 , the protection starts in YEAR_INITIAL_CROPLAND_PROTECTION_SP   and ends in  YEAR_FINAL_CROPLAND_PROTECTION_SP  . OBJECTIVE_CROPLAND_PROTECTION_SP  is expressed as a share of the initial area of cropland in 2015 ( =1 means that an area equal to the cropland in 2015 is protected, =0 means that there are no limits to loss) .If cropland area in  YEAR_INITIAL_CROPLAND_PROTECTION_SP    is lower than OBJECTIVE_CROPLAND_PROTECTION_SP  times cropland in 2015, the area in INITIAL_YEAR_CROPLAND_PROTECTION_SP is maintained. </t>
  </si>
  <si>
    <t>Protection of Grassland Policy</t>
  </si>
  <si>
    <t xml:space="preserve">If this policy is applied, the grassland (land under permanent meadows and pastures) is protected and its area does not fall below a certain value. If SWITCH_GRASSLAND_PROTECTION_SP =1 , the protection starts in YEAR_INITIAL_GRASSLAND_PROTECTION_SP   and ends in  YEAR_FINAL_GRASSLAND_PROTECTION_SP  . OBJECTIVE_GRASSLAND_PROTECTION_SP  is expressed as a share of the initial area of grassland in 2015 ( =1 means that an area equal to the grassland in 2015 is protected, =0 means that there are no limits to loss) .If grassland area in  YEAR_INITIAL_GRASSLAND_PROTECTION_SP    is lower than OBJECTIVE_GRASSLAND_PROTECTION_SP  times land igrassn 2015, the area in INITIAL_YEAR_GRASSLAND_PROTECTION_SP is maintained. </t>
  </si>
  <si>
    <t>Protection of Natural Land Policy</t>
  </si>
  <si>
    <t>If this policy is applied, the land under the categories of SHRUBLANDand  OTHER_LAND is protected and its area does not fall below a certain value. If SWITCH_NATURAL_LAND_PROTECTION_SP =1 , the protection starts in YEAR_INITIAL_NATURAL_LAND_PROTECTION_SP   and ends in  YEAR_FINAL_NATURAL_LAND_PROTECTION_SP  . OBJECTIVE_NATURAL_LAND_PROTECTION_SP  is expressed as a share of the initial area of either shrubland or other land in 2015 ( =1 means that an area equal to the one in 2015 is protected, =0 means that there are no limits to loss) .</t>
  </si>
  <si>
    <t>Change of Diet Policy</t>
  </si>
  <si>
    <t>SHARE_OF_CHANGE_TO_POLICY_DIET_SP
DIET_ACORDING_TO_POLICIES_SP</t>
  </si>
  <si>
    <t>If this policy is applied, the population starts a cultural-driven change of diet to the policy diets that starts in YEAR_INITIAL_DIET_CHANGE_SP and ends in YEAR_FINAL_DIET_CHANGE_SP .  OBJECTIVE_DIET_CHANGE_SP  is expressed as a share of the population that has adopted the policy diet in YEAR_FINAL_DIET_CHANGE_SP .  OBJECTIVE_DIET_CHANGE_SP might vary between 0 and 1 (0= means that there no dietary change, 1= means that all the population adopts the policy diet).   If  SWITCH_DIET_CHANGE_SP =1 the policy is applied starting in YEAR_INITIAL_DIET_CHANFE_SP . The OBJECTIVE_DIET_CHANGE_SP  is achieved in YEAR_FINAL_DIET_CHANGE_SP and follows a lineal evolution. The parameter SELECT_POLICY_DIET_PATTERNS_SP allows to choose between  five options of objective diets: Flexitarian, Willett, Baseline, 50% plant-based, and 100% plant-based.</t>
  </si>
  <si>
    <t xml:space="preserve">The parameter PRIORITIES_OF_WOOD_DISTRIBUTION_AMONG_USES_SP  decides the priorities of wood distribution among uses.  I governs the distribution of wood production to the uses of industry and energy.  If all the values of PRIORITIES_OF_WOOD_DISTRIBUTION_AMONG_USES_SP[land_products_I, regions_9_I] are the equal, the allocation of production to use is proportional to each use demand. If the priority of a use is greater, this use gets its demand fulfilled before than the rest in case there is shortage. Parameter  WIDTH_OF_WOOD_DISTRIBUTION_AMONG_USES_SP  specifies how big a gap in priority is required to have the allocation go first to higher priority with only leftovers going to lower priority: the smaller this parameter is relative to priority,the more severe the effect of the priorities. </t>
  </si>
  <si>
    <t>Priorities of crops distribution among uses policy</t>
  </si>
  <si>
    <t xml:space="preserve">The parameter PRIORITIES_OF_CROPS_DISTRIBUTION_AMONG_USES_SP  decides the priorities of crops distribution among uses.  I governs the distribution of crops production to the uses of food and energy (biofuels), Other uses are kept constant.  If all the values of PRIORITIES_OF_CROPS_DISTRIBUTION_AMONG_USES_SP[land_products_I, regions_9_I] are the equal, the allocation of production to use is proportional to each use demand. If the priority of a use is greater, this use gets its demand fulfilled before than the rest in case there is shortage. Parameter  WIDTH_OF_CROPS_DISTRIBUTION_AMONG_USES_SP  specifies how big a gap in priority is required to have the allocation go first to higher priority with only leftovers going to lower priority: the smaller this parameter is relative to priority,the more severe the effect of the priorities. </t>
  </si>
  <si>
    <t xml:space="preserve">The parameter PRIORITIES_OF_LAND_PRODUCTS_DISTRIBUTION_AMONG_REGIONS_SP  decides the priorities of land products distribution among regions.  I governs the distribution of crops production to the demands of the consummers of each region. This distribution in not a model of the international market of agricultura products:  it is a confrontation of the final demand of the consumers of each region to the agricultural production of each region.  If all the values of PRIORITIES_OF_LAND_PRODUCTS_DISTRIBUTION_AMONG_REGIONS_SP[land_products_I, regions_9_I] are the equal, the allocation of production to regions is proportional to each region's demands. If the priority of a region is greater, this region gets its demand fulfilled before than the rest in case there is shortage. Parameter  WIDTH_OF_LAND_PRODUCTS_DISTRIBUTION_AMONG_REGIONS_SP  specifies how big a gap in priority is required to have the allocation go first to higher priority with only leftovers going to lower priority: the smaller this parameter is relative to priority,the more severe the effect of the priorities. </t>
  </si>
  <si>
    <t xml:space="preserve">This policy changes the shares of the agricultural production of each region that is not subject to international exchanges, either because is produced by very small farmers based on subsistence agriculture or because of autarchy policies of the regions.    If SWITCH_LAND_PRODUCTS_GLOBAL_POOL_SP=1  this policy is applied,and  the share of agriculture out of international exchanges changes.  The change starts in YEAR_INITIAL_LAND_PRODUCTS_GLOBAL_POOL_SP and ends in YEAR_FINAL_LAND_PRODUCTS_GLOBAL_POOL_SP .  OBJECTIVE_LAND_PRODUCTS_GLOBAL_POOL_SP  is expressed as a share of the agricultural products protected (0= all of them are traded internationally, 1= none) .  The OBJECTIVE_LAND_PRODUCTS_GLOBAL_POOL_SP  is achieved in YEAR_FINAL_LAND_PRODUCTS_GLOBAL_POOL_SP and follows a lineal evolution.   </t>
  </si>
  <si>
    <t xml:space="preserve">If this policy is applied,  farmers are forced to cultivate without chemical inputs such as pesticides and fertilizers (because of high prices, for example), causing a dramatic drop in agricultural yields  (in all cropland, those under industrial as well as under traditional management and irrigated as well as reainfed).   The change starts in YEAR_INITIAL_EFFECT_OIL_AND_GAS_ON_AGRICULTURE_SP and ends in YEAR_FINAL_EFFECT_OIL_AND_GAS_ON_AGRICULTURE_SP .  OBJECTIVE_EFFECT_OIL_AND_GAS_ON_AGRICULTURE_SP  is expressed as a share of the agricultural lands that have adopted the policy  in YEAR_FINAL_EFFECT_OIL_AND_GAS_ON_AGRICULTURE_SP .  OBJECTIVE_EFFECT_OIL_AND_GAS_ON_AGRICULTURE_SP might vary between 0 and 1 (0= means that there no  change, 1= means that all the cropland adopts the policy).   If  SWITCH_EFFECT_OIL_AND_GAS_ON_AGRICULTURE_SP =1 the policy is applied starting in YEAR_INITIAL_EFFECT_OIL_AND_GAS_ON_AGRICULTURE_SP . The OBJECTIVE_EFFECT_OIL_AND_GAS_ON_AGRICULTURE_SP  is achieved in YEAR_FINAL_EFFECT_OIL_AND_GAS_ON_AGRICULTURE_SP and follows a lineal evolution.   </t>
  </si>
  <si>
    <t xml:space="preserve">If this policy if applied (switch=1), policies based on new "manure management systems" are applied. It can be defined the different distribution or combination of manure systems types (percentage) by animal (dairy cattle, other cattle, buffalo and swine), and by WILIAM region.   The "less emissions" options are: solid storage, dry lot,  range/paddock, daily spread and Pit storage &lt;1month. If not policy is applied  past trends with respect manure systems (from IPCC) continue.  The manure management system options are the following: lagoon, liquid/slurry, solid storage, dry lot, pasture/range, daily spread, digester, burned for fuel, PIT, other. </t>
  </si>
  <si>
    <t>Speed of change slower than historical trend.</t>
  </si>
  <si>
    <t>Speed of change similar to historical trend.</t>
  </si>
  <si>
    <t>Speed of change faster than historical trend.</t>
  </si>
  <si>
    <t>Exogenous capacity expansion of variability management options</t>
  </si>
  <si>
    <t>energy-utility_scale_storage.dedicated_capacities
energy-power2heat
energy-variability.electrolyzer_H2_production</t>
  </si>
  <si>
    <t>Share single family vs total households buildings</t>
  </si>
  <si>
    <t>Hypothesis to differenciate between Share single family house vs total households buildings for PV materials. Could be endogenized in the future</t>
  </si>
  <si>
    <t>PHS_POTENTIAL_SP</t>
  </si>
  <si>
    <t>STATIONARY_STORAGE_MAXIMUM</t>
  </si>
  <si>
    <t>Hypothesis about maximum capacity of stationary batteries to be installed regionally</t>
  </si>
  <si>
    <t>Maximum  capacity stationary batteries</t>
  </si>
  <si>
    <t>PHS potential</t>
  </si>
  <si>
    <t>Hypothesis about the techno-sustainable potential of pumped-hydro-storage (PHS).</t>
  </si>
  <si>
    <t>SELECT_OPEC_SCENARIO_FOSSIL_FUEL_PAPER_SP</t>
  </si>
  <si>
    <t>P25</t>
  </si>
  <si>
    <t>P26</t>
  </si>
  <si>
    <t>P32</t>
  </si>
  <si>
    <t>P33</t>
  </si>
  <si>
    <t>P34</t>
  </si>
  <si>
    <t>P35</t>
  </si>
  <si>
    <t>P45</t>
  </si>
  <si>
    <t>P54</t>
  </si>
  <si>
    <t>P55</t>
  </si>
  <si>
    <t>H10</t>
  </si>
  <si>
    <t>H11</t>
  </si>
  <si>
    <t>H12</t>
  </si>
  <si>
    <t>H13</t>
  </si>
  <si>
    <t>Rest of the base metals(current rates)</t>
  </si>
  <si>
    <r>
      <rPr>
        <sz val="11"/>
        <rFont val="Calibri"/>
        <family val="2"/>
        <scheme val="minor"/>
      </rPr>
      <t>OPEC oil target price</t>
    </r>
    <r>
      <rPr>
        <sz val="11"/>
        <color rgb="FFFF0000"/>
        <rFont val="Calibri"/>
        <family val="2"/>
        <scheme val="minor"/>
      </rPr>
      <t xml:space="preserve">
</t>
    </r>
  </si>
  <si>
    <t>P61</t>
  </si>
  <si>
    <t>SELECT_LAND_USES_BY_REGION (LIMITS PROPORTIONAL TO DEMANDER LAND USE)</t>
  </si>
  <si>
    <t>LIMITS OF CROPLAND AND PLANTATIONS ELECTED AND PROPORTIONAL TO CURREN AREA</t>
  </si>
  <si>
    <t>LIMITS TO ALL LAND EXPANSION DUE TO SUITABILITY OF CHANGES</t>
  </si>
  <si>
    <t>Producers' mark-up</t>
  </si>
  <si>
    <t>MARK_UP</t>
  </si>
  <si>
    <t>Debt interest rate</t>
  </si>
  <si>
    <t>DEBT_INTEREST_RATE_SP</t>
  </si>
  <si>
    <t>Income tax rate</t>
  </si>
  <si>
    <t>TAX_RATE_INCOME_SP</t>
  </si>
  <si>
    <t>economy-households</t>
  </si>
  <si>
    <t>Wealth tax rate</t>
  </si>
  <si>
    <t>TAX_RATE_WEALTH_SP</t>
  </si>
  <si>
    <t>Production tax rate</t>
  </si>
  <si>
    <t>TAX_RATE_PRODUCTION_SP</t>
  </si>
  <si>
    <t>Profits tax rate</t>
  </si>
  <si>
    <t>TAX_RATE_PROFITS_SP</t>
  </si>
  <si>
    <t>TAX_RATE_SOCIAL_SECURITY_SP</t>
  </si>
  <si>
    <t>Structure of government expenditure</t>
  </si>
  <si>
    <t>STRUCTURE_GOVERNMENT_EXPENDITURE_SP</t>
  </si>
  <si>
    <t xml:space="preserve">Structure of government consumption </t>
  </si>
  <si>
    <t>STRUCTURE_GOVERNMENT_CONSUMPTION_SP</t>
  </si>
  <si>
    <t xml:space="preserve">Structure of government investment </t>
  </si>
  <si>
    <t>STRUCTURE_GOVERNMENT_INVESTMENT_SP</t>
  </si>
  <si>
    <t>CO2 tax sectors</t>
  </si>
  <si>
    <t>CO2 tax households</t>
  </si>
  <si>
    <t>Universal basic income</t>
  </si>
  <si>
    <t>LOCKDOWN_EFFECT_ON_HOUSEHOLDS_TRANSPORT_SP</t>
  </si>
  <si>
    <t>Limit to energy consumption over otal consumption of non durables</t>
  </si>
  <si>
    <t>LIMIT_CONSUMPTION_ENERGY_OVER_TOTAL_NON_DURABLES_SP</t>
  </si>
  <si>
    <t>P62</t>
  </si>
  <si>
    <t>P63</t>
  </si>
  <si>
    <t>P64</t>
  </si>
  <si>
    <t>P65</t>
  </si>
  <si>
    <t>P66</t>
  </si>
  <si>
    <t>P67</t>
  </si>
  <si>
    <t>P68</t>
  </si>
  <si>
    <t>P69</t>
  </si>
  <si>
    <t>P70</t>
  </si>
  <si>
    <t>P71</t>
  </si>
  <si>
    <t>P72</t>
  </si>
  <si>
    <t>P73</t>
  </si>
  <si>
    <t>SELECT_CAPITAL_PRODUCTIVITY_VARIATION_SP</t>
  </si>
  <si>
    <t>_VALUE_OPTIONS│DMNL</t>
  </si>
  <si>
    <t>User defined</t>
  </si>
  <si>
    <t>INITIAL_YEAR_CAPITAL_PRODUCTIVITY_GROWTH_SP</t>
  </si>
  <si>
    <t>CAPITAL_PRODUCTIVITY_VARIATION_SP(REGIONS_35_I, SECTORS_I)</t>
  </si>
  <si>
    <t>MARK_UP_SP</t>
  </si>
  <si>
    <t>SELECT_MARK_UP_SP</t>
  </si>
  <si>
    <t>_VALUE_OPTIONS│DMNL/Year</t>
  </si>
  <si>
    <t>Default: value of 2015</t>
  </si>
  <si>
    <t>INITIAL_YEAR_MARK_UP_SP</t>
  </si>
  <si>
    <t>MARK_UP_SP(REGIONS_35_I, SECTORS_I)</t>
  </si>
  <si>
    <t>LABOUR_PRODUCTIVITY_VARIATION_SP(REGIONS_35_I, SECTORS_I)</t>
  </si>
  <si>
    <t>WORKING_TIME_VARIATION_SP(REGIONS_35_I, SECTORS_I)</t>
  </si>
  <si>
    <t>SELECT_DEBT_INTEREST_RATE_SP</t>
  </si>
  <si>
    <t>DEBT_INTEREST_RATE_SP(REGIONS_35_I)</t>
  </si>
  <si>
    <t>REGIONS_35_I│DMNL/Year</t>
  </si>
  <si>
    <t>GOVERNMENT_BUDGET_BALANCE_TO_GDP_OBJECTIVE_SP</t>
  </si>
  <si>
    <t>SELECT_GOVERNMENT_BUDGET_BALANCE_TO_GDP_OBJECTIVE_SP</t>
  </si>
  <si>
    <t>GOVERNMENT_BUDGET_BALANCE_TO_GDP_OBJECTIVE_SP(REGIONS_35_I)</t>
  </si>
  <si>
    <t>SELECT_TAX_RATE_INCOME_SP</t>
  </si>
  <si>
    <t>INITIAL_YEAR_TAX_RATE_INCOME_SP</t>
  </si>
  <si>
    <t>TAX_RATE_INCOME_SP(REGIONS_35_I, HOUSEHOLDS_I)</t>
  </si>
  <si>
    <t>REGION_35_I│DMNL/Year</t>
  </si>
  <si>
    <t>SELECT_TAX_RATE_WEALTH_SP</t>
  </si>
  <si>
    <t>INITIAL_YEAR_TAX_RATE_WEALTH_SP</t>
  </si>
  <si>
    <t>TAX_RATE_WEALTH_SP(REGIONS_35_I, HOUSEHOLDS_I)</t>
  </si>
  <si>
    <t>SELECT_TAX_RATE_PRODUCTION_SP</t>
  </si>
  <si>
    <t>NITIAL_YEAR_TAX_RATE_PRODUCTION_SP</t>
  </si>
  <si>
    <t>TAX_RATE_PRODUCTION_SP(REGIONS_35_I, SECTORS_I)</t>
  </si>
  <si>
    <t>SELECT_TAX_RATE_PROFITS_SP</t>
  </si>
  <si>
    <t>INITIAL_YEAR_TAX_RATE_PROFITS_SP</t>
  </si>
  <si>
    <t>TAX_RATE_PROFITS_SP(REGIONS_35_I)</t>
  </si>
  <si>
    <t>SELECT_TAX_RATE_SOCIAL_SECURITY_SP</t>
  </si>
  <si>
    <t>INITIAL_YEAR_TAX_RATE_SOCIAL_SECURITY_SP</t>
  </si>
  <si>
    <t>TAX_RATE_SOCIAL_SECURITY_SP(REGIONS_35_I)</t>
  </si>
  <si>
    <t>SELECT_STRUCTURE_GOVERNMENT_EXPENDITURE_SP</t>
  </si>
  <si>
    <t>INITIAL_YEAR_STRUCTURE_GOVERNMENT_EXPENDITURE_SP</t>
  </si>
  <si>
    <t>STRUCTURE_GOVERNMENT_EXPENDITURE_SP(REGIONS_35_I,GOVERNMENT_EXPENDITURE_I)</t>
  </si>
  <si>
    <t>GOV_CONSUMPTION</t>
  </si>
  <si>
    <t>GOV_INVESTMENT</t>
  </si>
  <si>
    <t>GOV_SOCIAL_BENEFITS</t>
  </si>
  <si>
    <t>GOV_TRANSFERENCES</t>
  </si>
  <si>
    <t>GOV_OTHER_EXPENDITURES</t>
  </si>
  <si>
    <t>SELECT_STRUCTURE_GOVERNMENT_CONSUMPTION_SP</t>
  </si>
  <si>
    <t>INITIAL_YEAR_STRUCTURE_GOVERNMENT_CONSUMPTION_SP</t>
  </si>
  <si>
    <t>STRUCTURE_GOVERNMENT_CONSUMPTION_SP(REGIONS_35_I,COFOG_I)</t>
  </si>
  <si>
    <t>GENERAL_PUBLIC_SERVICES_COFOG</t>
  </si>
  <si>
    <t>DEFENCE_COFOG</t>
  </si>
  <si>
    <t>PUBLIC_ORDER_AND_SAFETY_COFOG</t>
  </si>
  <si>
    <t>ECONOMIC_AFFAIRS_COFOG</t>
  </si>
  <si>
    <t>ENVIRONMENTAL_PROTECTION_COFOG</t>
  </si>
  <si>
    <t>HOUSING_AND_COMMUNITY_AMENITIES_COFOG</t>
  </si>
  <si>
    <t>HEALTH_COFOG</t>
  </si>
  <si>
    <t>RECREATION_CULTURE_AND_RELIGION_COFOG</t>
  </si>
  <si>
    <t>EDUCATION_COFOG</t>
  </si>
  <si>
    <t>SOCIAL_PROTECTION_COFOG</t>
  </si>
  <si>
    <t>SELECT_STRUCTURE_GOVERNMENT_INVESTMENT_SP</t>
  </si>
  <si>
    <t>INITIAL_YEAR_STRUCTURE_GOVERNMENT_INVESTMENT_SP</t>
  </si>
  <si>
    <t>STRUCTURE_GOVERNMENT_INVESTMENT_SP(REGIONS_35_I,COFOG_I)</t>
  </si>
  <si>
    <t>SELECT_CO2_TAX_SECTORS_SP</t>
  </si>
  <si>
    <t>No CO2 tax</t>
  </si>
  <si>
    <t>SELECT_GASES_CO2_TAX_SECTORS_SP</t>
  </si>
  <si>
    <t>SELECT_CO2_TAX_HOUSEHOLDS_SP</t>
  </si>
  <si>
    <t>SELECT_GASES_CO2_TAX_HOUSEHOLDS_SP</t>
  </si>
  <si>
    <t>BASIC_INCOME_HH_TAXED_SP</t>
  </si>
  <si>
    <t>HOUSEHOLDS_I│ DMNL</t>
  </si>
  <si>
    <t>SELECT_LOCKDOWN_EFFECT_ON_HOUSEHOLDS_TRANSPORT_SP</t>
  </si>
  <si>
    <t xml:space="preserve">No shock from lockdown on private passenger transport </t>
  </si>
  <si>
    <t>YEAR_LOCKDOWN_EFFECT_ON_HOUSEHOLDS_TRANSPORT_SP</t>
  </si>
  <si>
    <t>DMNL/Year</t>
  </si>
  <si>
    <t>SELECY_LIMIT_CONSUMPTION_ENERGY_OVER_TOTAL_NON_DURABLES_SP</t>
  </si>
  <si>
    <t>user-defined (fill below, data by-default correspond to option 2 medium cost improvement development)</t>
  </si>
  <si>
    <t>SWITCH_POLICY_BASIC_INCOME_SP</t>
  </si>
  <si>
    <t>land_and_water-land</t>
  </si>
  <si>
    <t xml:space="preserve">Annual change in capital productivity by sector and country. Capital productivity is measured as the ratio between real output and real capital stock. </t>
  </si>
  <si>
    <t>Default: 0.5%/year increase in capital productivity</t>
  </si>
  <si>
    <t>Default: increase in labour productivity consistent with a trend that tends to full employment in the long term</t>
  </si>
  <si>
    <t>User defined: change the numbers in the table bellow (current numbers in the table are those of the default configuration)</t>
  </si>
  <si>
    <t>INITIAL_YEAR_DEBT_INTEREST_RATE_SP</t>
  </si>
  <si>
    <t>INITIAL_YEAR_GOVERNMENT_BUDGET_BALANCE_TO_GDP_OBJECTIVE_SP</t>
  </si>
  <si>
    <t>LOCKDOWN_HOUSEHOLDS_TRANSPORT_DEMAND_VARIATION_SP</t>
  </si>
  <si>
    <t>* Introduce annual change in capital productivity (positive number increases, negative number decreases)</t>
  </si>
  <si>
    <t>* Introduce annual change in labour productivity (positive number increases, negative number decreases)</t>
  </si>
  <si>
    <t>* In the default configuration there are no CO2 taxes</t>
  </si>
  <si>
    <t>* Year in which the lockdown is implemented. Note that this is a single-year policy</t>
  </si>
  <si>
    <t xml:space="preserve">* Introduce a negative number for the change (reduction) in transport household demand for the full year selected </t>
  </si>
  <si>
    <t>SELECT_WORKING_TIME_VARIATION_SP</t>
  </si>
  <si>
    <t>FINAL_YEAR_WORKING_TIME_VARIATION_SP</t>
  </si>
  <si>
    <t>Social security tax rate</t>
  </si>
  <si>
    <t>P74</t>
  </si>
  <si>
    <t>Speed of the evolution of households</t>
  </si>
  <si>
    <t>Default: same working time as historical 2015 values</t>
  </si>
  <si>
    <t>SELECT_LIMITS_LAND_USES_BY_SOURCE_SP</t>
  </si>
  <si>
    <t>Limits land uses by source</t>
  </si>
  <si>
    <t>H14</t>
  </si>
  <si>
    <t>Default:for  countries that in 2015 show a balance/GDP ratio &gt; -3%, it is assumed a linear reduction to -1.5% by 2050 and from 2050 to 2100 a reduction to -1%. For countries that in 2015 show a balance/GDP ratio &lt; -3%, it is assumed a 50% reduction until 2050 and from 2050 to 2100 a reduction to -1%.</t>
  </si>
  <si>
    <t>* Introduce cummulative working time variation (% change) between final and initial year (positive number increases, negative number decreases). After the final year the number of hours remain constant. It is recommeded to combine this policy with changes in labour productivity (i.e., combine a reduction in working time with an increase in labour productivity)</t>
  </si>
  <si>
    <t>LIMIT_ANNUAL_GROWTH_GOVERNMENT_EXPENDITURE_SP</t>
  </si>
  <si>
    <t>SELECT_LIMIT_ANNUAL_GROWTH_GOVERNMENT_EXPENDITURE_SP</t>
  </si>
  <si>
    <t>INITIAL_YEAR_LIMIT_ANNUAL_GROWTH_GOVERNMENT_EXPENDITURE_SP</t>
  </si>
  <si>
    <t>Limit to the annual growth of government expenditure</t>
  </si>
  <si>
    <t>INITIAL_YEAR_STATIONARY_ELECTROLYZERS_EXPANSION_SP</t>
  </si>
  <si>
    <t>YEAR_FINAL_STATIONARY_ELECTROLYZERS_EXPANSION_SP</t>
  </si>
  <si>
    <t>P75</t>
  </si>
  <si>
    <t>OBJECTIVE_STATIONARY_ELECTROLYZERS_CAPACITY_EXPANSION_SP</t>
  </si>
  <si>
    <t>SWITCH_MATERIALS_CALCULATOR</t>
  </si>
  <si>
    <t>Solar CSP</t>
  </si>
  <si>
    <t>Units: TW/Year</t>
  </si>
  <si>
    <t>Solar CSP (TW/yr)</t>
  </si>
  <si>
    <t>2020</t>
  </si>
  <si>
    <t>2025</t>
  </si>
  <si>
    <t>2030</t>
  </si>
  <si>
    <t>2035</t>
  </si>
  <si>
    <t>2040</t>
  </si>
  <si>
    <t>2045</t>
  </si>
  <si>
    <t>2050</t>
  </si>
  <si>
    <t>Europe-27</t>
  </si>
  <si>
    <t>United Kingdom</t>
  </si>
  <si>
    <t>East of Asia &amp; Oceania</t>
  </si>
  <si>
    <t>Latin America</t>
  </si>
  <si>
    <t>United States &amp; Mexico &amp; Canada</t>
  </si>
  <si>
    <t>Rest of the World</t>
  </si>
  <si>
    <t>Solar-PV (utility scale)</t>
  </si>
  <si>
    <t>Solar-PV (TW/yr)</t>
  </si>
  <si>
    <t>Solar-PV (urban scale)</t>
  </si>
  <si>
    <t>Offshore wind</t>
  </si>
  <si>
    <t>Offshore Wind (TW/yr)</t>
  </si>
  <si>
    <t>Onshore wind</t>
  </si>
  <si>
    <t>Onshore Wind (TW/yr)</t>
  </si>
  <si>
    <t>PUMPED HYDROPOWER STORAGE</t>
  </si>
  <si>
    <t>STATIONARY BATTERIES</t>
  </si>
  <si>
    <t>Other</t>
  </si>
  <si>
    <t>data_materials_calculator</t>
  </si>
  <si>
    <t xml:space="preserve">This sheet is dedicated to introduce exogenous energy capacity expansion inputs in order to use WILIAM as a CALCULATOR OF MATERIAL REQUIREMENTS.
By exogenously setting these capacity expansion levels, the full WILIAM is not anymore functional. </t>
  </si>
  <si>
    <t>Target of passenger transport modal share by region</t>
  </si>
  <si>
    <t>TARGET_PASSENGER_TRANSPORT_MODAL_SHARE_BY_REGION_SP</t>
  </si>
  <si>
    <t>Target of power train share by transport mode and region</t>
  </si>
  <si>
    <t>TARGET_POWER_TRAIN_SHARE_BY_PASSENGER_TRANSPORT_MODE_SP</t>
  </si>
  <si>
    <t>REGIONS_I|TRANSPORT_MODE_I</t>
  </si>
  <si>
    <t>LOAD_FACTOR_VARIATION_SP</t>
  </si>
  <si>
    <t>SWITCH_LOAD_FACTOR_CHANGE_SP</t>
  </si>
  <si>
    <t>YEAR_INITIAL_LOAD_FACTOR_CHANGE_SP</t>
  </si>
  <si>
    <t>YEAR_FINAL_LOAD_FACTOR_CHANGE_SP</t>
  </si>
  <si>
    <t>OBJECTIVE_LOAD_FACTOR_CHANGE_SP</t>
  </si>
  <si>
    <t>REGIONS_35_I|PRIVATE_TRANSPORT_MODE_I</t>
  </si>
  <si>
    <t>TRANSPORT_DEMAND_SHARE_BY_TRANSPORT_MODE_AND_POWER_TRAIN_SP</t>
  </si>
  <si>
    <t>TARGET_PASSENGER_TRANSPORT_MODAL_SHARE_BY_REGION_SP(REGIONS_35_I, PASSENGERS_TRANSPORT_MODE_I)</t>
  </si>
  <si>
    <t>REGIONS_35_I│DMNL</t>
  </si>
  <si>
    <t>CHECK</t>
  </si>
  <si>
    <t>TARGET_POWER_TRAIN_SHARE_BY_PASSENGER_TRANSPORT_MODE_SP (REGIONS_I, POWER_TRAIN_I, PASSENGERS_TRANSPORT_MODE_I)</t>
  </si>
  <si>
    <t>REGIONS_35_I</t>
  </si>
  <si>
    <t>This check should sum 1 for each transport mode</t>
  </si>
  <si>
    <t>Recycling of carbon tax revenues</t>
  </si>
  <si>
    <t>REGION_35_I│DMNL</t>
  </si>
  <si>
    <t>New tax on wealth and Tax  GHG emissions</t>
  </si>
  <si>
    <t>materials-fossil fuels</t>
  </si>
  <si>
    <t>MAXIMUM INCREASE_LAND_USES_BY_REGION (LIMITS PROPORTIONAL TO DEMANDER LAND USE)-ONLY SOME USES (PLANTATIONS+REFORESTATION OF MANAGED FOREST TOGETHER)</t>
  </si>
  <si>
    <t>FOREST_PLANTATIONS+REFORESTATION OF MANAGED FORESTS</t>
  </si>
  <si>
    <t>[Dmnl]</t>
  </si>
  <si>
    <t>PRIORITIES_OF_CROPS_DISTRIBUTION_AMONG_USES_SP</t>
  </si>
  <si>
    <t>LP_FOOD</t>
  </si>
  <si>
    <t>LP_INDUSTRY</t>
  </si>
  <si>
    <t>LP_ENERGY_FORESTRY</t>
  </si>
  <si>
    <t>LP_ENERGY_AGRICULTURAL</t>
  </si>
  <si>
    <t>WIDTH_OF_CROPS_DISTRIBUTION_AMONG_USES_SP</t>
  </si>
  <si>
    <t>PRIORITIES_OF_FORESTRY_DISTRIBUTION_AMONG_USES_SP</t>
  </si>
  <si>
    <t>WIDTH_OF_FORESTRY_DISTRIBUTION_AMONG_USES_SP</t>
  </si>
  <si>
    <t>SELECT_CLIMATE_MODEL_AND_RCP</t>
  </si>
  <si>
    <t>SELECT_CLIMATE_MODEL_AND_RCP FOR CC IMPACTS ON YIELDS</t>
  </si>
  <si>
    <t xml:space="preserve"> APPLICATION OF HADGEMES CLIMATE MODEL WITH RCP 8.5</t>
  </si>
  <si>
    <t xml:space="preserve"> APPLICATION OF HADGEMES CLIMATE MODEL WITH RCP 4.5</t>
  </si>
  <si>
    <t xml:space="preserve"> APPLICATION OF GFDL CLIMATE MODEL WITH RCP 8.5</t>
  </si>
  <si>
    <t xml:space="preserve"> APPLICATION OF GFDL CLIMATE MODEL WITH RCP 4.5</t>
  </si>
  <si>
    <t xml:space="preserve"> APPLICATION OF CCSM4 CIMATE MODEL WITH RCP 8.5</t>
  </si>
  <si>
    <t xml:space="preserve"> APPLICATION OF CCSM4 CIMATE MODEL WITH RCP 4.5</t>
  </si>
  <si>
    <t>List of the policies and hypotheses, structured by module, available in WILIAM model. It includes a plain description of each of them, and provides hyperlinks to the actual loading of data to the model.</t>
  </si>
  <si>
    <t>This policy target defines the fertility rates for the future in regions by 2050. Values are based on the historical period (2005-2020).
To parametrize this policy, the user can choose between: low fertility rates (1), average (2) or high (3). 
The data for the different options (low, average and high) is available at the sheet "demography_data".</t>
  </si>
  <si>
    <t>This policy target defines the life expectancy at birth for the future in regions. Values are based on the historical period (2005-2020).
SELECTION: minimum Life Expectancy at Birth (1), average (2), or maximum (3).
There is also an option to activate or deactivate the SWITCH (SWITCH DEM LIFE EXPECTANCY AT BIRTH) to choose between (0) exogenous pathway and (1) endogenous feedbacks for life expectancy at birth.</t>
  </si>
  <si>
    <t>Value for the switch scenario for households composition for EU27 countries. 4 options for the evolution of the ratio of households per 100 people over time available from the statistical analysis of past data: 0 (Constant 2015 values), 1 (Mean values for future trend), 2 (Maximum Ruralization values for future trend), 3 (Maximum Urbanization values for future trend)</t>
  </si>
  <si>
    <t>Maximum Ruralization values for future trend</t>
  </si>
  <si>
    <t>Maximum Urbanization values for future trend</t>
  </si>
  <si>
    <t>Socio-economic index designed to calculate the relative access of men and women to education. This index is released by UNESCO. In its simplest form, it is calculated as the quotient of the number of females by the number of males enrolled in a given stage of education (primary, secondary, etc.).
A GPI =1 means equality between males and females. A GPI &lt;1 is an indication that gender parity favors males while a GPI &gt;1 indicates gender parity that favors females. The closer a GPI is to 1, the closer a country is to achieving equality of access between males and females. This is a policy target in WILIAM to be set for a final year per region.</t>
  </si>
  <si>
    <t>Policy to stablish the producers' mark-up, which refers to the share of profits over total price. The user defined values can be modified in terms of region and sector.</t>
  </si>
  <si>
    <t>This policy referes to the interest paid by governments for their debt. This interest rate also affects the interest rates paid or received by households for their financial liablities/assets.</t>
  </si>
  <si>
    <t>Tax rate on total production by sector.</t>
  </si>
  <si>
    <t>Lockdown effect on households passenger transport</t>
  </si>
  <si>
    <t>This policy activates or deactivates a limit to total energy consumption of households over total consumption of non durable goods.</t>
  </si>
  <si>
    <r>
      <t xml:space="preserve">
</t>
    </r>
    <r>
      <rPr>
        <sz val="11"/>
        <rFont val="Calibri"/>
        <family val="2"/>
        <scheme val="minor"/>
      </rPr>
      <t>OPEC has an oligopolistic power on oil market and can modulate their extraction depending on a desired target oil price. The EIA predicts that by 2025 Brent crude oil's nominal price will rise to $67/b (in 2021 dollars). By 2030, world demand is seen driving Brent prices to $79/b. By 2040, prices are projected to be $84/b. By then, the cheap oil sources will have been exhausted, making it more expensive to extract oil. By 2050, oil prices could be $90/b. The user has the choice to modify the forecast with the Variable OPEC TARGET PRICE SAME AS EIA OIL FORECAST MED by loading differen data sets. The standard is OPEC_TAGRET_PRICE_MED.</t>
    </r>
  </si>
  <si>
    <t>MANURE_MANAGEMENT_SYSTEM_SP</t>
  </si>
  <si>
    <t>FOSSIL_RESOURCE_STIMATION_LOW_MED_HIGH_OTHER_SP</t>
  </si>
  <si>
    <t>H15</t>
  </si>
  <si>
    <t>H16</t>
  </si>
  <si>
    <t>P76</t>
  </si>
  <si>
    <t>economy-prices</t>
  </si>
  <si>
    <t>An a priori consistent story or narrative of how the future may evolve. Storylines define the core of each scenario, describing its main characteristics, drivers and dynamics. They are qualitative descriptions of the trajectories of the economic, social, technological, environmental, and political evolution that the world may follow in the near future . They also provide information on relationships and feedback loops between key drivers; hence, it implicitly includes a certain number of policy objectives and targets.
The most common narratives in the general literature are the Shared Socioeconomic Pathways (SSPs). They represent a relevant set of storylines since they are standard in the climate science community (this does not mean that we cannot simulate other storylines which are not considered within the SSPs).</t>
  </si>
  <si>
    <t xml:space="preserve">Broad, general policy objective at societal level which are the basis for developing policy recommendations.
We further distinguish between overall goals identified as drivers of a given storyline (storyline goals), and those which the model users may want to check if a given storyline is able to fulfil (expanded overall goals).
Considering a “Green Growth” storyline, an example of a storyline goal is “absolute decoupling of environmental pressures from economic growth”. An example of an expanded overall goal under a Green Growth story is “Preserving or improving life expectancy” or “Gender equality/Non-discrimination of women and girls”. Both types of overall goals act as “benchmarks” to gauge whether a simulated scenario leads to a desirable solution to the identified problems. They are also indicators that allow us to evaluate the feasibility of the storylines. Therefore, they require measurable variables that can be used as indicators to verify the fulfilment of these overall goals. Indicators can be compared against a threshold or a target.
</t>
  </si>
  <si>
    <t>A set of ideas or a plan of what to do in particular situations that has been agreed by a group of targeted people, business organisation, government or political party.
Different types of policies can be defined depending on their scope, and they mustn’t be confounded with policy measures which are more specific.</t>
  </si>
  <si>
    <t>It refers to the generally formulated desired outcome of a policy. It should not be confused with policy target (see below), which refers to a specific quantified level or rate set for the chosen objective.
These are tried to be achieved by means of modelling concrete policy measures, which may cater to more than one policy objective.</t>
  </si>
  <si>
    <t>Quantifiable intended effect (or expected outcome) of a policy measure. Also defined as the operationalization or quantification of the policy objective, although a policy target can be linked to more than one policy objective .
In IAMs, most policies are typically modelled as policy targets. They focus on interrelations between dimensions and does not go to the detail of each of them, which is necessary to model policy measures. IAMs research sustainability general strategies.</t>
  </si>
  <si>
    <t>Mechanisms and tools to implement policy measures and eventually reach policy targets. It should also be considered that a same policy instrument may contribute to implement different policy measures and reach different targets.</t>
  </si>
  <si>
    <t>Assumptions made in the model, in which they work as exogenous inputs, that refer to biophysical realities that are not controllable by human societies. Hypotheses are subject to uncertainty.</t>
  </si>
  <si>
    <t>Implementation of the storyline with quantitative inputs in a given model. It can also be defined as the set of quantitative inputs that consist of a coherent and internally consistent set of assumptions (scenario logic) that allow to simulate a storyline with the model and get results. These inputs can be very different, e.g., hypotheses, policy measures or policy targets. Often, a set of scenarios is modelled to capture the range of possible future states of a system.
Scenarios can inform and guide decision-makers by creating normative, descriptive, or exploratory alternatives, expanding cognitive limitations from bounded realities and formulating relatable and plausible future narratives.</t>
  </si>
  <si>
    <t>The trajectory of the initially defined scenario can be modified due to the internal constraints present in the model.  Thus, it is a scenario which does not attain its predefined overall goals.
It is the final and more complete ‘scenario output’, and it varies depending on the model used to obtain the results.</t>
  </si>
  <si>
    <t>BASELINE SCENARIO</t>
  </si>
  <si>
    <t>A Green Growth/Degrowth/etc. which does not attain its predefined overall goals.</t>
  </si>
  <si>
    <t>Same names as for storylines</t>
  </si>
  <si>
    <t>A baseline scenario is an explorative scenario in which most of the exogenous model parameters are hypotheses calibrated to represent a concrete pathway, typically being current/historical trends, but it does not explicitly include policy measures. They refer to IAMs employed in their “free-running” state. Normally, the reference scenario reproduces issues (e.g., the impossibility to reach certain objectives such as staying below 1.5°C average global temperature increase) that prompt us to simulate alternative futures by introducing specific policies.
Baselines are usually called Reference, No policy or Business As Usual (BAU). They allow researchers to clearly identify -in the modelling results- the separate influence of the introduced policies by measuring changes in results from the baseline.</t>
  </si>
  <si>
    <t>INITIAL_FOSSIL_RESERVES_2005_SP</t>
  </si>
  <si>
    <t>bbl</t>
  </si>
  <si>
    <t xml:space="preserve">Constant Value </t>
  </si>
  <si>
    <t>Growth rate according to GROWTH_MATERIAL_INTENSITIES_SP</t>
  </si>
  <si>
    <t>SELECT_GAS_PRICE_OIL_LINK_SP</t>
  </si>
  <si>
    <t>materials-fossil_fuels</t>
  </si>
  <si>
    <t>SELECT_MATERIAL_INTENSITY_SP</t>
  </si>
  <si>
    <t xml:space="preserve">materials </t>
  </si>
  <si>
    <t>Annual growth rate (%/year) of Metal intensities bu region for Copper, Aluminium, Iron and Nickel. Two options: not variation, variation following historical trends</t>
  </si>
  <si>
    <t>Material Intensities of the economy</t>
  </si>
  <si>
    <t>For the 4 metals directly connected with economy through their specific sectors (Cu, Al, Fe and Ni)</t>
  </si>
  <si>
    <t>USMCA_MIN</t>
  </si>
  <si>
    <t>USMCA_AVERAGE</t>
  </si>
  <si>
    <t>Annual change in labour productivity by sector and region. Capital productivity is measured as the ratio between real output and number of hours worked. When positive numbers are introduced, the annual change in labour productivity increases, and it decreases when introducing negative numbers. It is recommeded to combine this hypothesis with changes in working time.</t>
  </si>
  <si>
    <t>This policy introduces a cummulative working time variation (% change) between the final and initial year (positive number increases, negative number decreases). After the final year the number of hours remain constant. It is recommeded to combine this policy with changes in labour productivity (i.e., combine a reduction in working time with an increase in labour productivity). Working time is measured as annual hours per worker by sector.</t>
  </si>
  <si>
    <t>This policy stablishes a limit to the ratio government deficit or surplus to GDP.</t>
  </si>
  <si>
    <t>This policy limits the annual % of growth of government expenditure.</t>
  </si>
  <si>
    <t>Tax rate on households income by type of household.</t>
  </si>
  <si>
    <t>Tax rate on households wealth by type of household. Wealth refers to the value of financial and real assests  owned by a household minusl its liabilities.</t>
  </si>
  <si>
    <t>Tax rate on corporations income or profits.</t>
  </si>
  <si>
    <t>Social security contributions tax rate over gross labour compensation.</t>
  </si>
  <si>
    <t>This policy allows the user to define the structure of government expenditure (i.e., the share of consumption, investment, social benefits, transferences, and other expenditure in the total government expenditure)</t>
  </si>
  <si>
    <t>Goverment consumption  consists of expenditure incurred by the government on goods or services that are used for the direct satisfaction of individual or collective needs.
This policy allows the user to define the structure of government consumption in 10 categories  (General public services; Defence; Public order and safety; Economic affairs; Environment protection; Housing and community amenities; Health; Recreation, culture and religion; Education).</t>
  </si>
  <si>
    <t>Goverment investment consists of government acquisitions, less disposals, of fixed assets during a given period plus certain additions to the value of non-produced assets realised by the productive activity of producer or institutional units. Fixed assets are produced assets used in production for more than one year such as buildings and structures, machinery and equipment, weapon systems, etc.
This policy allows the user to define the structure of government investment in 10 categories  (General public services; Defence; Public order and safety; Economic affairs; Environment protection; Housing and community amenities; Health; Recreation, culture and religion; Education)</t>
  </si>
  <si>
    <t>Tax on greenhouse gas emissions from households measured in $/tCO2e.
Note 1: when this policy is activated, it affects all household types.
Note 2: when taxes on sectors and/or households emissions are activated, the user should check how revenues are used (SHARE GHG REVENUES SP).</t>
  </si>
  <si>
    <t xml:space="preserve">This policy introduces a universal basic income that consists of a payment to all the people. The policy is only applied to those regions with disaggregated households. In the initial year, the basic income is defined as a share ot the avarage disposable income per capita. The basic income can be financed  with wealth taxes, corporation taxes, and a combination of wealth tax and a tax on households CO2 emissions. </t>
  </si>
  <si>
    <t>This policy introduces a lockdown effect on households passenger transport. The total transport demand is reduced by a certain factor.
Note that this is a single year policy.</t>
  </si>
  <si>
    <t>economy-government
finance-households</t>
  </si>
  <si>
    <t>economy-prices
economy-primary_inputs</t>
  </si>
  <si>
    <t>energy-variability.storage.electricity</t>
  </si>
  <si>
    <t>energy-variability.regressions</t>
  </si>
  <si>
    <t>energy-capacities.RES_potentials</t>
  </si>
  <si>
    <t>climate-total_GHG_emissions</t>
  </si>
  <si>
    <t>Final energy efficiency annual improvement for sectors modelled top-down</t>
  </si>
  <si>
    <t>FINAL_ENERGY_EFFICIENCY_RATE_TOP_DOWN_SECTORS_SP</t>
  </si>
  <si>
    <t>Final energy substitution for sectors modelled top-down</t>
  </si>
  <si>
    <t>FINAL_ENERGY_SUBSTITUTION_RATE_TOP_DOWN_SECTORS_SP</t>
  </si>
  <si>
    <t>REGIONS_35_I|1/year</t>
  </si>
  <si>
    <t xml:space="preserve">economy-firms.production </t>
  </si>
  <si>
    <t>Data for EU from European Commission, Directorate-General for Climate Action, Directorate-General for Energy, Directorate-General for Mobility and Transport, De Vita, A., Capros, P., Paroussos, L. et al., EU reference scenario 2020 – Energy, transport and GHG emissions – Trends to 2050, Publications Office, 2021, https://data.europa.eu/doi/10.2833/35750 doi:10.2833/35750</t>
  </si>
  <si>
    <t>User defined: change the numbers in the table bellow (current numbers in the table are those of the default configuration except fpr  LATAM, for whic a reduction to 4% is assumend)</t>
  </si>
  <si>
    <t>The scenario parameter SELECT LIMITS LAND USES BY SOURCE can be used to the method to limit land use changes. If =0 the limits are set by the matrix (one per region)  MATRIX OF MAXIMUM LAND CHANGES (R_i, L_n, L_m) that restricst the amount of land use L_n that can be transformed into use L_m in every region R_i due to the physical suitability of that land conversion. This las case is only used for cropland expansion, the rest of uses use the limit described in previous paragraph always.
If SELECT LIMITS LAND USES BY SOURCE =1 the limits of expansion from use L_n to use L_m are proportional to the initial value of L_n, and the proportion is  specified in vector  MAXIMUM LAND USES BY SOURCE(R_i, L_n) ( for each region R_i ). Hence in this case the limits are not constrained by physical suitability of that land conversion.</t>
  </si>
  <si>
    <t>Limit annual growth wages</t>
  </si>
  <si>
    <t>LIMIT_ANNUAL_GROWTH_WAGES_SP</t>
  </si>
  <si>
    <t>This policy introduces lower and upper limits to the annual growth in wages.</t>
  </si>
  <si>
    <t>SELECT_LIMIT_ANNUAL_GROWTH_WAGES_SP</t>
  </si>
  <si>
    <t>INITIAL_LIMIT_ANNUAL_GROWTH_WAGES_SP</t>
  </si>
  <si>
    <t>LIMIT_LOWER_BOUND_ANNUAL_GROWTH_WAGES_SP</t>
  </si>
  <si>
    <t>LIMIT_UPPER_BOUND_ANNUAL_GROWTH_WAGES_SP</t>
  </si>
  <si>
    <t>User defined: change the numbers in the table bellow. Current numbers in the table aassume that countries tend to the World median working time per sector, except those countries with an average working time per sector below world  median which remain constant</t>
  </si>
  <si>
    <t>LIMIT_ANNUAL_GROWTH_CONSUMPTION_DURABLES_SP</t>
  </si>
  <si>
    <t>SELECT_LIMIT_ANNUAL_GROWTH_CONSUMPTION_DURABLES_SP</t>
  </si>
  <si>
    <t>INITIAL_LIMIT_ANNUAL_GROWTH_CONSUMPTION_DURABLES_SP</t>
  </si>
  <si>
    <t>LIMIT_ANNUAL_GROWTH_CONSUMPTION_NON_DURABLES_SP</t>
  </si>
  <si>
    <t>SELECT_LIMIT_ANNUAL_GROWTH_CONSUMPTION_NON_DURABLES_SP</t>
  </si>
  <si>
    <t>INITIAL_LIMIT_ANNUAL_GROWTH_CONSUMPTION_NON_DURABLES_SP</t>
  </si>
  <si>
    <t>Limit to the annual growth in the households consumption of durable goods</t>
  </si>
  <si>
    <t>This policy activates or deactivates a limit to the annual growth in the housheolds consumption of durable goods (housing, appliances, vehicles)</t>
  </si>
  <si>
    <t>Limit to the annual growth in the households consumption of non durable goods</t>
  </si>
  <si>
    <t>This policy activates or deactivates a limit to the annual growth in the housheolds consumption of total non durable goods.</t>
  </si>
  <si>
    <t>This excel includes the parameters to be modified to build a scenario with WILIAM. It is structured by modules to ease its usability.</t>
  </si>
  <si>
    <t>HOUSEHOLD COMPOSITION IN NON-EU REGIONS</t>
  </si>
  <si>
    <t>HOUSEHOLD_COMPOSITION_IN_NON_EU_REGIONS</t>
  </si>
  <si>
    <t>SPEED OF CHANGE IN EU HOUSEHOLD COMPOSITION</t>
  </si>
  <si>
    <t>P27</t>
  </si>
  <si>
    <t>P28</t>
  </si>
  <si>
    <t>SPEED_OF_CHANGE_IN_EU_HOUSEHOLD_COMPOSITION</t>
  </si>
  <si>
    <t>Parameter to modify the speed of the scenario assumption of the evolution of households composition in the EU countries. Three options: (1) slower speed than historical years; (2) similar speed than history; (3) faster speed than the historical change in household composition.</t>
  </si>
  <si>
    <t>SELECT_FINAL_ENERGY_SUBSTITUTION_RATE_TOP_DOWN_SECTORS_SP</t>
  </si>
  <si>
    <t>START_YEAR_FINAL_ENERGY_SUBSTITUTION_RATE_TOP_DOWN_SECTORS_SP</t>
  </si>
  <si>
    <t>RECYCLING_CARBON_TAX_REVENUES_SP</t>
  </si>
  <si>
    <t>RECYLING_CARBON_TAX_REVENUES_SP</t>
  </si>
  <si>
    <t>Gas price linked (or not) to the development of the Oil price in historical period</t>
  </si>
  <si>
    <t>the link between the gas and oil price is switched off in the historical period</t>
  </si>
  <si>
    <t>the link between the gas and the oil price is switched on for historical trends</t>
  </si>
  <si>
    <t>Share of bioenergy in liquids and gases</t>
  </si>
  <si>
    <t>SHARE BIOENERGY IN TI LIQUIDS AND GASES SP</t>
  </si>
  <si>
    <t>SWITCH_POLICY_SHARE_BIOENERGY_IN_TI_LIQUIDS_AND_GASES_SP</t>
  </si>
  <si>
    <t>YEAR_INITIAL_SHARE_BIOENERGY_IN_TI_LIQUIDS_AND_GASES_SP</t>
  </si>
  <si>
    <t>YEAR_FINAL_SHARE_BIOENERGY_IN_TI_LIQUIDS_AND_GASES_SP</t>
  </si>
  <si>
    <t>TARGET_SHARE_BIOENERGY_IN_LIQUIDS_AND_GASES_SP</t>
  </si>
  <si>
    <t>SHARE_BIOENERGY_IN_TI_LIQUIDS_AND_GASES_SP</t>
  </si>
  <si>
    <t>Synthetic fuels from electrolytic H2</t>
  </si>
  <si>
    <t>REGIONS_I | DMNL</t>
  </si>
  <si>
    <t xml:space="preserve">
If this policy is applied, the ratio of m2 of urban land area per person  reaches the given target. If   
SWITCH_URBAN_LAND_DENSITY_SP=1  the urban_land_dispersion_ratio (m2 per person) starts changin in
YEAR_INITIAL_URBAN_LAND_DENSITY_SP and ends in YEAR_FINAL_URBAN_LAND_DENSITY_SP when in reaches
OBJECTIVE_URBAN_LAND_DENSITY_SP .  OBJECTIVE_URBAN_LAND_DENSITY_SP is expressed in m2 of urban land per person.</t>
  </si>
  <si>
    <t>YEAR_INITIAL_LAND_PROTECTION_FROM_SOLAR_PV_SP</t>
  </si>
  <si>
    <t>YEAR_FINAL_LAND_PROTECTION_FROM_SOLAR_PV_SP</t>
  </si>
  <si>
    <t>Policy of land use protected from solar PV</t>
  </si>
  <si>
    <t xml:space="preserve">Land use siting of solar power. If this policy is applied, the share of land from whom solar land is taken changes to the desired values.  SWITCH_SOLAR_LAND_FROM_OTHERS_SP =1 , the siting policy starts in YEAR_INITIAL_SOLAR_LAND_FROM_OTHERS_SP   and ends in  YEAR_FINAL_SOLAR_LAND_FROM_OTHERS_SP  . OBJECTIVE_SOLAR_LAND_FROM_OTHERS_SP  is a vector that tells use they shares among land use types where the land for solar comes </t>
  </si>
  <si>
    <t>POLICY_LAND_PROTECTION_FROM_SOLAR_PV_SP</t>
  </si>
  <si>
    <t>Policy limiting solar expansion</t>
  </si>
  <si>
    <t>Policy limiting the expansion of solar deployment on land based on a specific limiting criteria. The policy is activated if  SWITCH_POLICY_MAXIMUM_SHARE_SOLAR_URBAN_SP=1  . POLICY_MAXIMUM_SHARE_SOLAR_URBAN_SP  indicates  the maximum value from which the policy starts to send a signal of stress reducing the expansion of solar power deployed on land. This limiting criteria is base on the relation between  the area occupied by solar power and urban land use.</t>
  </si>
  <si>
    <t>P77</t>
  </si>
  <si>
    <t>P78</t>
  </si>
  <si>
    <t>TOTAL POLICIES + HYPOTHESES</t>
  </si>
  <si>
    <t>Model runs with endogenous capacity expansion for electrolyzers as a function of the H2 demand</t>
  </si>
  <si>
    <t>SELECT_STATIONARY_ELECTROLYZERS_EXPANSION_PRIORITY_SP</t>
  </si>
  <si>
    <t>Model runs with exogenous capacity expansion for stationary electrolyzers (if there is H2 demand). Fulfill then the below table</t>
  </si>
  <si>
    <t>STATIONARY_ELECTROLYZERS_CAPACITY_EXPANSION_TARGET_SP</t>
  </si>
  <si>
    <t>If the policy is applied, specific land use types are protected and not changed to “Solar Land”. SWITCH_POLICY_LAND_PROTECTION_FROM_SOLAR_PV_SP =1 , the policy starts in YEAR_INITIAL_LAND_PROTECTION_FROM_SOLAR_PV_SP  and ends in  YEAR_FINAL_LAND_PROTECTION_FROM_SOLAR_PV_SP  . POLICY_LAND_PROTECTION_FROM_SOLAR_PV_SP  indicates for each land use type if it is protected from solar land deployment. Ranges [0-1]: if =1 the policy allows to deploy solar PV in that land use type, and if =0 the policy protect that type of land use to be occupied for solar PV.</t>
  </si>
  <si>
    <r>
      <t xml:space="preserve">With this policy you can change between different ways of managing the land below and around the PV panels to avoid too many emissions due to LU change. In particular the 3 options are the following:  
 0. Permanently clearing land vegetation 
1. Maintain/restore previous vegetation (up to 30 cm) 
2. Seeding and  management as pastures
 This is based on article from Van de Ven et al 2021 (Suplementary information: Table S8). https://www.nature.com/articles/s41598-021-82042-5
</t>
    </r>
    <r>
      <rPr>
        <sz val="11"/>
        <color rgb="FFFF0000"/>
        <rFont val="Calibri"/>
        <family val="2"/>
        <scheme val="minor"/>
      </rPr>
      <t>ONGOING MODELLING WORK !! Ignore</t>
    </r>
  </si>
  <si>
    <t>low</t>
  </si>
  <si>
    <t>medium</t>
  </si>
  <si>
    <t>high</t>
  </si>
  <si>
    <t>check fertility rates profiles</t>
  </si>
  <si>
    <t xml:space="preserve">The User has the option to link the development of the gas price to the Oil price. Historicaly a co-development of Gas and oil prices can be observed. The link is only programmed to remain until the year 2020. This switch can take two values:
0: Oil and Gas price development are not coupled for the time 2005-2020
1: Oil and Gas price development are coupled for the time 2005-2020. After 2020 the gas price develops independent from the oil price. </t>
  </si>
  <si>
    <t>Pending to combine MATERIALS_RECYCLING_SP with MATERIALS_RECYCLING_SP_MEDEAS for those materials for which there is overlapping</t>
  </si>
  <si>
    <t>For the metal requirements estimated following the material flow analysis developd in MEDEAS for (1) the energy technologies in a a bottom-up way and for (2) the rest of the economy in a top-down way.</t>
  </si>
  <si>
    <t>OBJECTIVE_SHARE_FOSSIL_FUELS_SUBSTITUTED_BY_ELECTROLYTIC_H2_AMMONIA_PRODUCTION_SP</t>
  </si>
  <si>
    <t>OBJECTIVE_SHARE_FOSSIL_FUELS_SUBSTITUTED_BY_ELECTROLYTIC_H2_METHANOL_PRODUCTION_SP</t>
  </si>
  <si>
    <t>OBJECTIVE_SHARE_FOSSIL_FUELS_SUBSTITUTED_BY_ELECTROLYTIC_H2_OIL_REFINING_SP</t>
  </si>
  <si>
    <t>SELECT_ON_SITE_ELECTROLYZERS_EXPANSION_PRIORITY_SP</t>
  </si>
  <si>
    <t>Model runs with exogenous capacity expansion for on site electrolyzers (if there is H2 demand). Fulfill then the below table</t>
  </si>
  <si>
    <t>ON_SITE_ELECTROLYZERS_CAPACITY_EXPANSION_TARGET_SP</t>
  </si>
  <si>
    <t>INITIAL_YEAR_ON_SITE_ELECTROLYZERS_EXPANSION_SP</t>
  </si>
  <si>
    <t>YEAR_FINAL_ON_SITE_ELECTROLYZERS_EXPANSION_SP</t>
  </si>
  <si>
    <t>OBJECTIVE_ON_SITE_ELECTROLYZERS_CAPACITY_EXPANSION_SP</t>
  </si>
  <si>
    <t>REGIONS_35_I|dmnl</t>
  </si>
  <si>
    <t>P79</t>
  </si>
  <si>
    <t>P80</t>
  </si>
  <si>
    <t>P81</t>
  </si>
  <si>
    <t>P82</t>
  </si>
  <si>
    <t>INITIAL_YEAR_POLICY_STEEL_MANUFACTURING_PROCESSES_SP</t>
  </si>
  <si>
    <t>FINAL_YEAR_POLICY_STEEL_MANUFACTURING_PROCESSES_SP</t>
  </si>
  <si>
    <t>SWITCH_POLICY_STEEL_MANUFACTURING_PROCESSES_SP</t>
  </si>
  <si>
    <t>OBJECTIVE_SHARE_STEEL_DRI_PROCESSES_SP</t>
  </si>
  <si>
    <t>OBJECTIVE_SHARE_STEEL_HDRI_PROCESSES_SP</t>
  </si>
  <si>
    <t>OBJECTIVE_SHARE_STEEL_BF_PROCESSES_SP</t>
  </si>
  <si>
    <t>STEEL MANUFACTURING PROCESSES SP</t>
  </si>
  <si>
    <t>Share steel manufacturing by process (BF-BOF/DRI/HDRI)</t>
  </si>
  <si>
    <t>SHARE_NON_ENERGY_USE_FOSSIL_FUELS_SUBSTITUTED_BY_ELECTROLYTIC_H2_SP</t>
  </si>
  <si>
    <t>SWITCH_POLICY_SHARE_NON_ENERGY_USE_FOSSIL_FUELS_SUBSTITUTED_BY_ELECTROLYTIC_H2_SP</t>
  </si>
  <si>
    <t>INITIAL_YEAR_SHARE_NON_ENERGY_USE_FOSSIL_FUELS_SUBSTITUTED_BY_ELECTROLYTIC_H2_SP</t>
  </si>
  <si>
    <t>YEAR_FINAL_SHARE_NON_ENERGY_USE_FOSSIL_FUELS_SUBSTITUTED_BY_ELECTROLYTIC_H2_SP</t>
  </si>
  <si>
    <t>Share fossil fuels substituted by electrolytic H2 in current industrial processes for non energy uses</t>
  </si>
  <si>
    <t>Endogenous for: solar PV open space &amp; CSP (depending on selected EROImin and link with land-use) and wind onshore &amp; offshore (depending on selected EROImin) -see below PROTRA_RES_I marked in yellow-
Endogenous for bioenergy (depending on land-use and) -marked bellow in dark green-
Exogenous for the remaining technologies (as indicated in table 'EXOGENOUS_PROTRA_RES_POTENTIALS_SP')</t>
  </si>
  <si>
    <t>ALKALINE</t>
  </si>
  <si>
    <t>PEM</t>
  </si>
  <si>
    <r>
      <t>PROSUP_ELEC_2_HYDROGEN_SUBTECHNOLOGIES_I</t>
    </r>
    <r>
      <rPr>
        <sz val="11"/>
        <rFont val="Calibri"/>
        <family val="2"/>
      </rPr>
      <t>│dmnl</t>
    </r>
  </si>
  <si>
    <t>EXOGENOUS_SHARE_OF_NEW_STATIONARY_ELECTROLYZERS_SUBTECHNOLOGIES_SP</t>
  </si>
  <si>
    <t>EXOGENOUS_SHARE_OF_NEW_ON_SITE_ELECTROLYZERS_SUBTECHNOLOGIES_SP</t>
  </si>
  <si>
    <t>improvement development</t>
  </si>
  <si>
    <t>SELECT_LIFETIME_ELECTROLYZERS_DEVELOPMENT_SP</t>
  </si>
  <si>
    <t>SELECT_EFFICIENCY_ELECTROLYZERS_DEVELOPMENT_SP</t>
  </si>
  <si>
    <t>P83</t>
  </si>
  <si>
    <t>H17</t>
  </si>
  <si>
    <t>Years</t>
  </si>
  <si>
    <t>user-defined (fill below, data by-default correspond to option 1 improvement development)</t>
  </si>
  <si>
    <t>Dmnl</t>
  </si>
  <si>
    <t>_MATRIX(TIME, PROSUP_ELEC_2_HYDROGEN_SUBTECHNOLOGIES_I): LIFETIME_ELECTROLYZERS_DEVELOPMENT_USER_DEFINED_SP</t>
  </si>
  <si>
    <t>_MATRIX(TIME, PROSUP_ELEC_2_HYDROGEN_SUBTECHNOLOGIES_I): EFFICIENCY_ELECTROLYZERS_DEVELOPMENT_USER_DEFINED_SP</t>
  </si>
  <si>
    <t>-&gt; Lifetime of the stack</t>
  </si>
  <si>
    <t>-&gt; Efficiency of the system (LHV basis)</t>
  </si>
  <si>
    <t>INITIAL_YEAR_REDUCTION_MATERIAL_INTENSITY_ELECTROLYZERS_SP</t>
  </si>
  <si>
    <t>REDUCTION_RATE_MATERIAL_INTENSITY_ALKALINE_ELECTROLYZERS_Ni_SP</t>
  </si>
  <si>
    <t>REDUCTION_RATE_MATERIAL_INTENSITY_PEM_ELECTROLYZERS_Pt_SP</t>
  </si>
  <si>
    <t>REDUCTION_RATE_MATERIAL_INTENSITY_PEM_ELECTROLYZERS_Ir_SP</t>
  </si>
  <si>
    <t>REDUCTION_RATE_MATERIAL_INTENSITY_PEM_ELECTROLYZERS_Ti_SP</t>
  </si>
  <si>
    <t>REDUCTION_RATE_MATERIAL_INTENSITY_ELECTROLYZERS_SP</t>
  </si>
  <si>
    <t>Reduction rate material intensities electrolyzers</t>
  </si>
  <si>
    <t>materials-requirements.PROSUP</t>
  </si>
  <si>
    <t>ALKALINE and PEM electrolyzers are made of a diversity of materials, which are accounted for in the model in the form of material intensities (kg/MW). One of the ways technological improvements are developed is through the reduction in these material intensities over time for some materials (Ni, Ir, Pt and Ti). Those materials, their trends and thermodynamical limits should be assessed for scenario projections.</t>
  </si>
  <si>
    <t>SELECT ON SITE AND STATIONARY ELECTROLYZERS EXPANSION PRIORITY SP</t>
  </si>
  <si>
    <t>Exogenous/endogenous capacity expansion for on-site and stationary electrolyzers</t>
  </si>
  <si>
    <t>Exogenous shares of new installed on-site and stationary electrolyzers per subtechnology</t>
  </si>
  <si>
    <t>P47</t>
  </si>
  <si>
    <t>P48</t>
  </si>
  <si>
    <t>Development of the technical parameters of the electrolyzers</t>
  </si>
  <si>
    <t>SELECT_TECHNICAL_PARAMETERS_ELECTROLYZERS_DEVELOPMENT_SP</t>
  </si>
  <si>
    <t>Selection of whether or not to apply technical parameters improvement to electrolyzers (included lifetime and efficiency). User-defined parameters are possible</t>
  </si>
  <si>
    <t>EXOGENOUS_SHARE_OF_NEW_ON_SITE_AND_STATIONARY_ELECTROLYZERS_SUBTECHNOLOGIES_SP</t>
  </si>
  <si>
    <t>energy-dynamic_technical_parameters</t>
  </si>
  <si>
    <t>SHARE_MERCHANT_ELECTROLYTIC_H2_DEMAND_FOR_NON_ENERGY_USES</t>
  </si>
  <si>
    <t>Share merchant electrolytic H2 demand for non energy uses</t>
  </si>
  <si>
    <t>SWITCH_POLICY_SHARE_MERCHANT_ELECTROLYTIC_H2_DEMAND_FOR_NON_ENERGY_USES_SP</t>
  </si>
  <si>
    <t>INITIAL_YEAR_SHARE_MERCHANT_ELECTROLYTIC_H2_DEMAND_FOR_NON_ENERGY_USES_SP</t>
  </si>
  <si>
    <t>YEAR_FINAL_SHARE_MERCHANT_ELECTROLYTIC_H2_DEMAND_FOR_NON_ENERGY_USES_SP</t>
  </si>
  <si>
    <t>OBJECTIVE_SHARE_MERCHANT_ELECTROLYTIC_H2_DEMAND_FOR_NON_ENERGY_USES_SP</t>
  </si>
  <si>
    <t>No effect</t>
  </si>
  <si>
    <t>Curtailment damages the expansion of VRES capacities directly through a logistic function (MAX_CURTAILMENT_SP)</t>
  </si>
  <si>
    <t>Priorities for the allocation of capacity utilization of process transformation</t>
  </si>
  <si>
    <t>Effect of curtailment to the capacity expansion of VRES</t>
  </si>
  <si>
    <t>P84</t>
  </si>
  <si>
    <t>START_YEAR_PROTRA_CAPACITY_EXPANSION_POLICY_SP</t>
  </si>
  <si>
    <t>START_YEAR_PROTRA_UTILIZATION_ALLOCATION_POLICY_PRIORITIES_SP</t>
  </si>
  <si>
    <t>FINAL_YEAR_PROTRA_UTILIZATION_ALLOCATION_POLICY_PRIORITIES_SP</t>
  </si>
  <si>
    <t>FINAL_YEAR_PROTRA_CAPACITY_EXPANSION_POLICY_SP</t>
  </si>
  <si>
    <t>SWITCH_FEEDBACK_SYSTEM_CURTAILMENT_TO_CAPACITY_EXPANSION_SP</t>
  </si>
  <si>
    <t>P85</t>
  </si>
  <si>
    <t>Stop nuclear power plants if capacity factor decay</t>
  </si>
  <si>
    <t>CF_LOSS_SHARE_STOPPING_PROTRA_NUCLEAR_CAPACITY_EXPANSION_SP</t>
  </si>
  <si>
    <t>MAXIMUM_SYSTEM_CURTAILMENT_SP</t>
  </si>
  <si>
    <t>SELECT_CLIMATE_CROP_YIELDS_MODEL</t>
  </si>
  <si>
    <t>SELECT FOR CC IMPACTS ON YIELDS</t>
  </si>
  <si>
    <t xml:space="preserve"> APPLICATION OF HADGEMES CLIMATE MODEL </t>
  </si>
  <si>
    <t xml:space="preserve"> APPLICATION OF GFDL CLIMATE MODEL </t>
  </si>
  <si>
    <t xml:space="preserve"> APPLICATION OF CCSM4 CIMATE MODEL </t>
  </si>
  <si>
    <t>by default parametrization corresponds to 2015 values</t>
  </si>
  <si>
    <t>Defines the typo of management of policy  SOIL_MANAGEMENT_IN_GRASSLANDS_SP.  It is possible to define different options to manage grassland by WILIAM region. This management options afect emisisons.  
0. Nominally managed (non-degraded). No new policies. Keep present trends/default  assumption (Plevin et al. 2014). Sustainably managed grassland, but without significant management improvements. 
1. Moderately degraded grassland. Overgrazed or moderately degraded grassland.
2. Severely degraded. mechanical  damage to the vegetation and/or severe soil erosion. 
3. Improved grassland medium inputs. Sustainably managed with moderate grazing pressure and that receive at least one improvement (e.g., fertilization). No  additional management inputs.
4. Improved grassland high inputs. Sustainably managed with moderate grazing pressure and that receive at least one improvement. One or more additional management inputs/improvements have been used
Based on IPCC Table 6.2 (soil stock change factor for different    management activities on grassland).                                      5.Regenerative. Advanced ecological methods based on soil restoration with high carbon capture such as Voisin Rational Grazing or Hollisting management.</t>
  </si>
  <si>
    <t xml:space="preserve">If this policy is applied, the extraction of forestry products from managed forests and plantations is limited, (although the deforestation is not limited if land might be neede for other purposes, this policy only limits forest wood extraction).  The limitation is aplied in order to adjust the forest biomass  to a stock value given by the user, so that forest biomass does not go beyong it (if possible, because deforestation migh limit the capacity of the forest to reach this stock).   If SWITCH_FOREST_LOSS_LIMIT_SP=1, the change starts in YEAR_INITIAL_FOREST_LOSS_LIMIT_SP  and ends in  YEAR_FINAL_FOREST_LOSS_LIMIT_SP  when it reaches the objective, OBJECTIVE_FOREST_LOSS_LIMIT_SP. Objective is  expressed as a share of the forest stock in the initial after the historic values (TIME_HISTORICAL_DATA_LAND_MODULE, 2019) that is protected, so that the stock of forest is prevented from becoming less than that value (=1 means that all the forest is protected and =0 means that there is no protection at all). </t>
  </si>
  <si>
    <t>P86</t>
  </si>
  <si>
    <t>P87</t>
  </si>
  <si>
    <t>SELECT_GRASSLAND_MANAGEMENT_SP</t>
  </si>
  <si>
    <t>REGENERATIVE GRAZING</t>
  </si>
  <si>
    <t>Reduction of new installations of nuclear power plants with the reduction in the capacity factor of this type of power plants.</t>
  </si>
  <si>
    <t>TARGET_FUEL_CONSUMPTION_EFFICIENCY_BY_TRANSPORT_MODE_POWER_TRAIN_AND_REGION_SP (REGIONS_I, POWER_TRAIN_I, PASSENGERS_TRANSPORT_MODE_I)</t>
  </si>
  <si>
    <t>MAX_OCCUPANCY_RATE_PUBLIC_VEHICLES_SP</t>
  </si>
  <si>
    <t>NOMINALLY MANAGED (default current trends)</t>
  </si>
  <si>
    <t>SWITCH_GRASSLAND_MANAGEMENT_SP</t>
  </si>
  <si>
    <t>YEAR_INITIAL_GRASSLAND_MANAGEMENT_SP</t>
  </si>
  <si>
    <t>YEAR_FINAL_GRASSLAND_MANAGEMENT_SP</t>
  </si>
  <si>
    <t>OBJECTIVE_GRASSLAND_MANAGEMENT_SP</t>
  </si>
  <si>
    <t xml:space="preserve">Policy of increase of managed forest, this is an increase of the high-medium biodiversity forest (not the increase of tree plantations).  If  SWITCH_AFFORESTATION_SP =1 the policy is applied starting in YEAR_INITIAL_AFFORESTATION_SP and ending in YEAR_FINAL_AFFORESTATION_SP. The OBJECTIVE_AFFORESTATION_SP  is achieved in YEAR_FINAL_AFFORESTATION_SP and follows a lineal evolution.  OBJECTIVE_AFFORESTATION_SP  is expressed as a % of the historical value of the area of managed forests in 2005 (0=0%, means that there is no increse of forests;  1=100%,  means that the new area planted equals managed forest area in 2005).
This policy competes with the rest of land uses, therefore, the objective  area might not be achiven in the final year due to land use changes to other uses.  </t>
  </si>
  <si>
    <t>Policy of increase of forest plantations, this is the increase in sigle-species tree plantations.  If  SWITCH_FOREST_PLANTATIONS_SP =1 the policy is applied starting in YEAR_INITIAL_FOREST_PLANTATIONS_SP and ending in YEAR_FINAL_FOREST_PLANTATIONS_SP. The OBJECTIVE_FOREST_PLANTATIONS_SP  is achieved in YEAR_FINAL_FOREST_PLANTATIONS_SP and follows a lineal evolution.  OBJECTIVE_FOREST_PLANTATIONS_SP  is expressed as a % of the historical value of the area of forest plantations in 2005 (0=0%, means that there is no increse of plantations;  1=100%,  means that the area planted equals plantations area in 2005).</t>
  </si>
  <si>
    <t>SCENARIO_POPULATION_SP</t>
  </si>
  <si>
    <t>Endogenous dynamics</t>
  </si>
  <si>
    <t>SSP 1</t>
  </si>
  <si>
    <t>SSP 2</t>
  </si>
  <si>
    <t>SSP 3</t>
  </si>
  <si>
    <t>SSP 4</t>
  </si>
  <si>
    <t>SSP 5</t>
  </si>
  <si>
    <t>P88</t>
  </si>
  <si>
    <t>Scenario for Population</t>
  </si>
  <si>
    <t>This option selects the scenario for population. (0) assumes the endogenous dynamics; (1) exogenous SSP1; (2) exogenous SSP 2; (3) exogenous SSP 3; (4) exogenous SSP 4; (5) exogenous SSP 5. DISCLAIMER: when SSPs run, three variables should not be considered since these scenarios assume all demographic effects implicitly: life expectancy at birth, mortaility, and migration.</t>
  </si>
  <si>
    <t>SWITCH_POLICY_FOOD_LOSS_INTAKE_CHANGE_SP</t>
  </si>
  <si>
    <t>YEAR_INITIAL_FOOD_LOSS_INTAKE_CHANGE_SP</t>
  </si>
  <si>
    <t>YEAR_FINAL_FOOD_LOSS_INTAKE_CHANGE_SP</t>
  </si>
  <si>
    <t>FOOD_LOSS_INTAKE_CHANGE_SP</t>
  </si>
  <si>
    <t>wp_cns</t>
  </si>
  <si>
    <t>wp_cnsprcd</t>
  </si>
  <si>
    <t>Change of food loss parameters (consumption side)</t>
  </si>
  <si>
    <t>If policy is applied, the parameters of food loss at consumption level (from supermarket to intake) is modified by a factor. The approach is based on Springmann et al., 2021. The user can modify 2 percentage of waste, processed and fresh food, from an initial year to a final year, by region. A factor of 0.8 means that the related percentages are decreased by 20% from the starting year to the final year.</t>
  </si>
  <si>
    <t>Level of improvement in energy efficiency of dwellings after renovation and related cost</t>
  </si>
  <si>
    <t>DWELLINGS_RENOVATION_SP</t>
  </si>
  <si>
    <t>energy.buildings</t>
  </si>
  <si>
    <t>Number of years of amortization of dwelling renovation</t>
  </si>
  <si>
    <t>YEARS_AMORTIZATION_INVESTMENT_IN_RENOVATION_SP</t>
  </si>
  <si>
    <t xml:space="preserve">Improvement in efficiency of new dwellings </t>
  </si>
  <si>
    <t>IMPROVEMENT_EFFICIENCY_NEW_DWELLINGS_SP</t>
  </si>
  <si>
    <t>Subsidies to renovation of dwellings</t>
  </si>
  <si>
    <t>SUBSIDY_RENOVATION_SP</t>
  </si>
  <si>
    <t>Subsidies to purchase of dwelling devices for space heating, space cooling and cooking</t>
  </si>
  <si>
    <t>SUBSIDY_PURCHASE_DWELLING_DEVICES_SP</t>
  </si>
  <si>
    <t>Ban to the sale of a specific type of dwelling devices</t>
  </si>
  <si>
    <t>BAN_DWELLING_DEVICE_TECHNOLOGY_SP</t>
  </si>
  <si>
    <t>P89</t>
  </si>
  <si>
    <t>P90</t>
  </si>
  <si>
    <t>P91</t>
  </si>
  <si>
    <t>P92</t>
  </si>
  <si>
    <t>H18</t>
  </si>
  <si>
    <t>H19</t>
  </si>
  <si>
    <t>H20</t>
  </si>
  <si>
    <t>Tax on greenhouse gas emissions from sectors measured in $/tCO2e.
Note 1: the user can select the sectors afected, the initial and final year and the difference between the CO2 tax paid by each sectord and the average CO2 tax (oin case there are differences in tCO2 taxes for different sectors)
Note 2: when taxes on sectors and/or households emissions are activated, the user should check how revenues are used (SHARE GHG REVENUES SP).</t>
  </si>
  <si>
    <t>This policy decides how the revenues from carbon taxes are used by the government (i.e., the share of the revenues that is used for different purposes). Firts, the user has to decide the share of the revenues from CO2 taxes on sectors and households that are used to fiance the social climate fund. Them the user decide how the rest of the reveunres are expent; there are currently four options 1) reduce government debt, 2) reduce income tax, 3) increase social benefits 4) finance a universal basic income (see Universal basic income policy)</t>
  </si>
  <si>
    <t>MINING_AND_MANUFACTURING_URANIUM_THORIUM</t>
  </si>
  <si>
    <t>MINING_AND_MANUFACTURING_IRON</t>
  </si>
  <si>
    <t>MINING_AND_MANUFACTURING_COPPER</t>
  </si>
  <si>
    <t>MINING_AND_MANUFACTURING_NICKEL</t>
  </si>
  <si>
    <t>MINING_AND_MANUFACTURING_ALUMINIUM</t>
  </si>
  <si>
    <t>MINING_AND_MANUFACTURING_PRECIOUS_METALS</t>
  </si>
  <si>
    <t>MINING_AND_MANUFACTURING_LEAD_ZINC_TIN</t>
  </si>
  <si>
    <t>MINING_AND_MANUFACTURING_OTHER_METALS</t>
  </si>
  <si>
    <t>HYDROGEN_PRODUCTION</t>
  </si>
  <si>
    <t>SELECT_SECTORS_CO2_TAX_SECTORS_SP</t>
  </si>
  <si>
    <t>INITIAL_YEAR_SECTOR_CO2_TAX_SP</t>
  </si>
  <si>
    <t>FINAL_YEAR_SECTOR_CO2_TAX_SP</t>
  </si>
  <si>
    <t>RATIO_SECTOR_CO2_PRICE_AVERAGE_CO2_PRICE_SP</t>
  </si>
  <si>
    <t>https://cleantechnica.com/2023/09/25/eus-guidance-for-carbon-price-through-2050-is-staggering/</t>
  </si>
  <si>
    <t>RECYCLING_GHG_TAX_REVENUES_SECTORS_SP</t>
  </si>
  <si>
    <t>RECYCLING_CO2_TAX_REVENUES_HOUSEHOLDS_SP</t>
  </si>
  <si>
    <t>SHARE_GHG_REVENUES_SECTORS_TO_REDUCE_DEBT_SP(REGIONS_35_I)</t>
  </si>
  <si>
    <t>SHARE_GHG_REVENUES_SECTORS_TO_INCOME_TAX_SP(REGIONS_35_I)</t>
  </si>
  <si>
    <t>SHARE_GHG_REVENUES_SECTORS_TO_INCREASE_SOCIAL_BENEFITS_SP(REGIONS_35_I)</t>
  </si>
  <si>
    <t>SHARE_GHG_REVENUES_SECTORS_TO_FINANCE_BASIC_INCOME_SP(REGIONS_35_I)</t>
  </si>
  <si>
    <t>SHARE_GHG_REVENUES_SECTORS_TO_DWELLING_RENOVATION_SP(REGIONS_35_I)</t>
  </si>
  <si>
    <t>SHARE_GHG_REVENUES_SECTORS_TO_DWELLING_DEVICES_SP(REGIONS_35_I)</t>
  </si>
  <si>
    <t>SHARE_GHG_REVENUES_HOUSEHOLDS_TO_REDUCE_DEBT_SP(REGIONS_35_I)</t>
  </si>
  <si>
    <t>SHARE_GHG_REVENUES_HOUSEHOLDS_TO_INCOME_TAX_SP(REGIONS_35_I)</t>
  </si>
  <si>
    <t>SHARE_GHG_REVENUES_HOUSEHOLDS_TO_INCREASE_SOCIAL_BENEFITS_SP(REGIONS_35_I)</t>
  </si>
  <si>
    <t>SHARE_GHG_REVENUES_HOUSEHOLDS_TO_FINANCE_BASIC_INCOME_SP(REGIONS_35_I)</t>
  </si>
  <si>
    <t>SHARE_GHG_REVENUES_HOUSEHOLDS_TO_DWELLING_RENOVATION_SP(REGIONS_35_I)</t>
  </si>
  <si>
    <t>SHARE_GHG_REVENUES_HOUSEHOLDS_TO_DWELLING_DEVICES_SP(REGIONS_35_I)</t>
  </si>
  <si>
    <t>LIMIT_CONSUMPTION_ENERGY_OVER_TOTAL_NON_DURABLES_BOTTOM_UP_SP</t>
  </si>
  <si>
    <t>SELECT_LIMIT_CONSUMPTION_TRANSPORT_OVER_TOTAL_NON_DURABLES_BOTTOM_UP_SP</t>
  </si>
  <si>
    <t>LIMIT_CONSUMPTION_ENERGY_TRANSPORT_OVER_TOTAL_NON_DURABLES_SP</t>
  </si>
  <si>
    <t>SELECT_LIMIT_CONSUMPTION_ENERGY_BUILDINGS_OVER_TOTAL_NON_DURABLES_BOTTOM_UP_SP</t>
  </si>
  <si>
    <t>LIMIT_CONSUMPTION_ENERGY_BUILDING_OVER_TOTAL_NON_DURABLES_SP</t>
  </si>
  <si>
    <t>IN ORDER TO RUN THESE POLICIES THE DWELLINGS SUB-MODULE OF WILIAM ( WILIAM_dwellings.md) HAS TO BE CONNECTED TO WILIAM_dwellings.mdl (SEE DOCUMENTATION FOLDER: tutorial_linking_submodules_with_WILIAM.docx). IN ADDITION THE FOLLOWING SWITHCES HAVE TO BE ACTIVATED IN SWTICHES.XLSX:  SWITCH_NRG2ECO_HH_BUILDINGS_ENERGY_BOTTOM_UP    SWITCH_NRG2ECO_HH_BUILDINGS_RENOVATION_COST_BOTTOM_UP   SWITCH_NRG2ECO_HH_BUILDINGS_SUBSIDIES</t>
  </si>
  <si>
    <t>NOTE 1: THE DWELLINGS MODULE ONLY WORKS FOR EU COUNTRIES AND UK</t>
  </si>
  <si>
    <t>NOTE 2: TO ACTIVATE POLICIES REPLACE 0 BY 1  IN THE SWITCH_xxxx  CELLS</t>
  </si>
  <si>
    <t>_RENOVATION_LEVEL_I</t>
  </si>
  <si>
    <t>SWITCH_DWELLINGS_RENOVATION_SP</t>
  </si>
  <si>
    <t>RENOVATION_IMPROVEMENT_SHARES_SP</t>
  </si>
  <si>
    <t>RENOVATION_COST_SP</t>
  </si>
  <si>
    <t>INITIAL_YEAR_RENOVATION_SP</t>
  </si>
  <si>
    <t>FINAL_YEAR_RENOVATION_SP</t>
  </si>
  <si>
    <t>dollars_2015/m2</t>
  </si>
  <si>
    <t>RENOVATION_LEVEL_NONE</t>
  </si>
  <si>
    <t>Default value shown in table</t>
  </si>
  <si>
    <t>RENOVATION_LEVEL_LOW</t>
  </si>
  <si>
    <t>RENOVATION_LEVEL_MEDIUM</t>
  </si>
  <si>
    <t>RENOVATION_LEVEL_HIGH</t>
  </si>
  <si>
    <t>Default value 10 years</t>
  </si>
  <si>
    <t>SWITCH_IMPROVEMENT_EFFICIENCY_NEW_DWELLINGS_SP</t>
  </si>
  <si>
    <t>INITIAL_YEAR_IMPROVEMENT_EFFICIENCY_NEW_DWELLINGS_SP</t>
  </si>
  <si>
    <t>FINAL_YEAR_IMPROVEMENT_EFFICIENCY_NEW_DWELLINGS_SP</t>
  </si>
  <si>
    <t>IMPROVEMENT_EFFICIENCY_NEW_DWELLINGS</t>
  </si>
  <si>
    <t>Default value 10%</t>
  </si>
  <si>
    <t>RENOVATION COST PER DWELLING</t>
  </si>
  <si>
    <t>LOW RENOVATION LEVEL</t>
  </si>
  <si>
    <t>SUBSIDY_OVER_TOTAL_RENOVATION_COST_LOW_SP</t>
  </si>
  <si>
    <t>REGION_35_I│DOLLARS_2015/DWELLING</t>
  </si>
  <si>
    <t>RENOVATION LEVEL LOW: 16% ENERGY SAVINGS</t>
  </si>
  <si>
    <t>SWITCH_RENOVATION_LOW_SP</t>
  </si>
  <si>
    <t>INITIAL_YEAR_SUBSIDY_RENOVATION_LOW_SP</t>
  </si>
  <si>
    <t>FINAL_YEAR_SUBSIDY_RENOVATION_LOW_SP</t>
  </si>
  <si>
    <t>MEDIUM RENOVATION LEVEL</t>
  </si>
  <si>
    <t>SUBSIDY_OVER_TOTAL_RENOVATION_COST_MEDIUM_SP</t>
  </si>
  <si>
    <t>RENOVATION LEVEL MEDIUM: 69% ENERGY SAVINGS</t>
  </si>
  <si>
    <t>INITIAL_YEAR_SUBSIDY_RENOVATION_MEDIUM_SP</t>
  </si>
  <si>
    <t>FINAL_YEAR_SUBSIDY_RENOVATION_MEDIUM_SP</t>
  </si>
  <si>
    <t>HIGH RENOVATION LEVEL</t>
  </si>
  <si>
    <t>SUBSIDY_OVER_TOTAL_RENOVATION_COST_HIGH_SP</t>
  </si>
  <si>
    <t>RENOVATION LEVEL HIGH 76% ENERGY SAVINGS</t>
  </si>
  <si>
    <t>SWITCH_RENOVATION_HIGH_SP</t>
  </si>
  <si>
    <t>INITIAL_YEAR_SUBSIDY_RENOVATION_HIGH_SP</t>
  </si>
  <si>
    <t>FINAL_YEAR_SUBSIDY_RENOVATION_HIGH_SP</t>
  </si>
  <si>
    <t>COST PER DEVICE</t>
  </si>
  <si>
    <t>ASHP</t>
  </si>
  <si>
    <t>Air-Source Heat Pump (a to w)</t>
  </si>
  <si>
    <t>SUBSIDY_OVER_TOTAL_DEVICE_COST_ASHP_SP</t>
  </si>
  <si>
    <t>REGION_35_I│DOLLARS_2015/KW</t>
  </si>
  <si>
    <t>SWITCH_SUBSIDY_ASHP_SP</t>
  </si>
  <si>
    <t>INITIAL_YEAR_SUBSIDY_ASHP_SP</t>
  </si>
  <si>
    <t>FINAL_YEAR_SUBSIDY_ASHP_SP</t>
  </si>
  <si>
    <t>ESH</t>
  </si>
  <si>
    <t>Electrical space heater</t>
  </si>
  <si>
    <t>SUBSIDY_OVER_TOTAL_DEVICE_COST_ESH_SP</t>
  </si>
  <si>
    <t>SWITCH_SUBSIDY_ESH_SP</t>
  </si>
  <si>
    <t>INITIAL_YEAR_SUBSIDY_ESH_SP</t>
  </si>
  <si>
    <t>FINAL_YEAR_SUBSIDY_ESH_SP</t>
  </si>
  <si>
    <t>EWH</t>
  </si>
  <si>
    <t>Electrical water heater</t>
  </si>
  <si>
    <t>SUBSIDY_OVER_TOTAL_DEVICE_COST_EWH_SP</t>
  </si>
  <si>
    <t>SWITCH_SUBSIDY_EWH_SP</t>
  </si>
  <si>
    <t>INITIAL_YEAR_SUBSIDY_EWH_SP</t>
  </si>
  <si>
    <t>FINAL_YEAR_SUBSIDY_EWH_SP</t>
  </si>
  <si>
    <t>GSHP</t>
  </si>
  <si>
    <t>Ground-Source Heat Pump (b to w/a)</t>
  </si>
  <si>
    <t>SUBSIDY_OVER_TOTAL_DEVICE_COST_GSHP_SP</t>
  </si>
  <si>
    <t>SWITCH_SUBSIDY_GSHP_SP</t>
  </si>
  <si>
    <t>INITIAL_YEAR_SUBSIDY_GSHP_SP</t>
  </si>
  <si>
    <t>FINAL_YEAR_SUBSIDY_GSHP_SP</t>
  </si>
  <si>
    <t>Tsol</t>
  </si>
  <si>
    <t>Thermal Solar</t>
  </si>
  <si>
    <t>SUBSIDY_OVER_TOTAL_DEVICE_COST_TSOL_SP</t>
  </si>
  <si>
    <t>SWITCH_SUBSIDY_TSOL_SP</t>
  </si>
  <si>
    <t>INITIAL_YEAR_SUBSIDY_TSOL_SP</t>
  </si>
  <si>
    <t>FINAL_YEAR_SUBSIDY_TSOL_SP</t>
  </si>
  <si>
    <t>WPB</t>
  </si>
  <si>
    <t>Wood Pellets Boiler</t>
  </si>
  <si>
    <t>SUBSIDY_OVER_TOTAL_DEVICE_COST_WPB_SP</t>
  </si>
  <si>
    <t>SWITCH_SUBSIDY_WPB_SP</t>
  </si>
  <si>
    <t>INITIAL_YEAR_SUBSIDY_WPB_SP</t>
  </si>
  <si>
    <t>FINAL_YEAR_SUBSIDY_WPB_SP</t>
  </si>
  <si>
    <t>SWITCH_BAN_DWELLING_DEVICE_TECHNOLOGY_SP</t>
  </si>
  <si>
    <t>Simple room air conditioners (&lt;12kw)</t>
  </si>
  <si>
    <t>Boiler (gas)</t>
  </si>
  <si>
    <t>Boiler (oil)</t>
  </si>
  <si>
    <t>District Cooling</t>
  </si>
  <si>
    <t>District heating transfer station</t>
  </si>
  <si>
    <t>Electric Cooker</t>
  </si>
  <si>
    <t>Gas Cooker</t>
  </si>
  <si>
    <t>Gas Fired Instantaneous Combi (gas)</t>
  </si>
  <si>
    <t>Gas Fired Instantaneous Combi (lpg)</t>
  </si>
  <si>
    <t>Lighting and Appliances</t>
  </si>
  <si>
    <t>Liquid Cooker</t>
  </si>
  <si>
    <t>microCHP</t>
  </si>
  <si>
    <t>Solid Cooker</t>
  </si>
  <si>
    <t>Stove for Wood</t>
  </si>
  <si>
    <t>Stove for LPG</t>
  </si>
  <si>
    <t>Stove for oil</t>
  </si>
  <si>
    <t>Stove for solid fuels</t>
  </si>
  <si>
    <t>REGION_35_I│DMN</t>
  </si>
  <si>
    <t>AIRCO</t>
  </si>
  <si>
    <t>Boi_G</t>
  </si>
  <si>
    <t>Boi_O</t>
  </si>
  <si>
    <t>DCO</t>
  </si>
  <si>
    <t>DHTS</t>
  </si>
  <si>
    <t>ELC_COO</t>
  </si>
  <si>
    <t>GAS_COO</t>
  </si>
  <si>
    <t>GFB_G</t>
  </si>
  <si>
    <t>GFB_L</t>
  </si>
  <si>
    <t>LH</t>
  </si>
  <si>
    <t>LQD_COO</t>
  </si>
  <si>
    <t>OTH</t>
  </si>
  <si>
    <t>SLD_COO</t>
  </si>
  <si>
    <t>SLF_B</t>
  </si>
  <si>
    <t>SLF_L</t>
  </si>
  <si>
    <t>SLF_O</t>
  </si>
  <si>
    <t>SSF</t>
  </si>
  <si>
    <t>INITIAL_YEAR_BAN_DWELLING_DEVICE_TECHNOLOGY_SP</t>
  </si>
  <si>
    <t>FINAL_YEAR_BAN_DWELLING_DEVICE_TECHNOLOGY_SP</t>
  </si>
  <si>
    <t>MINERALS_RECYCLING_SP</t>
  </si>
  <si>
    <t>MINERALS_RECYCLING_SP  (MEDEAS  bottom-up)</t>
  </si>
  <si>
    <t>YEAR_INITIAL_MINERALS_RECYCLING_SP</t>
  </si>
  <si>
    <t>YEAR_TARGET_MINERALS_RECYCLING_SP</t>
  </si>
  <si>
    <t>SELECT_MINERALS_RECYLING_EOL_SP</t>
  </si>
  <si>
    <t>1%/year improvement (for all minerals)</t>
  </si>
  <si>
    <t>annual % improvement user defined (same for all minerals)       -&gt;</t>
  </si>
  <si>
    <t>EOL recycling rate target by mineral (user defined)</t>
  </si>
  <si>
    <t>_VECTOR(PARAMETER,RECYLING_MATERIALS_I)</t>
  </si>
  <si>
    <t>MINERAL_EOL_RECYCLING_RATE_TARGETS_SP</t>
  </si>
  <si>
    <t>As reference, the table includes the global-average current 2015 values of minerals EOL recycling rates</t>
  </si>
  <si>
    <t xml:space="preserve">Aluminium  </t>
  </si>
  <si>
    <t xml:space="preserve">ANTIMONY  </t>
  </si>
  <si>
    <t xml:space="preserve">ASBESTOS  </t>
  </si>
  <si>
    <t xml:space="preserve">ARSENIC  </t>
  </si>
  <si>
    <t xml:space="preserve">BARITE  </t>
  </si>
  <si>
    <t xml:space="preserve">BENTONITE  </t>
  </si>
  <si>
    <t xml:space="preserve">BERYLLIUM  </t>
  </si>
  <si>
    <t xml:space="preserve">BISMUTH  </t>
  </si>
  <si>
    <t xml:space="preserve">BORON  </t>
  </si>
  <si>
    <t xml:space="preserve">Cadmium  </t>
  </si>
  <si>
    <t xml:space="preserve">Chromium  </t>
  </si>
  <si>
    <t xml:space="preserve">CLAYS  </t>
  </si>
  <si>
    <t xml:space="preserve">Cobalt  </t>
  </si>
  <si>
    <t xml:space="preserve">Copper  </t>
  </si>
  <si>
    <t xml:space="preserve">DIATOMITE  </t>
  </si>
  <si>
    <t xml:space="preserve">DYSPROSIUM  </t>
  </si>
  <si>
    <t xml:space="preserve">FELDSPAR  </t>
  </si>
  <si>
    <t xml:space="preserve">FLUORSPAR  </t>
  </si>
  <si>
    <t xml:space="preserve">GALLIUM  </t>
  </si>
  <si>
    <t xml:space="preserve">Glass  </t>
  </si>
  <si>
    <t xml:space="preserve">GERMANIUM  </t>
  </si>
  <si>
    <t xml:space="preserve">GOLD  </t>
  </si>
  <si>
    <t xml:space="preserve">Graphite  </t>
  </si>
  <si>
    <t xml:space="preserve">gravel  </t>
  </si>
  <si>
    <t xml:space="preserve">GYPSUM  </t>
  </si>
  <si>
    <t xml:space="preserve">HYDROGEN  </t>
  </si>
  <si>
    <t xml:space="preserve">Indium  </t>
  </si>
  <si>
    <t xml:space="preserve">Iridium  </t>
  </si>
  <si>
    <t xml:space="preserve">Iron  </t>
  </si>
  <si>
    <t xml:space="preserve">KNO3_mined  </t>
  </si>
  <si>
    <t xml:space="preserve">KYANITE  </t>
  </si>
  <si>
    <t xml:space="preserve">Lead  </t>
  </si>
  <si>
    <t xml:space="preserve">Limestone  </t>
  </si>
  <si>
    <t xml:space="preserve">Lithium  </t>
  </si>
  <si>
    <t xml:space="preserve">Magnesium  </t>
  </si>
  <si>
    <t xml:space="preserve">Manganese  </t>
  </si>
  <si>
    <t xml:space="preserve">MERCURY  </t>
  </si>
  <si>
    <t xml:space="preserve">Molybdenum  </t>
  </si>
  <si>
    <t xml:space="preserve">NaNO3_mined  </t>
  </si>
  <si>
    <t xml:space="preserve">Neodymium  </t>
  </si>
  <si>
    <t xml:space="preserve">Nickel  </t>
  </si>
  <si>
    <t xml:space="preserve">NIOBIUM  </t>
  </si>
  <si>
    <t xml:space="preserve">PALLADIUM  </t>
  </si>
  <si>
    <t xml:space="preserve">PERLITE  </t>
  </si>
  <si>
    <t xml:space="preserve">PHOSPHATE_ROCK  </t>
  </si>
  <si>
    <t xml:space="preserve">Platinum  </t>
  </si>
  <si>
    <t xml:space="preserve">POTASH  </t>
  </si>
  <si>
    <t xml:space="preserve">PUMICE_AND_PUMICITE  </t>
  </si>
  <si>
    <t xml:space="preserve">OTHER_RARE_EARTH_METALS  </t>
  </si>
  <si>
    <t xml:space="preserve">RHENIUM  </t>
  </si>
  <si>
    <t xml:space="preserve">RHODIUM  </t>
  </si>
  <si>
    <t xml:space="preserve">Rock  </t>
  </si>
  <si>
    <t xml:space="preserve">SALT  </t>
  </si>
  <si>
    <t xml:space="preserve">Sand  </t>
  </si>
  <si>
    <t xml:space="preserve">Selenium  </t>
  </si>
  <si>
    <t xml:space="preserve">Silver  </t>
  </si>
  <si>
    <t xml:space="preserve">soda_ash  </t>
  </si>
  <si>
    <t xml:space="preserve">SODIUM_SULFATE  </t>
  </si>
  <si>
    <t xml:space="preserve">STRONTIUM  </t>
  </si>
  <si>
    <t xml:space="preserve">SULFUR  </t>
  </si>
  <si>
    <t xml:space="preserve">TALC_AND_PYROPHYLLITE  </t>
  </si>
  <si>
    <t xml:space="preserve">TANTALUM  </t>
  </si>
  <si>
    <t xml:space="preserve">Tin  </t>
  </si>
  <si>
    <t xml:space="preserve">tellurium  </t>
  </si>
  <si>
    <t xml:space="preserve">titanium  </t>
  </si>
  <si>
    <t xml:space="preserve">titanium_dioxide  </t>
  </si>
  <si>
    <t xml:space="preserve">TUNGSTEN_AND_WOLFRAM  </t>
  </si>
  <si>
    <t xml:space="preserve">URANIUM  </t>
  </si>
  <si>
    <t xml:space="preserve">vanadium  </t>
  </si>
  <si>
    <t xml:space="preserve">VERMICULITE  </t>
  </si>
  <si>
    <t xml:space="preserve">WOLLASTONITE  </t>
  </si>
  <si>
    <t xml:space="preserve">zinc  </t>
  </si>
  <si>
    <t xml:space="preserve">ZIRCONIUM  </t>
  </si>
  <si>
    <t xml:space="preserve">Aluminium_mirrors  </t>
  </si>
  <si>
    <t xml:space="preserve">BRONZE  </t>
  </si>
  <si>
    <t xml:space="preserve">Carbon_fiber  </t>
  </si>
  <si>
    <t xml:space="preserve">ELECTRIC_and_ELECTRONIC_COMPONENTS  </t>
  </si>
  <si>
    <t xml:space="preserve">Evacuation_lines  </t>
  </si>
  <si>
    <t xml:space="preserve">Fiberglass  </t>
  </si>
  <si>
    <t xml:space="preserve">Foam_glass  </t>
  </si>
  <si>
    <t xml:space="preserve">Glass_reinforcing_plastic  </t>
  </si>
  <si>
    <t xml:space="preserve">PAPER  </t>
  </si>
  <si>
    <t xml:space="preserve">Plastics  </t>
  </si>
  <si>
    <t xml:space="preserve">Silicon_sand  </t>
  </si>
  <si>
    <t xml:space="preserve">Silicon_wafer_modules  </t>
  </si>
  <si>
    <t xml:space="preserve">CARBON_STEEL  </t>
  </si>
  <si>
    <t xml:space="preserve">STAINLESS_STEEL  </t>
  </si>
  <si>
    <t xml:space="preserve">ALLOY_STEEL  </t>
  </si>
  <si>
    <t xml:space="preserve">wires  </t>
  </si>
  <si>
    <t>MATERIALS_ORE_GRADE_PE_IMPACT_EXTRACTION_SP</t>
  </si>
  <si>
    <t>YEAR_INITIAL_MATERIALS_ORE_GRADE_PE_IMPACT_EXTRACTION_SP</t>
  </si>
  <si>
    <t>YEAR_TARGET_MATERIALS_ORE_GRADE_PE_IMPACT_EXTRACTION_SP</t>
  </si>
  <si>
    <t>This hypothesis is not applied to all raw materials, but to a selection of those assessed to suffer from scarcity in the next few decades (see parameters 'RAW_MATERIAL_SCARCITY_CATEGORY')</t>
  </si>
  <si>
    <t xml:space="preserve">Possible to include positive and negative values </t>
  </si>
  <si>
    <t xml:space="preserve">A model parameter is by-default included to avoid unrealistic reductions in PE for extraction and concentration ('THERMODYNAMIC MINIMUM SHARE PE INTENSITY MATERIALS EXTRACTION') </t>
  </si>
  <si>
    <t>SELECT_MATERIALS_ORE_GRADE_PE_IMPACT_EXTRACTION_SP</t>
  </si>
  <si>
    <t>0.5%/year reduction (for all minerals)</t>
  </si>
  <si>
    <t>annual % reduction user defined (same for all minerals)       -&gt;</t>
  </si>
  <si>
    <t>pimary energy value in target year by mineral (user defined)</t>
  </si>
  <si>
    <t>_VECTOR(PARAMETER, RAW_MATERIALS_I)</t>
  </si>
  <si>
    <t>MATERIALS_ORE_GRADE_PE_IMPACT_EXTRACTION_TARGET_SP</t>
  </si>
  <si>
    <t>MJ/kg</t>
  </si>
  <si>
    <t>As reference, the current 2015 values of primary energy intensity of the extraction and concentration are included in the table</t>
  </si>
  <si>
    <t>Aluminium</t>
  </si>
  <si>
    <t>ANTIMONY</t>
  </si>
  <si>
    <t>ASBESTOS</t>
  </si>
  <si>
    <t>ARSENIC</t>
  </si>
  <si>
    <t>BARITE</t>
  </si>
  <si>
    <t>BENTONITE</t>
  </si>
  <si>
    <t>BERYLLIUM</t>
  </si>
  <si>
    <t>BISMUTH</t>
  </si>
  <si>
    <t>BORON</t>
  </si>
  <si>
    <t>Cadmium</t>
  </si>
  <si>
    <t>Chromium</t>
  </si>
  <si>
    <t>CLAYS</t>
  </si>
  <si>
    <t>Cobalt</t>
  </si>
  <si>
    <t>Copper</t>
  </si>
  <si>
    <t>DIATOMITE</t>
  </si>
  <si>
    <t>DYSPROSIUM</t>
  </si>
  <si>
    <t>FELDSPAR</t>
  </si>
  <si>
    <t>FLUORSPAR</t>
  </si>
  <si>
    <t>GALLIUM</t>
  </si>
  <si>
    <t>GERMANIUM</t>
  </si>
  <si>
    <t>GOLD</t>
  </si>
  <si>
    <t>Graphite</t>
  </si>
  <si>
    <t>gravel</t>
  </si>
  <si>
    <t>GYPSUM</t>
  </si>
  <si>
    <t>HYDROGEN</t>
  </si>
  <si>
    <t>Indium</t>
  </si>
  <si>
    <t>Iridium</t>
  </si>
  <si>
    <t>Iron</t>
  </si>
  <si>
    <t>KNO3_mined</t>
  </si>
  <si>
    <t>KYANITE</t>
  </si>
  <si>
    <t>Lead</t>
  </si>
  <si>
    <t>Lithium</t>
  </si>
  <si>
    <t>Magnesium</t>
  </si>
  <si>
    <t>Manganese</t>
  </si>
  <si>
    <t>MERCURY</t>
  </si>
  <si>
    <t>Molybdenum</t>
  </si>
  <si>
    <t>NaNO3_mined</t>
  </si>
  <si>
    <t>Neodymium</t>
  </si>
  <si>
    <t>Nickel</t>
  </si>
  <si>
    <t>NIOBIUM</t>
  </si>
  <si>
    <t>PALLADIUM</t>
  </si>
  <si>
    <t>PERLITE</t>
  </si>
  <si>
    <t>PHOSPHATE_ROCK</t>
  </si>
  <si>
    <t>Platinum</t>
  </si>
  <si>
    <t>POTASH</t>
  </si>
  <si>
    <t>PUMICE_AND_PUMICITE</t>
  </si>
  <si>
    <t>OTHER_RARE_EARTH_METALS</t>
  </si>
  <si>
    <t>RHENIUM</t>
  </si>
  <si>
    <t>RHODIUM</t>
  </si>
  <si>
    <t>SALT</t>
  </si>
  <si>
    <t>Selenium</t>
  </si>
  <si>
    <t>Silver</t>
  </si>
  <si>
    <t>soda_ash</t>
  </si>
  <si>
    <t>SODIUM_SULFATE</t>
  </si>
  <si>
    <t>STRONTIUM</t>
  </si>
  <si>
    <t>SULFUR</t>
  </si>
  <si>
    <t>TALC_AND_PYROPHYLLITE</t>
  </si>
  <si>
    <t>TANTALUM</t>
  </si>
  <si>
    <t>Tin</t>
  </si>
  <si>
    <t>tellurium</t>
  </si>
  <si>
    <t>titanium</t>
  </si>
  <si>
    <t>titanium_dioxide</t>
  </si>
  <si>
    <t>TUNGSTEN_AND_WOLFRAM</t>
  </si>
  <si>
    <t>URANIUM</t>
  </si>
  <si>
    <t>vanadium</t>
  </si>
  <si>
    <t>VERMICULITE</t>
  </si>
  <si>
    <t>WOLLASTONITE</t>
  </si>
  <si>
    <t>zinc</t>
  </si>
  <si>
    <t>ZIRCONIUM</t>
  </si>
  <si>
    <t>AGRICULTURE_PRODUCTS</t>
  </si>
  <si>
    <t>COAL</t>
  </si>
  <si>
    <t>FORESTRY_PRODUCTS</t>
  </si>
  <si>
    <t>NATURAL_GAS</t>
  </si>
  <si>
    <t>WASTE</t>
  </si>
  <si>
    <t>CLEAN_PUMP_WATER</t>
  </si>
  <si>
    <t>DESALINIZED_WATER</t>
  </si>
  <si>
    <t>DISTILLED_AND_DEIONIZED_WATER</t>
  </si>
  <si>
    <t>Impact in primary energy required to extract materials</t>
  </si>
  <si>
    <t>materials-flows_and_stocks</t>
  </si>
  <si>
    <t>Ore grade refers to the concentration of a valuable mineral or metal within mined rock, typically expressed as a percentage or grams per tonne. Over time, as high-grade deposits are exploited first, the average ore grade tends to decline. This happens because remaining resources are often lower quality and require more effort and energy to extract. On the ther hand, technological improvements can reduce or at least partically compensate for these reductions. It is very difficult to project how these ore grades and mining and concentration technologies are going to evolve in the future, hence this is programmed as an hypothesis in which the user has different options to test different variations (positive and negative) in the primary energy (PE) required to extract them</t>
  </si>
  <si>
    <t>H21</t>
  </si>
  <si>
    <t>Minerals recycling policy (MEDEAS bottom-up)</t>
  </si>
  <si>
    <r>
      <t xml:space="preserve">The user can set different end-of-life (EOL) recycling targets for a list of minerals, modelled according to the MEDEAS approach (material flow analysis). The targets are represented as shares (current EOL rates). There are some pre-defined options: no variation, 1%/yr improvement, user defined annual percent improvement and by mineral target recycling rates. For all options, the user has to select the start and a target year during which the policy is active. These annual growth rate changes are absolute values, ie., if the recycling rate is 50% in year 2025 and the polici starts with a +1%/yr improvement in the recicyling rate, in 2026 the recycling rate will be 50+1=51%. </t>
    </r>
    <r>
      <rPr>
        <sz val="11"/>
        <color rgb="FFFF0000"/>
        <rFont val="Calibri"/>
        <family val="2"/>
        <scheme val="minor"/>
      </rPr>
      <t>Remains to be solved inconsistency with new approach for Al, Ni, Cu, Fe and homogenize both recycling rates policies.</t>
    </r>
  </si>
  <si>
    <r>
      <t xml:space="preserve">The user can set different EOL live recycling targets for the four Base metals Cu, Al, Fe and Ni. The Targets are represented as shares (current EOL rates). If the user would like to test different EOL rate the user can modify the share to the desired value and has to choose a Start and a target year when the EOL rates should be reached. </t>
    </r>
    <r>
      <rPr>
        <sz val="11"/>
        <color rgb="FFFF0000"/>
        <rFont val="Calibri"/>
        <family val="2"/>
        <scheme val="minor"/>
      </rPr>
      <t>Overlap with next policy 'MINERALS_RECYCLING_SP  (MEDEAS  bottom-up)'</t>
    </r>
  </si>
  <si>
    <t>Imports/exports of pure H2 as final energy carrier</t>
  </si>
  <si>
    <t>INTERNATIONAL_H2_TRADE_SP</t>
  </si>
  <si>
    <t>SWITCH_INTERNATIONAL_H2_TRADE_SP</t>
  </si>
  <si>
    <t>H2 NET IMPORT SHARE BY REGION SP</t>
  </si>
  <si>
    <t>REGIONS_9_I | _DMNL</t>
  </si>
  <si>
    <t>H2 NET EXPORT SHARE BY REGION SP</t>
  </si>
  <si>
    <t>sum</t>
  </si>
  <si>
    <r>
      <t>REGIONS_9_I</t>
    </r>
    <r>
      <rPr>
        <sz val="11"/>
        <rFont val="Calibri"/>
        <family val="2"/>
      </rPr>
      <t>│_DMNL</t>
    </r>
  </si>
  <si>
    <t>SHARE_FE_GAS_SUBSTITUTED_BY_H2_SYNTHETIC_GAS_SP</t>
  </si>
  <si>
    <t>SHARE_FE_LIQUID_SUBSTITUTED_BY_H2_SYNTHETIC_LIQUID_SP</t>
  </si>
  <si>
    <t>Climate hazards on mortality</t>
  </si>
  <si>
    <t>SELECT_CLIMATE_CHANGE_IMPACTS_SP</t>
  </si>
  <si>
    <t>demography-climate-change-impacts</t>
  </si>
  <si>
    <t>Hypothesis to be able to select individually or together all climate hazards for mortality impacts (heat stress, cold stress, or both)</t>
  </si>
  <si>
    <t>H22</t>
  </si>
  <si>
    <t>CLIMATE CHANGE HAZARDS AFFECTING MORTALITY</t>
  </si>
  <si>
    <t>SELECT_CLIMATE_HAZARDS_FOR_MORTALITY_SP</t>
  </si>
  <si>
    <t>damage function represent impacts from all the hazards (heat stress and cold stress)</t>
  </si>
  <si>
    <t>damage function represents impacts from heat stress</t>
  </si>
  <si>
    <t>damage function represents impacts from cold stress</t>
  </si>
  <si>
    <t>Heat stress impacts uncertainty scenario</t>
  </si>
  <si>
    <t>SELECT_HEAT_STRESS_IMPACTS_UNCERTAINTY_SCENARIO_SP</t>
  </si>
  <si>
    <t>Hypothesis to change the level of heat stress impacts, based on the use of different climate risk scenarios and impact scenarios according to different data and model sources</t>
  </si>
  <si>
    <t>Labour impacts climate hazards</t>
  </si>
  <si>
    <t>SELECT_LABOUR_IMPACTS_HAZARD_SP</t>
  </si>
  <si>
    <t>Hypothesis to change the climate hazard affecting labour impacts (vector-borne diseases or heat stress)</t>
  </si>
  <si>
    <t>H23</t>
  </si>
  <si>
    <t>H24</t>
  </si>
  <si>
    <t>SELECT_HEAT_STRESS_IMPACTS_UNCERTAINTY_SCENARIO</t>
  </si>
  <si>
    <t>Source: ISO Exposure-Response Function, and WBGT 05 Percentil</t>
  </si>
  <si>
    <t>Source: ISO Exposure-Response Function, and WBGT 50 Percentil</t>
  </si>
  <si>
    <t>Source: ISO Exposure-Response Function, and WBGT 95 Percentil</t>
  </si>
  <si>
    <t>Source: Hothaps Exposure-Response Function, and WBGT 05 Percentil</t>
  </si>
  <si>
    <t>Source: Hothaps Exposure-Response Function, and WBGT 50 Percentil</t>
  </si>
  <si>
    <t>Source: Hothaps Exposure-Response Function, and WBGT 95 Percentil</t>
  </si>
  <si>
    <t>Heat stress</t>
  </si>
  <si>
    <t>Vector-borne diseases</t>
  </si>
  <si>
    <t>Both</t>
  </si>
  <si>
    <t>POLICIES RELATED TO LAND USES AND FOREST PROTECTION</t>
  </si>
  <si>
    <t>OBJECTIVE_SOLAR_LAND_FROM_OTHERS_SP (carefull RAWS MUST ADD 1 !!)</t>
  </si>
  <si>
    <r>
      <t xml:space="preserve">PRIORITIES_OF_LAND_USE_CHANGE_SP </t>
    </r>
    <r>
      <rPr>
        <b/>
        <sz val="11"/>
        <color rgb="FFFF0000"/>
        <rFont val="Calibri"/>
        <family val="2"/>
        <scheme val="minor"/>
      </rPr>
      <t>(NOT OPERATIVE !)</t>
    </r>
  </si>
  <si>
    <t>POLICIES RELATED TO AGRICULTURE AND FARMING</t>
  </si>
  <si>
    <t>POLICIES RELATED TO CONSUMER'S DEMAND</t>
  </si>
  <si>
    <t>FLEXITARIANA_DIET_PATTERNS_OF_POLICY_DIETS</t>
  </si>
  <si>
    <t>CUSTOM_DIET_PATTERN_OF_POLICY_DIETS_SP</t>
  </si>
  <si>
    <t>PLANT_BASED_50_PERCENT_DIET_PATTERN_OF_POLICY_DIETS</t>
  </si>
  <si>
    <t>PLANT_BASED_100_PERCENT_DIET_PATTERN_OF_POLICY_DIETS</t>
  </si>
  <si>
    <t>MODEL HYPOTHESIS</t>
  </si>
  <si>
    <t>defaul values cropland rainfed</t>
  </si>
  <si>
    <t>test values, no limits set in practice</t>
  </si>
  <si>
    <t>only works if SWITCH_LAW_EXOGENOUS_LAND_USE_DEMANDS=0 in scenario_parameters/switches.xlsx</t>
  </si>
  <si>
    <t>SELECT MAXIMUM YIELDS DEFINED BY USER SP</t>
  </si>
  <si>
    <t>MAXIMUM YIELDS R AND I INDUSTRIAL MANAGEMENT DEFAULT</t>
  </si>
  <si>
    <t>MAXIMUM YIELDS R AND I INDUSTRIAL MANAGEMENT DEFINED BY USER</t>
  </si>
  <si>
    <t>MAXIMUM YIELDS R AND I INDUSTRIAL CUSTOM SP</t>
  </si>
  <si>
    <t>SUGAR_CROPS</t>
  </si>
  <si>
    <t>REGIONS_I|LAND_PRODUCTS_I</t>
  </si>
  <si>
    <t>[ton/km2/year]</t>
  </si>
  <si>
    <t>ONLY active when   SWITCH_LAND_ENDOGENOUS_DEMANDS is =0</t>
  </si>
  <si>
    <t>TIME_EXOGENOUS_DEMANDS_LAND</t>
  </si>
  <si>
    <t>EXOGENOUS DEMANDS FOR LAND MODULE</t>
  </si>
  <si>
    <t>EXOGENOUS_LAND_FOR_SOLAR_DEMANDED'</t>
  </si>
  <si>
    <t>[km2]</t>
  </si>
  <si>
    <t xml:space="preserve">USMCA </t>
  </si>
  <si>
    <t>EXOGENOUS_ENERGY_FROM_CROPS_DEMANDED</t>
  </si>
  <si>
    <t>EJ/Year</t>
  </si>
  <si>
    <t>EXOGENOUS_ENERGY_FROM_BIOMASS_DEMANDED</t>
  </si>
  <si>
    <t>EXOGENOUS_WOOD_FOR_INDUSTRY_DEMANDED</t>
  </si>
  <si>
    <t>ton/Year</t>
  </si>
  <si>
    <t>land</t>
  </si>
  <si>
    <t>land-land_demands</t>
  </si>
  <si>
    <t>Afforestation consists on the establishment of forest through planting and/or deliberate seeding on land classified previously as non-forest. It implies change of land use: from non-forest types to managed forest. Managed forest can be defined as a land spanning more than 0.5 hectares with trees higher than 5 meters and a canopy cover of
more than 10 percent, or trees able to reach these thresholds in situ. It does not include land that is predominantly under agricultural or urban land. Afforestation policy does not increase the area of primary forests, since these are considered mature ecosystems that requiere centuries to restore and cannot be increased by human intervention. Afforestation also excludes natural regeneration of areas already clasified as forest.
Effects in the model: this policy allows to increase the area of managed forest (not tree plantations or primary forests). 
Main goals: it also increases carbon sequestration and reduces GHG emissions.</t>
  </si>
  <si>
    <t>Forest Plantation Policy</t>
  </si>
  <si>
    <t xml:space="preserve">Forest plantation consists on the increase of single species tree plantations with low biodiversity and short rotations.   It implies change of land use: from other uses to forest plantation use.
Effects in the model: increases area under tree cover and overall forest carbon stock, but not  biodiversity. 
Main goals: This policy aims to increase the area dedicated to wood production. </t>
  </si>
  <si>
    <t>land-land_use_changes</t>
  </si>
  <si>
    <t>Primary forest refers to mature forest of native tree species, where there are no clearly visible indications of human activities (human wood extraction is considered to be negligible) and the ecological processes are not significantly disturbed. 
Effects in the model: if this policy is applied, the primary forest is protected and its area does not fall below a certain value. Main goals: It is a measure for the creation and management of protected areas, which ensure biodiversity through conservation of natural habitats and species, and that species and habitat types are maintained at, or restored to, a favourable conservation status. It also helps to reduce deforestation.</t>
  </si>
  <si>
    <t>Managed forest is all the forested area that is neither primary forest nor tree plantations. This policy only avoids the loss of area under the category of  managed forest, it does not inhibit wood extraction from those areas. It is not a policy of biodiversity protection such as the stablishment of natural reserves or national parks. 
Effects in the model: if this policy is applied, the area of managed forest cannot fall below a certain value.
Main goals: this policy inhibits the loss of managed forest area and its conversion to other uses (such as cropland, for example). Avoids the loss of forest carbon sinks.</t>
  </si>
  <si>
    <t>Forest stock loss limit</t>
  </si>
  <si>
    <t>land-wood_production</t>
  </si>
  <si>
    <t>Definition: this policy inhibits the human extration of wood from forests but not the deforestation if land is needed for other purposes.
Effects on the model: if this policy is applied, the extraction of forestry products from managed forests and plantations is limited.  The limitation is aplied in order to adjust the forest biomass  to a stock value given by the user, so that forest biomass does not go beyong this threshold (if possible, because deforestation and other disturbances migh limit the capacity of the forest to reach this stock).    Main goals: this policy inhibits the loss of forest carbon sinks and forest biodiversitty.</t>
  </si>
  <si>
    <t>Cropland is land on which agricultural crops are grown, that includes arable land, tillage land and agro-forestry systems.
Effects on the model: If this policy is applied, the area of cropland is protected and cannot fall below a certain value. It applies both to irrigated and rainfed cropland.
Main goals: This policy protects the area of cropland, which may help securing food supplies, as well as contributing to food security in regions.</t>
  </si>
  <si>
    <t>Grassland is defined as Permanent Meadows and Pastures under FAO classification 6633: land temporarily cultivated with herbaceous forage crops for mowing or pasture. A period of less than five years is used to differentiate between temporary and permanent meadows and pastures. This policy inhibits the change of grasslands to other land types.
Effects on the model: if this policy is applied, the GRASSLAND (land under permanent meadows and pastures) is protected and its area does not fall below a certain value.
Main goals: protects the grassland area, which may contribute to biodiversity preservation or to the preservation of extensive livestock management.</t>
  </si>
  <si>
    <t>Definition: Inhibits the loss of all kind of land with potential ecological value: forests + grasslands + shrubland + other land 
This is a very restrictive policy that prevents many land use changes. It is not related to biodiversity protection or to the stablishment of national parks or similar, it only avoids land use changes.   Effects in the model: if this policy is applied, the land under the categories of SHRUBLAND, GRASSLANDS and  OTHER_LAND does not fall below a certain value.
Main goals: avoid land use changes.</t>
  </si>
  <si>
    <t xml:space="preserve"> Definition: specific land use types are protected and not changed to SOLAR_LAND. 
Effects in the model: difficults the deployment of solar energy renewables by preventing some land uses to be converted to solar land.  
Main goals: biodiversity protection, cropland protection.</t>
  </si>
  <si>
    <t>Definition: policy that limites solar land expansion when its area reaches a percent of the area considered acceptable (because of landscape damage, for example or biodiversity impacts).   This limiting criteria is base on the relation between  the area occupied by solar power and urban land use, because urban land is considered to be a reasonable criteria of the human impact on landscape and and area higher than urban land is a considerable human intervention. Main goals: biodiversity and landscape protection.</t>
  </si>
  <si>
    <t xml:space="preserve">Definition: this policy is  related to the parameters that specify which land use is converted to other uses. This policy defines from which type of land use comes the land that is dedicated to solar land. The user can elect the percents of land sources. Main goal: biodiversity protection, cropland protection.  </t>
  </si>
  <si>
    <r>
      <rPr>
        <sz val="11"/>
        <rFont val="Calibri"/>
        <family val="2"/>
        <scheme val="minor"/>
      </rPr>
      <t>Solar Land management policy</t>
    </r>
    <r>
      <rPr>
        <sz val="11"/>
        <color rgb="FFFF0000"/>
        <rFont val="Calibri"/>
        <family val="2"/>
        <scheme val="minor"/>
      </rPr>
      <t xml:space="preserve">
</t>
    </r>
  </si>
  <si>
    <t>land-GHG_emissions_LUC</t>
  </si>
  <si>
    <t>Definition: management of the soil under solar pannels. The used can select how the land used solar pannerls is treated , with more or less agressive soil occupation. Main goal: biodiversity protection, reduction of land use change emissions.</t>
  </si>
  <si>
    <t>land-urban_land</t>
  </si>
  <si>
    <t xml:space="preserve">
Description: policy to change the average urban land per inhabitant. The urban area is driven by population growth and by the trends of evolution of the ratio of urban land per person. If this policy is applied, the evolution of this ratio changes to the desired target selected by the user. Main goal: limit of urban expansion, cities sustainability, reduction of urban transporte demand, cropland protection.   
</t>
  </si>
  <si>
    <t>land-crop_yields</t>
  </si>
  <si>
    <t>Description:  Industrial agriculture defined as high input farming based on specialization, monocultures, genetical uniformity and  mechanized systems. It is associated with negative outcomes for biodiversity and soils. Traditional agriculture is the low input farming and subsistency farming (as defined in Spatial Production Allocation Model: MapSpam https://www.mapspam.info/  ).   This policy consists of the change of agricultural management from traditional to industrial agriculture. Main goal: increment of agricultural production.</t>
  </si>
  <si>
    <t>Description: Regenerative agriculture is defined as farming techniques that enhance soil regeneration, do not use synthetic fertilizers and biocides, protect biodiversity and achieve agricultural yields higher than those of traditional agriculture via the use of techniques such as cover crops, low or no till, agroforestry, crop rotations, syntropic agriculture, etc. This policy consists of transitioning to regenerative agriculture both from traditional, low input and industrial agriculture and needs a perior of soil regeneration when yields are reduced below the final value. Main goal: biodiversity protection, carbon absorption, avoiding the negative effects of oil and gas shortage on agriculture.</t>
  </si>
  <si>
    <t>Description: Oil and gas are esential inputs of the agriculture of developped countries (the so call industrial agriculture in this model). The shortage of these fossil fuels might trigger a crisis:  farmers might be forced to cultivate without fossil fuel based chemical inputs such as pesticides and fertilizers (because of high prices, for example), causing a dramatic drop in agricultural yields. The feedback between oil and gas prices and crop management has not been stablished yet in the model, therefore, this policy simulated this effect on a basic way via exogenous outputs. Main goal: observe the influence of oit and gas shortage on the agriculture.</t>
  </si>
  <si>
    <t>Select grassland management policy</t>
  </si>
  <si>
    <t>land-grasslands</t>
  </si>
  <si>
    <t>Definition: Different grassland management systems have effects on the ability of their soils to capture carbon and, therefore, on GHG emissions and biodiversity.
Effects on the model: the user can define different options of management policies, in order to manage grassland by WILIAM region, and these options affect emisisons.
Main goals: carbon capture in soils, reduction of GHG atmospheric concentrations.</t>
  </si>
  <si>
    <t>land-GHG_emissions_agriculture</t>
  </si>
  <si>
    <t xml:space="preserve">Description:   Different manure managements have effects on the GHG emissions associated to livestock. 
Effects on the model: the user can define different options of manure management and these options affect emisisons.
Main goals: reduction of GHG atmospheric concentrations. </t>
  </si>
  <si>
    <t>land-diets</t>
  </si>
  <si>
    <t>dESCRIPTION: Shifting to plant-based diets and low-meat diets can reduce environmental impacts of the food system as a whole. 
Effects in the model: if this policy is applied, the population starts a cultural-driven change of diet to the different types of diets in a specific period of time. A customized diet can be selected in the "custom" option.
Main goals: avoid deforestation due to cropland expansion and reduction of GHG emissions.</t>
  </si>
  <si>
    <t>Description: reduction of food lossesat consumer level (from supermarket to intake). effects in the model: reduction in the demand of food per person due to more efficient consumption (it assumes no rebound effect due to remaining income desdicated to more food demand).  Main goals: avoid deforestation due to cropland expansion, reduction of GHG emissions.</t>
  </si>
  <si>
    <t>Wood self sufficiency policy</t>
  </si>
  <si>
    <t>land-wood production</t>
  </si>
  <si>
    <t>Description: If this policy is applied, regions supply their wood demand with the production of their own forests and the inter regional trade of wood products (both for industry and energy) is limited to the amount defined by the user. Main goals: reduce the efect of wood extraction to other regions different from the one that demands it.</t>
  </si>
  <si>
    <t>If this policy is applied, the region's get the wood they demand from their own territoy. When the policy is aplied, the regions start consuming a greater share of its demand from local wood extraction  until it reaches the objective share of local production.       If  SWITCH FORESTRY SELF SUFFICIENCY SP=1, the change starts in YEAR_INITIAL_FORESTRY SELF SUFFICIENCY SP  and ends in  YEAR_FINAL_FORESTRY SELF SUFFICIENCY SP  when it reaches the objective, OBJECTIVE_FORESTRY SELF SUFFICIENCY SP . Objective is  expressed as a share of the forestry production that is under this local scheme  (=1 means that all the forest is produced in the region that demands it and =0 means that the forestry products are traded as in past trends).</t>
  </si>
  <si>
    <t>land-intermodule_global_allocate</t>
  </si>
  <si>
    <t>Description: this policy is relate to the international trade of crops and forestry products. It gives the possibility to change the priorities of regions to satifly their demand in the international arena. This policy is related to the inter-regional trade or crops, that are modelled as a very simple pool distribution (similar to a pool market).  This distribution is not a model of the international market of agricultural products:  it is a confrontation of the final demand of the consumers of each region to the agricultural production of each region. Main goals: reduce global inequalities or increase them.</t>
  </si>
  <si>
    <t>Description: This policy is related to the inter-regional trade or crops, that are modelled as a very simple pool distribution (similar to a pool market).  This distribution is not a model of the international market of agricultural products:  it is a confrontation of the final demand of the consumers of each region to the agricultural production of each region.   Effects in the model: it allows the user to decide the percent of the production of each region that does not participate in this pool "market". Effects in the model: makes the agricultural production of a region to get out of the global markets (for example: because it is subsistance agricutlure or because of trade restrictions). Main goals: global inequalities.</t>
  </si>
  <si>
    <t>Definition: this policy is related to the priorities of uses of crops  among energy and food. Effects in the model:  decides the priorities of crops distribution among uses, more especifically, food and energy (biofuels). Other uses are kept constant.
Main goals: food ane energy sufficiency.</t>
  </si>
  <si>
    <t>Priorities of wood distribution among uses policy</t>
  </si>
  <si>
    <t>Definition: this policy is related to the priorities of uses of forestry products  among energy and materials for industry. Effects in the model:  decides the priorities of forestry products distribution among uses, more especifically, materials and energy. 
Main goals: energy sufficiency.</t>
  </si>
  <si>
    <t>Operational Description</t>
  </si>
  <si>
    <t>H25</t>
  </si>
  <si>
    <t>Dam hydropower dispatchability</t>
  </si>
  <si>
    <t>Hypothesis about dam hydropower being a dispatchable or rigid technology by region.</t>
  </si>
  <si>
    <t>SWITCH_DISPATCHABLE_DAM_HYDROPOWER_SP</t>
  </si>
  <si>
    <t>1: dispatchable; 0: rigid</t>
  </si>
  <si>
    <t>SWICHT_DISPATCHABLE_DAM_HYDROPOWER_SP</t>
  </si>
  <si>
    <t>SELECT_NON_ENERGY_FE_USE_INTENSITIES_BY_SECTOR_SP</t>
  </si>
  <si>
    <t>Final energy efficiency of non-energy intensities follows historical trends</t>
  </si>
  <si>
    <t xml:space="preserve">Constant FE intensities for non-energy uses </t>
  </si>
  <si>
    <t>P93</t>
  </si>
  <si>
    <t xml:space="preserve">energy-end_use.total_non_energy_demand </t>
  </si>
  <si>
    <t>Final energy efficiency annual improvement of non-energy use for sectors modelled top-down</t>
  </si>
  <si>
    <t>SELECT_AVAILABILITY_UNDEVELOPED_ENERGY_TECHS_SP</t>
  </si>
  <si>
    <t>The model does not yet dynamically calculate capacity factor (CF) based on EROI. For now, both CF and EROI are assumed to be equivalent to fixed-bottom offshore wind values. As currently parameterized, its inclusion would only expand the potential capacity of wind offshore with the parameters of fixed offshore.</t>
  </si>
  <si>
    <t>SELECT_UNCERTAINTY_H2_LEAKAGES_SP</t>
  </si>
  <si>
    <t>no H2 leakage rates</t>
  </si>
  <si>
    <t>minimum H2 leakage rates in H2 supply chain</t>
  </si>
  <si>
    <t>average H2 leakage rates in H2 supply chain</t>
  </si>
  <si>
    <t>maximum H2 leakage rates in H2 supply chain</t>
  </si>
  <si>
    <t>Comments</t>
  </si>
  <si>
    <t>Definition: 
Effects in the model: This policy affects one of the two components of final energy intensity: energy efficiency improvement; applied to those sectors whose final energy intensity is modelled top-down (ie. non-energy sectors). The energy efficiency component of final energy intensity is measured in (TJ/million$), so if this value decreases it indicates that there has been an improvement in final energy efficiency.
Main goals:</t>
  </si>
  <si>
    <t>The values entered in the table by default correspond to the annual historical variation trend of this component of final energy intensity, as can be seen it has been reduced for all countries. The user can change these final energy efficiency improvement values. This value will be the same for all non-energy sectors and types of final energy (Important: sign - improves energy efficiency, sign + decreases energy efficiency). So, a value of for example: -0.01 means an annual improvement of final energy efficiency for that country of 1%/year.</t>
  </si>
  <si>
    <t>Definition: 
Effects in the model: This policy affects one of the two components of sectoral energy intensity: final energy substitution; applied to those sectors whose final energy intensity is modelled top-down (ie. non-energy sectors). The final energy substitution component is a dimensionless variable, and the sum of the values of all final energy types has to add up to 1. 
Main goals:</t>
  </si>
  <si>
    <t>The values entered in the default table correspond to the annual historical substitution trend of each of the final energy types. If a value in the table is positive it means that its share in the mix has increased and if it is negative it has decreased. The user can change these substitution values for an energy type. The variations are normalized in the model to 1. This value will be the same for all non-energy sectors (Important: sign - reduction of that final energy in the mix, sign + increase of that final energy in the mix). For example, a value of 0.01 in FE_Elec for a given country means that there is a pressure to increase the share of electricity in the FE mix of 1%/year -although the share of each FE will be determined endogenously after normalization of all pressures. IMPORTANT: The evolution of the final energy substitution is not only exogenously defined by those variables, but it also depends endogenously on the final energy prices and the availability of forestry products (if SWITCH_ECO2NRG_PRICE_FE_INTENSITIES_SUBSTITUTION=1).</t>
  </si>
  <si>
    <t>Definition: Non-energy use of energy carriers refers to the application of materials like oil, biomass, coal, or gas for their chemical properties to create compounds, rather than combusting them for energy. Typical examples include oil used in plastic production, natural gas for ammonia synthesis, and coal for coke.
Effects in the model:
Main goals:</t>
  </si>
  <si>
    <t xml:space="preserve">  This parameter allows the user to define how the final energy intensity of non-energy use—relative to economic output—will evolve. Two options are available:
Constant: Final energy intensity remains fixed at 2015 values (by final energy carrier and sector).
    Dynamic: Final energy intensity follows historical trends.
The constant option is selected by default due to the limited robustness of the dynamic option, which suffers from a lack of reliable historical data.</t>
  </si>
  <si>
    <t>energy-end_use.non_energy_demand.H2</t>
  </si>
  <si>
    <t>Definition: Target share of hydrogen demand for ammonia production, methanol production and oil refining that is intended to be supplied via electrolytic hydrogen. 
Effects in the model: If this policy is applied, traditional H2 production processes for non-energy uses (ammonia production, methanol production and oil refining) are replaced, and consequently, fossil fuel demand (mainly gas, but also solid fossil fuels in CHINA) for non-energy uses is reduced and electricity demand increases.
Main goals: Decarbonisation of non-energy uses in industry, specifically those associated with H2 (these are considered hard-to-abate sectors).</t>
  </si>
  <si>
    <t>This policy consists of transitioning from conventional H2 production to electrolysis-based production, with a target share that varies from 0 to 1 (0 = no change, 1 = complete transition from conventional production to electrolysis-based production) for each process (OBJECTIVE_SHARE_FOSSIL_FUELS_SUBSTITUTED_BY_ELECTROLYTIC_H2_AMMONIA_PRODUCTION_SP, OBJECTIVE_SHARE_FOSSIL_FUELS_SUBSTITUTED_BY_ELECTROLYTIC_H2_METHANOL_PRODUCTION_SP and OBJECTIVE_SHARE_FOSSIL_FUELS_SUBSTITUTED_BY_ELECTROLYTIC_H2_OIL_REFINING_SP). To activate this policy, it is necessary to set to 1, for each region, the switch SWITCH_POLICY_SHARE_NON_ENERGY_USE_FOSSIL_FUELS_SUBSTITUTED_BY_ELECTROLYTIC_H2_SP. The change starts in INITIAL_YEAR_SHARE_NON_ENERGY_USE_FOSSIL_FUELS_SUBSTITUTED_BY_ELECTROLYTIC_H2_SP (when the substitution share is equal to zero) and ends in YEAR_FINAL_SHARE_NON_ENERGY_USE_FOSSIL_FUELS_SUBSTITUTED_BY_ELECTROLYTIC_H2_SP (when the specified target is reached).</t>
  </si>
  <si>
    <t>Note: in these processes the hydrogen is required for non energy uses.
The increase in electricity demand associated with this policy can be seen in the TO_elec level. However, at the final energy (FE) level, the increase will be reflected in the form of FE_elec or FE_hydrogen depending on the policy 'Share merchant electrolytic H2 demand for non energy uses'.</t>
  </si>
  <si>
    <t>Definition: Target share of electrolytic hydrogen demand in industry (H2 for ammonia production, methanol production, oil refining and steel production via HDRI process) that is intended to be supplied via electrolytic merchant hydrogen. The rest is supplied via electrolytic on-site hydrogen.
Effects in the model: If this policy is applied, the portion of traditional H2 production processes (on-site) for non-energy uses replaced via electrolytic hydrogen (under policy ‘Share fossil fuels substituted by electrolytic H2 in current industrial processes for non energy uses’) is supplied via merchant electrolytic hydrogen. This substitution leads to an increase in final energy (FE) hydrogen, since in the on-site case (i.e., policy= off) the increase would manifest as FE_elec. Furthermore, the model accounts for all transmission and storage losses associated with merchant hydrogen supply. Finally, electricity would be required for merchant hydrogen production, thereby increasing electricity demand at the level of TO_elec.
Main goals: Foster the development of a hydrogen economy, in which hydrogen is traded as a commodity (produced by suppliers and purchased by end-users).</t>
  </si>
  <si>
    <t>This policy consists of transitioning from on-site H2 supply to electrolysis-merchant-based production, with a target share that varies from 0 to 1 (0 = on-site, 1 = complete transition from on-site supply to electrolysis-merchant-based production), the same for all non-energy use process (OBJECTIVE_SHARE_MERCHANT_ELECTROLYTIC_H2_DEMAND_FOR_NON_ENERGY_USES_SP). To activate this policy, it is necessary to set to 1, for each region, the switch SWITCH_POLICY_SHARE_MERCHANT_ELECTROLYTIC_H2_DEMAND_FOR_NON_ENERGY_USES_SP. The change starts in INITIAL_YEAR_SHARE_MERCHANT_ELECTROLYTIC_H2_DEMAND_FOR_NON_ENERGY_USES_SP (when the substitution share is equal to zero) and ends in YEAR_FINAL_SHARE_MERCHANT_ELECTROLYTIC_H2_DEMAND_FOR_NON_ENERGY_USES_SP (when the specified target is reached).</t>
  </si>
  <si>
    <t>This policy only has an effect if policy 'Share fossil fuels substituted by electrolytic H2 in current industrial processes for non energy uses' has been activated.</t>
  </si>
  <si>
    <t>Definition: Target share of primary steel produced through different processes: BF-BOF (consumes coking coal), DRI (consumes H2 produced via SMR process) and HDRI (consumes pure H2 produced in any way)
Effects in the model: If this policy is applied, current primary steel production (based on the BF-BOF process) is replaced by alternative production routes with potentially lower CO2 intensity, such as DRI and HDRI. This transition would result in a reduction in final energy (FE) demand for solid fossil and gas associated with BF-BOF, while leading to an increase in FE_gas (in the case of a shift to DRI) or in FE_hydrogen/FE_electricity (depending on the implementation of policy 'Share merchant electrolytic H2 demand for non energy uses') (in the case of a shift to HDRI).
Main goals: Decarbonize primary steel manufacturing, which is currently among the most CO2-intensive industrial processes.</t>
  </si>
  <si>
    <t>This policy consists of transitioning from conventional steel production to alternative production routes, with a target share that varies from 0 to 1 (0 = 0% share of primary steel production, 1 = 100% share of primary steel production) for each process (OBJECTIVE_SHARE_STEEL_BF_PROCESSES_SP, OBJECTIVE_SHARE_STEEL_DRI_PROCESSES_SP and OBJECTIVE_SHARE_STEEL_HDRI_PROCESSES_SP). The 3 targets for each option must need to sum up 1 (100%), since total primary steel production (100%) is distributed across the 3 processes. To activate this policy, it is necessary to set to 1, for each region, the switch SWITCH_POLICY_STEEL_MANUFACTURING_PROCESSES_SP. The change starts in INITIAL_YEAR_POLICY_STEEL_MANUFACTURING_PROCESSES_SP and ends in FINAL_YEAR_POLICY_STEEL_MANUFACTURING_PROCESSES_SP (when the specified target is reached).</t>
  </si>
  <si>
    <t>If a target share is set for the HDRI process, the 'Share merchant electrolytic H2 demand for non energy uses' policy must be taken into account to distribute the associated hydrogen demand in the form of FE_elec (on-site) or FE_hydrogen (commercial).</t>
  </si>
  <si>
    <t>Definition: 
This policy includes two components:
- H2 import share of gross domestic H2 consumption by region: in certain regions, a specified share of final energy hydrogen consumption (FE_hydrogen) is met through imports.
- H2 net export share in global H2 exports: for each year, the global hydrogen export market is allocated among regions based on specified shares. In this case, the sum of all regional export shares must equal one, ensuring full coverage of the global export market.
Effects in the model: If this policy is applied, hydrogen demand for end-use applications (FE_hydrogen) will remain constant in importing (exporting) regions, while the need for domestic hydrogen production will decline (increase). Consequently, electricity generation for electrolysis-based hydrogen (TO_elec) will decrease (rise) in importing (exporting) regions.
Main goals: Foster the development of an international hydrogen economy, in which hydrogen is traded as a commodity across regions.</t>
  </si>
  <si>
    <t>To activate this policy, it is necessary to set to 1 the switch SWITCH_INTERNATIONAL_H2_TRADE_SP.
This policy is based on the specification of two types of shares, which may vary over time. First, for each importing region, it is necessary to define the proportion of FE_hydrogen that will be met through imports. This is set in H2 NET IMPORT SHARE BY REGION SP, with values ranging from 0 to 1.
Second, it is necessary to determine how the demand for imported hydrogen in the importing regions will be allocated across the exporting regions. This is specified in H2 NET EXPORT SHARE BY REGION SP, also with values ranging from 0 to 1. For each year, the export shares across all regions in H2 NET EXPORT SHARE BY REGION SP must sum to 1.
A practical example may clarify this mechanism. Suppose the EU27 and the UK import 40% of their final energy demand for hydrogen, with this demand equally met by the USMCA, LROW and LATAM regions. In H2 NET IMPORT SHARE BY REGION SP, a value of 0.4 would be set for the EU27 and the UK, while in H2 NET EXPORT SHARE BY REGION SP, values of 1/3 would be assigned to USMCA, LROW and LATAM (such that 1/3 + 1/3 + 1/3 = 1).</t>
  </si>
  <si>
    <t>This policy only has an effect if FE_hydrogen exists, which in turn must be enabled through other policies (cf. 'Share fossil fuels substituted by electrolytic H2 in current industrial processes for non energy uses', 'Share merchant electrolytic H2 demand for non energy uses', and 'Share steel manufacturing by process (BF-BOF/DRI/HDRI)', for example).</t>
  </si>
  <si>
    <t>Definition: Policy target about the reduction in total transport passenger demand (pass*km) by transport mode and type of power train with relation to the demand given by past trends (1: no reduction, 0: 100% reduction). Initial year, final year and target reduction.
Effects in the model:
Main goals:</t>
  </si>
  <si>
    <t>Definition: Modify load factor (persons/vehicle) by transport mode and power train. The user has to set an initial year, final year and load factor target.
Effects in the model:
Main goals:</t>
  </si>
  <si>
    <t>Definition: Variation of fuel efficiencies by transport mode and power train with relation to the demand given by past trends (1: no modification, 0.5: 50% improvement in efficiency, 1.5: 50% worsening in efficiency). 
Effects in the model: It refers to a variation in the efficiency use of fuel/electricity in the engine so that the vehicle can do more km with the same amount of final energy in the case of an improvement and less km in the case of a fall in efficiency. The latter scenario is possible if the weight of the vehicle suffers and increases and is aggravated by worsening aerodynamics, a typical example of which are SUV cars.
Main goals:</t>
  </si>
  <si>
    <t xml:space="preserve">
The user can set an initial year, a final year and a target efficiency change.</t>
  </si>
  <si>
    <t>Definition: Passenger transport demand modal share target by region. 
Effects in the model: the by-default parametrization represents the expected changes which are not driven by prices neither taxes (eg CO2 tax). The model after endogenizes the modal and power train share comgining this exogenous inputs with a reaction to fuel prices.
Main goals:</t>
  </si>
  <si>
    <t xml:space="preserve">Changes are implemented on top of current (2015) data and it is necessary to select the initial and final years (linear increase). </t>
  </si>
  <si>
    <t>Definition: Passenger transport demand modal share target by region, transport mode and power train.
Effects in the model: The scenario data shows the power train share for each type of vehicle in the region (0.1: 10% of the fleet of this type of vehicle has this power train, the total per transport mode and for each region sum 1). 
Main goals:</t>
  </si>
  <si>
    <t>This policy can modify initial year, final year in wich target are reached and target modal share in each region.</t>
  </si>
  <si>
    <t>Definition: this policy works as a policy target about the desired priorities for the installation of new capacities of process transformation (CHP plants, power plants and heat plants). This policy can have 2 components: be purely exogenous or have an endogneous component based on the levelized cost of electricity (LCOE).
Effects in the model: the allocation of new capacities of process transformation (CHP plants, power plants and heat plants) is driven by this parameter which gives priority to those technologies with a higher priorioty (range 0-1).
Main goals: prioritize the installation of new capacities, as desired</t>
  </si>
  <si>
    <t>Exogenous priorities are defined in PROTRA_CAPACITY_EXPANSION_PRIORITIES_VECTOR_SP, by region and by technology.
 It is necessary to assign a weight (between 0 and 1) to these exogenous priorities indicating, by region and technology: the final value of the weight (the initial value is 0) (PROTRA_CAPACITY_EXPANSION_POLICY_WEIGHT_SP), the time from which the exogenous priorities start to be applied (starting from 0) (START_YEAR_PROTRA_CAPACITY_EXPANSION_POLICY_SP) and the time when the final value of the weight is reached (FINAL_YEAR_PROTRA_CAPACITY_EXPANSION_POLICY_SP). 
If the weight of the policy is 1, then the priorities are equal to those of the policy. If the weight is 0, then the priorities are endogenous (depending on the LCOE and calibration variables). Intermediate values imply a weighting between endogenous and exogenous factors.</t>
  </si>
  <si>
    <t>If the objective is to implement a policy that enables electricity generation through a specific technology (e.g., renewables), it is necessary to ensure consistency by also applying policy 'Priorities for the allocation of capacity utilization of process transformation'.</t>
  </si>
  <si>
    <t>Definition: this policy works as a policy target about the desired priorities to use the existing energy generation capacity. This policy can have 2 components: be purely exogenous or have an endogneous component based on the price of primary energies.
Effects in the model: the allocation of energy generation across existing energy generation capacity (CHP plants, power plants and heat plants) is driven by this parameter which gives priority to those technologies with a higher priorioty (range 0-1).
Main goals: prioritize the utilization of existing capacities, as desired</t>
  </si>
  <si>
    <t>Exogenous priorities are defined in PROTRA_UTILIZATION_ALLOCATION_POLICY_PRIORITIES_SP, by region and by technology.
It is necessary to assign a weight (between 0 and 1) to these exogenous priorities indicating, by region and technology: the final value of the weight (the initial value is 0) (PROTRA_UTILIZATION_PRIORITIES_POLICYWEIGHT_SP), the time from which the exogenous priorities start to be applied (starting from 0) (START_YEAR_PROTRA_UTILIZATION_ALLOCATION_POLICY_PRIORITIES_SP) and the time when the final value of the weight is reached (FINAL_YEAR_PROTRA_UTILIZATION_ALLOCATION_POLICY_PRIORITIES_SP). 
If the weight of the policy is 1, then the priorities are equal to those of the policy. If the weight is 0, then the priorities are endogenous (depending on the LCOE and calibration variables). Intermediate values imply a weighting between endogenous and exogenous factors.</t>
  </si>
  <si>
    <t>If the objective is to implement a policy that enables electricity generation through a specific technology (e.g., renewables), it is necessary to ensure consistency by also applying policy 'Priorities for the allocation of capacity expansion priorities of process transformation'.</t>
  </si>
  <si>
    <t>Definition: The technologies covered through this policy are: flexible electrolyzers, power2heat (electric boilers and heat pumps) and stationary storage (PHS and stationary batteries). Note that V2G capacity expansion and demand-side management are different policies since they always need to be specified exogenously.
Effects in the model:
Main goals:</t>
  </si>
  <si>
    <t xml:space="preserve">The capacity expansion of variability management options can be configurated through an endogenous approach ("SWITCH_NRG_PROFLEX_CAPACITY_EXPANSION_ENDOGENOUS"), or specifiying exogenouly the capacity expansion for each of them. </t>
  </si>
  <si>
    <t>energy-end_use.electrolyzers_H2_on_site_production
energy-capacities.electrolyzers_H2_production</t>
  </si>
  <si>
    <t>Definition: Expansion of electrolysis capacities 8either on-site or stationary), implemented endogenously or exogenously.
Effects in the model: This policy alters the dynamics of electrolysis capacity expansion, e.g., endogenous expansion is demand-driven.
Main goals: Install new electrolysis capacities through either endogenous or exogenous mechanisms.
APPENDIX:
- Definitions of hydrogen use (demand side): hydrogen can be used in the same place where it is produced (on-site hydrogen) or it can be commercialized (merchant hydrogen).
- Definitions of hydrogen generation technologies via electrolysis (supply side): hydrogen can be produced by electrolyzers that produce on-site hydrogen (this technology is named: on-site electrolyzer) or by electrolyzers that produce hydrogen to be commercialized (i.e. merchant hydrogen) (these technologies are named: stationary and flexible electrolyzers).</t>
  </si>
  <si>
    <t>The capacity expansion of on-site electrolyzers (and stationary electrolyzers) options can be configurated through (1) an endogenous approach aiming at fullfill H2 demand (SELECT_ON_SITE_ELECTROLYZERS_EXPANSION_PRIORITY_SP or SELECT_STATIONARY_ELECTROLYZERS_EXPANSION_PRIORITY_SP set to 0), or (2) specifiying exogenouly the capacity expansion over time (SELECT_ON_SITE_ELECTROLYZERS_EXPANSION_PRIORITY_SP or SELECT_STATIONARY_ELECTROLYZERS_EXPANSION_PRIORITY_SP set to 1). In the case of exogenous expansion, it is necessary to specify, for each region, the annual electrolysis capacity expansion target (OBJECTIVE_ON_SITE_ELECTROLYZERS_CAPACITY_EXPANSION_SP, OBJECTIVE_STATIONARY_ELECTROLYZERS_CAPACITY_EXPANSION_SP), the year in which this target is to be achieved (YEAR_FINAL_ON_SITE_ELECTROLYZERS_EXPANSION_SP, YEAR_FINAL_STATIONARY_ELECTROLYZERS_EXPANSION_SP), and the year in which the expansion begins (INITIAL_YEAR_ON_SITE_ELECTROLYZERS_EXPANSION_SP, INITIAL_YEAR_STATIONARY_ELECTROLYZERS_EXPANSION_SP).</t>
  </si>
  <si>
    <t>Note: for flexible electrolyzers go to "EXOGENOUS_CAPACITY_EXPANSION_VARIABILITY_MANAGEMENT_OPTIONS_SP" policy.</t>
  </si>
  <si>
    <t>Definition: This policy refers to the share of the different on-site electrolysis (and stationary electrolysis) subtechnologies (alkaline and PEM) installed each year can be specified exogenously. These shares may vary over time, so they must be specified each year. 
Effects in the model: The various electrolysis sub-technologies exhibit different efficiencies and lifetimes, which in turn influence electricity consumption and electrolysis capacities, respectively. However, the most significant impact of this policy pertains to mineral requirements: alkaline technology relies heavily on nickel, whereas PEM technology depends on iridium, among other materials.
Main goals: Exogenously allocate new electrolysis capacities across sub-technologies
APPENDIX:
- Definitions of hydrogen use (demand side): hydrogen can be used in the same place where it is produced (on-site hydrogen) or it can be commercialized (merchant hydrogen).
- Definitions of hydrogen generation technologies via electrolysis (supply side): hydrogen can be produced by electrolyzers that produce on-site hydrogen (this technology is named: on-site electrolyzer) or by electrolyzers that produce hydrogen to be commercialized (i.e. merchant hydrogen) (these technologies are named: stationary and flexible electrolyzers).</t>
  </si>
  <si>
    <t>The desired shares for new on-site or stationary electrolyzers must be specified, by region and year in EXOGENOUS_SHARE_OF_NEW_ON_SITE_ELECTROLYZERS_SUBTECHNOLOGIES_SP or EXOGENOUS_SHARE_OF_NEW_STATIONARY_ELECTROLYZERS_SUBTECHNOLOGIES_SP. The 2 shares for each option (ALKALINE, PEM) must sum = 1 every year (for both on-site and stationary electrolyzers).</t>
  </si>
  <si>
    <t>Note: flexible electrolyzers are assumed to be 100% PEM subtechnology, because they are well suited to work in a flexible way (at partial load).</t>
  </si>
  <si>
    <t>Definition: This policy controls the effect of curtailment to the capacity expansion of variable renewables (VRES).
Effects in the model: 0 --&gt; no effect
1 --&gt; Power system's curtailment reduces the expansion of VRES capacities through a logistic function (MAXIMUM_SYSTEM_CURTAILMENT_SP).
Main goals:</t>
  </si>
  <si>
    <t>Definition: This policy stops new installations of nuclear power plants if the capacity factor of this plants decay the value selected by the user.
Effects in the model:
Main goals:</t>
  </si>
  <si>
    <t>Definition: Smart charging (SC) factor. It is a power system flexibility option. This factor indicates the share of electric vehicles that can be charged when there is excess electricity generation (with relation to the demand) in the grid.
Effects in the model: Priority is given to Vehicle-to-Grid (V2G) since together they cannot represent &gt; 100%.
Main goals:</t>
  </si>
  <si>
    <t>Definition: Vehicle to grid (V2G) factor. It is a power system flexibility option. This factor indicates the share of electric vehicles that can transfer electrical energy from their batteries to the grid.
Effects in the model: 
Main goals:</t>
  </si>
  <si>
    <t>Definition: this policy stablishes the level of flexibility in terms of annual energy (TWh) on the side of the electricity demand. The policy consists on a period (initial and final year).
Effects in the model: 
Main goals:</t>
  </si>
  <si>
    <t>Definition: Exogenous policy share of bioenergy (biofuels and biogas) in transformation input (TI) liquids and gases (excluding synthetic fuels).
Effects in the model:
Main goals:</t>
  </si>
  <si>
    <t>energy-capacities.electrolyzers_H2_fuels_producti</t>
  </si>
  <si>
    <t>Definition: this policy allows to replace liquids and gases in final energy form by synthetic fuels produced from H2 from electrolysis.
Effects in the model: If this policy is applied, domestic production of FE_gas and FE_liquid is replaced by synthetic fuels derived from hydrogen produced via electrolysis. As a result, fossil fuel supply (at the level of TO) decreases while electricity supply (at the level of TO) increases. Nonetheless, additional side effects may occur due to the use of carbon capture and utilization (CCU) in synthetic fuel production. These may include: (i) an increase in FE_gas associated with CCU in IPPUs, industrial energy use and energy sector own use; or (ii) an increase in electricity own consumption resulting from CCU through direct air capture (DAC).
Main goals: (Potentially) reduce dependence on natural gas and oil.</t>
  </si>
  <si>
    <t>This policy consists of transitioning from conventional liquids and gases production to electrolytic hydrogen-based production, with a target share that varies from 0 to 1 (0= no substitution and 1= complete replacement of domestic conventional fuel production by electrolytic hydrogen–based production) for each fuel (SHARE_FE_GAS_SUBSTITUTED_BY_H2_SYNTHETIC_GAS_SP and SHARE_FE_LIQUID_SUBSTITUTED_BY_H2_SYNTHETIC_LIQUID_SP); these shares may vary over time. To activate this policy, it is necessary to set to 1, for each region, the switch SWITCH_POLICY_SHARE_FE_LIQUID_AND_GAS_SUBSTITUTED_BY_H2_SYNFUELS_SP.</t>
  </si>
  <si>
    <t>To ensure that synthetic fuels from electrolytic H2 achieve lower net emissions compared to their fossil counterparts, a very high share of fossil-free electricity generation is required (cf. policies 'Priorities for the allocation of capacity expansion priorities of process transformation' and 'Priorities for the allocation of capacity utilization of process transformation').
Reduced shares (around 10-15%) are recommended, as this policy implies very strong electrification.</t>
  </si>
  <si>
    <t>Definition: this policy allows to select the share of the rooftop for solar PV and solar thermal.
Effects in the model:
Main goals:</t>
  </si>
  <si>
    <t>Definition: this policy establishes a target increase of PV panel efficiency over time. By default a continuation of current trends, subject to thermodynamic limits, is set.
Effects in the model:
Main goals:</t>
  </si>
  <si>
    <t>Definition: this policy allows to increase in the energy efficiency (0 to 1) for heating and cooling in dwellings due to different levels of renovation and associated cost. Changes in energy effciency reduce the useful energy required for heating and cooling (change in useful energy = 1 - change_efficiency).
Effects in the model:
Main goals:</t>
  </si>
  <si>
    <t>Definition: this policy allowsto vary the number of years of amortization of renovation of dwellings.
Effects in the model: 
Main goals: this parameter is used to calculate the net benefit of renovation. This variable can change depending, for example, on the environmental concern of the households</t>
  </si>
  <si>
    <t xml:space="preserve">Definition: this policy allows an improvement in heating and cooling efficiency of new dwellings with respect dwellings built between 2010 and 2015.
Effects in the model: 
Main goals: </t>
  </si>
  <si>
    <t>Definition: This policy introduces a subsidy to renovation of dwellings. The subsidy is defined as a share of the total cost of renovation and is implement by level of renovation, country, and household type.
Effects in the model:
Main goals:</t>
  </si>
  <si>
    <t>To activate the subsidies, replace 0 by 1 in the switches and define the % of the total cost of the renovation that is covered by the subsidy.</t>
  </si>
  <si>
    <t>Definition: This policy introduces a subsidy to the purchase of dwelling devices. The subsidy is defined as a share of the total cost of the device and is implement by type of device, country, and household type.
Effects in the model:
Main goals:</t>
  </si>
  <si>
    <t>To activate the subsidies replace 0 by 1 in the switches and define the % of the cost of the devices that is covered by the subsidy. Column B gives information on the cost/kw of the device.</t>
  </si>
  <si>
    <t>Definition: this policy introduces a ban to the sale of specific type of dwellign devices (e.g. ban to the sale of gasoil boilers).
Effects in the model:
Main goals:</t>
  </si>
  <si>
    <t xml:space="preserve"> In order to activate the ban to a technology replace 0 by 1 and define the inital and final year of the ban</t>
  </si>
  <si>
    <t>Version: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</si>
</sst>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 _€_-;\-* #,##0.00\ _€_-;_-* &quot;-&quot;??\ _€_-;_-@_-"/>
    <numFmt numFmtId="165" formatCode="#,##0.000"/>
    <numFmt numFmtId="166" formatCode="0.000"/>
    <numFmt numFmtId="167" formatCode="0.0000%"/>
    <numFmt numFmtId="168" formatCode="0.0"/>
    <numFmt numFmtId="169" formatCode="0.000%"/>
    <numFmt numFmtId="170" formatCode="0.0%"/>
    <numFmt numFmtId="171" formatCode="#,##0.00;\-#,##0.00;\-"/>
    <numFmt numFmtId="172" formatCode="#,##0.0"/>
  </numFmts>
  <fonts count="53"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i/>
      <sz val="11"/>
      <color theme="1"/>
      <name val="Calibri"/>
      <family val="2"/>
      <scheme val="minor"/>
    </font>
    <font>
      <sz val="10"/>
      <name val="Arial"/>
      <family val="2"/>
    </font>
    <font>
      <b/>
      <sz val="11"/>
      <name val="Calibri"/>
      <family val="2"/>
      <scheme val="minor"/>
    </font>
    <font>
      <sz val="11"/>
      <color rgb="FFFF0000"/>
      <name val="Calibri"/>
      <family val="2"/>
      <scheme val="minor"/>
    </font>
    <font>
      <b/>
      <sz val="9"/>
      <color indexed="81"/>
      <name val="Tahoma"/>
      <family val="2"/>
    </font>
    <font>
      <sz val="9"/>
      <color indexed="81"/>
      <name val="Tahoma"/>
      <family val="2"/>
    </font>
    <font>
      <b/>
      <u/>
      <sz val="14"/>
      <color indexed="12"/>
      <name val="Calibri"/>
      <family val="2"/>
    </font>
    <font>
      <sz val="12"/>
      <color theme="1"/>
      <name val="Calibri"/>
      <family val="2"/>
      <scheme val="minor"/>
    </font>
    <font>
      <b/>
      <sz val="11"/>
      <color rgb="FFFF0000"/>
      <name val="Calibri"/>
      <family val="2"/>
      <scheme val="minor"/>
    </font>
    <font>
      <sz val="10"/>
      <color indexed="8"/>
      <name val="Arial"/>
      <family val="2"/>
      <charset val="161"/>
    </font>
    <font>
      <sz val="11"/>
      <color indexed="8"/>
      <name val="Calibri"/>
      <family val="2"/>
      <charset val="161"/>
    </font>
    <font>
      <sz val="11"/>
      <color rgb="FF9C5700"/>
      <name val="Calibri"/>
      <family val="2"/>
      <scheme val="minor"/>
    </font>
    <font>
      <b/>
      <sz val="11"/>
      <color rgb="FF9C5700"/>
      <name val="Calibri"/>
      <family val="2"/>
      <scheme val="minor"/>
    </font>
    <font>
      <sz val="11"/>
      <name val="Calibri"/>
      <family val="2"/>
    </font>
    <font>
      <sz val="11"/>
      <color rgb="FF000000"/>
      <name val="Calibri"/>
      <family val="2"/>
      <scheme val="minor"/>
    </font>
    <font>
      <sz val="11"/>
      <color theme="1"/>
      <name val="Calibri"/>
      <family val="2"/>
    </font>
    <font>
      <sz val="11"/>
      <color rgb="FFFF0000"/>
      <name val="Calibri"/>
      <family val="2"/>
    </font>
    <font>
      <b/>
      <u/>
      <sz val="11"/>
      <color theme="1"/>
      <name val="Calibri"/>
      <family val="2"/>
      <scheme val="minor"/>
    </font>
    <font>
      <u/>
      <sz val="11"/>
      <color theme="10"/>
      <name val="Calibri"/>
      <family val="2"/>
      <scheme val="minor"/>
    </font>
    <font>
      <sz val="10"/>
      <color theme="1"/>
      <name val="Calibri"/>
      <family val="2"/>
    </font>
    <font>
      <i/>
      <sz val="10"/>
      <color theme="1"/>
      <name val="Calibri"/>
      <family val="2"/>
    </font>
    <font>
      <vertAlign val="superscript"/>
      <sz val="10"/>
      <color theme="1"/>
      <name val="Roboto"/>
    </font>
    <font>
      <sz val="10"/>
      <name val="Calibri"/>
      <family val="2"/>
    </font>
    <font>
      <i/>
      <sz val="10"/>
      <name val="Calibri"/>
      <family val="2"/>
    </font>
    <font>
      <b/>
      <sz val="16"/>
      <color theme="1"/>
      <name val="Calibri"/>
      <family val="2"/>
      <scheme val="minor"/>
    </font>
    <font>
      <b/>
      <sz val="14"/>
      <color theme="1"/>
      <name val="Calibri"/>
      <family val="2"/>
      <scheme val="minor"/>
    </font>
    <font>
      <b/>
      <sz val="14"/>
      <color theme="0"/>
      <name val="Calibri"/>
      <family val="2"/>
      <scheme val="minor"/>
    </font>
    <font>
      <b/>
      <u/>
      <sz val="14"/>
      <color theme="0"/>
      <name val="Calibri"/>
      <family val="2"/>
      <scheme val="minor"/>
    </font>
    <font>
      <b/>
      <sz val="12"/>
      <color theme="1"/>
      <name val="Calibri"/>
      <family val="2"/>
      <scheme val="minor"/>
    </font>
    <font>
      <b/>
      <u/>
      <sz val="12"/>
      <color theme="1"/>
      <name val="Calibri"/>
      <family val="2"/>
      <scheme val="minor"/>
    </font>
    <font>
      <b/>
      <sz val="9"/>
      <color theme="1"/>
      <name val="Calibri"/>
      <family val="2"/>
      <scheme val="minor"/>
    </font>
    <font>
      <sz val="9"/>
      <color theme="1"/>
      <name val="Calibri"/>
      <family val="2"/>
      <scheme val="minor"/>
    </font>
    <font>
      <sz val="9"/>
      <color theme="1"/>
      <name val="Calibri"/>
      <family val="2"/>
    </font>
    <font>
      <sz val="9"/>
      <color theme="0"/>
      <name val="Calibri"/>
      <family val="2"/>
      <scheme val="minor"/>
    </font>
    <font>
      <sz val="9"/>
      <name val="Calibri"/>
      <family val="2"/>
      <scheme val="minor"/>
    </font>
    <font>
      <sz val="11"/>
      <color theme="0"/>
      <name val="Calibri"/>
      <family val="2"/>
      <scheme val="minor"/>
    </font>
    <font>
      <u/>
      <sz val="11"/>
      <color theme="0"/>
      <name val="Calibri"/>
      <family val="2"/>
      <scheme val="minor"/>
    </font>
    <font>
      <sz val="18"/>
      <color theme="1"/>
      <name val="Calibri"/>
      <family val="2"/>
      <scheme val="minor"/>
    </font>
    <font>
      <b/>
      <sz val="24"/>
      <color theme="0"/>
      <name val="Calibri"/>
      <family val="2"/>
      <scheme val="minor"/>
    </font>
    <font>
      <b/>
      <sz val="24"/>
      <color theme="1"/>
      <name val="Calibri"/>
      <family val="2"/>
      <scheme val="minor"/>
    </font>
    <font>
      <sz val="24"/>
      <color theme="1"/>
      <name val="Calibri"/>
      <family val="2"/>
      <scheme val="minor"/>
    </font>
    <font>
      <sz val="14"/>
      <color theme="1"/>
      <name val="Calibri"/>
      <family val="2"/>
      <scheme val="minor"/>
    </font>
    <font>
      <b/>
      <sz val="10"/>
      <color rgb="FFFFFFFF"/>
      <name val="Calibri"/>
      <family val="2"/>
      <charset val="1"/>
    </font>
    <font>
      <b/>
      <sz val="24"/>
      <color rgb="FFFF0000"/>
      <name val="Calibri"/>
      <family val="2"/>
      <scheme val="minor"/>
    </font>
    <font>
      <b/>
      <sz val="22"/>
      <color rgb="FFFF0000"/>
      <name val="Calibri"/>
      <family val="2"/>
      <scheme val="minor"/>
    </font>
    <font>
      <sz val="11"/>
      <color rgb="FF000000"/>
      <name val="Calibri"/>
      <family val="2"/>
    </font>
    <font>
      <sz val="8"/>
      <name val="Calibri"/>
      <family val="2"/>
      <scheme val="minor"/>
    </font>
    <font>
      <b/>
      <sz val="11"/>
      <color theme="0"/>
      <name val="Calibri"/>
      <family val="2"/>
      <scheme val="minor"/>
    </font>
    <font>
      <b/>
      <u/>
      <sz val="12"/>
      <name val="Calibri"/>
      <family val="2"/>
      <scheme val="minor"/>
    </font>
  </fonts>
  <fills count="49">
    <fill>
      <patternFill patternType="none"/>
    </fill>
    <fill>
      <patternFill patternType="gray125"/>
    </fill>
    <fill>
      <patternFill patternType="solid">
        <fgColor rgb="FFFFFF00"/>
        <bgColor indexed="64"/>
      </patternFill>
    </fill>
    <fill>
      <patternFill patternType="solid">
        <fgColor rgb="FF66FF33"/>
        <bgColor indexed="64"/>
      </patternFill>
    </fill>
    <fill>
      <patternFill patternType="solid">
        <fgColor rgb="FF00B050"/>
        <bgColor indexed="64"/>
      </patternFill>
    </fill>
    <fill>
      <patternFill patternType="solid">
        <fgColor theme="0" tint="-0.249977111117893"/>
        <bgColor indexed="64"/>
      </patternFill>
    </fill>
    <fill>
      <patternFill patternType="solid">
        <fgColor theme="1"/>
        <bgColor indexed="64"/>
      </patternFill>
    </fill>
    <fill>
      <patternFill patternType="solid">
        <fgColor rgb="FFFF00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4" tint="0.59999389629810485"/>
        <bgColor indexed="64"/>
      </patternFill>
    </fill>
    <fill>
      <patternFill patternType="solid">
        <fgColor indexed="31"/>
      </patternFill>
    </fill>
    <fill>
      <patternFill patternType="solid">
        <fgColor indexed="43"/>
      </patternFill>
    </fill>
    <fill>
      <patternFill patternType="solid">
        <fgColor theme="7" tint="0.59999389629810485"/>
        <bgColor indexed="64"/>
      </patternFill>
    </fill>
    <fill>
      <patternFill patternType="solid">
        <fgColor theme="5"/>
        <bgColor indexed="0"/>
      </patternFill>
    </fill>
    <fill>
      <patternFill patternType="solid">
        <fgColor theme="5"/>
        <bgColor indexed="64"/>
      </patternFill>
    </fill>
    <fill>
      <patternFill patternType="solid">
        <fgColor rgb="FFFFEB9C"/>
      </patternFill>
    </fill>
    <fill>
      <patternFill patternType="solid">
        <fgColor rgb="FFFFE699"/>
        <bgColor rgb="FFFFCC99"/>
      </patternFill>
    </fill>
    <fill>
      <patternFill patternType="solid">
        <fgColor theme="6"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59999389629810485"/>
        <bgColor rgb="FFFFCC99"/>
      </patternFill>
    </fill>
    <fill>
      <patternFill patternType="solid">
        <fgColor rgb="FFFFCCCC"/>
        <bgColor indexed="64"/>
      </patternFill>
    </fill>
    <fill>
      <patternFill patternType="solid">
        <fgColor rgb="FFFFCC99"/>
        <bgColor indexed="64"/>
      </patternFill>
    </fill>
    <fill>
      <patternFill patternType="solid">
        <fgColor theme="7" tint="0.59999389629810485"/>
        <bgColor indexed="65"/>
      </patternFill>
    </fill>
    <fill>
      <patternFill patternType="solid">
        <fgColor theme="7" tint="0.59999389629810485"/>
        <bgColor rgb="FFFFCC99"/>
      </patternFill>
    </fill>
    <fill>
      <patternFill patternType="solid">
        <fgColor theme="6" tint="0.79998168889431442"/>
        <bgColor indexed="64"/>
      </patternFill>
    </fill>
    <fill>
      <patternFill patternType="solid">
        <fgColor indexed="22"/>
        <bgColor indexed="0"/>
      </patternFill>
    </fill>
    <fill>
      <patternFill patternType="solid">
        <fgColor theme="0"/>
        <bgColor indexed="64"/>
      </patternFill>
    </fill>
    <fill>
      <patternFill patternType="solid">
        <fgColor rgb="FF7030A0"/>
        <bgColor indexed="64"/>
      </patternFill>
    </fill>
    <fill>
      <patternFill patternType="solid">
        <fgColor rgb="FFFFC000"/>
        <bgColor indexed="64"/>
      </patternFill>
    </fill>
    <fill>
      <patternFill patternType="solid">
        <fgColor rgb="FFFFFFCC"/>
      </patternFill>
    </fill>
    <fill>
      <patternFill patternType="solid">
        <fgColor rgb="FFFFE699"/>
        <bgColor indexed="64"/>
      </patternFill>
    </fill>
    <fill>
      <patternFill patternType="solid">
        <fgColor rgb="FFEEDDFF"/>
        <bgColor indexed="64"/>
      </patternFill>
    </fill>
    <fill>
      <patternFill patternType="solid">
        <fgColor theme="0" tint="-0.34998626667073579"/>
        <bgColor indexed="64"/>
      </patternFill>
    </fill>
    <fill>
      <patternFill patternType="solid">
        <fgColor theme="1" tint="0.14999847407452621"/>
        <bgColor indexed="64"/>
      </patternFill>
    </fill>
    <fill>
      <patternFill patternType="solid">
        <fgColor theme="6"/>
        <bgColor indexed="64"/>
      </patternFill>
    </fill>
    <fill>
      <patternFill patternType="solid">
        <fgColor rgb="FF000000"/>
        <bgColor rgb="FF003300"/>
      </patternFill>
    </fill>
    <fill>
      <patternFill patternType="solid">
        <fgColor theme="9"/>
        <bgColor indexed="64"/>
      </patternFill>
    </fill>
    <fill>
      <patternFill patternType="solid">
        <fgColor rgb="FFA7FF8B"/>
        <bgColor indexed="64"/>
      </patternFill>
    </fill>
    <fill>
      <patternFill patternType="solid">
        <fgColor rgb="FF00FF00"/>
        <bgColor indexed="64"/>
      </patternFill>
    </fill>
    <fill>
      <patternFill patternType="solid">
        <fgColor rgb="FF00B050"/>
        <bgColor rgb="FF008080"/>
      </patternFill>
    </fill>
    <fill>
      <patternFill patternType="solid">
        <fgColor rgb="FF66FF33"/>
        <bgColor rgb="FF81D41A"/>
      </patternFill>
    </fill>
    <fill>
      <patternFill patternType="solid">
        <fgColor rgb="FFDBDBDB"/>
        <bgColor rgb="FFB4C7DC"/>
      </patternFill>
    </fill>
    <fill>
      <patternFill patternType="solid">
        <fgColor rgb="FFFFEB9C"/>
        <bgColor rgb="FFFFE699"/>
      </patternFill>
    </fill>
    <fill>
      <patternFill patternType="solid">
        <fgColor rgb="FF006666"/>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medium">
        <color indexed="64"/>
      </bottom>
      <diagonal/>
    </border>
    <border>
      <left style="thin">
        <color indexed="8"/>
      </left>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8"/>
      </right>
      <top style="medium">
        <color indexed="64"/>
      </top>
      <bottom/>
      <diagonal/>
    </border>
    <border>
      <left style="thin">
        <color rgb="FF7F7F7F"/>
      </left>
      <right/>
      <top style="thin">
        <color rgb="FF7F7F7F"/>
      </top>
      <bottom style="thin">
        <color rgb="FF7F7F7F"/>
      </bottom>
      <diagonal/>
    </border>
    <border>
      <left style="thin">
        <color indexed="8"/>
      </left>
      <right/>
      <top/>
      <bottom/>
      <diagonal/>
    </border>
    <border>
      <left style="thin">
        <color indexed="22"/>
      </left>
      <right style="thin">
        <color indexed="22"/>
      </right>
      <top style="medium">
        <color indexed="64"/>
      </top>
      <bottom style="thin">
        <color indexed="22"/>
      </bottom>
      <diagonal/>
    </border>
    <border>
      <left style="thin">
        <color indexed="22"/>
      </left>
      <right style="medium">
        <color indexed="64"/>
      </right>
      <top style="medium">
        <color indexed="64"/>
      </top>
      <bottom style="thin">
        <color indexed="22"/>
      </bottom>
      <diagonal/>
    </border>
    <border>
      <left style="thin">
        <color rgb="FFB2B2B2"/>
      </left>
      <right style="thin">
        <color rgb="FFB2B2B2"/>
      </right>
      <top style="thin">
        <color rgb="FFB2B2B2"/>
      </top>
      <bottom style="thin">
        <color rgb="FFB2B2B2"/>
      </bottom>
      <diagonal/>
    </border>
    <border>
      <left style="medium">
        <color indexed="64"/>
      </left>
      <right style="thin">
        <color rgb="FFB2B2B2"/>
      </right>
      <top style="medium">
        <color indexed="64"/>
      </top>
      <bottom style="thin">
        <color rgb="FFB2B2B2"/>
      </bottom>
      <diagonal/>
    </border>
    <border>
      <left style="thin">
        <color rgb="FFB2B2B2"/>
      </left>
      <right style="thin">
        <color rgb="FFB2B2B2"/>
      </right>
      <top style="medium">
        <color indexed="64"/>
      </top>
      <bottom style="thin">
        <color rgb="FFB2B2B2"/>
      </bottom>
      <diagonal/>
    </border>
    <border>
      <left style="thin">
        <color rgb="FFB2B2B2"/>
      </left>
      <right style="medium">
        <color indexed="64"/>
      </right>
      <top style="medium">
        <color indexed="64"/>
      </top>
      <bottom style="thin">
        <color rgb="FFB2B2B2"/>
      </bottom>
      <diagonal/>
    </border>
    <border>
      <left style="medium">
        <color indexed="64"/>
      </left>
      <right style="thin">
        <color rgb="FFB2B2B2"/>
      </right>
      <top style="thin">
        <color rgb="FFB2B2B2"/>
      </top>
      <bottom style="thin">
        <color rgb="FFB2B2B2"/>
      </bottom>
      <diagonal/>
    </border>
    <border>
      <left style="thin">
        <color rgb="FFB2B2B2"/>
      </left>
      <right style="medium">
        <color indexed="64"/>
      </right>
      <top style="thin">
        <color rgb="FFB2B2B2"/>
      </top>
      <bottom style="thin">
        <color rgb="FFB2B2B2"/>
      </bottom>
      <diagonal/>
    </border>
    <border>
      <left style="thin">
        <color indexed="22"/>
      </left>
      <right style="thin">
        <color indexed="22"/>
      </right>
      <top/>
      <bottom style="thin">
        <color indexed="22"/>
      </bottom>
      <diagonal/>
    </border>
    <border>
      <left style="thin">
        <color indexed="22"/>
      </left>
      <right style="medium">
        <color indexed="64"/>
      </right>
      <top/>
      <bottom style="thin">
        <color indexed="22"/>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auto="1"/>
      </right>
      <top style="thin">
        <color auto="1"/>
      </top>
      <bottom/>
      <diagonal/>
    </border>
    <border>
      <left style="thin">
        <color indexed="64"/>
      </left>
      <right/>
      <top style="thin">
        <color indexed="64"/>
      </top>
      <bottom/>
      <diagonal/>
    </border>
  </borders>
  <cellStyleXfs count="19">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xf numFmtId="0" fontId="11" fillId="0" borderId="0"/>
    <xf numFmtId="0" fontId="13" fillId="0" borderId="0"/>
    <xf numFmtId="0" fontId="13" fillId="0" borderId="0"/>
    <xf numFmtId="0" fontId="13" fillId="0" borderId="0"/>
    <xf numFmtId="0" fontId="15" fillId="16" borderId="0" applyNumberFormat="0" applyBorder="0" applyAlignment="0" applyProtection="0"/>
    <xf numFmtId="0" fontId="22" fillId="0" borderId="0" applyNumberFormat="0" applyFill="0" applyBorder="0" applyAlignment="0" applyProtection="0"/>
    <xf numFmtId="49" fontId="3" fillId="3" borderId="1">
      <alignment horizontal="center"/>
    </xf>
    <xf numFmtId="49" fontId="1" fillId="0" borderId="0" applyBorder="0">
      <alignment horizontal="center" vertical="center"/>
    </xf>
    <xf numFmtId="0" fontId="1" fillId="34" borderId="43" applyNumberFormat="0" applyFont="0" applyAlignment="0" applyProtection="0"/>
    <xf numFmtId="164" fontId="1" fillId="0" borderId="0" applyFont="0" applyFill="0" applyBorder="0" applyAlignment="0" applyProtection="0"/>
    <xf numFmtId="0" fontId="46" fillId="40" borderId="52">
      <alignment horizontal="center" vertical="center"/>
    </xf>
    <xf numFmtId="0" fontId="46" fillId="40" borderId="61">
      <alignment horizontal="center" vertical="center"/>
    </xf>
    <xf numFmtId="0" fontId="3" fillId="3" borderId="1">
      <alignment horizontal="left" vertical="center"/>
    </xf>
    <xf numFmtId="49" fontId="3" fillId="3" borderId="1">
      <alignment horizontal="left" wrapText="1"/>
    </xf>
    <xf numFmtId="0" fontId="3" fillId="3" borderId="61">
      <alignment horizontal="left" vertical="center"/>
    </xf>
  </cellStyleXfs>
  <cellXfs count="630">
    <xf numFmtId="0" fontId="0" fillId="0" borderId="0" xfId="0"/>
    <xf numFmtId="0" fontId="0" fillId="0" borderId="0" xfId="0" applyAlignment="1">
      <alignment wrapText="1"/>
    </xf>
    <xf numFmtId="0" fontId="0" fillId="0" borderId="0" xfId="0" applyAlignment="1">
      <alignment horizontal="center"/>
    </xf>
    <xf numFmtId="0" fontId="3" fillId="0" borderId="0" xfId="0" applyFont="1"/>
    <xf numFmtId="0" fontId="0" fillId="0" borderId="1" xfId="0" applyBorder="1"/>
    <xf numFmtId="0" fontId="3" fillId="0" borderId="1" xfId="0" applyFont="1" applyBorder="1"/>
    <xf numFmtId="0" fontId="0" fillId="4" borderId="0" xfId="0" applyFill="1"/>
    <xf numFmtId="0" fontId="0" fillId="0" borderId="8" xfId="0" applyBorder="1"/>
    <xf numFmtId="1" fontId="3" fillId="4" borderId="0" xfId="0" applyNumberFormat="1" applyFont="1" applyFill="1"/>
    <xf numFmtId="0" fontId="0" fillId="0" borderId="1" xfId="0" applyBorder="1" applyAlignment="1">
      <alignment horizontal="center"/>
    </xf>
    <xf numFmtId="0" fontId="0" fillId="0" borderId="0" xfId="0" applyAlignment="1">
      <alignment vertical="center"/>
    </xf>
    <xf numFmtId="0" fontId="0" fillId="0" borderId="17" xfId="0" applyBorder="1"/>
    <xf numFmtId="0" fontId="0" fillId="0" borderId="18" xfId="0" applyBorder="1"/>
    <xf numFmtId="0" fontId="7" fillId="0" borderId="0" xfId="0" applyFont="1"/>
    <xf numFmtId="0" fontId="3" fillId="3" borderId="1" xfId="0" applyFont="1" applyFill="1" applyBorder="1"/>
    <xf numFmtId="0" fontId="0" fillId="0" borderId="12" xfId="0" applyBorder="1"/>
    <xf numFmtId="0" fontId="0" fillId="0" borderId="13" xfId="0" applyBorder="1"/>
    <xf numFmtId="0" fontId="3" fillId="5" borderId="1" xfId="0" applyFont="1" applyFill="1" applyBorder="1" applyAlignment="1">
      <alignment horizontal="center"/>
    </xf>
    <xf numFmtId="0" fontId="0" fillId="2" borderId="0" xfId="0" applyFill="1" applyAlignment="1">
      <alignment horizontal="center"/>
    </xf>
    <xf numFmtId="0" fontId="3" fillId="10" borderId="19" xfId="0" applyFont="1" applyFill="1" applyBorder="1"/>
    <xf numFmtId="0" fontId="3" fillId="3" borderId="1" xfId="0" quotePrefix="1" applyFont="1" applyFill="1" applyBorder="1" applyAlignment="1">
      <alignment horizontal="center" vertical="center" wrapText="1"/>
    </xf>
    <xf numFmtId="0" fontId="0" fillId="11" borderId="0" xfId="0" applyFill="1" applyAlignment="1">
      <alignment horizontal="center" vertical="top"/>
    </xf>
    <xf numFmtId="0" fontId="0" fillId="11" borderId="0" xfId="0" applyFill="1" applyAlignment="1">
      <alignment horizontal="left" vertical="top"/>
    </xf>
    <xf numFmtId="166" fontId="0" fillId="0" borderId="0" xfId="0" applyNumberFormat="1"/>
    <xf numFmtId="0" fontId="0" fillId="0" borderId="0" xfId="0" quotePrefix="1"/>
    <xf numFmtId="0" fontId="2" fillId="0" borderId="0" xfId="0" applyFont="1"/>
    <xf numFmtId="0" fontId="0" fillId="0" borderId="0" xfId="0" applyAlignment="1">
      <alignment horizontal="left" vertical="center"/>
    </xf>
    <xf numFmtId="0" fontId="0" fillId="0" borderId="0" xfId="0" applyAlignment="1">
      <alignment horizontal="right" vertical="center"/>
    </xf>
    <xf numFmtId="0" fontId="14" fillId="14" borderId="23" xfId="6" applyFont="1" applyFill="1" applyBorder="1" applyAlignment="1">
      <alignment horizontal="center"/>
    </xf>
    <xf numFmtId="0" fontId="14" fillId="14" borderId="24" xfId="6" applyFont="1" applyFill="1" applyBorder="1" applyAlignment="1">
      <alignment horizontal="center"/>
    </xf>
    <xf numFmtId="0" fontId="14" fillId="14" borderId="25" xfId="6" applyFont="1" applyFill="1" applyBorder="1" applyAlignment="1">
      <alignment horizontal="center"/>
    </xf>
    <xf numFmtId="0" fontId="0" fillId="0" borderId="14" xfId="0" applyBorder="1"/>
    <xf numFmtId="0" fontId="0" fillId="0" borderId="26" xfId="0" applyBorder="1"/>
    <xf numFmtId="0" fontId="0" fillId="0" borderId="27" xfId="0" applyBorder="1"/>
    <xf numFmtId="0" fontId="3" fillId="3" borderId="1" xfId="0" applyFont="1" applyFill="1" applyBorder="1" applyAlignment="1">
      <alignment horizontal="center"/>
    </xf>
    <xf numFmtId="0" fontId="3" fillId="0" borderId="1" xfId="0" applyFont="1" applyBorder="1" applyAlignment="1">
      <alignment horizontal="center"/>
    </xf>
    <xf numFmtId="0" fontId="3" fillId="13" borderId="1" xfId="0" applyFont="1" applyFill="1" applyBorder="1" applyAlignment="1">
      <alignment horizontal="center"/>
    </xf>
    <xf numFmtId="0" fontId="3" fillId="3" borderId="1" xfId="0" applyFont="1" applyFill="1" applyBorder="1" applyAlignment="1">
      <alignment horizontal="left"/>
    </xf>
    <xf numFmtId="0" fontId="17" fillId="0" borderId="1" xfId="0" applyFont="1" applyBorder="1"/>
    <xf numFmtId="0" fontId="0" fillId="0" borderId="1" xfId="0" applyBorder="1" applyAlignment="1">
      <alignment horizontal="left"/>
    </xf>
    <xf numFmtId="0" fontId="0" fillId="13" borderId="1" xfId="0" applyFill="1" applyBorder="1" applyAlignment="1">
      <alignment horizontal="center"/>
    </xf>
    <xf numFmtId="0" fontId="18" fillId="3" borderId="1" xfId="0" applyFont="1" applyFill="1" applyBorder="1" applyAlignment="1">
      <alignment vertical="center" wrapText="1"/>
    </xf>
    <xf numFmtId="0" fontId="14" fillId="3" borderId="1" xfId="6" applyFont="1" applyFill="1" applyBorder="1" applyAlignment="1">
      <alignment wrapText="1"/>
    </xf>
    <xf numFmtId="0" fontId="1" fillId="0" borderId="0" xfId="0" applyFont="1"/>
    <xf numFmtId="0" fontId="20" fillId="0" borderId="0" xfId="6" applyFont="1" applyAlignment="1">
      <alignment wrapText="1"/>
    </xf>
    <xf numFmtId="0" fontId="18" fillId="3" borderId="1" xfId="0" applyFont="1" applyFill="1" applyBorder="1"/>
    <xf numFmtId="166" fontId="0" fillId="0" borderId="0" xfId="0" applyNumberFormat="1" applyAlignment="1">
      <alignment horizontal="center" vertical="center"/>
    </xf>
    <xf numFmtId="0" fontId="3" fillId="0" borderId="0" xfId="0" applyFont="1" applyAlignment="1">
      <alignment horizontal="center"/>
    </xf>
    <xf numFmtId="0" fontId="0" fillId="0" borderId="0" xfId="0" applyAlignment="1">
      <alignment horizontal="center" vertical="center"/>
    </xf>
    <xf numFmtId="0" fontId="19" fillId="3" borderId="2" xfId="6" applyFont="1" applyFill="1" applyBorder="1" applyAlignment="1">
      <alignment wrapText="1"/>
    </xf>
    <xf numFmtId="0" fontId="19" fillId="0" borderId="0" xfId="6" applyFont="1" applyAlignment="1">
      <alignment wrapText="1"/>
    </xf>
    <xf numFmtId="1" fontId="0" fillId="0" borderId="0" xfId="0" applyNumberFormat="1" applyAlignment="1">
      <alignment horizontal="center" vertical="center"/>
    </xf>
    <xf numFmtId="0" fontId="3" fillId="3" borderId="1" xfId="0" quotePrefix="1" applyFont="1" applyFill="1" applyBorder="1" applyAlignment="1">
      <alignment horizontal="center" wrapText="1"/>
    </xf>
    <xf numFmtId="0" fontId="7" fillId="0" borderId="0" xfId="0" applyFont="1" applyAlignment="1">
      <alignment wrapText="1"/>
    </xf>
    <xf numFmtId="1" fontId="0" fillId="17" borderId="1" xfId="0" applyNumberFormat="1" applyFill="1" applyBorder="1" applyAlignment="1">
      <alignment horizontal="center" vertical="center"/>
    </xf>
    <xf numFmtId="0" fontId="3" fillId="0" borderId="0" xfId="0" quotePrefix="1" applyFont="1" applyAlignment="1">
      <alignment horizontal="center" vertical="center" wrapText="1"/>
    </xf>
    <xf numFmtId="0" fontId="3" fillId="0" borderId="0" xfId="0" quotePrefix="1" applyFont="1" applyAlignment="1">
      <alignment horizontal="center" wrapText="1"/>
    </xf>
    <xf numFmtId="0" fontId="3" fillId="0" borderId="1" xfId="0" quotePrefix="1" applyFont="1" applyBorder="1" applyAlignment="1">
      <alignment horizontal="center" wrapText="1"/>
    </xf>
    <xf numFmtId="2" fontId="0" fillId="17" borderId="1" xfId="0" applyNumberFormat="1" applyFill="1" applyBorder="1" applyAlignment="1">
      <alignment horizontal="center" vertical="center"/>
    </xf>
    <xf numFmtId="0" fontId="3" fillId="0" borderId="0" xfId="0" quotePrefix="1" applyFont="1" applyAlignment="1">
      <alignment horizontal="left" wrapText="1"/>
    </xf>
    <xf numFmtId="0" fontId="21" fillId="4" borderId="7" xfId="0" applyFont="1" applyFill="1" applyBorder="1" applyAlignment="1">
      <alignment horizontal="center" vertical="center"/>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6" fillId="3"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0" fontId="3" fillId="0" borderId="0" xfId="0" quotePrefix="1" applyFont="1" applyAlignment="1">
      <alignment wrapText="1"/>
    </xf>
    <xf numFmtId="20" fontId="0" fillId="0" borderId="0" xfId="0" applyNumberFormat="1"/>
    <xf numFmtId="0" fontId="3" fillId="3" borderId="1" xfId="0" quotePrefix="1" applyFont="1" applyFill="1" applyBorder="1" applyAlignment="1">
      <alignment horizontal="left" wrapText="1"/>
    </xf>
    <xf numFmtId="0" fontId="3" fillId="3" borderId="1" xfId="0" quotePrefix="1" applyFont="1" applyFill="1" applyBorder="1" applyAlignment="1">
      <alignment horizontal="left" vertical="center" wrapText="1"/>
    </xf>
    <xf numFmtId="2" fontId="0" fillId="0" borderId="0" xfId="0" applyNumberFormat="1" applyAlignment="1">
      <alignment horizontal="center" vertical="center"/>
    </xf>
    <xf numFmtId="0" fontId="3" fillId="0" borderId="0" xfId="0" applyFont="1" applyAlignment="1">
      <alignment horizontal="center" wrapText="1"/>
    </xf>
    <xf numFmtId="0" fontId="3" fillId="0" borderId="1" xfId="0" quotePrefix="1" applyFont="1" applyBorder="1" applyAlignment="1">
      <alignment horizontal="left" vertical="center" wrapText="1"/>
    </xf>
    <xf numFmtId="0" fontId="3" fillId="0" borderId="1" xfId="0" applyFont="1" applyBorder="1" applyAlignment="1">
      <alignment horizontal="left"/>
    </xf>
    <xf numFmtId="1" fontId="3" fillId="0" borderId="0" xfId="0" applyNumberFormat="1" applyFont="1" applyAlignment="1">
      <alignment horizontal="center" vertical="center"/>
    </xf>
    <xf numFmtId="1" fontId="3" fillId="24" borderId="1" xfId="0" applyNumberFormat="1" applyFont="1" applyFill="1" applyBorder="1" applyAlignment="1">
      <alignment horizontal="left" vertical="center"/>
    </xf>
    <xf numFmtId="0" fontId="3" fillId="18" borderId="1" xfId="0" quotePrefix="1" applyFont="1" applyFill="1" applyBorder="1" applyAlignment="1">
      <alignment horizontal="left" vertical="center" wrapText="1"/>
    </xf>
    <xf numFmtId="1" fontId="0" fillId="0" borderId="0" xfId="0" applyNumberFormat="1" applyAlignment="1">
      <alignment vertical="center"/>
    </xf>
    <xf numFmtId="0" fontId="3" fillId="0" borderId="0" xfId="0" applyFont="1" applyAlignment="1">
      <alignment horizontal="center" vertical="center" wrapText="1"/>
    </xf>
    <xf numFmtId="0" fontId="3" fillId="0" borderId="0" xfId="0" applyFont="1" applyAlignment="1">
      <alignment vertical="center"/>
    </xf>
    <xf numFmtId="0" fontId="3" fillId="0" borderId="0" xfId="0" quotePrefix="1" applyFont="1" applyAlignment="1">
      <alignment vertical="center" wrapText="1"/>
    </xf>
    <xf numFmtId="0" fontId="3" fillId="3" borderId="16" xfId="0" applyFont="1" applyFill="1" applyBorder="1"/>
    <xf numFmtId="0" fontId="3" fillId="3" borderId="15" xfId="0" applyFont="1" applyFill="1" applyBorder="1"/>
    <xf numFmtId="0" fontId="3" fillId="3" borderId="1" xfId="0" applyFont="1" applyFill="1" applyBorder="1" applyAlignment="1">
      <alignment horizontal="center" vertical="center"/>
    </xf>
    <xf numFmtId="0" fontId="23" fillId="0" borderId="6" xfId="0" applyFont="1" applyBorder="1" applyAlignment="1">
      <alignment horizontal="center" vertical="center" wrapText="1"/>
    </xf>
    <xf numFmtId="0" fontId="23" fillId="0" borderId="2" xfId="0" applyFont="1" applyBorder="1" applyAlignment="1">
      <alignment horizontal="center" vertical="center" wrapText="1"/>
    </xf>
    <xf numFmtId="0" fontId="25" fillId="0" borderId="0" xfId="0" applyFont="1" applyAlignment="1">
      <alignment horizontal="left" vertical="center"/>
    </xf>
    <xf numFmtId="0" fontId="0" fillId="7" borderId="0" xfId="0" applyFill="1"/>
    <xf numFmtId="0" fontId="3" fillId="3" borderId="1" xfId="0" applyFont="1" applyFill="1" applyBorder="1" applyAlignment="1">
      <alignment vertical="center"/>
    </xf>
    <xf numFmtId="0" fontId="0" fillId="0" borderId="0" xfId="0" applyAlignment="1">
      <alignment vertical="center" wrapText="1"/>
    </xf>
    <xf numFmtId="0" fontId="3" fillId="4" borderId="1" xfId="0" applyFont="1" applyFill="1" applyBorder="1" applyAlignment="1">
      <alignment horizontal="left" vertical="center" wrapText="1"/>
    </xf>
    <xf numFmtId="9" fontId="0" fillId="13" borderId="1" xfId="0" applyNumberFormat="1" applyFill="1" applyBorder="1" applyAlignment="1">
      <alignment horizontal="center"/>
    </xf>
    <xf numFmtId="0" fontId="0" fillId="13" borderId="1" xfId="0" applyFill="1" applyBorder="1" applyAlignment="1">
      <alignment horizontal="center" vertical="center"/>
    </xf>
    <xf numFmtId="0" fontId="18" fillId="3" borderId="1" xfId="0" applyFont="1" applyFill="1" applyBorder="1" applyAlignment="1">
      <alignment horizontal="center" vertical="center" wrapText="1"/>
    </xf>
    <xf numFmtId="0" fontId="14" fillId="3" borderId="1" xfId="6" applyFont="1" applyFill="1" applyBorder="1" applyAlignment="1">
      <alignment horizontal="center" vertical="center" wrapText="1"/>
    </xf>
    <xf numFmtId="2" fontId="0" fillId="0" borderId="0" xfId="0" applyNumberFormat="1" applyAlignment="1">
      <alignment horizontal="center"/>
    </xf>
    <xf numFmtId="0" fontId="0" fillId="3" borderId="1" xfId="0" quotePrefix="1" applyFill="1" applyBorder="1" applyAlignment="1">
      <alignment horizontal="center" vertical="center"/>
    </xf>
    <xf numFmtId="0" fontId="3" fillId="0" borderId="0" xfId="0" applyFont="1" applyAlignment="1">
      <alignment horizontal="left"/>
    </xf>
    <xf numFmtId="0" fontId="22" fillId="0" borderId="0" xfId="9" applyAlignment="1">
      <alignment horizontal="left" vertical="center" indent="2"/>
    </xf>
    <xf numFmtId="167" fontId="0" fillId="0" borderId="0" xfId="2" applyNumberFormat="1" applyFont="1"/>
    <xf numFmtId="167" fontId="7" fillId="0" borderId="0" xfId="0" applyNumberFormat="1" applyFont="1"/>
    <xf numFmtId="0" fontId="0" fillId="8" borderId="0" xfId="0" applyFill="1"/>
    <xf numFmtId="0" fontId="0" fillId="8" borderId="1" xfId="0" applyFill="1" applyBorder="1"/>
    <xf numFmtId="0" fontId="3" fillId="0" borderId="0" xfId="0" quotePrefix="1" applyFont="1" applyAlignment="1">
      <alignment horizontal="center" vertical="center"/>
    </xf>
    <xf numFmtId="0" fontId="3" fillId="0" borderId="6" xfId="0" quotePrefix="1" applyFont="1" applyBorder="1" applyAlignment="1">
      <alignment horizontal="center" vertical="center" wrapText="1"/>
    </xf>
    <xf numFmtId="1" fontId="0" fillId="28" borderId="1" xfId="0" applyNumberFormat="1" applyFill="1" applyBorder="1" applyAlignment="1">
      <alignment horizontal="center" vertical="center"/>
    </xf>
    <xf numFmtId="1" fontId="3" fillId="28" borderId="1" xfId="0" applyNumberFormat="1" applyFont="1" applyFill="1" applyBorder="1" applyAlignment="1">
      <alignment horizontal="center" vertical="center"/>
    </xf>
    <xf numFmtId="0" fontId="3" fillId="0" borderId="7" xfId="0" applyFont="1" applyBorder="1"/>
    <xf numFmtId="0" fontId="3" fillId="0" borderId="6" xfId="0" applyFont="1" applyBorder="1"/>
    <xf numFmtId="0" fontId="0" fillId="13" borderId="29" xfId="0" applyFill="1" applyBorder="1" applyAlignment="1">
      <alignment horizontal="center"/>
    </xf>
    <xf numFmtId="0" fontId="0" fillId="13" borderId="21" xfId="0" applyFill="1" applyBorder="1" applyAlignment="1">
      <alignment horizontal="center"/>
    </xf>
    <xf numFmtId="0" fontId="0" fillId="13" borderId="30" xfId="0" applyFill="1" applyBorder="1" applyAlignment="1">
      <alignment horizontal="center"/>
    </xf>
    <xf numFmtId="0" fontId="0" fillId="13" borderId="34" xfId="0" applyFill="1" applyBorder="1" applyAlignment="1">
      <alignment horizontal="center"/>
    </xf>
    <xf numFmtId="0" fontId="12" fillId="0" borderId="0" xfId="4" applyFont="1" applyAlignment="1">
      <alignment horizontal="center"/>
    </xf>
    <xf numFmtId="0" fontId="30" fillId="6" borderId="0" xfId="0" applyFont="1" applyFill="1"/>
    <xf numFmtId="0" fontId="11" fillId="0" borderId="0" xfId="0" applyFont="1"/>
    <xf numFmtId="0" fontId="30" fillId="0" borderId="0" xfId="0" applyFont="1"/>
    <xf numFmtId="0" fontId="0" fillId="0" borderId="1" xfId="0" applyBorder="1" applyAlignment="1">
      <alignment horizontal="center" vertical="center"/>
    </xf>
    <xf numFmtId="0" fontId="22" fillId="0" borderId="0" xfId="9" applyFill="1" applyBorder="1" applyAlignment="1">
      <alignment horizontal="center" vertical="center"/>
    </xf>
    <xf numFmtId="0" fontId="31" fillId="0" borderId="0" xfId="0" applyFont="1" applyAlignment="1">
      <alignment horizontal="center" vertical="center"/>
    </xf>
    <xf numFmtId="0" fontId="0" fillId="0" borderId="0" xfId="0" applyAlignment="1">
      <alignment horizontal="left"/>
    </xf>
    <xf numFmtId="49" fontId="1" fillId="0" borderId="0" xfId="11">
      <alignment horizontal="center" vertical="center"/>
    </xf>
    <xf numFmtId="0" fontId="2" fillId="0" borderId="1" xfId="0" applyFont="1" applyBorder="1"/>
    <xf numFmtId="0" fontId="22" fillId="0" borderId="1" xfId="9" applyBorder="1" applyAlignment="1">
      <alignment wrapText="1"/>
    </xf>
    <xf numFmtId="166" fontId="0" fillId="13" borderId="1" xfId="0" applyNumberFormat="1" applyFill="1" applyBorder="1" applyAlignment="1">
      <alignment horizontal="center"/>
    </xf>
    <xf numFmtId="2" fontId="0" fillId="0" borderId="0" xfId="0" applyNumberFormat="1" applyAlignment="1">
      <alignment horizontal="left" wrapText="1"/>
    </xf>
    <xf numFmtId="10" fontId="15" fillId="0" borderId="0" xfId="2" applyNumberFormat="1" applyFont="1" applyFill="1" applyBorder="1" applyAlignment="1">
      <alignment horizontal="center"/>
    </xf>
    <xf numFmtId="10" fontId="0" fillId="0" borderId="0" xfId="2" applyNumberFormat="1" applyFont="1"/>
    <xf numFmtId="0" fontId="3" fillId="0" borderId="0" xfId="0" applyFont="1" applyAlignment="1">
      <alignment horizontal="left" wrapText="1"/>
    </xf>
    <xf numFmtId="2" fontId="0" fillId="13" borderId="0" xfId="0" applyNumberFormat="1" applyFill="1" applyAlignment="1">
      <alignment horizontal="center" vertical="center"/>
    </xf>
    <xf numFmtId="0" fontId="7" fillId="0" borderId="0" xfId="0" applyFont="1" applyAlignment="1">
      <alignment horizontal="center" vertical="center"/>
    </xf>
    <xf numFmtId="2" fontId="7" fillId="0" borderId="0" xfId="0" applyNumberFormat="1" applyFont="1" applyAlignment="1">
      <alignment horizontal="center" wrapText="1"/>
    </xf>
    <xf numFmtId="0" fontId="22" fillId="26" borderId="0" xfId="9" applyFill="1" applyAlignment="1">
      <alignment horizontal="center" vertical="center"/>
    </xf>
    <xf numFmtId="0" fontId="16" fillId="0" borderId="0" xfId="8" applyFont="1" applyFill="1" applyBorder="1" applyAlignment="1">
      <alignment horizontal="center"/>
    </xf>
    <xf numFmtId="0" fontId="0" fillId="3" borderId="1" xfId="0" quotePrefix="1" applyFill="1" applyBorder="1" applyAlignment="1">
      <alignment horizontal="center" wrapText="1"/>
    </xf>
    <xf numFmtId="0" fontId="0" fillId="16" borderId="1" xfId="8" applyFont="1" applyBorder="1" applyAlignment="1">
      <alignment horizontal="center"/>
    </xf>
    <xf numFmtId="0" fontId="14" fillId="0" borderId="22" xfId="7" applyFont="1" applyBorder="1" applyAlignment="1">
      <alignment horizontal="right" wrapText="1"/>
    </xf>
    <xf numFmtId="0" fontId="14" fillId="0" borderId="22" xfId="7" applyFont="1" applyBorder="1" applyAlignment="1">
      <alignment wrapText="1"/>
    </xf>
    <xf numFmtId="10" fontId="1" fillId="16" borderId="33" xfId="2" applyNumberFormat="1" applyFont="1" applyFill="1" applyBorder="1" applyAlignment="1">
      <alignment horizontal="center"/>
    </xf>
    <xf numFmtId="10" fontId="1" fillId="16" borderId="28" xfId="2" applyNumberFormat="1" applyFont="1" applyFill="1" applyBorder="1" applyAlignment="1">
      <alignment horizontal="center"/>
    </xf>
    <xf numFmtId="0" fontId="1" fillId="16" borderId="28" xfId="8" applyFont="1" applyBorder="1" applyAlignment="1">
      <alignment horizontal="center"/>
    </xf>
    <xf numFmtId="0" fontId="3" fillId="27" borderId="1" xfId="8" applyFont="1" applyFill="1" applyBorder="1" applyAlignment="1">
      <alignment horizontal="center"/>
    </xf>
    <xf numFmtId="0" fontId="0" fillId="4" borderId="1" xfId="0" applyFill="1" applyBorder="1" applyAlignment="1">
      <alignment horizontal="center"/>
    </xf>
    <xf numFmtId="0" fontId="3" fillId="0" borderId="4" xfId="0" applyFont="1" applyBorder="1" applyAlignment="1">
      <alignment horizontal="left"/>
    </xf>
    <xf numFmtId="0" fontId="0" fillId="0" borderId="0" xfId="8" applyFont="1" applyFill="1" applyBorder="1" applyAlignment="1">
      <alignment horizontal="center"/>
    </xf>
    <xf numFmtId="0" fontId="1" fillId="0" borderId="0" xfId="4" applyFont="1" applyAlignment="1">
      <alignment horizontal="center"/>
    </xf>
    <xf numFmtId="0" fontId="2" fillId="0" borderId="0" xfId="4" applyFont="1" applyAlignment="1">
      <alignment horizontal="center"/>
    </xf>
    <xf numFmtId="0" fontId="0" fillId="0" borderId="0" xfId="0" quotePrefix="1" applyAlignment="1">
      <alignment horizontal="center"/>
    </xf>
    <xf numFmtId="0" fontId="34" fillId="4" borderId="0" xfId="0" applyFont="1" applyFill="1"/>
    <xf numFmtId="0" fontId="35" fillId="0" borderId="0" xfId="0" applyFont="1"/>
    <xf numFmtId="0" fontId="35" fillId="3" borderId="0" xfId="0" applyFont="1" applyFill="1"/>
    <xf numFmtId="0" fontId="35" fillId="3" borderId="6" xfId="0" applyFont="1" applyFill="1" applyBorder="1"/>
    <xf numFmtId="0" fontId="35" fillId="0" borderId="1" xfId="0" applyFont="1" applyBorder="1"/>
    <xf numFmtId="9" fontId="35" fillId="0" borderId="1" xfId="0" applyNumberFormat="1" applyFont="1" applyBorder="1"/>
    <xf numFmtId="0" fontId="11" fillId="3" borderId="3" xfId="0" applyFont="1" applyFill="1" applyBorder="1" applyAlignment="1">
      <alignment horizontal="center" vertical="center" wrapText="1"/>
    </xf>
    <xf numFmtId="43" fontId="37" fillId="6" borderId="1" xfId="0" applyNumberFormat="1" applyFont="1" applyFill="1" applyBorder="1" applyAlignment="1">
      <alignment horizontal="center"/>
    </xf>
    <xf numFmtId="43" fontId="35" fillId="13" borderId="2" xfId="0" applyNumberFormat="1" applyFont="1" applyFill="1" applyBorder="1"/>
    <xf numFmtId="43" fontId="35" fillId="0" borderId="0" xfId="0" applyNumberFormat="1" applyFont="1"/>
    <xf numFmtId="0" fontId="11" fillId="3" borderId="7" xfId="0" applyFont="1" applyFill="1" applyBorder="1" applyAlignment="1">
      <alignment horizontal="center" vertical="center" wrapText="1"/>
    </xf>
    <xf numFmtId="0" fontId="38" fillId="13" borderId="1" xfId="0" applyFont="1" applyFill="1" applyBorder="1"/>
    <xf numFmtId="43" fontId="35" fillId="13" borderId="1" xfId="0" applyNumberFormat="1" applyFont="1" applyFill="1" applyBorder="1"/>
    <xf numFmtId="0" fontId="11" fillId="3" borderId="1"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4" fillId="14" borderId="38" xfId="5" applyFont="1" applyFill="1" applyBorder="1" applyAlignment="1">
      <alignment horizontal="left"/>
    </xf>
    <xf numFmtId="0" fontId="15" fillId="16" borderId="39" xfId="8" applyBorder="1"/>
    <xf numFmtId="0" fontId="14" fillId="30" borderId="40" xfId="6" applyFont="1" applyFill="1" applyBorder="1" applyAlignment="1">
      <alignment horizontal="center"/>
    </xf>
    <xf numFmtId="0" fontId="14" fillId="0" borderId="1" xfId="5" applyFont="1" applyBorder="1" applyAlignment="1">
      <alignment wrapText="1"/>
    </xf>
    <xf numFmtId="0" fontId="14" fillId="0" borderId="1" xfId="6" applyFont="1" applyBorder="1" applyAlignment="1">
      <alignment wrapText="1"/>
    </xf>
    <xf numFmtId="0" fontId="0" fillId="15" borderId="14" xfId="0" applyFill="1" applyBorder="1"/>
    <xf numFmtId="0" fontId="14" fillId="0" borderId="41" xfId="6" applyFont="1" applyBorder="1" applyAlignment="1">
      <alignment wrapText="1"/>
    </xf>
    <xf numFmtId="0" fontId="14" fillId="0" borderId="42" xfId="6" applyFont="1" applyBorder="1" applyAlignment="1">
      <alignment wrapText="1"/>
    </xf>
    <xf numFmtId="0" fontId="14" fillId="0" borderId="19" xfId="5" applyFont="1" applyBorder="1" applyAlignment="1">
      <alignment wrapText="1"/>
    </xf>
    <xf numFmtId="0" fontId="14" fillId="0" borderId="19" xfId="6" applyFont="1" applyBorder="1" applyAlignment="1">
      <alignment wrapText="1"/>
    </xf>
    <xf numFmtId="0" fontId="14" fillId="0" borderId="28" xfId="6" applyFont="1" applyBorder="1" applyAlignment="1">
      <alignment wrapText="1"/>
    </xf>
    <xf numFmtId="43" fontId="37" fillId="6" borderId="1" xfId="0" applyNumberFormat="1" applyFont="1" applyFill="1" applyBorder="1" applyAlignment="1">
      <alignment vertical="center"/>
    </xf>
    <xf numFmtId="0" fontId="40" fillId="6" borderId="1" xfId="9" applyFont="1" applyFill="1" applyBorder="1" applyAlignment="1">
      <alignment horizontal="left" vertical="center" wrapText="1"/>
    </xf>
    <xf numFmtId="0" fontId="22" fillId="2" borderId="1" xfId="9" applyFill="1" applyBorder="1" applyAlignment="1">
      <alignment wrapText="1"/>
    </xf>
    <xf numFmtId="0" fontId="40" fillId="32" borderId="1" xfId="9" applyFont="1" applyFill="1" applyBorder="1" applyAlignment="1">
      <alignment wrapText="1"/>
    </xf>
    <xf numFmtId="0" fontId="40" fillId="7" borderId="1" xfId="9" applyFont="1" applyFill="1" applyBorder="1" applyAlignment="1">
      <alignment wrapText="1"/>
    </xf>
    <xf numFmtId="0" fontId="22" fillId="33" borderId="1" xfId="9" applyFill="1" applyBorder="1" applyAlignment="1">
      <alignment wrapText="1"/>
    </xf>
    <xf numFmtId="0" fontId="22" fillId="5" borderId="1" xfId="9" applyFill="1" applyBorder="1" applyAlignment="1">
      <alignment wrapText="1"/>
    </xf>
    <xf numFmtId="0" fontId="22" fillId="4" borderId="1" xfId="9" applyFill="1" applyBorder="1" applyAlignment="1">
      <alignment wrapText="1"/>
    </xf>
    <xf numFmtId="0" fontId="22" fillId="9" borderId="1" xfId="9" applyFill="1" applyBorder="1" applyAlignment="1">
      <alignment wrapText="1"/>
    </xf>
    <xf numFmtId="0" fontId="29" fillId="0" borderId="0" xfId="0" applyFont="1"/>
    <xf numFmtId="0" fontId="41" fillId="4" borderId="0" xfId="0" applyFont="1" applyFill="1"/>
    <xf numFmtId="0" fontId="12" fillId="0" borderId="0" xfId="0" applyFont="1" applyAlignment="1">
      <alignment horizontal="left" vertical="center"/>
    </xf>
    <xf numFmtId="0" fontId="7" fillId="0" borderId="0" xfId="0" applyFont="1" applyAlignment="1">
      <alignment horizontal="center" vertical="center" wrapText="1"/>
    </xf>
    <xf numFmtId="0" fontId="39" fillId="6" borderId="1" xfId="0" applyFont="1" applyFill="1" applyBorder="1" applyAlignment="1">
      <alignment vertical="center" wrapText="1"/>
    </xf>
    <xf numFmtId="0" fontId="0" fillId="2" borderId="1" xfId="0" applyFill="1" applyBorder="1" applyAlignment="1">
      <alignment vertical="center" wrapText="1"/>
    </xf>
    <xf numFmtId="0" fontId="39" fillId="32" borderId="1" xfId="0" applyFont="1" applyFill="1" applyBorder="1" applyAlignment="1">
      <alignment vertical="center" wrapText="1"/>
    </xf>
    <xf numFmtId="0" fontId="39" fillId="7" borderId="1" xfId="0" applyFont="1" applyFill="1" applyBorder="1" applyAlignment="1">
      <alignment vertical="center" wrapText="1"/>
    </xf>
    <xf numFmtId="0" fontId="0" fillId="33" borderId="1" xfId="0" applyFill="1" applyBorder="1" applyAlignment="1">
      <alignment vertical="center" wrapText="1"/>
    </xf>
    <xf numFmtId="0" fontId="0" fillId="5" borderId="1" xfId="0" applyFill="1" applyBorder="1" applyAlignment="1">
      <alignment vertical="center" wrapText="1"/>
    </xf>
    <xf numFmtId="0" fontId="0" fillId="4" borderId="1" xfId="0" applyFill="1" applyBorder="1" applyAlignment="1">
      <alignment vertical="center" wrapText="1"/>
    </xf>
    <xf numFmtId="0" fontId="0" fillId="9" borderId="1" xfId="0" applyFill="1" applyBorder="1" applyAlignment="1">
      <alignment vertical="center" wrapText="1"/>
    </xf>
    <xf numFmtId="0" fontId="0" fillId="0" borderId="1" xfId="0" applyBorder="1" applyAlignment="1">
      <alignment vertical="center" wrapText="1"/>
    </xf>
    <xf numFmtId="0" fontId="39" fillId="6" borderId="1" xfId="0" applyFont="1" applyFill="1" applyBorder="1" applyAlignment="1">
      <alignment horizontal="center"/>
    </xf>
    <xf numFmtId="0" fontId="0" fillId="4" borderId="0" xfId="0" applyFill="1" applyAlignment="1">
      <alignment wrapText="1"/>
    </xf>
    <xf numFmtId="0" fontId="0" fillId="15" borderId="26" xfId="0" applyFill="1" applyBorder="1"/>
    <xf numFmtId="0" fontId="14" fillId="0" borderId="49" xfId="6" applyFont="1" applyBorder="1" applyAlignment="1">
      <alignment wrapText="1"/>
    </xf>
    <xf numFmtId="0" fontId="14" fillId="0" borderId="50" xfId="6" applyFont="1" applyBorder="1" applyAlignment="1">
      <alignment wrapText="1"/>
    </xf>
    <xf numFmtId="0" fontId="3" fillId="4" borderId="1" xfId="0" applyFont="1" applyFill="1" applyBorder="1" applyAlignment="1">
      <alignment horizontal="center"/>
    </xf>
    <xf numFmtId="0" fontId="3" fillId="3" borderId="32" xfId="0" applyFont="1" applyFill="1" applyBorder="1" applyAlignment="1">
      <alignment horizontal="center" vertical="center"/>
    </xf>
    <xf numFmtId="0" fontId="3" fillId="0" borderId="5" xfId="0" applyFont="1" applyBorder="1" applyAlignment="1">
      <alignment horizontal="left"/>
    </xf>
    <xf numFmtId="0" fontId="3" fillId="3" borderId="32" xfId="0" applyFont="1" applyFill="1" applyBorder="1" applyAlignment="1">
      <alignment vertical="center"/>
    </xf>
    <xf numFmtId="0" fontId="3" fillId="0" borderId="4" xfId="0" applyFont="1" applyBorder="1" applyAlignment="1">
      <alignment horizontal="center" wrapText="1"/>
    </xf>
    <xf numFmtId="164" fontId="0" fillId="0" borderId="0" xfId="1" applyFont="1" applyFill="1" applyBorder="1"/>
    <xf numFmtId="166" fontId="0" fillId="0" borderId="0" xfId="0" applyNumberFormat="1" applyAlignment="1">
      <alignment horizontal="center"/>
    </xf>
    <xf numFmtId="1" fontId="0" fillId="0" borderId="0" xfId="0" applyNumberFormat="1" applyAlignment="1">
      <alignment horizontal="center"/>
    </xf>
    <xf numFmtId="0" fontId="3" fillId="3" borderId="1" xfId="0" quotePrefix="1" applyFont="1" applyFill="1" applyBorder="1" applyAlignment="1">
      <alignment horizontal="left"/>
    </xf>
    <xf numFmtId="0" fontId="0" fillId="4" borderId="0" xfId="0" applyFill="1" applyAlignment="1">
      <alignment horizontal="center"/>
    </xf>
    <xf numFmtId="0" fontId="0" fillId="33" borderId="0" xfId="0" applyFill="1"/>
    <xf numFmtId="0" fontId="0" fillId="33" borderId="0" xfId="0" applyFill="1" applyAlignment="1">
      <alignment horizontal="center"/>
    </xf>
    <xf numFmtId="0" fontId="0" fillId="37" borderId="0" xfId="0" applyFill="1"/>
    <xf numFmtId="0" fontId="0" fillId="9" borderId="0" xfId="0" applyFill="1"/>
    <xf numFmtId="0" fontId="0" fillId="32" borderId="0" xfId="0" applyFill="1"/>
    <xf numFmtId="0" fontId="44" fillId="2" borderId="0" xfId="0" applyFont="1" applyFill="1"/>
    <xf numFmtId="0" fontId="0" fillId="0" borderId="0" xfId="4" applyFont="1" applyAlignment="1">
      <alignment horizontal="center"/>
    </xf>
    <xf numFmtId="49" fontId="3" fillId="3" borderId="1" xfId="10">
      <alignment horizontal="center"/>
    </xf>
    <xf numFmtId="0" fontId="15" fillId="16" borderId="51" xfId="8" applyBorder="1" applyAlignment="1">
      <alignment horizontal="center"/>
    </xf>
    <xf numFmtId="0" fontId="15" fillId="16" borderId="0" xfId="8"/>
    <xf numFmtId="49" fontId="15" fillId="16" borderId="0" xfId="8" applyNumberFormat="1" applyAlignment="1">
      <alignment horizontal="center" vertical="center"/>
    </xf>
    <xf numFmtId="0" fontId="45" fillId="39" borderId="0" xfId="0" applyFont="1" applyFill="1"/>
    <xf numFmtId="0" fontId="0" fillId="2" borderId="0" xfId="0" applyFill="1"/>
    <xf numFmtId="0" fontId="2" fillId="0" borderId="1" xfId="0" applyFont="1" applyBorder="1" applyAlignment="1">
      <alignment horizontal="center" vertical="top"/>
    </xf>
    <xf numFmtId="0" fontId="2" fillId="0" borderId="0" xfId="0" applyFont="1" applyAlignment="1">
      <alignment horizontal="center" vertical="top"/>
    </xf>
    <xf numFmtId="0" fontId="22" fillId="0" borderId="7" xfId="9" applyBorder="1" applyAlignment="1">
      <alignment vertical="center" wrapText="1"/>
    </xf>
    <xf numFmtId="0" fontId="0" fillId="0" borderId="9" xfId="0" applyBorder="1" applyAlignment="1">
      <alignment vertical="center" wrapText="1"/>
    </xf>
    <xf numFmtId="0" fontId="0" fillId="0" borderId="52" xfId="0" applyBorder="1" applyAlignment="1">
      <alignment horizontal="center" vertical="center"/>
    </xf>
    <xf numFmtId="0" fontId="0" fillId="0" borderId="52" xfId="0" applyBorder="1"/>
    <xf numFmtId="0" fontId="3" fillId="3" borderId="52" xfId="0" quotePrefix="1" applyFont="1" applyFill="1" applyBorder="1" applyAlignment="1">
      <alignment horizontal="center" wrapText="1"/>
    </xf>
    <xf numFmtId="2" fontId="3" fillId="13" borderId="16" xfId="0" applyNumberFormat="1" applyFont="1" applyFill="1" applyBorder="1" applyAlignment="1">
      <alignment horizontal="center" vertical="center"/>
    </xf>
    <xf numFmtId="2" fontId="3" fillId="13" borderId="15" xfId="0" applyNumberFormat="1" applyFont="1" applyFill="1" applyBorder="1" applyAlignment="1">
      <alignment horizontal="center" vertical="center"/>
    </xf>
    <xf numFmtId="2" fontId="3" fillId="13" borderId="31" xfId="0" applyNumberFormat="1" applyFont="1" applyFill="1" applyBorder="1" applyAlignment="1">
      <alignment horizontal="center" vertical="center"/>
    </xf>
    <xf numFmtId="0" fontId="3" fillId="3" borderId="2" xfId="0" applyFont="1" applyFill="1" applyBorder="1"/>
    <xf numFmtId="0" fontId="0" fillId="4" borderId="52" xfId="0" applyFill="1" applyBorder="1" applyAlignment="1">
      <alignment horizontal="center"/>
    </xf>
    <xf numFmtId="0" fontId="0" fillId="18" borderId="52" xfId="0" applyFill="1" applyBorder="1" applyAlignment="1">
      <alignment horizontal="left"/>
    </xf>
    <xf numFmtId="0" fontId="0" fillId="0" borderId="52" xfId="0" applyBorder="1" applyAlignment="1">
      <alignment horizontal="left"/>
    </xf>
    <xf numFmtId="0" fontId="0" fillId="13" borderId="52" xfId="0" applyFill="1" applyBorder="1" applyAlignment="1">
      <alignment horizontal="center"/>
    </xf>
    <xf numFmtId="0" fontId="0" fillId="13" borderId="52" xfId="0" applyFill="1" applyBorder="1" applyAlignment="1">
      <alignment horizontal="center" vertical="center"/>
    </xf>
    <xf numFmtId="0" fontId="19" fillId="3" borderId="52" xfId="6" applyFont="1" applyFill="1" applyBorder="1" applyAlignment="1">
      <alignment wrapText="1"/>
    </xf>
    <xf numFmtId="0" fontId="3" fillId="0" borderId="52" xfId="0" applyFont="1" applyBorder="1"/>
    <xf numFmtId="0" fontId="3" fillId="0" borderId="0" xfId="0" quotePrefix="1" applyFont="1" applyAlignment="1">
      <alignment horizontal="left" vertical="center" wrapText="1"/>
    </xf>
    <xf numFmtId="0" fontId="26" fillId="3" borderId="6" xfId="0" applyFont="1" applyFill="1" applyBorder="1" applyAlignment="1">
      <alignment horizontal="center" vertical="center" wrapText="1"/>
    </xf>
    <xf numFmtId="0" fontId="26" fillId="3" borderId="56" xfId="0" applyFont="1" applyFill="1" applyBorder="1" applyAlignment="1">
      <alignment horizontal="center" vertical="center" wrapText="1"/>
    </xf>
    <xf numFmtId="0" fontId="23" fillId="0" borderId="52" xfId="0" applyFont="1" applyBorder="1" applyAlignment="1">
      <alignment horizontal="center" vertical="center" wrapText="1"/>
    </xf>
    <xf numFmtId="0" fontId="24" fillId="0" borderId="52" xfId="0" applyFont="1" applyBorder="1" applyAlignment="1">
      <alignment horizontal="center" vertical="center" wrapText="1"/>
    </xf>
    <xf numFmtId="0" fontId="0" fillId="3" borderId="52" xfId="0" applyFill="1" applyBorder="1" applyAlignment="1">
      <alignment horizontal="center"/>
    </xf>
    <xf numFmtId="0" fontId="0" fillId="0" borderId="0" xfId="0" applyAlignment="1">
      <alignment horizontal="center" vertical="center" wrapText="1"/>
    </xf>
    <xf numFmtId="0" fontId="0" fillId="0" borderId="0" xfId="0" quotePrefix="1" applyAlignment="1">
      <alignment wrapText="1"/>
    </xf>
    <xf numFmtId="0" fontId="0" fillId="3" borderId="52" xfId="0" quotePrefix="1" applyFill="1" applyBorder="1" applyAlignment="1">
      <alignment horizontal="center" wrapText="1"/>
    </xf>
    <xf numFmtId="0" fontId="0" fillId="0" borderId="52" xfId="0" quotePrefix="1" applyBorder="1" applyAlignment="1">
      <alignment horizontal="center" vertical="center"/>
    </xf>
    <xf numFmtId="0" fontId="3" fillId="3" borderId="52" xfId="0" quotePrefix="1" applyFont="1" applyFill="1" applyBorder="1" applyAlignment="1">
      <alignment horizontal="left" wrapText="1"/>
    </xf>
    <xf numFmtId="0" fontId="0" fillId="16" borderId="52" xfId="8" applyFont="1" applyBorder="1" applyAlignment="1">
      <alignment horizontal="center"/>
    </xf>
    <xf numFmtId="0" fontId="3" fillId="3" borderId="54" xfId="0" quotePrefix="1" applyFont="1" applyFill="1" applyBorder="1" applyAlignment="1">
      <alignment horizontal="center" wrapText="1"/>
    </xf>
    <xf numFmtId="0" fontId="3" fillId="0" borderId="54" xfId="0" applyFont="1" applyBorder="1"/>
    <xf numFmtId="0" fontId="3" fillId="0" borderId="52" xfId="0" quotePrefix="1" applyFont="1" applyBorder="1" applyAlignment="1">
      <alignment horizontal="center" vertical="center"/>
    </xf>
    <xf numFmtId="0" fontId="3" fillId="16" borderId="52" xfId="8" applyFont="1" applyBorder="1" applyAlignment="1">
      <alignment horizontal="center"/>
    </xf>
    <xf numFmtId="1" fontId="3" fillId="24" borderId="52" xfId="0" applyNumberFormat="1" applyFont="1" applyFill="1" applyBorder="1" applyAlignment="1">
      <alignment horizontal="left" vertical="center"/>
    </xf>
    <xf numFmtId="0" fontId="1" fillId="0" borderId="57" xfId="8" applyFont="1" applyFill="1" applyBorder="1" applyAlignment="1">
      <alignment horizontal="center"/>
    </xf>
    <xf numFmtId="0" fontId="1" fillId="16" borderId="57" xfId="8" applyFont="1" applyBorder="1" applyAlignment="1">
      <alignment horizontal="center"/>
    </xf>
    <xf numFmtId="0" fontId="0" fillId="8" borderId="52" xfId="0" applyFill="1" applyBorder="1" applyAlignment="1">
      <alignment horizontal="center"/>
    </xf>
    <xf numFmtId="0" fontId="0" fillId="8" borderId="52" xfId="0" applyFill="1" applyBorder="1" applyAlignment="1">
      <alignment vertical="center"/>
    </xf>
    <xf numFmtId="0" fontId="0" fillId="8" borderId="52" xfId="0" applyFill="1" applyBorder="1" applyAlignment="1">
      <alignment horizontal="left"/>
    </xf>
    <xf numFmtId="0" fontId="0" fillId="18" borderId="52" xfId="0" applyFill="1" applyBorder="1" applyAlignment="1">
      <alignment horizontal="left" vertical="center"/>
    </xf>
    <xf numFmtId="0" fontId="0" fillId="18" borderId="55" xfId="0" applyFill="1" applyBorder="1" applyAlignment="1">
      <alignment horizontal="center"/>
    </xf>
    <xf numFmtId="0" fontId="0" fillId="18" borderId="52" xfId="0" applyFill="1" applyBorder="1" applyAlignment="1">
      <alignment horizontal="center"/>
    </xf>
    <xf numFmtId="166" fontId="0" fillId="13" borderId="52" xfId="0" applyNumberFormat="1" applyFill="1" applyBorder="1" applyAlignment="1">
      <alignment horizontal="center"/>
    </xf>
    <xf numFmtId="0" fontId="7" fillId="0" borderId="0" xfId="0" applyFont="1" applyAlignment="1">
      <alignment horizontal="left" vertical="center"/>
    </xf>
    <xf numFmtId="0" fontId="2" fillId="4" borderId="52" xfId="0" applyFont="1" applyFill="1" applyBorder="1" applyAlignment="1">
      <alignment horizontal="center"/>
    </xf>
    <xf numFmtId="0" fontId="0" fillId="18" borderId="1" xfId="0" applyFill="1" applyBorder="1" applyAlignment="1">
      <alignment horizontal="left"/>
    </xf>
    <xf numFmtId="0" fontId="0" fillId="18" borderId="1" xfId="0" applyFill="1" applyBorder="1"/>
    <xf numFmtId="0" fontId="3" fillId="0" borderId="1" xfId="0" applyFont="1" applyBorder="1" applyAlignment="1">
      <alignment horizontal="center" vertical="center"/>
    </xf>
    <xf numFmtId="0" fontId="1" fillId="3" borderId="1" xfId="0" quotePrefix="1" applyFont="1" applyFill="1" applyBorder="1" applyAlignment="1">
      <alignment horizontal="center" vertical="center"/>
    </xf>
    <xf numFmtId="0" fontId="1" fillId="3" borderId="1" xfId="0" applyFont="1" applyFill="1" applyBorder="1"/>
    <xf numFmtId="10" fontId="1" fillId="13" borderId="1" xfId="0" applyNumberFormat="1" applyFont="1" applyFill="1" applyBorder="1" applyAlignment="1">
      <alignment horizontal="center" vertical="center"/>
    </xf>
    <xf numFmtId="0" fontId="1" fillId="3" borderId="1" xfId="0" applyFont="1" applyFill="1" applyBorder="1" applyAlignment="1">
      <alignment vertical="center" wrapText="1"/>
    </xf>
    <xf numFmtId="0" fontId="19" fillId="3" borderId="1" xfId="6" applyFont="1" applyFill="1" applyBorder="1" applyAlignment="1">
      <alignment wrapText="1"/>
    </xf>
    <xf numFmtId="0" fontId="0" fillId="3" borderId="1" xfId="0" applyFill="1" applyBorder="1" applyAlignment="1">
      <alignment horizontal="center" vertical="center"/>
    </xf>
    <xf numFmtId="0" fontId="0" fillId="3" borderId="1" xfId="0" applyFill="1" applyBorder="1"/>
    <xf numFmtId="10" fontId="0" fillId="13" borderId="1" xfId="0" applyNumberFormat="1" applyFill="1" applyBorder="1" applyAlignment="1">
      <alignment horizontal="center" vertical="center"/>
    </xf>
    <xf numFmtId="0" fontId="0" fillId="3" borderId="1" xfId="0" applyFill="1" applyBorder="1" applyAlignment="1">
      <alignment vertical="center" wrapText="1"/>
    </xf>
    <xf numFmtId="10" fontId="0" fillId="17" borderId="1" xfId="0" applyNumberFormat="1" applyFill="1" applyBorder="1" applyAlignment="1">
      <alignment horizontal="center" vertical="center"/>
    </xf>
    <xf numFmtId="170" fontId="0" fillId="13" borderId="1" xfId="0" applyNumberFormat="1" applyFill="1" applyBorder="1" applyAlignment="1">
      <alignment horizontal="center"/>
    </xf>
    <xf numFmtId="170" fontId="0" fillId="2" borderId="1" xfId="0" applyNumberFormat="1" applyFill="1" applyBorder="1" applyAlignment="1">
      <alignment horizontal="center"/>
    </xf>
    <xf numFmtId="10" fontId="0" fillId="29" borderId="1" xfId="0" applyNumberFormat="1" applyFill="1" applyBorder="1" applyAlignment="1">
      <alignment horizontal="center" vertical="center"/>
    </xf>
    <xf numFmtId="169" fontId="1" fillId="13" borderId="1" xfId="0" applyNumberFormat="1" applyFont="1" applyFill="1" applyBorder="1" applyAlignment="1">
      <alignment horizontal="center" vertical="center"/>
    </xf>
    <xf numFmtId="0" fontId="2" fillId="4" borderId="52" xfId="0" applyFont="1" applyFill="1" applyBorder="1" applyAlignment="1">
      <alignment horizontal="left" vertical="center"/>
    </xf>
    <xf numFmtId="0" fontId="2" fillId="4" borderId="52" xfId="0" applyFont="1" applyFill="1" applyBorder="1" applyAlignment="1">
      <alignment horizontal="center" vertical="center"/>
    </xf>
    <xf numFmtId="166" fontId="14" fillId="0" borderId="58" xfId="5" applyNumberFormat="1" applyFont="1" applyBorder="1" applyAlignment="1">
      <alignment wrapText="1"/>
    </xf>
    <xf numFmtId="2" fontId="0" fillId="0" borderId="0" xfId="0" applyNumberFormat="1" applyAlignment="1">
      <alignment horizontal="left"/>
    </xf>
    <xf numFmtId="0" fontId="14" fillId="30" borderId="59" xfId="6" applyFont="1" applyFill="1" applyBorder="1" applyAlignment="1">
      <alignment horizontal="center"/>
    </xf>
    <xf numFmtId="0" fontId="14" fillId="0" borderId="60" xfId="6" applyFont="1" applyBorder="1" applyAlignment="1">
      <alignment wrapText="1"/>
    </xf>
    <xf numFmtId="166" fontId="14" fillId="0" borderId="60" xfId="5" applyNumberFormat="1" applyFont="1" applyBorder="1" applyAlignment="1">
      <alignment wrapText="1"/>
    </xf>
    <xf numFmtId="0" fontId="14" fillId="0" borderId="60" xfId="5" applyFont="1" applyBorder="1" applyAlignment="1">
      <alignment wrapText="1"/>
    </xf>
    <xf numFmtId="0" fontId="14" fillId="0" borderId="60" xfId="7" applyFont="1" applyBorder="1" applyAlignment="1">
      <alignment horizontal="right" wrapText="1"/>
    </xf>
    <xf numFmtId="0" fontId="14" fillId="0" borderId="60" xfId="7" applyFont="1" applyBorder="1" applyAlignment="1">
      <alignment wrapText="1"/>
    </xf>
    <xf numFmtId="0" fontId="3" fillId="4" borderId="61" xfId="0" applyFont="1" applyFill="1" applyBorder="1" applyAlignment="1">
      <alignment horizontal="center" wrapText="1"/>
    </xf>
    <xf numFmtId="0" fontId="3" fillId="3" borderId="61" xfId="0" quotePrefix="1" applyFont="1" applyFill="1" applyBorder="1" applyAlignment="1">
      <alignment horizontal="center" wrapText="1"/>
    </xf>
    <xf numFmtId="0" fontId="3" fillId="0" borderId="61" xfId="0" applyFont="1" applyBorder="1"/>
    <xf numFmtId="0" fontId="3" fillId="0" borderId="61" xfId="0" quotePrefix="1" applyFont="1" applyBorder="1" applyAlignment="1">
      <alignment horizontal="center" wrapText="1"/>
    </xf>
    <xf numFmtId="0" fontId="3" fillId="3" borderId="61" xfId="0" quotePrefix="1" applyFont="1" applyFill="1" applyBorder="1" applyAlignment="1">
      <alignment horizontal="left" wrapText="1"/>
    </xf>
    <xf numFmtId="1" fontId="0" fillId="17" borderId="61" xfId="0" applyNumberFormat="1" applyFill="1" applyBorder="1" applyAlignment="1">
      <alignment horizontal="center" vertical="center"/>
    </xf>
    <xf numFmtId="0" fontId="3" fillId="3" borderId="61" xfId="0" quotePrefix="1" applyFont="1" applyFill="1" applyBorder="1" applyAlignment="1">
      <alignment horizontal="center" vertical="center" wrapText="1"/>
    </xf>
    <xf numFmtId="0" fontId="3" fillId="0" borderId="61" xfId="0" quotePrefix="1" applyFont="1" applyBorder="1" applyAlignment="1">
      <alignment horizontal="center" vertical="center" wrapText="1"/>
    </xf>
    <xf numFmtId="1" fontId="0" fillId="13" borderId="61" xfId="0" applyNumberFormat="1" applyFill="1" applyBorder="1" applyAlignment="1">
      <alignment horizontal="center" vertical="center"/>
    </xf>
    <xf numFmtId="2" fontId="0" fillId="13" borderId="61" xfId="0" applyNumberFormat="1" applyFill="1" applyBorder="1" applyAlignment="1">
      <alignment horizontal="center" vertical="center"/>
    </xf>
    <xf numFmtId="0" fontId="3" fillId="4" borderId="62" xfId="0" applyFont="1" applyFill="1" applyBorder="1" applyAlignment="1">
      <alignment horizontal="center" wrapText="1"/>
    </xf>
    <xf numFmtId="0" fontId="17" fillId="0" borderId="61" xfId="0" applyFont="1" applyBorder="1"/>
    <xf numFmtId="0" fontId="0" fillId="0" borderId="61" xfId="0" applyBorder="1" applyAlignment="1">
      <alignment horizontal="center"/>
    </xf>
    <xf numFmtId="1" fontId="3" fillId="24" borderId="61" xfId="0" applyNumberFormat="1" applyFont="1" applyFill="1" applyBorder="1" applyAlignment="1">
      <alignment horizontal="left" vertical="center"/>
    </xf>
    <xf numFmtId="0" fontId="3" fillId="0" borderId="61" xfId="0" quotePrefix="1" applyFont="1" applyBorder="1" applyAlignment="1">
      <alignment horizontal="left" vertical="center" wrapText="1"/>
    </xf>
    <xf numFmtId="4" fontId="0" fillId="0" borderId="61" xfId="0" applyNumberFormat="1" applyBorder="1" applyAlignment="1">
      <alignment horizontal="left" vertical="center"/>
    </xf>
    <xf numFmtId="0" fontId="0" fillId="0" borderId="61" xfId="0" applyBorder="1" applyAlignment="1">
      <alignment horizontal="center" vertical="center"/>
    </xf>
    <xf numFmtId="0" fontId="3" fillId="3" borderId="61" xfId="0" quotePrefix="1" applyFont="1" applyFill="1" applyBorder="1" applyAlignment="1">
      <alignment horizontal="left" vertical="center" wrapText="1"/>
    </xf>
    <xf numFmtId="2" fontId="0" fillId="38" borderId="61" xfId="0" applyNumberFormat="1" applyFill="1" applyBorder="1" applyAlignment="1">
      <alignment horizontal="center" vertical="center"/>
    </xf>
    <xf numFmtId="0" fontId="3" fillId="3" borderId="62" xfId="0" quotePrefix="1" applyFont="1" applyFill="1" applyBorder="1" applyAlignment="1">
      <alignment horizontal="center" vertical="center" wrapText="1"/>
    </xf>
    <xf numFmtId="0" fontId="3" fillId="3" borderId="62" xfId="0" quotePrefix="1" applyFont="1" applyFill="1" applyBorder="1" applyAlignment="1">
      <alignment horizontal="center" wrapText="1"/>
    </xf>
    <xf numFmtId="2" fontId="0" fillId="17" borderId="61" xfId="0" applyNumberFormat="1" applyFill="1" applyBorder="1" applyAlignment="1">
      <alignment horizontal="center" vertical="center"/>
    </xf>
    <xf numFmtId="0" fontId="3" fillId="0" borderId="61" xfId="0" applyFont="1" applyBorder="1" applyAlignment="1">
      <alignment horizontal="left"/>
    </xf>
    <xf numFmtId="0" fontId="3" fillId="0" borderId="63" xfId="0" quotePrefix="1" applyFont="1" applyBorder="1" applyAlignment="1">
      <alignment horizontal="left" vertical="center" wrapText="1"/>
    </xf>
    <xf numFmtId="0" fontId="3" fillId="18" borderId="61" xfId="0" quotePrefix="1" applyFont="1" applyFill="1" applyBorder="1" applyAlignment="1">
      <alignment horizontal="left" vertical="center" wrapText="1"/>
    </xf>
    <xf numFmtId="0" fontId="3" fillId="4" borderId="61" xfId="0" applyFont="1" applyFill="1" applyBorder="1" applyAlignment="1">
      <alignment horizontal="center" vertical="center" wrapText="1"/>
    </xf>
    <xf numFmtId="168" fontId="0" fillId="13" borderId="61" xfId="0" applyNumberFormat="1" applyFill="1" applyBorder="1" applyAlignment="1">
      <alignment horizontal="center" vertical="center"/>
    </xf>
    <xf numFmtId="166" fontId="0" fillId="0" borderId="61" xfId="0" applyNumberFormat="1" applyBorder="1" applyAlignment="1">
      <alignment horizontal="left" vertical="center"/>
    </xf>
    <xf numFmtId="166" fontId="0" fillId="0" borderId="61" xfId="0" applyNumberFormat="1" applyBorder="1" applyAlignment="1">
      <alignment horizontal="center" vertical="center"/>
    </xf>
    <xf numFmtId="3" fontId="0" fillId="13" borderId="61" xfId="0" applyNumberFormat="1" applyFill="1" applyBorder="1" applyAlignment="1">
      <alignment horizontal="center" vertical="center"/>
    </xf>
    <xf numFmtId="0" fontId="3" fillId="3" borderId="61" xfId="0" applyFont="1" applyFill="1" applyBorder="1" applyAlignment="1">
      <alignment horizontal="center" wrapText="1"/>
    </xf>
    <xf numFmtId="0" fontId="0" fillId="0" borderId="61" xfId="0" applyBorder="1"/>
    <xf numFmtId="2" fontId="0" fillId="13" borderId="61" xfId="0" applyNumberFormat="1" applyFill="1" applyBorder="1" applyAlignment="1">
      <alignment horizontal="center"/>
    </xf>
    <xf numFmtId="0" fontId="3" fillId="3" borderId="64" xfId="0" quotePrefix="1" applyFont="1" applyFill="1" applyBorder="1" applyAlignment="1">
      <alignment horizontal="left" vertical="center" wrapText="1"/>
    </xf>
    <xf numFmtId="0" fontId="3" fillId="3" borderId="61" xfId="0" applyFont="1" applyFill="1" applyBorder="1"/>
    <xf numFmtId="0" fontId="3" fillId="13" borderId="61" xfId="0" applyFont="1" applyFill="1" applyBorder="1" applyAlignment="1">
      <alignment horizontal="center"/>
    </xf>
    <xf numFmtId="0" fontId="3" fillId="3" borderId="61" xfId="0" applyFont="1" applyFill="1" applyBorder="1" applyAlignment="1">
      <alignment vertical="center"/>
    </xf>
    <xf numFmtId="0" fontId="3" fillId="0" borderId="61" xfId="0" applyFont="1" applyBorder="1" applyAlignment="1">
      <alignment vertical="center"/>
    </xf>
    <xf numFmtId="0" fontId="3" fillId="3" borderId="61" xfId="0" applyFont="1" applyFill="1" applyBorder="1" applyAlignment="1">
      <alignment horizontal="center"/>
    </xf>
    <xf numFmtId="0" fontId="3" fillId="0" borderId="61" xfId="0" applyFont="1" applyBorder="1" applyAlignment="1">
      <alignment horizontal="left" wrapText="1"/>
    </xf>
    <xf numFmtId="0" fontId="3" fillId="0" borderId="61" xfId="0" applyFont="1" applyBorder="1" applyAlignment="1">
      <alignment horizontal="center" vertical="center" wrapText="1"/>
    </xf>
    <xf numFmtId="171" fontId="46" fillId="40" borderId="61" xfId="15" applyNumberFormat="1">
      <alignment horizontal="center" vertical="center"/>
    </xf>
    <xf numFmtId="0" fontId="3" fillId="0" borderId="61" xfId="0" applyFont="1" applyBorder="1" applyAlignment="1">
      <alignment horizontal="left" vertical="center" wrapText="1"/>
    </xf>
    <xf numFmtId="0" fontId="3" fillId="3" borderId="61" xfId="0" applyFont="1" applyFill="1" applyBorder="1" applyAlignment="1">
      <alignment horizontal="left"/>
    </xf>
    <xf numFmtId="0" fontId="3" fillId="3" borderId="61" xfId="0" applyFont="1" applyFill="1" applyBorder="1" applyAlignment="1">
      <alignment horizontal="center" vertical="center"/>
    </xf>
    <xf numFmtId="2" fontId="3" fillId="13" borderId="61" xfId="0" applyNumberFormat="1" applyFont="1" applyFill="1" applyBorder="1" applyAlignment="1">
      <alignment horizontal="center" vertical="center"/>
    </xf>
    <xf numFmtId="0" fontId="3" fillId="0" borderId="61" xfId="0" quotePrefix="1" applyFont="1" applyBorder="1" applyAlignment="1">
      <alignment horizontal="left" wrapText="1"/>
    </xf>
    <xf numFmtId="0" fontId="3" fillId="3" borderId="63" xfId="0" applyFont="1" applyFill="1" applyBorder="1"/>
    <xf numFmtId="0" fontId="3" fillId="0" borderId="61" xfId="0" applyFont="1" applyBorder="1" applyAlignment="1">
      <alignment horizontal="center" wrapText="1"/>
    </xf>
    <xf numFmtId="0" fontId="0" fillId="22" borderId="65" xfId="0" applyFill="1" applyBorder="1" applyAlignment="1">
      <alignment horizontal="center" vertical="center"/>
    </xf>
    <xf numFmtId="0" fontId="22" fillId="22" borderId="0" xfId="9" applyFill="1" applyBorder="1" applyAlignment="1">
      <alignment horizontal="center" vertical="center"/>
    </xf>
    <xf numFmtId="0" fontId="0" fillId="4" borderId="61" xfId="0" applyFill="1" applyBorder="1" applyAlignment="1">
      <alignment horizontal="center"/>
    </xf>
    <xf numFmtId="0" fontId="3" fillId="0" borderId="65" xfId="0" quotePrefix="1" applyFont="1" applyBorder="1" applyAlignment="1">
      <alignment horizontal="center" wrapText="1"/>
    </xf>
    <xf numFmtId="0" fontId="0" fillId="18" borderId="61" xfId="0" applyFill="1" applyBorder="1" applyAlignment="1">
      <alignment horizontal="left"/>
    </xf>
    <xf numFmtId="0" fontId="0" fillId="0" borderId="61" xfId="0" applyBorder="1" applyAlignment="1">
      <alignment horizontal="left"/>
    </xf>
    <xf numFmtId="0" fontId="0" fillId="13" borderId="61" xfId="0" applyFill="1" applyBorder="1" applyAlignment="1">
      <alignment horizontal="center"/>
    </xf>
    <xf numFmtId="0" fontId="3" fillId="0" borderId="61" xfId="0" applyFont="1" applyBorder="1" applyAlignment="1">
      <alignment horizontal="center"/>
    </xf>
    <xf numFmtId="0" fontId="0" fillId="3" borderId="61" xfId="0" applyFill="1" applyBorder="1" applyAlignment="1">
      <alignment horizontal="center"/>
    </xf>
    <xf numFmtId="9" fontId="0" fillId="13" borderId="61" xfId="0" applyNumberFormat="1" applyFill="1" applyBorder="1" applyAlignment="1">
      <alignment horizontal="center"/>
    </xf>
    <xf numFmtId="0" fontId="0" fillId="3" borderId="61" xfId="0" applyFill="1" applyBorder="1"/>
    <xf numFmtId="0" fontId="0" fillId="18" borderId="61" xfId="0" applyFill="1" applyBorder="1" applyAlignment="1">
      <alignment wrapText="1"/>
    </xf>
    <xf numFmtId="0" fontId="3" fillId="3" borderId="65" xfId="0" quotePrefix="1" applyFont="1" applyFill="1" applyBorder="1" applyAlignment="1">
      <alignment horizontal="left" vertical="center" wrapText="1"/>
    </xf>
    <xf numFmtId="1" fontId="0" fillId="13" borderId="61" xfId="0" applyNumberFormat="1" applyFill="1" applyBorder="1" applyAlignment="1">
      <alignment horizontal="center"/>
    </xf>
    <xf numFmtId="0" fontId="0" fillId="3" borderId="66" xfId="0" applyFill="1" applyBorder="1" applyAlignment="1">
      <alignment horizontal="left" vertical="center" wrapText="1"/>
    </xf>
    <xf numFmtId="0" fontId="3" fillId="13" borderId="65" xfId="0" applyFont="1" applyFill="1" applyBorder="1" applyAlignment="1">
      <alignment horizontal="center"/>
    </xf>
    <xf numFmtId="0" fontId="0" fillId="3" borderId="62" xfId="0" applyFill="1" applyBorder="1" applyAlignment="1">
      <alignment horizontal="left" vertical="center" wrapText="1"/>
    </xf>
    <xf numFmtId="0" fontId="0" fillId="4" borderId="61" xfId="0" applyFill="1" applyBorder="1"/>
    <xf numFmtId="0" fontId="0" fillId="3" borderId="61" xfId="0" applyFill="1" applyBorder="1" applyAlignment="1">
      <alignment horizontal="center" vertical="center"/>
    </xf>
    <xf numFmtId="171" fontId="46" fillId="40" borderId="52" xfId="14" applyNumberFormat="1">
      <alignment horizontal="center" vertical="center"/>
    </xf>
    <xf numFmtId="2" fontId="3" fillId="13" borderId="1" xfId="0" applyNumberFormat="1" applyFont="1" applyFill="1" applyBorder="1" applyAlignment="1">
      <alignment horizontal="center" vertical="center"/>
    </xf>
    <xf numFmtId="0" fontId="3" fillId="4" borderId="65" xfId="0" applyFont="1" applyFill="1" applyBorder="1" applyAlignment="1">
      <alignment horizontal="center" wrapText="1"/>
    </xf>
    <xf numFmtId="0" fontId="6" fillId="42" borderId="61" xfId="0" quotePrefix="1" applyFont="1" applyFill="1" applyBorder="1" applyAlignment="1">
      <alignment horizontal="center" vertical="center" wrapText="1"/>
    </xf>
    <xf numFmtId="0" fontId="0" fillId="4" borderId="64" xfId="0" applyFill="1" applyBorder="1" applyAlignment="1">
      <alignment horizontal="center"/>
    </xf>
    <xf numFmtId="0" fontId="1" fillId="3" borderId="1" xfId="0" quotePrefix="1" applyFont="1" applyFill="1" applyBorder="1" applyAlignment="1">
      <alignment horizontal="left" vertical="center"/>
    </xf>
    <xf numFmtId="0" fontId="1" fillId="13" borderId="1" xfId="0" applyFont="1" applyFill="1" applyBorder="1" applyAlignment="1">
      <alignment horizontal="center" vertical="center"/>
    </xf>
    <xf numFmtId="9" fontId="1" fillId="13" borderId="1" xfId="0" applyNumberFormat="1" applyFont="1" applyFill="1" applyBorder="1" applyAlignment="1">
      <alignment horizontal="center" vertical="center"/>
    </xf>
    <xf numFmtId="0" fontId="48" fillId="2" borderId="0" xfId="0" applyFont="1" applyFill="1"/>
    <xf numFmtId="0" fontId="0" fillId="4" borderId="1" xfId="0" applyFill="1" applyBorder="1" applyAlignment="1">
      <alignment horizontal="left"/>
    </xf>
    <xf numFmtId="0" fontId="0" fillId="43" borderId="1" xfId="0" applyFill="1" applyBorder="1"/>
    <xf numFmtId="0" fontId="0" fillId="43" borderId="0" xfId="0" applyFill="1"/>
    <xf numFmtId="0" fontId="0" fillId="13" borderId="1" xfId="0" applyFill="1" applyBorder="1"/>
    <xf numFmtId="9" fontId="0" fillId="13" borderId="1" xfId="0" applyNumberFormat="1" applyFill="1" applyBorder="1"/>
    <xf numFmtId="0" fontId="3" fillId="13" borderId="1" xfId="0" applyFont="1" applyFill="1" applyBorder="1"/>
    <xf numFmtId="0" fontId="0" fillId="4" borderId="1" xfId="0" applyFill="1" applyBorder="1"/>
    <xf numFmtId="9" fontId="3" fillId="13" borderId="1" xfId="0" applyNumberFormat="1" applyFont="1" applyFill="1" applyBorder="1"/>
    <xf numFmtId="0" fontId="18" fillId="8" borderId="1" xfId="0" applyFont="1" applyFill="1" applyBorder="1" applyAlignment="1">
      <alignment horizontal="left" vertical="center"/>
    </xf>
    <xf numFmtId="3" fontId="0" fillId="8" borderId="1" xfId="0" applyNumberFormat="1" applyFill="1" applyBorder="1"/>
    <xf numFmtId="3" fontId="0" fillId="0" borderId="0" xfId="0" applyNumberFormat="1"/>
    <xf numFmtId="0" fontId="0" fillId="8" borderId="1" xfId="0" applyFill="1" applyBorder="1" applyAlignment="1">
      <alignment horizontal="center" vertical="center"/>
    </xf>
    <xf numFmtId="10" fontId="0" fillId="3" borderId="1" xfId="0" quotePrefix="1" applyNumberFormat="1" applyFill="1" applyBorder="1" applyAlignment="1">
      <alignment horizontal="center" vertical="center"/>
    </xf>
    <xf numFmtId="0" fontId="2" fillId="4" borderId="61" xfId="0" applyFont="1" applyFill="1" applyBorder="1" applyAlignment="1">
      <alignment horizontal="center"/>
    </xf>
    <xf numFmtId="0" fontId="0" fillId="8" borderId="61" xfId="0" applyFill="1" applyBorder="1"/>
    <xf numFmtId="0" fontId="0" fillId="3" borderId="61" xfId="0" applyFill="1" applyBorder="1" applyAlignment="1">
      <alignment wrapText="1"/>
    </xf>
    <xf numFmtId="0" fontId="1" fillId="0" borderId="61" xfId="4" applyFont="1" applyBorder="1" applyAlignment="1">
      <alignment horizontal="center"/>
    </xf>
    <xf numFmtId="0" fontId="11" fillId="0" borderId="61" xfId="4" applyBorder="1"/>
    <xf numFmtId="11" fontId="1" fillId="13" borderId="61" xfId="4" applyNumberFormat="1" applyFont="1" applyFill="1" applyBorder="1" applyAlignment="1">
      <alignment horizontal="center"/>
    </xf>
    <xf numFmtId="0" fontId="3" fillId="0" borderId="61" xfId="0" applyFont="1" applyBorder="1" applyAlignment="1">
      <alignment wrapText="1"/>
    </xf>
    <xf numFmtId="0" fontId="19" fillId="3" borderId="61" xfId="4" applyFont="1" applyFill="1" applyBorder="1"/>
    <xf numFmtId="0" fontId="11" fillId="3" borderId="61" xfId="4" applyFill="1" applyBorder="1" applyAlignment="1">
      <alignment horizontal="center" vertical="center"/>
    </xf>
    <xf numFmtId="0" fontId="1" fillId="35" borderId="61" xfId="4" applyFont="1" applyFill="1" applyBorder="1" applyAlignment="1">
      <alignment horizontal="center" vertical="center"/>
    </xf>
    <xf numFmtId="0" fontId="0" fillId="35" borderId="61" xfId="0" applyFill="1" applyBorder="1" applyAlignment="1">
      <alignment horizontal="center" vertical="center"/>
    </xf>
    <xf numFmtId="0" fontId="0" fillId="8" borderId="61" xfId="0" applyFill="1" applyBorder="1" applyAlignment="1">
      <alignment wrapText="1"/>
    </xf>
    <xf numFmtId="165" fontId="0" fillId="13" borderId="61" xfId="0" applyNumberFormat="1" applyFill="1" applyBorder="1" applyAlignment="1">
      <alignment horizontal="center"/>
    </xf>
    <xf numFmtId="0" fontId="0" fillId="35" borderId="61" xfId="0" applyFill="1" applyBorder="1"/>
    <xf numFmtId="0" fontId="11" fillId="3" borderId="61" xfId="4" applyFill="1" applyBorder="1"/>
    <xf numFmtId="0" fontId="1" fillId="0" borderId="64" xfId="4" applyFont="1" applyBorder="1" applyAlignment="1">
      <alignment horizontal="center"/>
    </xf>
    <xf numFmtId="11" fontId="11" fillId="13" borderId="61" xfId="4" applyNumberFormat="1" applyFill="1" applyBorder="1" applyAlignment="1">
      <alignment horizontal="center"/>
    </xf>
    <xf numFmtId="0" fontId="11" fillId="13" borderId="61" xfId="4" applyFill="1" applyBorder="1" applyAlignment="1">
      <alignment horizontal="center"/>
    </xf>
    <xf numFmtId="0" fontId="1" fillId="13" borderId="64" xfId="4" applyFont="1" applyFill="1" applyBorder="1" applyAlignment="1">
      <alignment horizontal="center"/>
    </xf>
    <xf numFmtId="1" fontId="3" fillId="2" borderId="61" xfId="0" applyNumberFormat="1" applyFont="1" applyFill="1" applyBorder="1"/>
    <xf numFmtId="0" fontId="0" fillId="4" borderId="67" xfId="0" applyFill="1" applyBorder="1" applyAlignment="1">
      <alignment wrapText="1"/>
    </xf>
    <xf numFmtId="0" fontId="0" fillId="4" borderId="67" xfId="0" applyFill="1" applyBorder="1"/>
    <xf numFmtId="0" fontId="0" fillId="3" borderId="63" xfId="0" applyFill="1" applyBorder="1" applyAlignment="1">
      <alignment wrapText="1"/>
    </xf>
    <xf numFmtId="1" fontId="3" fillId="2" borderId="63" xfId="0" applyNumberFormat="1" applyFont="1" applyFill="1" applyBorder="1"/>
    <xf numFmtId="0" fontId="0" fillId="2" borderId="61" xfId="0" applyFill="1" applyBorder="1" applyAlignment="1">
      <alignment horizontal="center" vertical="center"/>
    </xf>
    <xf numFmtId="0" fontId="3" fillId="3" borderId="61" xfId="0" quotePrefix="1" applyFont="1" applyFill="1" applyBorder="1" applyAlignment="1">
      <alignment wrapText="1"/>
    </xf>
    <xf numFmtId="0" fontId="0" fillId="0" borderId="68" xfId="0" applyBorder="1"/>
    <xf numFmtId="9" fontId="3" fillId="2" borderId="64" xfId="0" applyNumberFormat="1" applyFont="1" applyFill="1" applyBorder="1"/>
    <xf numFmtId="0" fontId="3" fillId="3" borderId="61" xfId="0" quotePrefix="1" applyFont="1" applyFill="1" applyBorder="1"/>
    <xf numFmtId="0" fontId="0" fillId="2" borderId="62" xfId="0" applyFill="1" applyBorder="1"/>
    <xf numFmtId="9" fontId="3" fillId="2" borderId="61" xfId="0" applyNumberFormat="1" applyFont="1" applyFill="1" applyBorder="1"/>
    <xf numFmtId="0" fontId="2" fillId="44" borderId="61" xfId="0" applyFont="1" applyFill="1" applyBorder="1" applyAlignment="1">
      <alignment horizontal="center"/>
    </xf>
    <xf numFmtId="0" fontId="0" fillId="45" borderId="61" xfId="0" applyFill="1" applyBorder="1" applyAlignment="1">
      <alignment horizontal="center" wrapText="1"/>
    </xf>
    <xf numFmtId="1" fontId="0" fillId="46" borderId="61" xfId="0" applyNumberFormat="1" applyFill="1" applyBorder="1" applyAlignment="1">
      <alignment horizontal="left" vertical="center"/>
    </xf>
    <xf numFmtId="0" fontId="0" fillId="46" borderId="61" xfId="0" applyFill="1" applyBorder="1" applyAlignment="1">
      <alignment horizontal="left"/>
    </xf>
    <xf numFmtId="170" fontId="0" fillId="8" borderId="61" xfId="0" applyNumberFormat="1" applyFill="1" applyBorder="1"/>
    <xf numFmtId="0" fontId="0" fillId="46" borderId="69" xfId="0" applyFill="1" applyBorder="1" applyAlignment="1">
      <alignment horizontal="left"/>
    </xf>
    <xf numFmtId="0" fontId="0" fillId="47" borderId="28" xfId="0" applyFill="1" applyBorder="1" applyAlignment="1">
      <alignment horizontal="center"/>
    </xf>
    <xf numFmtId="0" fontId="49" fillId="0" borderId="61" xfId="0" applyFont="1" applyBorder="1"/>
    <xf numFmtId="9" fontId="0" fillId="0" borderId="0" xfId="0" applyNumberFormat="1"/>
    <xf numFmtId="10" fontId="0" fillId="8" borderId="61" xfId="0" applyNumberFormat="1" applyFill="1" applyBorder="1"/>
    <xf numFmtId="0" fontId="49" fillId="0" borderId="61" xfId="0" applyFont="1" applyBorder="1" applyAlignment="1">
      <alignment horizontal="center" wrapText="1"/>
    </xf>
    <xf numFmtId="1" fontId="0" fillId="0" borderId="0" xfId="0" applyNumberFormat="1"/>
    <xf numFmtId="1" fontId="12" fillId="0" borderId="0" xfId="4" applyNumberFormat="1" applyFont="1" applyAlignment="1">
      <alignment horizontal="center"/>
    </xf>
    <xf numFmtId="0" fontId="30" fillId="6" borderId="65" xfId="0" applyFont="1" applyFill="1" applyBorder="1" applyAlignment="1">
      <alignment horizontal="left" vertical="center"/>
    </xf>
    <xf numFmtId="0" fontId="30" fillId="6" borderId="65" xfId="0" applyFont="1" applyFill="1" applyBorder="1" applyAlignment="1">
      <alignment horizontal="center" vertical="center"/>
    </xf>
    <xf numFmtId="0" fontId="31" fillId="6" borderId="65" xfId="0" applyFont="1" applyFill="1" applyBorder="1" applyAlignment="1">
      <alignment horizontal="center" vertical="center"/>
    </xf>
    <xf numFmtId="0" fontId="0" fillId="19" borderId="65" xfId="0" applyFill="1" applyBorder="1" applyAlignment="1">
      <alignment horizontal="center" vertical="center"/>
    </xf>
    <xf numFmtId="0" fontId="22" fillId="19" borderId="65" xfId="9" applyFill="1" applyBorder="1" applyAlignment="1">
      <alignment horizontal="center" vertical="center"/>
    </xf>
    <xf numFmtId="0" fontId="0" fillId="19" borderId="65" xfId="0" applyFill="1" applyBorder="1" applyAlignment="1">
      <alignment horizontal="center" vertical="center" wrapText="1"/>
    </xf>
    <xf numFmtId="0" fontId="0" fillId="36" borderId="65" xfId="0" applyFill="1" applyBorder="1" applyAlignment="1">
      <alignment horizontal="center" vertical="center"/>
    </xf>
    <xf numFmtId="0" fontId="0" fillId="0" borderId="65" xfId="0" applyBorder="1" applyAlignment="1">
      <alignment horizontal="center"/>
    </xf>
    <xf numFmtId="0" fontId="0" fillId="0" borderId="65" xfId="0" applyBorder="1" applyAlignment="1">
      <alignment horizontal="center" vertical="center"/>
    </xf>
    <xf numFmtId="0" fontId="3" fillId="0" borderId="0" xfId="16" applyFill="1" applyBorder="1">
      <alignment horizontal="left" vertical="center"/>
    </xf>
    <xf numFmtId="0" fontId="6" fillId="4" borderId="1" xfId="0" quotePrefix="1" applyFont="1" applyFill="1" applyBorder="1" applyAlignment="1">
      <alignment horizontal="center" vertical="center" wrapText="1"/>
    </xf>
    <xf numFmtId="49" fontId="3" fillId="3" borderId="1" xfId="17">
      <alignment horizontal="left" wrapText="1"/>
    </xf>
    <xf numFmtId="0" fontId="3" fillId="0" borderId="56" xfId="0" quotePrefix="1" applyFont="1" applyBorder="1" applyAlignment="1">
      <alignment horizontal="center" vertical="center" wrapText="1"/>
    </xf>
    <xf numFmtId="0" fontId="0" fillId="28" borderId="1" xfId="0" applyFill="1" applyBorder="1" applyAlignment="1">
      <alignment horizontal="center" vertical="center"/>
    </xf>
    <xf numFmtId="49" fontId="3" fillId="3" borderId="1" xfId="17" applyAlignment="1">
      <alignment horizontal="left" vertical="center" wrapText="1"/>
    </xf>
    <xf numFmtId="49" fontId="3" fillId="3" borderId="1" xfId="17" applyAlignment="1">
      <alignment horizontal="center" vertical="center" wrapText="1"/>
    </xf>
    <xf numFmtId="49" fontId="3" fillId="3" borderId="1" xfId="17" quotePrefix="1">
      <alignment horizontal="left" wrapText="1"/>
    </xf>
    <xf numFmtId="0" fontId="0" fillId="0" borderId="4" xfId="0" applyBorder="1"/>
    <xf numFmtId="9" fontId="0" fillId="0" borderId="0" xfId="0" applyNumberFormat="1" applyAlignment="1">
      <alignment horizontal="center"/>
    </xf>
    <xf numFmtId="0" fontId="0" fillId="4" borderId="1" xfId="0" applyFill="1" applyBorder="1" applyAlignment="1">
      <alignment horizontal="center" vertical="center" wrapText="1"/>
    </xf>
    <xf numFmtId="0" fontId="17" fillId="0" borderId="1" xfId="0" applyFont="1" applyBorder="1" applyAlignment="1">
      <alignment horizontal="left"/>
    </xf>
    <xf numFmtId="0" fontId="3" fillId="3" borderId="1" xfId="16">
      <alignment horizontal="left" vertical="center"/>
    </xf>
    <xf numFmtId="2" fontId="0" fillId="0" borderId="1" xfId="0" applyNumberFormat="1" applyBorder="1" applyAlignment="1">
      <alignment horizontal="center"/>
    </xf>
    <xf numFmtId="0" fontId="3" fillId="4" borderId="1" xfId="16" applyFill="1" applyAlignment="1">
      <alignment horizontal="center" vertical="center"/>
    </xf>
    <xf numFmtId="0" fontId="3" fillId="4" borderId="0" xfId="16" applyFill="1" applyBorder="1">
      <alignment horizontal="left" vertical="center"/>
    </xf>
    <xf numFmtId="2" fontId="0" fillId="4" borderId="1" xfId="0" applyNumberFormat="1" applyFill="1" applyBorder="1" applyAlignment="1">
      <alignment horizontal="center"/>
    </xf>
    <xf numFmtId="43" fontId="37" fillId="6" borderId="1" xfId="0" applyNumberFormat="1" applyFont="1" applyFill="1" applyBorder="1" applyAlignment="1">
      <alignment horizontal="center" vertical="center"/>
    </xf>
    <xf numFmtId="0" fontId="6" fillId="4" borderId="1" xfId="0" applyFont="1" applyFill="1" applyBorder="1" applyAlignment="1">
      <alignment horizontal="center" vertical="center" wrapText="1"/>
    </xf>
    <xf numFmtId="0" fontId="0" fillId="3" borderId="1" xfId="0" applyFill="1" applyBorder="1" applyAlignment="1">
      <alignment horizontal="center"/>
    </xf>
    <xf numFmtId="0" fontId="0" fillId="31" borderId="1" xfId="0" applyFill="1" applyBorder="1"/>
    <xf numFmtId="166" fontId="3" fillId="13" borderId="1" xfId="0" applyNumberFormat="1" applyFont="1" applyFill="1" applyBorder="1" applyAlignment="1">
      <alignment horizontal="center"/>
    </xf>
    <xf numFmtId="0" fontId="3" fillId="4" borderId="1" xfId="0" applyFont="1" applyFill="1" applyBorder="1" applyAlignment="1">
      <alignment horizontal="center" vertical="center" wrapText="1"/>
    </xf>
    <xf numFmtId="0" fontId="0" fillId="3" borderId="1" xfId="0" quotePrefix="1" applyFill="1" applyBorder="1" applyAlignment="1">
      <alignment horizontal="center"/>
    </xf>
    <xf numFmtId="0" fontId="3" fillId="0" borderId="1" xfId="0" quotePrefix="1" applyFont="1" applyBorder="1" applyAlignment="1">
      <alignment horizontal="left" wrapText="1"/>
    </xf>
    <xf numFmtId="1"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2" fillId="4" borderId="1" xfId="0" applyFont="1" applyFill="1" applyBorder="1"/>
    <xf numFmtId="0" fontId="0" fillId="18" borderId="1" xfId="0" applyFill="1" applyBorder="1" applyAlignment="1">
      <alignment wrapText="1"/>
    </xf>
    <xf numFmtId="0" fontId="2" fillId="3" borderId="1" xfId="1" applyNumberFormat="1" applyFont="1" applyFill="1" applyBorder="1"/>
    <xf numFmtId="0" fontId="4" fillId="3" borderId="1" xfId="1" applyNumberFormat="1" applyFont="1" applyFill="1" applyBorder="1"/>
    <xf numFmtId="0" fontId="3" fillId="4" borderId="1" xfId="0" applyFont="1" applyFill="1" applyBorder="1"/>
    <xf numFmtId="168" fontId="3" fillId="13" borderId="1"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16" applyFill="1" applyAlignment="1">
      <alignment horizontal="center" vertical="center"/>
    </xf>
    <xf numFmtId="0" fontId="3" fillId="3" borderId="55" xfId="0" quotePrefix="1" applyFont="1" applyFill="1" applyBorder="1" applyAlignment="1">
      <alignment horizontal="center" wrapText="1"/>
    </xf>
    <xf numFmtId="0" fontId="6" fillId="4" borderId="1" xfId="0" quotePrefix="1" applyFont="1" applyFill="1" applyBorder="1" applyAlignment="1">
      <alignment horizontal="center" wrapText="1"/>
    </xf>
    <xf numFmtId="0" fontId="3" fillId="0" borderId="56" xfId="0" applyFont="1" applyBorder="1"/>
    <xf numFmtId="2" fontId="0" fillId="28" borderId="1" xfId="0" applyNumberFormat="1" applyFill="1" applyBorder="1" applyAlignment="1">
      <alignment horizontal="center" vertical="center"/>
    </xf>
    <xf numFmtId="1" fontId="0" fillId="13" borderId="1" xfId="0" applyNumberFormat="1" applyFill="1" applyBorder="1" applyAlignment="1">
      <alignment horizontal="center"/>
    </xf>
    <xf numFmtId="0" fontId="7" fillId="0" borderId="0" xfId="16" applyFont="1" applyFill="1" applyBorder="1">
      <alignment horizontal="left" vertical="center"/>
    </xf>
    <xf numFmtId="0" fontId="6" fillId="4" borderId="1" xfId="16" applyFont="1" applyFill="1">
      <alignment horizontal="left" vertical="center"/>
    </xf>
    <xf numFmtId="0" fontId="3" fillId="0" borderId="1" xfId="16" applyFill="1">
      <alignment horizontal="left" vertical="center"/>
    </xf>
    <xf numFmtId="0" fontId="39" fillId="6" borderId="1" xfId="0" applyFont="1" applyFill="1" applyBorder="1" applyAlignment="1">
      <alignment vertical="center"/>
    </xf>
    <xf numFmtId="0" fontId="18" fillId="3" borderId="1" xfId="0" applyFont="1" applyFill="1" applyBorder="1" applyAlignment="1">
      <alignment vertical="center"/>
    </xf>
    <xf numFmtId="0" fontId="18" fillId="41" borderId="1" xfId="0" applyFont="1" applyFill="1" applyBorder="1" applyAlignment="1">
      <alignment vertical="center"/>
    </xf>
    <xf numFmtId="0" fontId="7" fillId="13" borderId="1" xfId="0" applyFont="1" applyFill="1" applyBorder="1"/>
    <xf numFmtId="0" fontId="18" fillId="2" borderId="1" xfId="0" applyFont="1" applyFill="1" applyBorder="1" applyAlignment="1">
      <alignment vertical="center"/>
    </xf>
    <xf numFmtId="0" fontId="0" fillId="18" borderId="1" xfId="0" applyFill="1" applyBorder="1" applyAlignment="1">
      <alignment horizontal="left" wrapText="1"/>
    </xf>
    <xf numFmtId="0" fontId="0" fillId="3" borderId="56" xfId="0" applyFill="1" applyBorder="1" applyAlignment="1">
      <alignment horizontal="center"/>
    </xf>
    <xf numFmtId="0" fontId="0" fillId="0" borderId="1" xfId="0" applyBorder="1" applyAlignment="1">
      <alignment horizontal="left" vertical="center"/>
    </xf>
    <xf numFmtId="9" fontId="0" fillId="0" borderId="1" xfId="0" applyNumberFormat="1" applyBorder="1" applyAlignment="1">
      <alignment horizontal="center"/>
    </xf>
    <xf numFmtId="9" fontId="0" fillId="0" borderId="7" xfId="0" applyNumberFormat="1" applyBorder="1" applyAlignment="1">
      <alignment horizontal="center"/>
    </xf>
    <xf numFmtId="9" fontId="0" fillId="0" borderId="55" xfId="0" applyNumberFormat="1" applyBorder="1" applyAlignment="1">
      <alignment horizontal="center"/>
    </xf>
    <xf numFmtId="0" fontId="0" fillId="3" borderId="55" xfId="0" applyFill="1" applyBorder="1" applyAlignment="1">
      <alignment horizontal="left" vertical="center" wrapText="1"/>
    </xf>
    <xf numFmtId="0" fontId="3" fillId="4" borderId="70" xfId="0" applyFont="1" applyFill="1" applyBorder="1" applyAlignment="1">
      <alignment horizontal="center"/>
    </xf>
    <xf numFmtId="164" fontId="0" fillId="3" borderId="1" xfId="1" applyFont="1" applyFill="1" applyBorder="1"/>
    <xf numFmtId="0" fontId="1" fillId="3" borderId="1" xfId="1" applyNumberFormat="1" applyFont="1" applyFill="1" applyBorder="1" applyAlignment="1">
      <alignment horizontal="center"/>
    </xf>
    <xf numFmtId="0" fontId="4" fillId="3" borderId="1" xfId="1" applyNumberFormat="1" applyFont="1" applyFill="1" applyBorder="1" applyAlignment="1">
      <alignment horizontal="center"/>
    </xf>
    <xf numFmtId="0" fontId="30" fillId="31" borderId="0" xfId="0" applyFont="1" applyFill="1"/>
    <xf numFmtId="0" fontId="19" fillId="3" borderId="65" xfId="6" applyFont="1" applyFill="1" applyBorder="1" applyAlignment="1">
      <alignment wrapText="1"/>
    </xf>
    <xf numFmtId="0" fontId="0" fillId="18" borderId="61" xfId="0" applyFill="1" applyBorder="1" applyAlignment="1">
      <alignment horizontal="left" vertical="center"/>
    </xf>
    <xf numFmtId="0" fontId="0" fillId="18" borderId="62" xfId="0" applyFill="1" applyBorder="1" applyAlignment="1">
      <alignment horizontal="center" wrapText="1"/>
    </xf>
    <xf numFmtId="0" fontId="0" fillId="18" borderId="62" xfId="0" applyFill="1" applyBorder="1" applyAlignment="1">
      <alignment horizontal="center"/>
    </xf>
    <xf numFmtId="0" fontId="0" fillId="18" borderId="61" xfId="0" applyFill="1" applyBorder="1" applyAlignment="1">
      <alignment horizontal="center"/>
    </xf>
    <xf numFmtId="0" fontId="0" fillId="18" borderId="61" xfId="0" applyFill="1" applyBorder="1"/>
    <xf numFmtId="0" fontId="3" fillId="3" borderId="61" xfId="18">
      <alignment horizontal="left" vertical="center"/>
    </xf>
    <xf numFmtId="0" fontId="51" fillId="48" borderId="0" xfId="0" applyFont="1" applyFill="1"/>
    <xf numFmtId="0" fontId="51" fillId="48" borderId="0" xfId="0" applyFont="1" applyFill="1" applyAlignment="1">
      <alignment horizontal="left" vertical="center" wrapText="1"/>
    </xf>
    <xf numFmtId="0" fontId="39" fillId="48" borderId="0" xfId="0" applyFont="1" applyFill="1"/>
    <xf numFmtId="0" fontId="39" fillId="48" borderId="61" xfId="0" applyFont="1" applyFill="1" applyBorder="1"/>
    <xf numFmtId="0" fontId="0" fillId="0" borderId="4" xfId="0" applyBorder="1" applyAlignment="1">
      <alignment horizontal="center" vertical="center"/>
    </xf>
    <xf numFmtId="0" fontId="6" fillId="3" borderId="0" xfId="0" applyFont="1" applyFill="1" applyAlignment="1">
      <alignment horizontal="left" vertical="center" wrapText="1"/>
    </xf>
    <xf numFmtId="0" fontId="3" fillId="3" borderId="0" xfId="0" applyFont="1" applyFill="1" applyAlignment="1">
      <alignment horizontal="left" vertical="center" wrapText="1"/>
    </xf>
    <xf numFmtId="0" fontId="6" fillId="4" borderId="62" xfId="0" applyFont="1" applyFill="1" applyBorder="1" applyAlignment="1">
      <alignment horizontal="center" wrapText="1"/>
    </xf>
    <xf numFmtId="0" fontId="3" fillId="3" borderId="0" xfId="0" quotePrefix="1" applyFont="1" applyFill="1" applyAlignment="1">
      <alignment horizontal="center" vertical="center" wrapText="1"/>
    </xf>
    <xf numFmtId="4" fontId="2" fillId="43" borderId="61" xfId="0" applyNumberFormat="1" applyFont="1" applyFill="1" applyBorder="1" applyAlignment="1">
      <alignment vertical="center"/>
    </xf>
    <xf numFmtId="4" fontId="0" fillId="43" borderId="61" xfId="0" applyNumberFormat="1" applyFill="1" applyBorder="1" applyAlignment="1">
      <alignment vertical="center"/>
    </xf>
    <xf numFmtId="172" fontId="0" fillId="13" borderId="61" xfId="0" applyNumberFormat="1" applyFill="1" applyBorder="1" applyAlignment="1">
      <alignment horizontal="center"/>
    </xf>
    <xf numFmtId="172" fontId="0" fillId="0" borderId="0" xfId="0" applyNumberFormat="1" applyAlignment="1">
      <alignment horizontal="center"/>
    </xf>
    <xf numFmtId="166" fontId="0" fillId="13" borderId="61" xfId="0" applyNumberFormat="1" applyFill="1" applyBorder="1" applyAlignment="1">
      <alignment horizontal="center"/>
    </xf>
    <xf numFmtId="3" fontId="0" fillId="13" borderId="61" xfId="0" applyNumberFormat="1" applyFill="1" applyBorder="1" applyAlignment="1">
      <alignment horizontal="center"/>
    </xf>
    <xf numFmtId="3" fontId="0" fillId="0" borderId="0" xfId="0" applyNumberFormat="1" applyAlignment="1">
      <alignment horizontal="center"/>
    </xf>
    <xf numFmtId="11" fontId="0" fillId="0" borderId="0" xfId="0" applyNumberFormat="1"/>
    <xf numFmtId="0" fontId="3" fillId="26" borderId="52" xfId="0" applyFont="1" applyFill="1" applyBorder="1" applyAlignment="1">
      <alignment horizontal="center" vertical="center" wrapText="1"/>
    </xf>
    <xf numFmtId="0" fontId="22" fillId="26" borderId="52" xfId="9" applyFill="1" applyBorder="1" applyAlignment="1">
      <alignment horizontal="center" vertical="center" wrapText="1"/>
    </xf>
    <xf numFmtId="0" fontId="6" fillId="4" borderId="1" xfId="16" applyFont="1" applyFill="1" applyAlignment="1">
      <alignment horizontal="center" vertical="center"/>
    </xf>
    <xf numFmtId="0" fontId="0" fillId="26" borderId="52" xfId="0" applyFill="1" applyBorder="1" applyAlignment="1">
      <alignment horizontal="center" vertical="center"/>
    </xf>
    <xf numFmtId="0" fontId="22" fillId="26" borderId="52" xfId="9" applyFill="1" applyBorder="1" applyAlignment="1">
      <alignment horizontal="center" vertical="center"/>
    </xf>
    <xf numFmtId="0" fontId="0" fillId="26" borderId="52" xfId="0" applyFill="1" applyBorder="1" applyAlignment="1">
      <alignment horizontal="center" vertical="center" wrapText="1"/>
    </xf>
    <xf numFmtId="0" fontId="7" fillId="0" borderId="1" xfId="0" applyFont="1" applyBorder="1"/>
    <xf numFmtId="0" fontId="6" fillId="4" borderId="52" xfId="0" applyFont="1" applyFill="1" applyBorder="1"/>
    <xf numFmtId="0" fontId="17" fillId="0" borderId="52" xfId="0" applyFont="1" applyBorder="1"/>
    <xf numFmtId="0" fontId="0" fillId="0" borderId="52" xfId="0" applyBorder="1" applyAlignment="1">
      <alignment horizontal="center"/>
    </xf>
    <xf numFmtId="2" fontId="3" fillId="27" borderId="1" xfId="8" applyNumberFormat="1" applyFont="1" applyFill="1" applyBorder="1" applyAlignment="1">
      <alignment horizontal="center"/>
    </xf>
    <xf numFmtId="11" fontId="0" fillId="13" borderId="52" xfId="0" applyNumberFormat="1" applyFill="1" applyBorder="1" applyAlignment="1">
      <alignment horizontal="center"/>
    </xf>
    <xf numFmtId="10" fontId="7" fillId="13" borderId="52" xfId="0" applyNumberFormat="1" applyFont="1" applyFill="1" applyBorder="1" applyAlignment="1">
      <alignment horizontal="center"/>
    </xf>
    <xf numFmtId="10" fontId="0" fillId="20" borderId="52" xfId="0" applyNumberFormat="1" applyFill="1" applyBorder="1" applyAlignment="1">
      <alignment horizontal="center"/>
    </xf>
    <xf numFmtId="10" fontId="0" fillId="13" borderId="52" xfId="0" applyNumberFormat="1" applyFill="1" applyBorder="1" applyAlignment="1">
      <alignment horizontal="center"/>
    </xf>
    <xf numFmtId="10" fontId="0" fillId="2" borderId="52" xfId="0" applyNumberFormat="1" applyFill="1" applyBorder="1" applyAlignment="1">
      <alignment horizontal="center"/>
    </xf>
    <xf numFmtId="10" fontId="7" fillId="2" borderId="52" xfId="0" applyNumberFormat="1" applyFont="1" applyFill="1" applyBorder="1" applyAlignment="1">
      <alignment horizontal="center"/>
    </xf>
    <xf numFmtId="1" fontId="0" fillId="17" borderId="52" xfId="0" applyNumberFormat="1" applyFill="1" applyBorder="1" applyAlignment="1">
      <alignment horizontal="center" vertical="center"/>
    </xf>
    <xf numFmtId="0" fontId="1" fillId="13" borderId="52" xfId="0" applyFont="1" applyFill="1" applyBorder="1" applyAlignment="1">
      <alignment horizontal="center" vertical="center"/>
    </xf>
    <xf numFmtId="170" fontId="0" fillId="13" borderId="52" xfId="0" applyNumberFormat="1" applyFill="1" applyBorder="1" applyAlignment="1">
      <alignment horizontal="center" vertical="center"/>
    </xf>
    <xf numFmtId="170" fontId="0" fillId="35" borderId="52" xfId="0" applyNumberFormat="1" applyFill="1" applyBorder="1" applyAlignment="1">
      <alignment horizontal="center" vertical="center"/>
    </xf>
    <xf numFmtId="0" fontId="30" fillId="6" borderId="0" xfId="0" applyFont="1" applyFill="1" applyAlignment="1">
      <alignment horizontal="center" vertical="center" wrapText="1"/>
    </xf>
    <xf numFmtId="0" fontId="0" fillId="19" borderId="52" xfId="0" applyFill="1" applyBorder="1" applyAlignment="1">
      <alignment horizontal="center" vertical="center"/>
    </xf>
    <xf numFmtId="0" fontId="22" fillId="19" borderId="52" xfId="9" applyFill="1" applyBorder="1" applyAlignment="1">
      <alignment horizontal="center" vertical="center"/>
    </xf>
    <xf numFmtId="0" fontId="0" fillId="19" borderId="52" xfId="0" applyFill="1" applyBorder="1" applyAlignment="1">
      <alignment horizontal="center" vertical="center" wrapText="1"/>
    </xf>
    <xf numFmtId="0" fontId="22" fillId="19" borderId="52" xfId="9" applyFill="1" applyBorder="1" applyAlignment="1">
      <alignment horizontal="center" vertical="center" wrapText="1"/>
    </xf>
    <xf numFmtId="0" fontId="0" fillId="36" borderId="52" xfId="0" applyFill="1" applyBorder="1" applyAlignment="1">
      <alignment horizontal="center" vertical="center" wrapText="1"/>
    </xf>
    <xf numFmtId="0" fontId="22" fillId="36" borderId="52" xfId="9" applyFill="1" applyBorder="1" applyAlignment="1">
      <alignment horizontal="center" vertical="center"/>
    </xf>
    <xf numFmtId="0" fontId="0" fillId="36" borderId="52" xfId="0" applyFill="1" applyBorder="1" applyAlignment="1">
      <alignment horizontal="center" vertical="center"/>
    </xf>
    <xf numFmtId="0" fontId="3" fillId="25" borderId="52" xfId="0" applyFont="1" applyFill="1" applyBorder="1" applyAlignment="1">
      <alignment horizontal="center" vertical="center"/>
    </xf>
    <xf numFmtId="0" fontId="22" fillId="25" borderId="52" xfId="9" applyFill="1" applyBorder="1" applyAlignment="1">
      <alignment horizontal="center" vertical="center"/>
    </xf>
    <xf numFmtId="0" fontId="0" fillId="25" borderId="52" xfId="0" applyFill="1" applyBorder="1" applyAlignment="1">
      <alignment horizontal="center" vertical="center"/>
    </xf>
    <xf numFmtId="0" fontId="3" fillId="25" borderId="52" xfId="0" applyFont="1" applyFill="1" applyBorder="1" applyAlignment="1">
      <alignment horizontal="center" vertical="center" wrapText="1"/>
    </xf>
    <xf numFmtId="0" fontId="0" fillId="25" borderId="52" xfId="0" applyFill="1" applyBorder="1" applyAlignment="1">
      <alignment horizontal="center" vertical="center" wrapText="1"/>
    </xf>
    <xf numFmtId="0" fontId="22" fillId="25" borderId="52" xfId="9" applyFill="1" applyBorder="1" applyAlignment="1">
      <alignment horizontal="center" vertical="center" wrapText="1"/>
    </xf>
    <xf numFmtId="0" fontId="22" fillId="26" borderId="52" xfId="9" quotePrefix="1" applyFill="1" applyBorder="1" applyAlignment="1">
      <alignment horizontal="center" vertical="center" wrapText="1"/>
    </xf>
    <xf numFmtId="0" fontId="22" fillId="26" borderId="52" xfId="9" quotePrefix="1" applyFill="1" applyBorder="1" applyAlignment="1">
      <alignment horizontal="center" vertical="center"/>
    </xf>
    <xf numFmtId="0" fontId="7" fillId="5" borderId="52" xfId="0" applyFont="1" applyFill="1" applyBorder="1" applyAlignment="1">
      <alignment horizontal="center" vertical="center" wrapText="1"/>
    </xf>
    <xf numFmtId="0" fontId="22" fillId="5" borderId="52" xfId="9" applyFill="1" applyBorder="1" applyAlignment="1">
      <alignment horizontal="center" vertical="center"/>
    </xf>
    <xf numFmtId="0" fontId="0" fillId="5" borderId="52" xfId="0" applyFill="1" applyBorder="1" applyAlignment="1">
      <alignment horizontal="center" vertical="center"/>
    </xf>
    <xf numFmtId="0" fontId="3" fillId="5" borderId="52" xfId="0" applyFont="1" applyFill="1" applyBorder="1" applyAlignment="1">
      <alignment horizontal="center" vertical="center" wrapText="1"/>
    </xf>
    <xf numFmtId="0" fontId="0" fillId="22" borderId="52" xfId="0" applyFill="1" applyBorder="1" applyAlignment="1">
      <alignment horizontal="center" vertical="center"/>
    </xf>
    <xf numFmtId="0" fontId="22" fillId="22" borderId="52" xfId="9" applyFill="1" applyBorder="1" applyAlignment="1">
      <alignment horizontal="center" vertical="center"/>
    </xf>
    <xf numFmtId="0" fontId="0" fillId="22" borderId="52" xfId="0" applyFill="1" applyBorder="1" applyAlignment="1">
      <alignment horizontal="center" vertical="center" wrapText="1"/>
    </xf>
    <xf numFmtId="0" fontId="7" fillId="22" borderId="52" xfId="0" applyFont="1" applyFill="1" applyBorder="1" applyAlignment="1">
      <alignment horizontal="center" vertical="center" wrapText="1"/>
    </xf>
    <xf numFmtId="0" fontId="22" fillId="22" borderId="52" xfId="9" applyFill="1" applyBorder="1" applyAlignment="1">
      <alignment horizontal="center" vertical="center" wrapText="1"/>
    </xf>
    <xf numFmtId="0" fontId="30" fillId="6" borderId="52" xfId="0" applyFont="1" applyFill="1" applyBorder="1" applyAlignment="1">
      <alignment horizontal="left" vertical="center"/>
    </xf>
    <xf numFmtId="0" fontId="3" fillId="19" borderId="52" xfId="0" applyFont="1" applyFill="1" applyBorder="1" applyAlignment="1">
      <alignment horizontal="center" vertical="center" wrapText="1"/>
    </xf>
    <xf numFmtId="0" fontId="3" fillId="26" borderId="52" xfId="0" applyFont="1" applyFill="1" applyBorder="1" applyAlignment="1">
      <alignment horizontal="left" vertical="center" wrapText="1"/>
    </xf>
    <xf numFmtId="0" fontId="0" fillId="23" borderId="52" xfId="0" applyFill="1" applyBorder="1" applyAlignment="1">
      <alignment horizontal="center" vertical="center"/>
    </xf>
    <xf numFmtId="0" fontId="22" fillId="23" borderId="52" xfId="9" applyFill="1" applyBorder="1" applyAlignment="1">
      <alignment horizontal="center" vertical="center"/>
    </xf>
    <xf numFmtId="0" fontId="3" fillId="23" borderId="52" xfId="0" applyFont="1" applyFill="1" applyBorder="1" applyAlignment="1">
      <alignment horizontal="center" vertical="center" wrapText="1"/>
    </xf>
    <xf numFmtId="0" fontId="0" fillId="23" borderId="52" xfId="0" applyFill="1" applyBorder="1" applyAlignment="1">
      <alignment horizontal="center" vertical="center" wrapText="1"/>
    </xf>
    <xf numFmtId="0" fontId="0" fillId="5" borderId="52" xfId="0" applyFill="1" applyBorder="1" applyAlignment="1">
      <alignment horizontal="center" vertical="center" wrapText="1"/>
    </xf>
    <xf numFmtId="0" fontId="0" fillId="5" borderId="52" xfId="0" applyFill="1" applyBorder="1" applyAlignment="1">
      <alignment horizontal="center" wrapText="1"/>
    </xf>
    <xf numFmtId="0" fontId="30" fillId="0" borderId="0" xfId="0" applyFont="1" applyAlignment="1">
      <alignment horizontal="center" vertical="center" wrapText="1"/>
    </xf>
    <xf numFmtId="0" fontId="0" fillId="20" borderId="20" xfId="0" applyFill="1" applyBorder="1" applyAlignment="1">
      <alignment vertical="center" wrapText="1"/>
    </xf>
    <xf numFmtId="0" fontId="0" fillId="20" borderId="0" xfId="0" applyFill="1" applyAlignment="1">
      <alignment vertical="center" wrapText="1"/>
    </xf>
    <xf numFmtId="0" fontId="2" fillId="9" borderId="20" xfId="0" applyFont="1" applyFill="1" applyBorder="1" applyAlignment="1">
      <alignment horizontal="left" vertical="center" wrapText="1"/>
    </xf>
    <xf numFmtId="0" fontId="2" fillId="9" borderId="0" xfId="0" applyFont="1" applyFill="1" applyAlignment="1">
      <alignment horizontal="left" vertical="center" wrapText="1"/>
    </xf>
    <xf numFmtId="0" fontId="0" fillId="23" borderId="1" xfId="0" applyFill="1" applyBorder="1" applyAlignment="1">
      <alignment horizontal="left" vertical="center" wrapText="1"/>
    </xf>
    <xf numFmtId="0" fontId="2" fillId="15" borderId="20" xfId="0" applyFont="1" applyFill="1" applyBorder="1" applyAlignment="1">
      <alignment horizontal="left" vertical="center"/>
    </xf>
    <xf numFmtId="0" fontId="2" fillId="15" borderId="0" xfId="0" applyFont="1" applyFill="1" applyAlignment="1">
      <alignment horizontal="left" vertical="center"/>
    </xf>
    <xf numFmtId="0" fontId="0" fillId="0" borderId="0" xfId="0" applyAlignment="1">
      <alignment horizontal="left" vertical="center" wrapText="1"/>
    </xf>
    <xf numFmtId="0" fontId="32" fillId="0" borderId="1" xfId="0" applyFont="1" applyBorder="1" applyAlignment="1">
      <alignment horizontal="center" vertical="center" wrapText="1"/>
    </xf>
    <xf numFmtId="0" fontId="32" fillId="0" borderId="7"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7" xfId="0" applyFont="1" applyBorder="1" applyAlignment="1">
      <alignment horizontal="left" wrapText="1"/>
    </xf>
    <xf numFmtId="0" fontId="32" fillId="0" borderId="9" xfId="0" applyFont="1" applyBorder="1" applyAlignment="1">
      <alignment horizontal="left" wrapText="1"/>
    </xf>
    <xf numFmtId="0" fontId="52" fillId="3" borderId="56" xfId="0" applyFont="1" applyFill="1" applyBorder="1" applyAlignment="1">
      <alignment horizontal="center" vertical="center" wrapText="1"/>
    </xf>
    <xf numFmtId="0" fontId="52" fillId="3" borderId="65" xfId="0" applyFont="1" applyFill="1" applyBorder="1" applyAlignment="1">
      <alignment horizontal="center" vertical="center" wrapText="1"/>
    </xf>
    <xf numFmtId="0" fontId="32" fillId="3" borderId="52" xfId="0" applyFont="1" applyFill="1" applyBorder="1" applyAlignment="1">
      <alignment horizontal="center" vertical="center"/>
    </xf>
    <xf numFmtId="0" fontId="33" fillId="3" borderId="52" xfId="0" applyFont="1" applyFill="1" applyBorder="1" applyAlignment="1">
      <alignment horizontal="center" vertical="center"/>
    </xf>
    <xf numFmtId="0" fontId="52" fillId="3" borderId="52" xfId="0" applyFont="1" applyFill="1" applyBorder="1" applyAlignment="1">
      <alignment horizontal="center" vertical="center" wrapText="1"/>
    </xf>
    <xf numFmtId="0" fontId="43" fillId="2" borderId="0" xfId="0" applyFont="1" applyFill="1" applyAlignment="1">
      <alignment horizontal="center" wrapText="1"/>
    </xf>
    <xf numFmtId="0" fontId="0" fillId="3" borderId="36" xfId="0" applyFill="1" applyBorder="1" applyAlignment="1">
      <alignment horizontal="center"/>
    </xf>
    <xf numFmtId="0" fontId="0" fillId="3" borderId="37" xfId="0" applyFill="1" applyBorder="1" applyAlignment="1">
      <alignment horizontal="center"/>
    </xf>
    <xf numFmtId="0" fontId="42" fillId="32" borderId="0" xfId="0" applyFont="1" applyFill="1" applyAlignment="1">
      <alignment horizontal="center" wrapText="1"/>
    </xf>
    <xf numFmtId="0" fontId="42" fillId="7" borderId="0" xfId="0" applyFont="1" applyFill="1" applyAlignment="1">
      <alignment horizontal="center" vertical="center" wrapText="1"/>
    </xf>
    <xf numFmtId="0" fontId="43" fillId="33" borderId="0" xfId="0" applyFont="1" applyFill="1" applyAlignment="1">
      <alignment horizontal="center" wrapText="1"/>
    </xf>
    <xf numFmtId="0" fontId="47" fillId="2" borderId="0" xfId="0" applyFont="1" applyFill="1" applyAlignment="1">
      <alignment horizontal="center" wrapText="1"/>
    </xf>
    <xf numFmtId="0" fontId="3" fillId="3" borderId="5" xfId="0" applyFont="1" applyFill="1" applyBorder="1" applyAlignment="1">
      <alignment horizontal="left" vertical="center"/>
    </xf>
    <xf numFmtId="0" fontId="3" fillId="3" borderId="35" xfId="0" applyFont="1" applyFill="1" applyBorder="1" applyAlignment="1">
      <alignment horizontal="left" vertical="center"/>
    </xf>
    <xf numFmtId="0" fontId="3" fillId="3" borderId="32" xfId="0" applyFont="1" applyFill="1" applyBorder="1" applyAlignment="1">
      <alignment horizontal="left" vertical="center"/>
    </xf>
    <xf numFmtId="0" fontId="3" fillId="3" borderId="53" xfId="0" applyFont="1" applyFill="1" applyBorder="1" applyAlignment="1">
      <alignment horizontal="left" vertical="center"/>
    </xf>
    <xf numFmtId="0" fontId="3" fillId="3" borderId="33" xfId="0" applyFont="1" applyFill="1" applyBorder="1" applyAlignment="1">
      <alignment horizontal="left" vertical="center"/>
    </xf>
    <xf numFmtId="0" fontId="42" fillId="37" borderId="0" xfId="0" applyFont="1" applyFill="1" applyAlignment="1">
      <alignment horizontal="center"/>
    </xf>
    <xf numFmtId="0" fontId="0" fillId="3" borderId="0" xfId="0" applyFill="1"/>
    <xf numFmtId="0" fontId="0" fillId="3" borderId="5" xfId="0" applyFill="1" applyBorder="1"/>
    <xf numFmtId="0" fontId="43" fillId="4" borderId="0" xfId="0" applyFont="1" applyFill="1" applyAlignment="1">
      <alignment horizontal="center" wrapText="1"/>
    </xf>
    <xf numFmtId="0" fontId="43" fillId="9" borderId="0" xfId="0" applyFont="1" applyFill="1" applyAlignment="1">
      <alignment horizontal="center" vertical="center" wrapText="1"/>
    </xf>
    <xf numFmtId="0" fontId="28" fillId="21" borderId="0" xfId="0" applyFont="1" applyFill="1" applyAlignment="1">
      <alignment horizontal="center" vertical="center"/>
    </xf>
    <xf numFmtId="0" fontId="0" fillId="4" borderId="18" xfId="0" applyFill="1" applyBorder="1" applyAlignment="1">
      <alignment horizontal="center"/>
    </xf>
    <xf numFmtId="0" fontId="0" fillId="4" borderId="1" xfId="0" applyFill="1" applyBorder="1" applyAlignment="1">
      <alignment horizontal="center"/>
    </xf>
    <xf numFmtId="0" fontId="0" fillId="34" borderId="44" xfId="12" applyFont="1" applyBorder="1" applyAlignment="1">
      <alignment horizontal="center" wrapText="1"/>
    </xf>
    <xf numFmtId="0" fontId="0" fillId="34" borderId="45" xfId="12" applyFont="1" applyBorder="1" applyAlignment="1">
      <alignment horizontal="center" wrapText="1"/>
    </xf>
    <xf numFmtId="0" fontId="0" fillId="34" borderId="46" xfId="12" applyFont="1" applyBorder="1" applyAlignment="1">
      <alignment horizontal="center" wrapText="1"/>
    </xf>
    <xf numFmtId="0" fontId="0" fillId="34" borderId="47" xfId="12" applyFont="1" applyBorder="1" applyAlignment="1">
      <alignment horizontal="center" wrapText="1"/>
    </xf>
    <xf numFmtId="0" fontId="0" fillId="34" borderId="43" xfId="12" applyFont="1" applyAlignment="1">
      <alignment horizontal="center" wrapText="1"/>
    </xf>
    <xf numFmtId="0" fontId="0" fillId="34" borderId="48" xfId="12" applyFont="1" applyBorder="1" applyAlignment="1">
      <alignment horizontal="center" wrapText="1"/>
    </xf>
    <xf numFmtId="0" fontId="3" fillId="3" borderId="11" xfId="0" quotePrefix="1" applyFont="1" applyFill="1" applyBorder="1" applyAlignment="1">
      <alignment horizontal="center" vertical="center" wrapText="1"/>
    </xf>
    <xf numFmtId="0" fontId="3" fillId="3" borderId="10" xfId="0" quotePrefix="1" applyFont="1" applyFill="1" applyBorder="1" applyAlignment="1">
      <alignment horizontal="center" vertical="center" wrapText="1"/>
    </xf>
    <xf numFmtId="0" fontId="0" fillId="12" borderId="0" xfId="0" applyFill="1" applyAlignment="1">
      <alignment wrapText="1"/>
    </xf>
    <xf numFmtId="0" fontId="0" fillId="0" borderId="0" xfId="0"/>
    <xf numFmtId="0" fontId="10" fillId="0" borderId="0" xfId="0" applyFont="1"/>
  </cellXfs>
  <cellStyles count="19">
    <cellStyle name="header_column" xfId="10" xr:uid="{00000000-0005-0000-0000-000000000000}"/>
    <cellStyle name="header_row 2 2" xfId="18" xr:uid="{2F062548-C5E7-4208-A2E8-D57C00DFD6FE}"/>
    <cellStyle name="header_row 2 2 2" xfId="16" xr:uid="{AEBDFEC2-D3DD-41FB-AE0C-78EB172C490B}"/>
    <cellStyle name="header_table 2 2 2" xfId="17" xr:uid="{75263CB7-3EF4-49C4-94CB-04A9781B2CA8}"/>
    <cellStyle name="Hipervínculo" xfId="9" builtinId="8"/>
    <cellStyle name="input_fixed" xfId="14" xr:uid="{00000000-0005-0000-0000-000006000000}"/>
    <cellStyle name="input_fixed 2" xfId="15" xr:uid="{C6B8A608-41EF-44A3-82A7-C43797194E48}"/>
    <cellStyle name="Millares" xfId="1" builtinId="3"/>
    <cellStyle name="Millares 2" xfId="13" xr:uid="{00000000-0005-0000-0000-000008000000}"/>
    <cellStyle name="Neutral" xfId="8" builtinId="28"/>
    <cellStyle name="Normal" xfId="0" builtinId="0"/>
    <cellStyle name="Normal 2" xfId="4" xr:uid="{00000000-0005-0000-0000-00000B000000}"/>
    <cellStyle name="Normal 4" xfId="3" xr:uid="{00000000-0005-0000-0000-00000C000000}"/>
    <cellStyle name="Normal_EU27" xfId="5" xr:uid="{00000000-0005-0000-0000-00000D000000}"/>
    <cellStyle name="Normal_EU27_1" xfId="7" xr:uid="{00000000-0005-0000-0000-00000E000000}"/>
    <cellStyle name="Normal_World" xfId="6" xr:uid="{00000000-0005-0000-0000-00000F000000}"/>
    <cellStyle name="Notas" xfId="12" builtinId="10"/>
    <cellStyle name="Porcentaje" xfId="2" builtinId="5"/>
    <cellStyle name="Unit" xfId="11" xr:uid="{00000000-0005-0000-0000-000012000000}"/>
  </cellStyles>
  <dxfs count="0"/>
  <tableStyles count="0" defaultTableStyle="TableStyleMedium2" defaultPivotStyle="PivotStyleLight16"/>
  <colors>
    <mruColors>
      <color rgb="FF66FF33"/>
      <color rgb="FFEEDDFF"/>
      <color rgb="FFE6CDFF"/>
      <color rgb="FFF3F3FF"/>
      <color rgb="FFC9C9FF"/>
      <color rgb="FFCCECFF"/>
      <color rgb="FFCCCCFF"/>
      <color rgb="FFCC99FF"/>
      <color rgb="FFFFE699"/>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demography_data!$Z$44:$Z$47</c:f>
          <c:strCache>
            <c:ptCount val="4"/>
            <c:pt idx="0">
              <c:v>check fertility rates profiles</c:v>
            </c:pt>
            <c:pt idx="3">
              <c:v>USMCA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demography_data!$Z$48</c:f>
              <c:strCache>
                <c:ptCount val="1"/>
                <c:pt idx="0">
                  <c:v>low</c:v>
                </c:pt>
              </c:strCache>
            </c:strRef>
          </c:tx>
          <c:spPr>
            <a:ln w="28575" cap="rnd">
              <a:solidFill>
                <a:schemeClr val="accent1"/>
              </a:solidFill>
              <a:round/>
            </a:ln>
            <a:effectLst/>
          </c:spPr>
          <c:marker>
            <c:symbol val="none"/>
          </c:marker>
          <c:cat>
            <c:strRef>
              <c:f>demography_data!$U$4:$AA$4</c:f>
              <c:strCache>
                <c:ptCount val="7"/>
                <c:pt idx="0">
                  <c:v>15-19</c:v>
                </c:pt>
                <c:pt idx="1">
                  <c:v>20-24</c:v>
                </c:pt>
                <c:pt idx="2">
                  <c:v>25-29</c:v>
                </c:pt>
                <c:pt idx="3">
                  <c:v>30-34</c:v>
                </c:pt>
                <c:pt idx="4">
                  <c:v>35-39</c:v>
                </c:pt>
                <c:pt idx="5">
                  <c:v>40-44</c:v>
                </c:pt>
                <c:pt idx="6">
                  <c:v>45-49</c:v>
                </c:pt>
              </c:strCache>
            </c:strRef>
          </c:cat>
          <c:val>
            <c:numRef>
              <c:f>demography_data!$AA$48:$AG$48</c:f>
              <c:numCache>
                <c:formatCode>0.000</c:formatCode>
                <c:ptCount val="7"/>
                <c:pt idx="0">
                  <c:v>7.2229999999999999</c:v>
                </c:pt>
                <c:pt idx="1">
                  <c:v>26.382000000000001</c:v>
                </c:pt>
                <c:pt idx="2">
                  <c:v>68.742000000000004</c:v>
                </c:pt>
                <c:pt idx="3">
                  <c:v>91.977999999999994</c:v>
                </c:pt>
                <c:pt idx="4">
                  <c:v>52.265999999999998</c:v>
                </c:pt>
                <c:pt idx="5">
                  <c:v>11.868</c:v>
                </c:pt>
                <c:pt idx="6">
                  <c:v>2.0209999999999999</c:v>
                </c:pt>
              </c:numCache>
            </c:numRef>
          </c:val>
          <c:smooth val="0"/>
          <c:extLst>
            <c:ext xmlns:c16="http://schemas.microsoft.com/office/drawing/2014/chart" uri="{C3380CC4-5D6E-409C-BE32-E72D297353CC}">
              <c16:uniqueId val="{00000000-CCF3-415B-943A-F7C8B7125126}"/>
            </c:ext>
          </c:extLst>
        </c:ser>
        <c:ser>
          <c:idx val="1"/>
          <c:order val="1"/>
          <c:tx>
            <c:strRef>
              <c:f>demography_data!$Z$49</c:f>
              <c:strCache>
                <c:ptCount val="1"/>
                <c:pt idx="0">
                  <c:v>medium</c:v>
                </c:pt>
              </c:strCache>
            </c:strRef>
          </c:tx>
          <c:spPr>
            <a:ln w="28575" cap="rnd">
              <a:solidFill>
                <a:schemeClr val="accent2"/>
              </a:solidFill>
              <a:round/>
            </a:ln>
            <a:effectLst/>
          </c:spPr>
          <c:marker>
            <c:symbol val="none"/>
          </c:marker>
          <c:cat>
            <c:strRef>
              <c:f>demography_data!$U$4:$AA$4</c:f>
              <c:strCache>
                <c:ptCount val="7"/>
                <c:pt idx="0">
                  <c:v>15-19</c:v>
                </c:pt>
                <c:pt idx="1">
                  <c:v>20-24</c:v>
                </c:pt>
                <c:pt idx="2">
                  <c:v>25-29</c:v>
                </c:pt>
                <c:pt idx="3">
                  <c:v>30-34</c:v>
                </c:pt>
                <c:pt idx="4">
                  <c:v>35-39</c:v>
                </c:pt>
                <c:pt idx="5">
                  <c:v>40-44</c:v>
                </c:pt>
                <c:pt idx="6">
                  <c:v>45-49</c:v>
                </c:pt>
              </c:strCache>
            </c:strRef>
          </c:cat>
          <c:val>
            <c:numRef>
              <c:f>demography_data!$AA$49:$AG$49</c:f>
              <c:numCache>
                <c:formatCode>0.000</c:formatCode>
                <c:ptCount val="7"/>
                <c:pt idx="0">
                  <c:v>11.011407407407409</c:v>
                </c:pt>
                <c:pt idx="1">
                  <c:v>41.748370370370374</c:v>
                </c:pt>
                <c:pt idx="2">
                  <c:v>90.530296296296299</c:v>
                </c:pt>
                <c:pt idx="3">
                  <c:v>102.41348148148147</c:v>
                </c:pt>
                <c:pt idx="4">
                  <c:v>53.61518518518519</c:v>
                </c:pt>
                <c:pt idx="5">
                  <c:v>11.542555555555559</c:v>
                </c:pt>
                <c:pt idx="6">
                  <c:v>0.7416666666666667</c:v>
                </c:pt>
              </c:numCache>
            </c:numRef>
          </c:val>
          <c:smooth val="0"/>
          <c:extLst>
            <c:ext xmlns:c16="http://schemas.microsoft.com/office/drawing/2014/chart" uri="{C3380CC4-5D6E-409C-BE32-E72D297353CC}">
              <c16:uniqueId val="{00000001-CCF3-415B-943A-F7C8B7125126}"/>
            </c:ext>
          </c:extLst>
        </c:ser>
        <c:ser>
          <c:idx val="2"/>
          <c:order val="2"/>
          <c:tx>
            <c:strRef>
              <c:f>demography_data!$Z$50</c:f>
              <c:strCache>
                <c:ptCount val="1"/>
                <c:pt idx="0">
                  <c:v>high</c:v>
                </c:pt>
              </c:strCache>
            </c:strRef>
          </c:tx>
          <c:spPr>
            <a:ln w="28575" cap="rnd">
              <a:solidFill>
                <a:schemeClr val="accent3"/>
              </a:solidFill>
              <a:round/>
            </a:ln>
            <a:effectLst/>
          </c:spPr>
          <c:marker>
            <c:symbol val="none"/>
          </c:marker>
          <c:cat>
            <c:strRef>
              <c:f>demography_data!$U$4:$AA$4</c:f>
              <c:strCache>
                <c:ptCount val="7"/>
                <c:pt idx="0">
                  <c:v>15-19</c:v>
                </c:pt>
                <c:pt idx="1">
                  <c:v>20-24</c:v>
                </c:pt>
                <c:pt idx="2">
                  <c:v>25-29</c:v>
                </c:pt>
                <c:pt idx="3">
                  <c:v>30-34</c:v>
                </c:pt>
                <c:pt idx="4">
                  <c:v>35-39</c:v>
                </c:pt>
                <c:pt idx="5">
                  <c:v>40-44</c:v>
                </c:pt>
                <c:pt idx="6">
                  <c:v>45-49</c:v>
                </c:pt>
              </c:strCache>
            </c:strRef>
          </c:cat>
          <c:val>
            <c:numRef>
              <c:f>demography_data!$AA$50:$AG$50</c:f>
              <c:numCache>
                <c:formatCode>0.000</c:formatCode>
                <c:ptCount val="7"/>
                <c:pt idx="0">
                  <c:v>56.656333333333329</c:v>
                </c:pt>
                <c:pt idx="1">
                  <c:v>90.135166666666677</c:v>
                </c:pt>
                <c:pt idx="2">
                  <c:v>91.041666666666671</c:v>
                </c:pt>
                <c:pt idx="3">
                  <c:v>79.403833333333338</c:v>
                </c:pt>
                <c:pt idx="4">
                  <c:v>49.379333333333335</c:v>
                </c:pt>
                <c:pt idx="5">
                  <c:v>15.223666666666668</c:v>
                </c:pt>
                <c:pt idx="6">
                  <c:v>1.89</c:v>
                </c:pt>
              </c:numCache>
            </c:numRef>
          </c:val>
          <c:smooth val="0"/>
          <c:extLst>
            <c:ext xmlns:c16="http://schemas.microsoft.com/office/drawing/2014/chart" uri="{C3380CC4-5D6E-409C-BE32-E72D297353CC}">
              <c16:uniqueId val="{00000002-CCF3-415B-943A-F7C8B7125126}"/>
            </c:ext>
          </c:extLst>
        </c:ser>
        <c:dLbls>
          <c:showLegendKey val="0"/>
          <c:showVal val="0"/>
          <c:showCatName val="0"/>
          <c:showSerName val="0"/>
          <c:showPercent val="0"/>
          <c:showBubbleSize val="0"/>
        </c:dLbls>
        <c:smooth val="0"/>
        <c:axId val="482938095"/>
        <c:axId val="482938575"/>
      </c:lineChart>
      <c:catAx>
        <c:axId val="482938095"/>
        <c:scaling>
          <c:orientation val="minMax"/>
        </c:scaling>
        <c:delete val="0"/>
        <c:axPos val="b"/>
        <c:title>
          <c:tx>
            <c:strRef>
              <c:f>demography_data!$AA$46</c:f>
              <c:strCache>
                <c:ptCount val="1"/>
                <c:pt idx="0">
                  <c:v>AGE</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38575"/>
        <c:crosses val="autoZero"/>
        <c:auto val="1"/>
        <c:lblAlgn val="ctr"/>
        <c:lblOffset val="100"/>
        <c:noMultiLvlLbl val="0"/>
      </c:catAx>
      <c:valAx>
        <c:axId val="482938575"/>
        <c:scaling>
          <c:orientation val="minMax"/>
        </c:scaling>
        <c:delete val="0"/>
        <c:axPos val="l"/>
        <c:majorGridlines>
          <c:spPr>
            <a:ln w="9525" cap="flat" cmpd="sng" algn="ctr">
              <a:solidFill>
                <a:schemeClr val="tx1">
                  <a:lumMod val="15000"/>
                  <a:lumOff val="85000"/>
                </a:schemeClr>
              </a:solidFill>
              <a:round/>
            </a:ln>
            <a:effectLst/>
          </c:spPr>
        </c:majorGridlines>
        <c:title>
          <c:tx>
            <c:strRef>
              <c:f>demography_data!$AA$45</c:f>
              <c:strCache>
                <c:ptCount val="1"/>
                <c:pt idx="0">
                  <c:v>FERTILITY - births per 1000 women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38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619872</xdr:colOff>
      <xdr:row>11</xdr:row>
      <xdr:rowOff>30892</xdr:rowOff>
    </xdr:from>
    <xdr:to>
      <xdr:col>8</xdr:col>
      <xdr:colOff>584013</xdr:colOff>
      <xdr:row>23</xdr:row>
      <xdr:rowOff>0</xdr:rowOff>
    </xdr:to>
    <xdr:sp macro="" textlink="">
      <xdr:nvSpPr>
        <xdr:cNvPr id="2" name="Esquina doblada 1">
          <a:extLst>
            <a:ext uri="{FF2B5EF4-FFF2-40B4-BE49-F238E27FC236}">
              <a16:creationId xmlns:a16="http://schemas.microsoft.com/office/drawing/2014/main" id="{00000000-0008-0000-0000-000002000000}"/>
            </a:ext>
          </a:extLst>
        </xdr:cNvPr>
        <xdr:cNvSpPr/>
      </xdr:nvSpPr>
      <xdr:spPr>
        <a:xfrm>
          <a:off x="10859247" y="3631342"/>
          <a:ext cx="8022291" cy="2987263"/>
        </a:xfrm>
        <a:prstGeom prst="foldedCorner">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r>
            <a:rPr lang="en-GB" sz="1100" b="1">
              <a:solidFill>
                <a:schemeClr val="lt1"/>
              </a:solidFill>
              <a:effectLst/>
              <a:latin typeface="+mn-lt"/>
              <a:ea typeface="+mn-ea"/>
              <a:cs typeface="+mn-cs"/>
            </a:rPr>
            <a:t>STEPS</a:t>
          </a:r>
          <a:r>
            <a:rPr lang="en-GB" sz="1100" b="1" baseline="0">
              <a:solidFill>
                <a:schemeClr val="lt1"/>
              </a:solidFill>
              <a:effectLst/>
              <a:latin typeface="+mn-lt"/>
              <a:ea typeface="+mn-ea"/>
              <a:cs typeface="+mn-cs"/>
            </a:rPr>
            <a:t> TO PARAMETRIZE A SCENARIO WITH WILIAM</a:t>
          </a:r>
        </a:p>
        <a:p>
          <a:endParaRPr lang="es-ES" sz="1200">
            <a:effectLst/>
          </a:endParaRPr>
        </a:p>
        <a:p>
          <a:r>
            <a:rPr lang="en-GB" sz="1100" b="0" baseline="0">
              <a:solidFill>
                <a:schemeClr val="lt1"/>
              </a:solidFill>
              <a:effectLst/>
              <a:latin typeface="+mn-lt"/>
              <a:ea typeface="+mn-ea"/>
              <a:cs typeface="+mn-cs"/>
            </a:rPr>
            <a:t>1. Think about a storyline and set of pre-defined goals</a:t>
          </a:r>
        </a:p>
        <a:p>
          <a:endParaRPr lang="es-ES" sz="1200">
            <a:effectLst/>
          </a:endParaRPr>
        </a:p>
        <a:p>
          <a:r>
            <a:rPr lang="en-GB" sz="1100" b="0" baseline="0">
              <a:solidFill>
                <a:schemeClr val="lt1"/>
              </a:solidFill>
              <a:effectLst/>
              <a:latin typeface="+mn-lt"/>
              <a:ea typeface="+mn-ea"/>
              <a:cs typeface="+mn-cs"/>
            </a:rPr>
            <a:t>2. Parametrize the policies and hypotheses according to that storyline. Eventually, add more polices and hypotheses, modify the structure of the model, etc. to suit your needs.</a:t>
          </a:r>
        </a:p>
        <a:p>
          <a:endParaRPr lang="es-ES" sz="1200">
            <a:effectLst/>
          </a:endParaRPr>
        </a:p>
        <a:p>
          <a:r>
            <a:rPr lang="en-GB" sz="1100" b="0" baseline="0">
              <a:solidFill>
                <a:schemeClr val="lt1"/>
              </a:solidFill>
              <a:effectLst/>
              <a:latin typeface="+mn-lt"/>
              <a:ea typeface="+mn-ea"/>
              <a:cs typeface="+mn-cs"/>
            </a:rPr>
            <a:t>WARNING: each scenario input is independent from the others from a mathematical point of view, however they are conceptually linked by a common storyline, and in some cases there are also some dependences when parametrizing them.</a:t>
          </a:r>
        </a:p>
        <a:p>
          <a:endParaRPr lang="es-ES" sz="1200">
            <a:effectLst/>
          </a:endParaRPr>
        </a:p>
        <a:p>
          <a:r>
            <a:rPr lang="en-GB" sz="1100" b="0" baseline="0">
              <a:solidFill>
                <a:schemeClr val="lt1"/>
              </a:solidFill>
              <a:effectLst/>
              <a:latin typeface="+mn-lt"/>
              <a:ea typeface="+mn-ea"/>
              <a:cs typeface="+mn-cs"/>
            </a:rPr>
            <a:t>3. Run your simulation!</a:t>
          </a:r>
          <a:endParaRPr lang="es-ES" sz="1200">
            <a:effectLst/>
          </a:endParaRPr>
        </a:p>
        <a:p>
          <a:pPr algn="l"/>
          <a:endParaRPr lang="en-GB" sz="1100" b="0"/>
        </a:p>
        <a:p>
          <a:pPr algn="l"/>
          <a:endParaRPr lang="en-GB" sz="1400" b="1"/>
        </a:p>
        <a:p>
          <a:pPr algn="l"/>
          <a:endParaRPr lang="en-GB" sz="1400" b="1"/>
        </a:p>
      </xdr:txBody>
    </xdr:sp>
    <xdr:clientData/>
  </xdr:twoCellAnchor>
  <xdr:twoCellAnchor>
    <xdr:from>
      <xdr:col>3</xdr:col>
      <xdr:colOff>584088</xdr:colOff>
      <xdr:row>3</xdr:row>
      <xdr:rowOff>179332</xdr:rowOff>
    </xdr:from>
    <xdr:to>
      <xdr:col>8</xdr:col>
      <xdr:colOff>582295</xdr:colOff>
      <xdr:row>10</xdr:row>
      <xdr:rowOff>19050</xdr:rowOff>
    </xdr:to>
    <xdr:sp macro="" textlink="">
      <xdr:nvSpPr>
        <xdr:cNvPr id="3" name="Esquina doblada 2">
          <a:extLst>
            <a:ext uri="{FF2B5EF4-FFF2-40B4-BE49-F238E27FC236}">
              <a16:creationId xmlns:a16="http://schemas.microsoft.com/office/drawing/2014/main" id="{00000000-0008-0000-0000-000003000000}"/>
            </a:ext>
          </a:extLst>
        </xdr:cNvPr>
        <xdr:cNvSpPr/>
      </xdr:nvSpPr>
      <xdr:spPr>
        <a:xfrm>
          <a:off x="10823463" y="979432"/>
          <a:ext cx="8056357" cy="2459093"/>
        </a:xfrm>
        <a:prstGeom prst="foldedCorner">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GB" sz="1200" b="1"/>
            <a:t>MODEL STATUS</a:t>
          </a:r>
          <a:r>
            <a:rPr lang="en-GB" sz="1200" b="1" baseline="0"/>
            <a:t> AND </a:t>
          </a:r>
          <a:r>
            <a:rPr lang="en-GB" sz="1200" b="1"/>
            <a:t>REFERENCE SCENARIO</a:t>
          </a:r>
          <a:endParaRPr lang="en-GB" sz="1200" b="1" baseline="0"/>
        </a:p>
        <a:p>
          <a:pPr algn="l"/>
          <a:endParaRPr lang="en-GB" sz="1200" b="1" baseline="0"/>
        </a:p>
        <a:p>
          <a:pPr marL="0" marR="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lt1"/>
              </a:solidFill>
              <a:effectLst/>
              <a:latin typeface="+mn-lt"/>
              <a:ea typeface="+mn-ea"/>
              <a:cs typeface="+mn-cs"/>
            </a:rPr>
            <a:t>WILIAM 1.4 is still BETA as it has not been fully validated, although the level of confidence with relation to previous version has much increased.</a:t>
          </a:r>
        </a:p>
        <a:p>
          <a:pPr marL="0" marR="0" indent="0" algn="l" defTabSz="914400" eaLnBrk="1" fontAlgn="auto" latinLnBrk="0" hangingPunct="1">
            <a:lnSpc>
              <a:spcPct val="100000"/>
            </a:lnSpc>
            <a:spcBef>
              <a:spcPts val="0"/>
            </a:spcBef>
            <a:spcAft>
              <a:spcPts val="0"/>
            </a:spcAft>
            <a:buClrTx/>
            <a:buSzTx/>
            <a:buFontTx/>
            <a:buNone/>
            <a:tabLst/>
            <a:defRPr/>
          </a:pPr>
          <a:endParaRPr lang="en-GB" sz="1100" b="0" baseline="0"/>
        </a:p>
        <a:p>
          <a:pPr algn="l"/>
          <a:r>
            <a:rPr lang="en-GB" sz="1100" b="0" baseline="0"/>
            <a:t>The by-default parametrization of the model does not consist of a fully consistently set of scenario inputs, although in general the default parametrization corresponds to current trends (dynamic), current levels (static) or sometimes convergence to "expert-judgement"-based" averages in the long-term.</a:t>
          </a:r>
        </a:p>
        <a:p>
          <a:pPr algn="l"/>
          <a:endParaRPr lang="en-GB" sz="1100" b="0" baseline="0"/>
        </a:p>
        <a:p>
          <a:pPr algn="l"/>
          <a:r>
            <a:rPr lang="en-GB" sz="1100" b="0"/>
            <a:t>Although the model begins to simulate in 2005, some modules (such as the economy module) are initialized in 2015 (data constraints), so the reference year of the model is 2015 and since</a:t>
          </a:r>
          <a:r>
            <a:rPr lang="en-GB" sz="1100" b="0" baseline="0"/>
            <a:t> that year is projection period</a:t>
          </a:r>
          <a:r>
            <a:rPr lang="en-GB" sz="1100" b="0"/>
            <a:t>.</a:t>
          </a:r>
        </a:p>
        <a:p>
          <a:pPr algn="l"/>
          <a:endParaRPr lang="en-GB" sz="1400" b="1"/>
        </a:p>
        <a:p>
          <a:pPr algn="l"/>
          <a:endParaRPr lang="en-GB"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432173</xdr:colOff>
      <xdr:row>7</xdr:row>
      <xdr:rowOff>137644</xdr:rowOff>
    </xdr:from>
    <xdr:to>
      <xdr:col>12</xdr:col>
      <xdr:colOff>108322</xdr:colOff>
      <xdr:row>12</xdr:row>
      <xdr:rowOff>32852</xdr:rowOff>
    </xdr:to>
    <xdr:sp macro="" textlink="">
      <xdr:nvSpPr>
        <xdr:cNvPr id="2" name="Esquina doblada 1">
          <a:extLst>
            <a:ext uri="{FF2B5EF4-FFF2-40B4-BE49-F238E27FC236}">
              <a16:creationId xmlns:a16="http://schemas.microsoft.com/office/drawing/2014/main" id="{A6D73DA8-4BE4-4678-BD29-D2F567A081D7}"/>
            </a:ext>
          </a:extLst>
        </xdr:cNvPr>
        <xdr:cNvSpPr/>
      </xdr:nvSpPr>
      <xdr:spPr>
        <a:xfrm>
          <a:off x="9550773" y="1591794"/>
          <a:ext cx="5029199" cy="784208"/>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Take into account that in</a:t>
          </a:r>
          <a:r>
            <a:rPr lang="en-GB" sz="1800" baseline="0">
              <a:solidFill>
                <a:sysClr val="windowText" lastClr="000000"/>
              </a:solidFill>
            </a:rPr>
            <a:t> this model version</a:t>
          </a:r>
          <a:r>
            <a:rPr lang="en-GB" sz="1800">
              <a:solidFill>
                <a:sysClr val="windowText" lastClr="000000"/>
              </a:solidFill>
            </a:rPr>
            <a:t> there are no limits to capital productivity variation</a:t>
          </a:r>
        </a:p>
      </xdr:txBody>
    </xdr:sp>
    <xdr:clientData/>
  </xdr:twoCellAnchor>
  <xdr:twoCellAnchor>
    <xdr:from>
      <xdr:col>4</xdr:col>
      <xdr:colOff>75826</xdr:colOff>
      <xdr:row>105</xdr:row>
      <xdr:rowOff>7283</xdr:rowOff>
    </xdr:from>
    <xdr:to>
      <xdr:col>13</xdr:col>
      <xdr:colOff>515620</xdr:colOff>
      <xdr:row>110</xdr:row>
      <xdr:rowOff>83819</xdr:rowOff>
    </xdr:to>
    <xdr:sp macro="" textlink="">
      <xdr:nvSpPr>
        <xdr:cNvPr id="3" name="Esquina doblada 1">
          <a:extLst>
            <a:ext uri="{FF2B5EF4-FFF2-40B4-BE49-F238E27FC236}">
              <a16:creationId xmlns:a16="http://schemas.microsoft.com/office/drawing/2014/main" id="{89791640-C0DF-4540-B6C6-ABE327A9E635}"/>
            </a:ext>
          </a:extLst>
        </xdr:cNvPr>
        <xdr:cNvSpPr/>
      </xdr:nvSpPr>
      <xdr:spPr>
        <a:xfrm>
          <a:off x="9194426" y="18885833"/>
          <a:ext cx="6440544" cy="965536"/>
        </a:xfrm>
        <a:prstGeom prst="foldedCorner">
          <a:avLst/>
        </a:prstGeom>
        <a:solidFill>
          <a:schemeClr val="accent2">
            <a:alpha val="7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Take into account that in</a:t>
          </a:r>
          <a:r>
            <a:rPr lang="en-GB" sz="1800" baseline="0">
              <a:solidFill>
                <a:sysClr val="windowText" lastClr="000000"/>
              </a:solidFill>
            </a:rPr>
            <a:t> this model version</a:t>
          </a:r>
          <a:r>
            <a:rPr lang="en-GB" sz="1800">
              <a:solidFill>
                <a:sysClr val="windowText" lastClr="000000"/>
              </a:solidFill>
            </a:rPr>
            <a:t> there are no limits to labour productivity variation</a:t>
          </a:r>
        </a:p>
      </xdr:txBody>
    </xdr:sp>
    <xdr:clientData/>
  </xdr:twoCellAnchor>
  <xdr:twoCellAnchor>
    <xdr:from>
      <xdr:col>9</xdr:col>
      <xdr:colOff>175184</xdr:colOff>
      <xdr:row>1017</xdr:row>
      <xdr:rowOff>167153</xdr:rowOff>
    </xdr:from>
    <xdr:to>
      <xdr:col>21</xdr:col>
      <xdr:colOff>76199</xdr:colOff>
      <xdr:row>1033</xdr:row>
      <xdr:rowOff>0</xdr:rowOff>
    </xdr:to>
    <xdr:sp macro="" textlink="">
      <xdr:nvSpPr>
        <xdr:cNvPr id="4" name="Esquina doblada 1">
          <a:extLst>
            <a:ext uri="{FF2B5EF4-FFF2-40B4-BE49-F238E27FC236}">
              <a16:creationId xmlns:a16="http://schemas.microsoft.com/office/drawing/2014/main" id="{812AC7F6-A182-4043-A7B5-DB92E0ED7BE0}"/>
            </a:ext>
          </a:extLst>
        </xdr:cNvPr>
        <xdr:cNvSpPr/>
      </xdr:nvSpPr>
      <xdr:spPr>
        <a:xfrm>
          <a:off x="12532284" y="181186603"/>
          <a:ext cx="7844865" cy="2677647"/>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If SELECT_BASIC_INCOME_SP=0, then what it is included here is not affecting</a:t>
          </a:r>
          <a:r>
            <a:rPr lang="en-GB" sz="1800" baseline="0">
              <a:solidFill>
                <a:sysClr val="windowText" lastClr="000000"/>
              </a:solidFill>
            </a:rPr>
            <a:t> the model</a:t>
          </a:r>
        </a:p>
        <a:p>
          <a:pPr algn="l"/>
          <a:r>
            <a:rPr lang="en-GB" sz="1800" baseline="0">
              <a:solidFill>
                <a:sysClr val="windowText" lastClr="000000"/>
              </a:solidFill>
            </a:rPr>
            <a:t>When 'SELECT_POLICY_FINANCE_BASIC_INCOME_SP = 2, the user has to activate GHG taxes and decide the share of the GHG tax revenues that is used to fiance the basic income  SHARE_GHG_REVENUES_TO_FINANCE_BASIC_INCOME_SP</a:t>
          </a:r>
          <a:endParaRPr lang="en-GB" sz="1800">
            <a:solidFill>
              <a:sysClr val="windowText" lastClr="000000"/>
            </a:solidFill>
          </a:endParaRPr>
        </a:p>
      </xdr:txBody>
    </xdr:sp>
    <xdr:clientData/>
  </xdr:twoCellAnchor>
  <xdr:twoCellAnchor>
    <xdr:from>
      <xdr:col>7</xdr:col>
      <xdr:colOff>134471</xdr:colOff>
      <xdr:row>1090</xdr:row>
      <xdr:rowOff>107202</xdr:rowOff>
    </xdr:from>
    <xdr:to>
      <xdr:col>15</xdr:col>
      <xdr:colOff>164726</xdr:colOff>
      <xdr:row>1095</xdr:row>
      <xdr:rowOff>112059</xdr:rowOff>
    </xdr:to>
    <xdr:sp macro="" textlink="">
      <xdr:nvSpPr>
        <xdr:cNvPr id="5" name="Esquina doblada 1">
          <a:extLst>
            <a:ext uri="{FF2B5EF4-FFF2-40B4-BE49-F238E27FC236}">
              <a16:creationId xmlns:a16="http://schemas.microsoft.com/office/drawing/2014/main" id="{22A5BD81-4817-4035-AE30-4854C7243F3A}"/>
            </a:ext>
          </a:extLst>
        </xdr:cNvPr>
        <xdr:cNvSpPr/>
      </xdr:nvSpPr>
      <xdr:spPr>
        <a:xfrm>
          <a:off x="11196171" y="194106052"/>
          <a:ext cx="5383305" cy="893857"/>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Affects both to bottom-up and top-down modelling</a:t>
          </a:r>
          <a:r>
            <a:rPr lang="en-GB" sz="1800" baseline="0">
              <a:solidFill>
                <a:sysClr val="windowText" lastClr="000000"/>
              </a:solidFill>
            </a:rPr>
            <a:t> of passenger transport consumption of energy</a:t>
          </a:r>
          <a:endParaRPr lang="en-GB" sz="1800">
            <a:solidFill>
              <a:sysClr val="windowText" lastClr="000000"/>
            </a:solidFill>
          </a:endParaRPr>
        </a:p>
      </xdr:txBody>
    </xdr:sp>
    <xdr:clientData/>
  </xdr:twoCellAnchor>
  <xdr:twoCellAnchor>
    <xdr:from>
      <xdr:col>3</xdr:col>
      <xdr:colOff>327660</xdr:colOff>
      <xdr:row>774</xdr:row>
      <xdr:rowOff>68580</xdr:rowOff>
    </xdr:from>
    <xdr:to>
      <xdr:col>14</xdr:col>
      <xdr:colOff>563880</xdr:colOff>
      <xdr:row>779</xdr:row>
      <xdr:rowOff>139401</xdr:rowOff>
    </xdr:to>
    <xdr:sp macro="" textlink="">
      <xdr:nvSpPr>
        <xdr:cNvPr id="6" name="Esquina doblada 1">
          <a:extLst>
            <a:ext uri="{FF2B5EF4-FFF2-40B4-BE49-F238E27FC236}">
              <a16:creationId xmlns:a16="http://schemas.microsoft.com/office/drawing/2014/main" id="{8F954189-CCCE-41B9-A89C-A9993A052145}"/>
            </a:ext>
          </a:extLst>
        </xdr:cNvPr>
        <xdr:cNvSpPr/>
      </xdr:nvSpPr>
      <xdr:spPr>
        <a:xfrm>
          <a:off x="8798560" y="137882630"/>
          <a:ext cx="7532370" cy="959821"/>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When</a:t>
          </a:r>
          <a:r>
            <a:rPr lang="en-GB" sz="1800" baseline="0">
              <a:solidFill>
                <a:sysClr val="windowText" lastClr="000000"/>
              </a:solidFill>
            </a:rPr>
            <a:t> taxes on sectors and/or households emissions are activated, the user should check how revenues are used (SHARE GHG REVENUES SP)</a:t>
          </a:r>
          <a:endParaRPr lang="en-GB" sz="1800">
            <a:solidFill>
              <a:sysClr val="windowText" lastClr="000000"/>
            </a:solidFill>
          </a:endParaRPr>
        </a:p>
      </xdr:txBody>
    </xdr:sp>
    <xdr:clientData/>
  </xdr:twoCellAnchor>
  <xdr:twoCellAnchor>
    <xdr:from>
      <xdr:col>24</xdr:col>
      <xdr:colOff>501832</xdr:colOff>
      <xdr:row>958</xdr:row>
      <xdr:rowOff>23949</xdr:rowOff>
    </xdr:from>
    <xdr:to>
      <xdr:col>35</xdr:col>
      <xdr:colOff>535577</xdr:colOff>
      <xdr:row>978</xdr:row>
      <xdr:rowOff>54429</xdr:rowOff>
    </xdr:to>
    <xdr:sp macro="" textlink="">
      <xdr:nvSpPr>
        <xdr:cNvPr id="7" name="Esquina doblada 1">
          <a:extLst>
            <a:ext uri="{FF2B5EF4-FFF2-40B4-BE49-F238E27FC236}">
              <a16:creationId xmlns:a16="http://schemas.microsoft.com/office/drawing/2014/main" id="{BC6B1C69-9DA0-4B42-87AC-61804B123269}"/>
            </a:ext>
          </a:extLst>
        </xdr:cNvPr>
        <xdr:cNvSpPr/>
      </xdr:nvSpPr>
      <xdr:spPr>
        <a:xfrm>
          <a:off x="22745882" y="170553199"/>
          <a:ext cx="7158445" cy="3586480"/>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GHG tax revenues "recycling options":</a:t>
          </a:r>
          <a:r>
            <a:rPr lang="en-GB" sz="1800" baseline="0">
              <a:solidFill>
                <a:sysClr val="windowText" lastClr="000000"/>
              </a:solidFill>
            </a:rPr>
            <a:t> d</a:t>
          </a:r>
          <a:r>
            <a:rPr lang="en-GB" sz="1800">
              <a:solidFill>
                <a:sysClr val="windowText" lastClr="000000"/>
              </a:solidFill>
            </a:rPr>
            <a:t>istribution of</a:t>
          </a:r>
          <a:r>
            <a:rPr lang="en-GB" sz="1800" baseline="0">
              <a:solidFill>
                <a:sysClr val="windowText" lastClr="000000"/>
              </a:solidFill>
            </a:rPr>
            <a:t> revenues from taxes on sectors and households GHG emissions</a:t>
          </a:r>
          <a:endParaRPr lang="es-ES" sz="1100" b="0" i="0" u="none" strike="noStrike" baseline="0">
            <a:solidFill>
              <a:schemeClr val="lt1"/>
            </a:solidFill>
            <a:effectLst/>
            <a:latin typeface="+mn-lt"/>
            <a:ea typeface="+mn-ea"/>
            <a:cs typeface="+mn-cs"/>
          </a:endParaRPr>
        </a:p>
        <a:p>
          <a:pPr algn="l"/>
          <a:r>
            <a:rPr lang="es-ES" sz="1800">
              <a:solidFill>
                <a:sysClr val="windowText" lastClr="000000"/>
              </a:solidFill>
            </a:rPr>
            <a:t>* These recycling mechanims operate whe the GHG taxes are activated</a:t>
          </a:r>
          <a:br>
            <a:rPr lang="es-ES" sz="1800">
              <a:solidFill>
                <a:sysClr val="windowText" lastClr="000000"/>
              </a:solidFill>
            </a:rPr>
          </a:br>
          <a:r>
            <a:rPr lang="es-ES" sz="1800">
              <a:solidFill>
                <a:sysClr val="windowText" lastClr="000000"/>
              </a:solidFill>
            </a:rPr>
            <a:t>* When part of the revenues are used to finance a basic income, the basic income policy must be activated (note that this policy only works for</a:t>
          </a:r>
          <a:r>
            <a:rPr lang="es-ES" sz="1800" baseline="0">
              <a:solidFill>
                <a:sysClr val="windowText" lastClr="000000"/>
              </a:solidFill>
            </a:rPr>
            <a:t> countries with disaggregated households). In order to do it, activate 'SWITCH_POLICY_BASIC_INCOME_SP' and select option 2 in 'SELECT_POLICY_FINANCE_BASIC_INCOME_SP'</a:t>
          </a:r>
        </a:p>
        <a:p>
          <a:pPr algn="l"/>
          <a:r>
            <a:rPr lang="es-ES" sz="1800" baseline="0">
              <a:solidFill>
                <a:sysClr val="windowText" lastClr="000000"/>
              </a:solidFill>
            </a:rPr>
            <a:t>* Note that if a large amount of tax revenues is used for social benefits or basic income this can cause a rebound in GHG emissions</a:t>
          </a:r>
          <a:endParaRPr lang="es-ES" sz="1800">
            <a:solidFill>
              <a:sysClr val="windowText" lastClr="000000"/>
            </a:solidFill>
          </a:endParaRPr>
        </a:p>
        <a:p>
          <a:pPr algn="l"/>
          <a:endParaRPr lang="en-GB" sz="1800">
            <a:solidFill>
              <a:sysClr val="windowText" lastClr="000000"/>
            </a:solidFill>
          </a:endParaRPr>
        </a:p>
      </xdr:txBody>
    </xdr:sp>
    <xdr:clientData/>
  </xdr:twoCellAnchor>
  <xdr:twoCellAnchor>
    <xdr:from>
      <xdr:col>0</xdr:col>
      <xdr:colOff>1650626</xdr:colOff>
      <xdr:row>114</xdr:row>
      <xdr:rowOff>38100</xdr:rowOff>
    </xdr:from>
    <xdr:to>
      <xdr:col>6</xdr:col>
      <xdr:colOff>276225</xdr:colOff>
      <xdr:row>125</xdr:row>
      <xdr:rowOff>125094</xdr:rowOff>
    </xdr:to>
    <xdr:sp macro="" textlink="">
      <xdr:nvSpPr>
        <xdr:cNvPr id="8" name="Esquina doblada 1">
          <a:extLst>
            <a:ext uri="{FF2B5EF4-FFF2-40B4-BE49-F238E27FC236}">
              <a16:creationId xmlns:a16="http://schemas.microsoft.com/office/drawing/2014/main" id="{D09DEA20-E748-4068-99AB-FAD22667631C}"/>
            </a:ext>
          </a:extLst>
        </xdr:cNvPr>
        <xdr:cNvSpPr/>
      </xdr:nvSpPr>
      <xdr:spPr>
        <a:xfrm>
          <a:off x="1650626" y="20516850"/>
          <a:ext cx="9039599" cy="2042794"/>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Note that assumptions on labour productivity are highly relevant in the construction of scenarios, since it affects economic growth and employent (the model is very sensitive to this parameter). This parameter usually ranges between 0% and 6%,  with typically values around 1-3%,  depending on the country. When changing these parameters, the user should check the unemployment rate resulting from the simulation to avoid unrealistic results. The improved modelling of this feature is ongoing.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5565588</xdr:colOff>
      <xdr:row>712</xdr:row>
      <xdr:rowOff>94876</xdr:rowOff>
    </xdr:from>
    <xdr:to>
      <xdr:col>1</xdr:col>
      <xdr:colOff>4136571</xdr:colOff>
      <xdr:row>731</xdr:row>
      <xdr:rowOff>66300</xdr:rowOff>
    </xdr:to>
    <xdr:sp macro="" textlink="">
      <xdr:nvSpPr>
        <xdr:cNvPr id="2" name="Esquina doblada 1">
          <a:extLst>
            <a:ext uri="{FF2B5EF4-FFF2-40B4-BE49-F238E27FC236}">
              <a16:creationId xmlns:a16="http://schemas.microsoft.com/office/drawing/2014/main" id="{424F011E-EEB8-422F-A208-3C8585ACF939}"/>
            </a:ext>
          </a:extLst>
        </xdr:cNvPr>
        <xdr:cNvSpPr/>
      </xdr:nvSpPr>
      <xdr:spPr>
        <a:xfrm>
          <a:off x="5565588" y="95240967"/>
          <a:ext cx="6410347" cy="3481242"/>
        </a:xfrm>
        <a:prstGeom prst="foldedCorner">
          <a:avLst/>
        </a:prstGeom>
        <a:solidFill>
          <a:schemeClr val="accent1">
            <a:alpha val="7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a:solidFill>
                <a:sysClr val="windowText" lastClr="000000"/>
              </a:solidFill>
            </a:rPr>
            <a:t>Including very high numbers (10,000) in this table is</a:t>
          </a:r>
          <a:r>
            <a:rPr lang="en-GB" sz="2000" baseline="0">
              <a:solidFill>
                <a:sysClr val="windowText" lastClr="000000"/>
              </a:solidFill>
            </a:rPr>
            <a:t> equivalent to unlimited RES potential, but to ease model usability we have include a specific option in the SELECT above (SELECT_PROTRA_RES_POTENTIALS_SP)</a:t>
          </a:r>
        </a:p>
        <a:p>
          <a:pPr algn="l"/>
          <a:endParaRPr lang="en-GB" sz="2000" baseline="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2000" baseline="0">
              <a:solidFill>
                <a:srgbClr val="FF0000"/>
              </a:solidFill>
              <a:effectLst/>
              <a:latin typeface="+mn-lt"/>
              <a:ea typeface="+mn-ea"/>
              <a:cs typeface="+mn-cs"/>
            </a:rPr>
            <a:t>CCS technologies are not validated</a:t>
          </a:r>
          <a:endParaRPr lang="es-ES" sz="2000">
            <a:solidFill>
              <a:srgbClr val="FF0000"/>
            </a:solidFill>
            <a:effectLst/>
          </a:endParaRPr>
        </a:p>
      </xdr:txBody>
    </xdr:sp>
    <xdr:clientData/>
  </xdr:twoCellAnchor>
  <xdr:twoCellAnchor>
    <xdr:from>
      <xdr:col>10</xdr:col>
      <xdr:colOff>533400</xdr:colOff>
      <xdr:row>713</xdr:row>
      <xdr:rowOff>152400</xdr:rowOff>
    </xdr:from>
    <xdr:to>
      <xdr:col>14</xdr:col>
      <xdr:colOff>342900</xdr:colOff>
      <xdr:row>723</xdr:row>
      <xdr:rowOff>14941</xdr:rowOff>
    </xdr:to>
    <xdr:sp macro="" textlink="">
      <xdr:nvSpPr>
        <xdr:cNvPr id="3" name="Esquina doblada 2">
          <a:extLst>
            <a:ext uri="{FF2B5EF4-FFF2-40B4-BE49-F238E27FC236}">
              <a16:creationId xmlns:a16="http://schemas.microsoft.com/office/drawing/2014/main" id="{C18BF249-772C-4BB1-A84F-FB233AEA0F9A}"/>
            </a:ext>
          </a:extLst>
        </xdr:cNvPr>
        <xdr:cNvSpPr/>
      </xdr:nvSpPr>
      <xdr:spPr>
        <a:xfrm>
          <a:off x="40112950" y="77260450"/>
          <a:ext cx="3009900" cy="1704041"/>
        </a:xfrm>
        <a:prstGeom prst="foldedCorne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rgbClr val="FFFF00"/>
              </a:solidFill>
            </a:rPr>
            <a:t>ISSUES</a:t>
          </a:r>
          <a:r>
            <a:rPr lang="en-GB" sz="1100" b="1" baseline="0">
              <a:solidFill>
                <a:srgbClr val="FFFF00"/>
              </a:solidFill>
            </a:rPr>
            <a:t> WITH CSP:</a:t>
          </a:r>
        </a:p>
        <a:p>
          <a:pPr algn="l"/>
          <a:endParaRPr lang="en-GB" sz="1100" b="1" baseline="0">
            <a:solidFill>
              <a:srgbClr val="FFFF00"/>
            </a:solidFill>
          </a:endParaRPr>
        </a:p>
        <a:p>
          <a:pPr algn="l"/>
          <a:r>
            <a:rPr lang="en-GB" sz="1100" b="1" baseline="0">
              <a:solidFill>
                <a:srgbClr val="FFFF00"/>
              </a:solidFill>
            </a:rPr>
            <a:t>*</a:t>
          </a:r>
          <a:r>
            <a:rPr lang="en-GB" sz="1100" b="1">
              <a:solidFill>
                <a:srgbClr val="FFFF00"/>
              </a:solidFill>
            </a:rPr>
            <a:t>CSP is</a:t>
          </a:r>
          <a:r>
            <a:rPr lang="en-GB" sz="1100" b="1" baseline="0">
              <a:solidFill>
                <a:srgbClr val="FFFF00"/>
              </a:solidFill>
            </a:rPr>
            <a:t> not marked in yellow since for the moment there is no land-use-based potential</a:t>
          </a:r>
          <a:r>
            <a:rPr lang="en-GB" sz="1100" b="1">
              <a:solidFill>
                <a:srgbClr val="FFFF00"/>
              </a:solidFill>
            </a:rPr>
            <a:t>.</a:t>
          </a:r>
        </a:p>
        <a:p>
          <a:pPr algn="l"/>
          <a:endParaRPr lang="en-GB" sz="1100" b="1">
            <a:solidFill>
              <a:srgbClr val="FFFF00"/>
            </a:solidFill>
          </a:endParaRPr>
        </a:p>
        <a:p>
          <a:pPr algn="l"/>
          <a:r>
            <a:rPr lang="en-GB" sz="1100" b="1">
              <a:solidFill>
                <a:srgbClr val="FFFF00"/>
              </a:solidFill>
            </a:rPr>
            <a:t>*Also, the CSP historical data</a:t>
          </a:r>
          <a:r>
            <a:rPr lang="en-GB" sz="1100" b="1" baseline="0">
              <a:solidFill>
                <a:srgbClr val="FFFF00"/>
              </a:solidFill>
            </a:rPr>
            <a:t> for EU must be revised.</a:t>
          </a:r>
        </a:p>
      </xdr:txBody>
    </xdr:sp>
    <xdr:clientData/>
  </xdr:twoCellAnchor>
  <xdr:twoCellAnchor>
    <xdr:from>
      <xdr:col>5</xdr:col>
      <xdr:colOff>1011922</xdr:colOff>
      <xdr:row>687</xdr:row>
      <xdr:rowOff>68950</xdr:rowOff>
    </xdr:from>
    <xdr:to>
      <xdr:col>6</xdr:col>
      <xdr:colOff>2456122</xdr:colOff>
      <xdr:row>694</xdr:row>
      <xdr:rowOff>32871</xdr:rowOff>
    </xdr:to>
    <xdr:sp macro="" textlink="">
      <xdr:nvSpPr>
        <xdr:cNvPr id="4" name="Esquina doblada 1">
          <a:extLst>
            <a:ext uri="{FF2B5EF4-FFF2-40B4-BE49-F238E27FC236}">
              <a16:creationId xmlns:a16="http://schemas.microsoft.com/office/drawing/2014/main" id="{D6527BC7-59CB-445E-B516-A31480D6366B}"/>
            </a:ext>
          </a:extLst>
        </xdr:cNvPr>
        <xdr:cNvSpPr/>
      </xdr:nvSpPr>
      <xdr:spPr>
        <a:xfrm>
          <a:off x="27526058" y="84235314"/>
          <a:ext cx="4977109" cy="1176193"/>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To consistently use this hypotesis be sure to put 0 potential for unmature energy technologies if SELECT_PROTRA_RES_POTENTIALS_SP=1</a:t>
          </a:r>
        </a:p>
      </xdr:txBody>
    </xdr:sp>
    <xdr:clientData/>
  </xdr:twoCellAnchor>
  <xdr:twoCellAnchor>
    <xdr:from>
      <xdr:col>2</xdr:col>
      <xdr:colOff>256428</xdr:colOff>
      <xdr:row>701</xdr:row>
      <xdr:rowOff>103282</xdr:rowOff>
    </xdr:from>
    <xdr:to>
      <xdr:col>3</xdr:col>
      <xdr:colOff>1086971</xdr:colOff>
      <xdr:row>705</xdr:row>
      <xdr:rowOff>58830</xdr:rowOff>
    </xdr:to>
    <xdr:sp macro="" textlink="">
      <xdr:nvSpPr>
        <xdr:cNvPr id="5" name="Esquina doblada 1">
          <a:extLst>
            <a:ext uri="{FF2B5EF4-FFF2-40B4-BE49-F238E27FC236}">
              <a16:creationId xmlns:a16="http://schemas.microsoft.com/office/drawing/2014/main" id="{ABED98A6-53C8-404B-8919-83F3B5D9832D}"/>
            </a:ext>
          </a:extLst>
        </xdr:cNvPr>
        <xdr:cNvSpPr/>
      </xdr:nvSpPr>
      <xdr:spPr>
        <a:xfrm>
          <a:off x="13877178" y="74029982"/>
          <a:ext cx="6278843" cy="1663698"/>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To consistently use this hypotesis check</a:t>
          </a:r>
          <a:r>
            <a:rPr lang="en-GB" sz="1800" baseline="0">
              <a:solidFill>
                <a:sysClr val="windowText" lastClr="000000"/>
              </a:solidFill>
            </a:rPr>
            <a:t> the parametrization of SELECT_AVAILABILITY_UNMATURE_ENERGY_TECHNOLOGIES_SP</a:t>
          </a:r>
          <a:endParaRPr lang="en-GB" sz="1800">
            <a:solidFill>
              <a:sysClr val="windowText" lastClr="000000"/>
            </a:solidFill>
          </a:endParaRPr>
        </a:p>
      </xdr:txBody>
    </xdr:sp>
    <xdr:clientData/>
  </xdr:twoCellAnchor>
  <xdr:twoCellAnchor>
    <xdr:from>
      <xdr:col>0</xdr:col>
      <xdr:colOff>2363973</xdr:colOff>
      <xdr:row>489</xdr:row>
      <xdr:rowOff>136566</xdr:rowOff>
    </xdr:from>
    <xdr:to>
      <xdr:col>4</xdr:col>
      <xdr:colOff>3911831</xdr:colOff>
      <xdr:row>540</xdr:row>
      <xdr:rowOff>158677</xdr:rowOff>
    </xdr:to>
    <xdr:sp macro="" textlink="">
      <xdr:nvSpPr>
        <xdr:cNvPr id="6" name="Esquina doblada 1">
          <a:extLst>
            <a:ext uri="{FF2B5EF4-FFF2-40B4-BE49-F238E27FC236}">
              <a16:creationId xmlns:a16="http://schemas.microsoft.com/office/drawing/2014/main" id="{149EF321-F061-415C-9AA8-2C56B212DEDF}"/>
            </a:ext>
          </a:extLst>
        </xdr:cNvPr>
        <xdr:cNvSpPr/>
      </xdr:nvSpPr>
      <xdr:spPr>
        <a:xfrm>
          <a:off x="2363973" y="46993216"/>
          <a:ext cx="24039558" cy="9413761"/>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6600">
              <a:solidFill>
                <a:srgbClr val="002060"/>
              </a:solidFill>
            </a:rPr>
            <a:t>All these only need to be configurated</a:t>
          </a:r>
          <a:r>
            <a:rPr lang="en-GB" sz="6600" baseline="0">
              <a:solidFill>
                <a:srgbClr val="002060"/>
              </a:solidFill>
            </a:rPr>
            <a:t> if 'SWITCH NRG PROFLEX CAPACITY EXPANSION ENDOGENOUS'=0</a:t>
          </a:r>
          <a:endParaRPr lang="en-GB" sz="6600">
            <a:solidFill>
              <a:srgbClr val="002060"/>
            </a:solidFill>
          </a:endParaRPr>
        </a:p>
      </xdr:txBody>
    </xdr:sp>
    <xdr:clientData/>
  </xdr:twoCellAnchor>
  <xdr:twoCellAnchor>
    <xdr:from>
      <xdr:col>1</xdr:col>
      <xdr:colOff>12539</xdr:colOff>
      <xdr:row>452</xdr:row>
      <xdr:rowOff>77560</xdr:rowOff>
    </xdr:from>
    <xdr:to>
      <xdr:col>6</xdr:col>
      <xdr:colOff>1075501</xdr:colOff>
      <xdr:row>454</xdr:row>
      <xdr:rowOff>68036</xdr:rowOff>
    </xdr:to>
    <xdr:sp macro="" textlink="">
      <xdr:nvSpPr>
        <xdr:cNvPr id="7" name="Esquina doblada 1">
          <a:extLst>
            <a:ext uri="{FF2B5EF4-FFF2-40B4-BE49-F238E27FC236}">
              <a16:creationId xmlns:a16="http://schemas.microsoft.com/office/drawing/2014/main" id="{3372B17A-2CFB-4D91-9C04-EBE73ABBF7C3}"/>
            </a:ext>
          </a:extLst>
        </xdr:cNvPr>
        <xdr:cNvSpPr/>
      </xdr:nvSpPr>
      <xdr:spPr>
        <a:xfrm>
          <a:off x="7848439" y="41695460"/>
          <a:ext cx="23256212" cy="358776"/>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3200">
              <a:solidFill>
                <a:srgbClr val="FF0000"/>
              </a:solidFill>
            </a:rPr>
            <a:t>    NOT USED</a:t>
          </a:r>
        </a:p>
      </xdr:txBody>
    </xdr:sp>
    <xdr:clientData/>
  </xdr:twoCellAnchor>
  <xdr:twoCellAnchor editAs="oneCell">
    <xdr:from>
      <xdr:col>3</xdr:col>
      <xdr:colOff>0</xdr:colOff>
      <xdr:row>531</xdr:row>
      <xdr:rowOff>0</xdr:rowOff>
    </xdr:from>
    <xdr:to>
      <xdr:col>4</xdr:col>
      <xdr:colOff>3174</xdr:colOff>
      <xdr:row>532</xdr:row>
      <xdr:rowOff>2545</xdr:rowOff>
    </xdr:to>
    <xdr:pic>
      <xdr:nvPicPr>
        <xdr:cNvPr id="8" name="Imagen 7">
          <a:extLst>
            <a:ext uri="{FF2B5EF4-FFF2-40B4-BE49-F238E27FC236}">
              <a16:creationId xmlns:a16="http://schemas.microsoft.com/office/drawing/2014/main" id="{D57FAA22-C75C-44C5-BC4F-EFB83E207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69050" y="54590950"/>
          <a:ext cx="3425824" cy="186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6464920</xdr:colOff>
      <xdr:row>614</xdr:row>
      <xdr:rowOff>65068</xdr:rowOff>
    </xdr:from>
    <xdr:to>
      <xdr:col>5</xdr:col>
      <xdr:colOff>3383685</xdr:colOff>
      <xdr:row>629</xdr:row>
      <xdr:rowOff>17319</xdr:rowOff>
    </xdr:to>
    <xdr:sp macro="" textlink="">
      <xdr:nvSpPr>
        <xdr:cNvPr id="9" name="Esquina doblada 1">
          <a:extLst>
            <a:ext uri="{FF2B5EF4-FFF2-40B4-BE49-F238E27FC236}">
              <a16:creationId xmlns:a16="http://schemas.microsoft.com/office/drawing/2014/main" id="{81ACEF15-D9FA-428D-9C50-42A17E60754E}"/>
            </a:ext>
          </a:extLst>
        </xdr:cNvPr>
        <xdr:cNvSpPr/>
      </xdr:nvSpPr>
      <xdr:spPr>
        <a:xfrm>
          <a:off x="6464920" y="57608768"/>
          <a:ext cx="23423665" cy="2714501"/>
        </a:xfrm>
        <a:prstGeom prst="foldedCorner">
          <a:avLst/>
        </a:prstGeom>
        <a:solidFill>
          <a:srgbClr val="FF0000">
            <a:alpha val="4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6600">
              <a:solidFill>
                <a:srgbClr val="FF0000"/>
              </a:solidFill>
            </a:rPr>
            <a:t>TO-DO:</a:t>
          </a:r>
          <a:r>
            <a:rPr lang="en-GB" sz="6600" baseline="0">
              <a:solidFill>
                <a:srgbClr val="FF0000"/>
              </a:solidFill>
            </a:rPr>
            <a:t> build an explicit capacity stock for TW of V2G and SC and integrate in the PROFLEX allocate.</a:t>
          </a:r>
          <a:endParaRPr lang="en-GB" sz="6600">
            <a:solidFill>
              <a:srgbClr val="FF0000"/>
            </a:solidFill>
          </a:endParaRPr>
        </a:p>
      </xdr:txBody>
    </xdr:sp>
    <xdr:clientData/>
  </xdr:twoCellAnchor>
  <xdr:twoCellAnchor>
    <xdr:from>
      <xdr:col>0</xdr:col>
      <xdr:colOff>6618514</xdr:colOff>
      <xdr:row>348</xdr:row>
      <xdr:rowOff>103910</xdr:rowOff>
    </xdr:from>
    <xdr:to>
      <xdr:col>11</xdr:col>
      <xdr:colOff>11875</xdr:colOff>
      <xdr:row>351</xdr:row>
      <xdr:rowOff>1</xdr:rowOff>
    </xdr:to>
    <xdr:sp macro="" textlink="">
      <xdr:nvSpPr>
        <xdr:cNvPr id="10" name="Esquina doblada 1">
          <a:extLst>
            <a:ext uri="{FF2B5EF4-FFF2-40B4-BE49-F238E27FC236}">
              <a16:creationId xmlns:a16="http://schemas.microsoft.com/office/drawing/2014/main" id="{6B1DE74C-2C77-4551-A790-507EDE0BE164}"/>
            </a:ext>
          </a:extLst>
        </xdr:cNvPr>
        <xdr:cNvSpPr/>
      </xdr:nvSpPr>
      <xdr:spPr>
        <a:xfrm>
          <a:off x="6618514" y="38965910"/>
          <a:ext cx="33050018" cy="451262"/>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400">
              <a:solidFill>
                <a:srgbClr val="002060"/>
              </a:solidFill>
            </a:rPr>
            <a:t>=0 means</a:t>
          </a:r>
          <a:r>
            <a:rPr lang="en-GB" sz="2400" baseline="0">
              <a:solidFill>
                <a:srgbClr val="002060"/>
              </a:solidFill>
            </a:rPr>
            <a:t> it is fully endogenous, and =1 fully exogenous [range: 0-1]. Validated feature.</a:t>
          </a:r>
          <a:endParaRPr lang="en-GB" sz="2400">
            <a:solidFill>
              <a:srgbClr val="002060"/>
            </a:solidFill>
          </a:endParaRPr>
        </a:p>
      </xdr:txBody>
    </xdr:sp>
    <xdr:clientData/>
  </xdr:twoCellAnchor>
  <xdr:twoCellAnchor>
    <xdr:from>
      <xdr:col>0</xdr:col>
      <xdr:colOff>6709999</xdr:colOff>
      <xdr:row>247</xdr:row>
      <xdr:rowOff>111516</xdr:rowOff>
    </xdr:from>
    <xdr:to>
      <xdr:col>12</xdr:col>
      <xdr:colOff>23177</xdr:colOff>
      <xdr:row>250</xdr:row>
      <xdr:rowOff>27214</xdr:rowOff>
    </xdr:to>
    <xdr:sp macro="" textlink="">
      <xdr:nvSpPr>
        <xdr:cNvPr id="11" name="Esquina doblada 1">
          <a:extLst>
            <a:ext uri="{FF2B5EF4-FFF2-40B4-BE49-F238E27FC236}">
              <a16:creationId xmlns:a16="http://schemas.microsoft.com/office/drawing/2014/main" id="{5A898CC7-9692-41DF-9301-305CFACBC5B6}"/>
            </a:ext>
          </a:extLst>
        </xdr:cNvPr>
        <xdr:cNvSpPr/>
      </xdr:nvSpPr>
      <xdr:spPr>
        <a:xfrm>
          <a:off x="6709999" y="18825873"/>
          <a:ext cx="34497464" cy="459984"/>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spcBef>
              <a:spcPts val="0"/>
            </a:spcBef>
            <a:spcAft>
              <a:spcPts val="0"/>
            </a:spcAft>
          </a:pPr>
          <a:r>
            <a:rPr lang="en-GB" sz="2400">
              <a:solidFill>
                <a:srgbClr val="002060"/>
              </a:solidFill>
              <a:effectLst/>
              <a:latin typeface="Calibri" panose="020F0502020204030204" pitchFamily="34" charset="0"/>
              <a:ea typeface="+mn-ea"/>
              <a:cs typeface="+mn-cs"/>
            </a:rPr>
            <a:t>=0 means</a:t>
          </a:r>
          <a:r>
            <a:rPr lang="en-GB" sz="2400" baseline="0">
              <a:solidFill>
                <a:srgbClr val="002060"/>
              </a:solidFill>
              <a:effectLst/>
              <a:latin typeface="Calibri" panose="020F0502020204030204" pitchFamily="34" charset="0"/>
              <a:ea typeface="+mn-ea"/>
              <a:cs typeface="+mn-cs"/>
            </a:rPr>
            <a:t> it is fully endogenous through LCOE, and =1 fully exogenous [range: 0-1]</a:t>
          </a:r>
          <a:endParaRPr lang="es-ES" sz="2400">
            <a:effectLst/>
          </a:endParaRPr>
        </a:p>
      </xdr:txBody>
    </xdr:sp>
    <xdr:clientData/>
  </xdr:twoCellAnchor>
  <xdr:twoCellAnchor>
    <xdr:from>
      <xdr:col>4</xdr:col>
      <xdr:colOff>135</xdr:colOff>
      <xdr:row>179</xdr:row>
      <xdr:rowOff>131452</xdr:rowOff>
    </xdr:from>
    <xdr:to>
      <xdr:col>6</xdr:col>
      <xdr:colOff>3370900</xdr:colOff>
      <xdr:row>185</xdr:row>
      <xdr:rowOff>7859</xdr:rowOff>
    </xdr:to>
    <xdr:sp macro="" textlink="">
      <xdr:nvSpPr>
        <xdr:cNvPr id="12" name="Esquina doblada 1">
          <a:extLst>
            <a:ext uri="{FF2B5EF4-FFF2-40B4-BE49-F238E27FC236}">
              <a16:creationId xmlns:a16="http://schemas.microsoft.com/office/drawing/2014/main" id="{611BF0EB-5A89-47E6-AF62-26CC4B5661D5}"/>
            </a:ext>
          </a:extLst>
        </xdr:cNvPr>
        <xdr:cNvSpPr/>
      </xdr:nvSpPr>
      <xdr:spPr>
        <a:xfrm>
          <a:off x="22098135" y="33659452"/>
          <a:ext cx="10769092" cy="1137171"/>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spcBef>
              <a:spcPts val="0"/>
            </a:spcBef>
            <a:spcAft>
              <a:spcPts val="0"/>
            </a:spcAft>
          </a:pPr>
          <a:r>
            <a:rPr lang="en-GB" sz="2400">
              <a:solidFill>
                <a:sysClr val="windowText" lastClr="000000"/>
              </a:solidFill>
            </a:rPr>
            <a:t>The 3 target stocks for each option (BF-BOF*, DRI, HDRI) must need to sum up 1 in the target year</a:t>
          </a:r>
          <a:endParaRPr lang="es-ES" sz="2400">
            <a:solidFill>
              <a:sysClr val="windowText" lastClr="000000"/>
            </a:solidFill>
            <a:effectLst/>
          </a:endParaRPr>
        </a:p>
      </xdr:txBody>
    </xdr:sp>
    <xdr:clientData/>
  </xdr:twoCellAnchor>
  <xdr:twoCellAnchor>
    <xdr:from>
      <xdr:col>1</xdr:col>
      <xdr:colOff>0</xdr:colOff>
      <xdr:row>562</xdr:row>
      <xdr:rowOff>0</xdr:rowOff>
    </xdr:from>
    <xdr:to>
      <xdr:col>3</xdr:col>
      <xdr:colOff>1600200</xdr:colOff>
      <xdr:row>563</xdr:row>
      <xdr:rowOff>0</xdr:rowOff>
    </xdr:to>
    <xdr:sp macro="" textlink="">
      <xdr:nvSpPr>
        <xdr:cNvPr id="14" name="Esquina doblada 1">
          <a:extLst>
            <a:ext uri="{FF2B5EF4-FFF2-40B4-BE49-F238E27FC236}">
              <a16:creationId xmlns:a16="http://schemas.microsoft.com/office/drawing/2014/main" id="{89D778F5-BE83-4D7B-855E-316FA2128646}"/>
            </a:ext>
          </a:extLst>
        </xdr:cNvPr>
        <xdr:cNvSpPr/>
      </xdr:nvSpPr>
      <xdr:spPr>
        <a:xfrm>
          <a:off x="7835900" y="57359550"/>
          <a:ext cx="12833350" cy="0"/>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spcBef>
              <a:spcPts val="0"/>
            </a:spcBef>
            <a:spcAft>
              <a:spcPts val="0"/>
            </a:spcAft>
          </a:pPr>
          <a:r>
            <a:rPr lang="en-GB" sz="2400">
              <a:solidFill>
                <a:sysClr val="windowText" lastClr="000000"/>
              </a:solidFill>
            </a:rPr>
            <a:t>The 2</a:t>
          </a:r>
          <a:r>
            <a:rPr lang="en-GB" sz="2400" baseline="0">
              <a:solidFill>
                <a:sysClr val="windowText" lastClr="000000"/>
              </a:solidFill>
            </a:rPr>
            <a:t> shares</a:t>
          </a:r>
          <a:r>
            <a:rPr lang="en-GB" sz="2400">
              <a:solidFill>
                <a:sysClr val="windowText" lastClr="000000"/>
              </a:solidFill>
            </a:rPr>
            <a:t> for each option (ALKALINE, PEM) must sum = 1 every</a:t>
          </a:r>
          <a:r>
            <a:rPr lang="en-GB" sz="2400" baseline="0">
              <a:solidFill>
                <a:sysClr val="windowText" lastClr="000000"/>
              </a:solidFill>
            </a:rPr>
            <a:t> year</a:t>
          </a:r>
          <a:endParaRPr lang="es-ES" sz="2400">
            <a:solidFill>
              <a:sysClr val="windowText" lastClr="000000"/>
            </a:solidFill>
            <a:effectLst/>
          </a:endParaRPr>
        </a:p>
      </xdr:txBody>
    </xdr:sp>
    <xdr:clientData/>
  </xdr:twoCellAnchor>
  <xdr:twoCellAnchor>
    <xdr:from>
      <xdr:col>1</xdr:col>
      <xdr:colOff>0</xdr:colOff>
      <xdr:row>585</xdr:row>
      <xdr:rowOff>0</xdr:rowOff>
    </xdr:from>
    <xdr:to>
      <xdr:col>3</xdr:col>
      <xdr:colOff>1600200</xdr:colOff>
      <xdr:row>586</xdr:row>
      <xdr:rowOff>0</xdr:rowOff>
    </xdr:to>
    <xdr:sp macro="" textlink="">
      <xdr:nvSpPr>
        <xdr:cNvPr id="15" name="Esquina doblada 1">
          <a:extLst>
            <a:ext uri="{FF2B5EF4-FFF2-40B4-BE49-F238E27FC236}">
              <a16:creationId xmlns:a16="http://schemas.microsoft.com/office/drawing/2014/main" id="{9C998DCF-8213-49F3-B823-5162268206DE}"/>
            </a:ext>
          </a:extLst>
        </xdr:cNvPr>
        <xdr:cNvSpPr/>
      </xdr:nvSpPr>
      <xdr:spPr>
        <a:xfrm>
          <a:off x="7835900" y="57359550"/>
          <a:ext cx="12833350" cy="0"/>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spcBef>
              <a:spcPts val="0"/>
            </a:spcBef>
            <a:spcAft>
              <a:spcPts val="0"/>
            </a:spcAft>
          </a:pPr>
          <a:r>
            <a:rPr lang="en-GB" sz="2400">
              <a:solidFill>
                <a:sysClr val="windowText" lastClr="000000"/>
              </a:solidFill>
            </a:rPr>
            <a:t>The 2</a:t>
          </a:r>
          <a:r>
            <a:rPr lang="en-GB" sz="2400" baseline="0">
              <a:solidFill>
                <a:sysClr val="windowText" lastClr="000000"/>
              </a:solidFill>
            </a:rPr>
            <a:t> shares</a:t>
          </a:r>
          <a:r>
            <a:rPr lang="en-GB" sz="2400">
              <a:solidFill>
                <a:sysClr val="windowText" lastClr="000000"/>
              </a:solidFill>
            </a:rPr>
            <a:t> for each option (ALKALINE, PEM) must sum = 1 every</a:t>
          </a:r>
          <a:r>
            <a:rPr lang="en-GB" sz="2400" baseline="0">
              <a:solidFill>
                <a:sysClr val="windowText" lastClr="000000"/>
              </a:solidFill>
            </a:rPr>
            <a:t> year</a:t>
          </a:r>
          <a:endParaRPr lang="es-ES" sz="2400">
            <a:solidFill>
              <a:sysClr val="windowText" lastClr="000000"/>
            </a:solidFill>
            <a:effectLst/>
          </a:endParaRPr>
        </a:p>
      </xdr:txBody>
    </xdr:sp>
    <xdr:clientData/>
  </xdr:twoCellAnchor>
  <xdr:twoCellAnchor>
    <xdr:from>
      <xdr:col>2</xdr:col>
      <xdr:colOff>0</xdr:colOff>
      <xdr:row>603</xdr:row>
      <xdr:rowOff>0</xdr:rowOff>
    </xdr:from>
    <xdr:to>
      <xdr:col>2</xdr:col>
      <xdr:colOff>4093028</xdr:colOff>
      <xdr:row>606</xdr:row>
      <xdr:rowOff>43543</xdr:rowOff>
    </xdr:to>
    <xdr:sp macro="" textlink="">
      <xdr:nvSpPr>
        <xdr:cNvPr id="16" name="Esquina doblada 1">
          <a:extLst>
            <a:ext uri="{FF2B5EF4-FFF2-40B4-BE49-F238E27FC236}">
              <a16:creationId xmlns:a16="http://schemas.microsoft.com/office/drawing/2014/main" id="{66B15E80-241D-4B75-9777-222B81D4F96E}"/>
            </a:ext>
          </a:extLst>
        </xdr:cNvPr>
        <xdr:cNvSpPr/>
      </xdr:nvSpPr>
      <xdr:spPr>
        <a:xfrm>
          <a:off x="13620750" y="57359550"/>
          <a:ext cx="4093028" cy="0"/>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spcBef>
              <a:spcPts val="0"/>
            </a:spcBef>
            <a:spcAft>
              <a:spcPts val="0"/>
            </a:spcAft>
          </a:pPr>
          <a:r>
            <a:rPr lang="en-GB" sz="1200">
              <a:solidFill>
                <a:sysClr val="windowText" lastClr="000000"/>
              </a:solidFill>
            </a:rPr>
            <a:t>Note: the data corresponding to options 0 and 1 can</a:t>
          </a:r>
          <a:r>
            <a:rPr lang="en-GB" sz="1200" baseline="0">
              <a:solidFill>
                <a:sysClr val="windowText" lastClr="000000"/>
              </a:solidFill>
            </a:rPr>
            <a:t> be found in model_parameters/energy/energy-hydrogen.xlsx</a:t>
          </a:r>
          <a:endParaRPr lang="es-ES" sz="1200">
            <a:solidFill>
              <a:sysClr val="windowText" lastClr="000000"/>
            </a:solidFill>
            <a:effectLst/>
          </a:endParaRPr>
        </a:p>
      </xdr:txBody>
    </xdr:sp>
    <xdr:clientData/>
  </xdr:twoCellAnchor>
  <xdr:twoCellAnchor>
    <xdr:from>
      <xdr:col>2</xdr:col>
      <xdr:colOff>0</xdr:colOff>
      <xdr:row>591</xdr:row>
      <xdr:rowOff>0</xdr:rowOff>
    </xdr:from>
    <xdr:to>
      <xdr:col>2</xdr:col>
      <xdr:colOff>4093028</xdr:colOff>
      <xdr:row>594</xdr:row>
      <xdr:rowOff>43542</xdr:rowOff>
    </xdr:to>
    <xdr:sp macro="" textlink="">
      <xdr:nvSpPr>
        <xdr:cNvPr id="17" name="Esquina doblada 1">
          <a:extLst>
            <a:ext uri="{FF2B5EF4-FFF2-40B4-BE49-F238E27FC236}">
              <a16:creationId xmlns:a16="http://schemas.microsoft.com/office/drawing/2014/main" id="{9862C251-CDA9-407C-A116-C4ADABE3ACB2}"/>
            </a:ext>
          </a:extLst>
        </xdr:cNvPr>
        <xdr:cNvSpPr/>
      </xdr:nvSpPr>
      <xdr:spPr>
        <a:xfrm>
          <a:off x="13620750" y="57359550"/>
          <a:ext cx="4093028" cy="0"/>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spcBef>
              <a:spcPts val="0"/>
            </a:spcBef>
            <a:spcAft>
              <a:spcPts val="0"/>
            </a:spcAft>
          </a:pPr>
          <a:r>
            <a:rPr lang="en-GB" sz="1200">
              <a:solidFill>
                <a:sysClr val="windowText" lastClr="000000"/>
              </a:solidFill>
            </a:rPr>
            <a:t>Note: the data corresponding to options 0 and 1 can</a:t>
          </a:r>
          <a:r>
            <a:rPr lang="en-GB" sz="1200" baseline="0">
              <a:solidFill>
                <a:sysClr val="windowText" lastClr="000000"/>
              </a:solidFill>
            </a:rPr>
            <a:t> be found in model_parameters/energy/energy-hydrogen.xlsx</a:t>
          </a:r>
          <a:endParaRPr lang="es-ES" sz="1200">
            <a:solidFill>
              <a:sysClr val="windowText" lastClr="000000"/>
            </a:solidFill>
            <a:effectLst/>
          </a:endParaRPr>
        </a:p>
      </xdr:txBody>
    </xdr:sp>
    <xdr:clientData/>
  </xdr:twoCellAnchor>
  <xdr:twoCellAnchor>
    <xdr:from>
      <xdr:col>2</xdr:col>
      <xdr:colOff>0</xdr:colOff>
      <xdr:row>818</xdr:row>
      <xdr:rowOff>0</xdr:rowOff>
    </xdr:from>
    <xdr:to>
      <xdr:col>2</xdr:col>
      <xdr:colOff>4470763</xdr:colOff>
      <xdr:row>821</xdr:row>
      <xdr:rowOff>43543</xdr:rowOff>
    </xdr:to>
    <xdr:sp macro="" textlink="">
      <xdr:nvSpPr>
        <xdr:cNvPr id="18" name="Esquina doblada 1">
          <a:extLst>
            <a:ext uri="{FF2B5EF4-FFF2-40B4-BE49-F238E27FC236}">
              <a16:creationId xmlns:a16="http://schemas.microsoft.com/office/drawing/2014/main" id="{A914C3E4-5B13-4358-9BEB-1536B1CAF60E}"/>
            </a:ext>
          </a:extLst>
        </xdr:cNvPr>
        <xdr:cNvSpPr/>
      </xdr:nvSpPr>
      <xdr:spPr>
        <a:xfrm>
          <a:off x="13620750" y="96627950"/>
          <a:ext cx="4470763" cy="595993"/>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spcBef>
              <a:spcPts val="0"/>
            </a:spcBef>
            <a:spcAft>
              <a:spcPts val="0"/>
            </a:spcAft>
          </a:pPr>
          <a:r>
            <a:rPr lang="en-GB" sz="1200">
              <a:solidFill>
                <a:sysClr val="windowText" lastClr="000000"/>
              </a:solidFill>
            </a:rPr>
            <a:t>Note: the data corresponding to options 0, 1, 2 and 3 can</a:t>
          </a:r>
          <a:r>
            <a:rPr lang="en-GB" sz="1200" baseline="0">
              <a:solidFill>
                <a:sysClr val="windowText" lastClr="000000"/>
              </a:solidFill>
            </a:rPr>
            <a:t> be found in model_parameters/energy/energy-caàcity_investment_cost.xlsx</a:t>
          </a:r>
          <a:endParaRPr lang="es-ES" sz="1200">
            <a:solidFill>
              <a:sysClr val="windowText" lastClr="000000"/>
            </a:solidFill>
            <a:effectLst/>
          </a:endParaRPr>
        </a:p>
      </xdr:txBody>
    </xdr:sp>
    <xdr:clientData/>
  </xdr:twoCellAnchor>
  <xdr:twoCellAnchor>
    <xdr:from>
      <xdr:col>0</xdr:col>
      <xdr:colOff>0</xdr:colOff>
      <xdr:row>103</xdr:row>
      <xdr:rowOff>8964</xdr:rowOff>
    </xdr:from>
    <xdr:to>
      <xdr:col>1</xdr:col>
      <xdr:colOff>1932214</xdr:colOff>
      <xdr:row>103</xdr:row>
      <xdr:rowOff>412376</xdr:rowOff>
    </xdr:to>
    <xdr:sp macro="" textlink="">
      <xdr:nvSpPr>
        <xdr:cNvPr id="19" name="Esquina doblada 1">
          <a:extLst>
            <a:ext uri="{FF2B5EF4-FFF2-40B4-BE49-F238E27FC236}">
              <a16:creationId xmlns:a16="http://schemas.microsoft.com/office/drawing/2014/main" id="{92CCCA54-36DD-4347-BA73-A334B4C71DB7}"/>
            </a:ext>
          </a:extLst>
        </xdr:cNvPr>
        <xdr:cNvSpPr/>
      </xdr:nvSpPr>
      <xdr:spPr>
        <a:xfrm>
          <a:off x="0" y="18538264"/>
          <a:ext cx="9768114" cy="403412"/>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spcBef>
              <a:spcPts val="0"/>
            </a:spcBef>
            <a:spcAft>
              <a:spcPts val="0"/>
            </a:spcAft>
          </a:pPr>
          <a:r>
            <a:rPr lang="en-GB" sz="2400" b="1">
              <a:solidFill>
                <a:srgbClr val="002060"/>
              </a:solidFill>
              <a:effectLst/>
              <a:latin typeface="Calibri" panose="020F0502020204030204" pitchFamily="34" charset="0"/>
              <a:ea typeface="+mn-ea"/>
              <a:cs typeface="+mn-cs"/>
            </a:rPr>
            <a:t>HYDROGEN DEMAND SP -&gt; EXPAND ROWS BELOW</a:t>
          </a:r>
          <a:endParaRPr lang="es-ES" sz="2400" b="1">
            <a:effectLst/>
          </a:endParaRPr>
        </a:p>
      </xdr:txBody>
    </xdr:sp>
    <xdr:clientData/>
  </xdr:twoCellAnchor>
  <xdr:twoCellAnchor>
    <xdr:from>
      <xdr:col>0</xdr:col>
      <xdr:colOff>0</xdr:colOff>
      <xdr:row>543</xdr:row>
      <xdr:rowOff>25309</xdr:rowOff>
    </xdr:from>
    <xdr:to>
      <xdr:col>1</xdr:col>
      <xdr:colOff>5660571</xdr:colOff>
      <xdr:row>543</xdr:row>
      <xdr:rowOff>546290</xdr:rowOff>
    </xdr:to>
    <xdr:sp macro="" textlink="">
      <xdr:nvSpPr>
        <xdr:cNvPr id="20" name="Esquina doblada 1">
          <a:extLst>
            <a:ext uri="{FF2B5EF4-FFF2-40B4-BE49-F238E27FC236}">
              <a16:creationId xmlns:a16="http://schemas.microsoft.com/office/drawing/2014/main" id="{1EB01BA8-F873-45D5-B1C0-5A4B084EE0E5}"/>
            </a:ext>
          </a:extLst>
        </xdr:cNvPr>
        <xdr:cNvSpPr/>
      </xdr:nvSpPr>
      <xdr:spPr>
        <a:xfrm>
          <a:off x="0" y="56826059"/>
          <a:ext cx="13496471" cy="520981"/>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spcBef>
              <a:spcPts val="0"/>
            </a:spcBef>
            <a:spcAft>
              <a:spcPts val="0"/>
            </a:spcAft>
          </a:pPr>
          <a:r>
            <a:rPr lang="en-GB" sz="2400" b="1">
              <a:solidFill>
                <a:srgbClr val="002060"/>
              </a:solidFill>
              <a:effectLst/>
              <a:latin typeface="Calibri" panose="020F0502020204030204" pitchFamily="34" charset="0"/>
              <a:ea typeface="+mn-ea"/>
              <a:cs typeface="+mn-cs"/>
            </a:rPr>
            <a:t>HYDROGEN PRODUCTION VIA ON-SITE AND STATIONARY ELECTROLYZERS SP-&gt; EXPAND ROWS BELOW</a:t>
          </a:r>
          <a:endParaRPr lang="es-ES" sz="2400" b="1">
            <a:effectLst/>
          </a:endParaRPr>
        </a:p>
      </xdr:txBody>
    </xdr:sp>
    <xdr:clientData/>
  </xdr:twoCellAnchor>
  <xdr:twoCellAnchor>
    <xdr:from>
      <xdr:col>2</xdr:col>
      <xdr:colOff>143054</xdr:colOff>
      <xdr:row>218</xdr:row>
      <xdr:rowOff>105682</xdr:rowOff>
    </xdr:from>
    <xdr:to>
      <xdr:col>5</xdr:col>
      <xdr:colOff>2422072</xdr:colOff>
      <xdr:row>222</xdr:row>
      <xdr:rowOff>145869</xdr:rowOff>
    </xdr:to>
    <xdr:sp macro="" textlink="">
      <xdr:nvSpPr>
        <xdr:cNvPr id="21" name="Esquina doblada 1">
          <a:extLst>
            <a:ext uri="{FF2B5EF4-FFF2-40B4-BE49-F238E27FC236}">
              <a16:creationId xmlns:a16="http://schemas.microsoft.com/office/drawing/2014/main" id="{54FB6306-C03A-46E8-8F9E-AE9AB47F4832}"/>
            </a:ext>
          </a:extLst>
        </xdr:cNvPr>
        <xdr:cNvSpPr/>
      </xdr:nvSpPr>
      <xdr:spPr>
        <a:xfrm>
          <a:off x="13763804" y="18967450"/>
          <a:ext cx="15163168" cy="0"/>
        </a:xfrm>
        <a:prstGeom prst="foldedCorner">
          <a:avLst/>
        </a:prstGeom>
        <a:solidFill>
          <a:schemeClr val="accent1">
            <a:alpha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spcBef>
              <a:spcPts val="0"/>
            </a:spcBef>
            <a:spcAft>
              <a:spcPts val="0"/>
            </a:spcAft>
          </a:pPr>
          <a:r>
            <a:rPr lang="en-GB" sz="2400">
              <a:solidFill>
                <a:sysClr val="windowText" lastClr="000000"/>
              </a:solidFill>
            </a:rPr>
            <a:t>Reminder: activate a share of merchant</a:t>
          </a:r>
          <a:r>
            <a:rPr lang="en-GB" sz="2400" baseline="0">
              <a:solidFill>
                <a:sysClr val="windowText" lastClr="000000"/>
              </a:solidFill>
            </a:rPr>
            <a:t> H2 demand in order to be able to import it!</a:t>
          </a:r>
          <a:endParaRPr lang="es-ES" sz="2400">
            <a:solidFill>
              <a:sysClr val="windowText" lastClr="000000"/>
            </a:solidFill>
            <a:effectLst/>
          </a:endParaRPr>
        </a:p>
      </xdr:txBody>
    </xdr:sp>
    <xdr:clientData/>
  </xdr:twoCellAnchor>
  <xdr:twoCellAnchor>
    <xdr:from>
      <xdr:col>0</xdr:col>
      <xdr:colOff>5565588</xdr:colOff>
      <xdr:row>621</xdr:row>
      <xdr:rowOff>10594</xdr:rowOff>
    </xdr:from>
    <xdr:to>
      <xdr:col>1</xdr:col>
      <xdr:colOff>4136571</xdr:colOff>
      <xdr:row>639</xdr:row>
      <xdr:rowOff>166745</xdr:rowOff>
    </xdr:to>
    <xdr:sp macro="" textlink="">
      <xdr:nvSpPr>
        <xdr:cNvPr id="22" name="Esquina doblada 1">
          <a:extLst>
            <a:ext uri="{FF2B5EF4-FFF2-40B4-BE49-F238E27FC236}">
              <a16:creationId xmlns:a16="http://schemas.microsoft.com/office/drawing/2014/main" id="{78E8F61A-2986-4310-9CEA-DE362D4101EE}"/>
            </a:ext>
          </a:extLst>
        </xdr:cNvPr>
        <xdr:cNvSpPr/>
      </xdr:nvSpPr>
      <xdr:spPr>
        <a:xfrm>
          <a:off x="5565588" y="77018776"/>
          <a:ext cx="6410347" cy="3481242"/>
        </a:xfrm>
        <a:prstGeom prst="foldedCorner">
          <a:avLst/>
        </a:prstGeom>
        <a:solidFill>
          <a:schemeClr val="accent1">
            <a:alpha val="7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a:solidFill>
                <a:sysClr val="windowText" lastClr="000000"/>
              </a:solidFill>
            </a:rPr>
            <a:t>Including very high numbers (10,000) in this table is</a:t>
          </a:r>
          <a:r>
            <a:rPr lang="en-GB" sz="2000" baseline="0">
              <a:solidFill>
                <a:sysClr val="windowText" lastClr="000000"/>
              </a:solidFill>
            </a:rPr>
            <a:t> equivalent to unlimited RES potential, but to ease model usability we have include a specific option in the SELECT above (SELECT_PROTRA_RES_POTENTIALS_SP)</a:t>
          </a:r>
        </a:p>
        <a:p>
          <a:pPr algn="l"/>
          <a:endParaRPr lang="en-GB" sz="2000" baseline="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2000" baseline="0">
              <a:solidFill>
                <a:srgbClr val="FF0000"/>
              </a:solidFill>
              <a:effectLst/>
              <a:latin typeface="+mn-lt"/>
              <a:ea typeface="+mn-ea"/>
              <a:cs typeface="+mn-cs"/>
            </a:rPr>
            <a:t>CCS technologies are not validated</a:t>
          </a:r>
          <a:endParaRPr lang="es-ES" sz="2000">
            <a:solidFill>
              <a:srgbClr val="FF0000"/>
            </a:solidFill>
            <a:effectLst/>
          </a:endParaRPr>
        </a:p>
      </xdr:txBody>
    </xdr:sp>
    <xdr:clientData/>
  </xdr:twoCellAnchor>
  <xdr:twoCellAnchor>
    <xdr:from>
      <xdr:col>2</xdr:col>
      <xdr:colOff>254001</xdr:colOff>
      <xdr:row>687</xdr:row>
      <xdr:rowOff>86591</xdr:rowOff>
    </xdr:from>
    <xdr:to>
      <xdr:col>5</xdr:col>
      <xdr:colOff>886403</xdr:colOff>
      <xdr:row>701</xdr:row>
      <xdr:rowOff>121227</xdr:rowOff>
    </xdr:to>
    <xdr:sp macro="" textlink="">
      <xdr:nvSpPr>
        <xdr:cNvPr id="23" name="Esquina doblada 1">
          <a:extLst>
            <a:ext uri="{FF2B5EF4-FFF2-40B4-BE49-F238E27FC236}">
              <a16:creationId xmlns:a16="http://schemas.microsoft.com/office/drawing/2014/main" id="{90D24F3C-C20E-4E6F-8D23-2192FED95C1E}"/>
            </a:ext>
          </a:extLst>
        </xdr:cNvPr>
        <xdr:cNvSpPr/>
      </xdr:nvSpPr>
      <xdr:spPr>
        <a:xfrm>
          <a:off x="13883410" y="84252955"/>
          <a:ext cx="13517129" cy="2459181"/>
        </a:xfrm>
        <a:prstGeom prst="foldedCorner">
          <a:avLst/>
        </a:prstGeom>
        <a:solidFill>
          <a:schemeClr val="accent1">
            <a:alpha val="7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a:solidFill>
                <a:sysClr val="windowText" lastClr="000000"/>
              </a:solidFill>
            </a:rPr>
            <a:t>The only validated undeveloped technologies are</a:t>
          </a:r>
          <a:r>
            <a:rPr lang="en-GB" sz="2000" baseline="0">
              <a:solidFill>
                <a:sysClr val="windowText" lastClr="000000"/>
              </a:solidFill>
            </a:rPr>
            <a:t> electrolysers and oceanic.</a:t>
          </a:r>
        </a:p>
        <a:p>
          <a:pPr algn="l"/>
          <a:endParaRPr lang="en-GB" sz="2000" baseline="0">
            <a:solidFill>
              <a:sysClr val="windowText" lastClr="000000"/>
            </a:solidFill>
            <a:effectLst/>
          </a:endParaRPr>
        </a:p>
        <a:p>
          <a:pPr algn="l"/>
          <a:r>
            <a:rPr lang="en-GB" sz="2000" baseline="0">
              <a:solidFill>
                <a:sysClr val="windowText" lastClr="000000"/>
              </a:solidFill>
              <a:effectLst/>
            </a:rPr>
            <a:t>Neither CCS nor wind offshore floating are properly modelled and their use is strongly not recommended. They are kept in the framework as they will be improved in the future and for testing purposes (by model developers).</a:t>
          </a:r>
        </a:p>
        <a:p>
          <a:pPr algn="l"/>
          <a:endParaRPr lang="en-GB" sz="2000" baseline="0">
            <a:solidFill>
              <a:sysClr val="windowText" lastClr="000000"/>
            </a:solidFill>
            <a:effectLst/>
          </a:endParaRPr>
        </a:p>
        <a:p>
          <a:pPr algn="l"/>
          <a:r>
            <a:rPr lang="es-ES" sz="2000">
              <a:solidFill>
                <a:srgbClr val="FF0000"/>
              </a:solidFill>
            </a:rPr>
            <a:t>Add DAC? In any case, the current programming of that SELECT is too rigid and does not allow for customized combinations of undeveloped techs.</a:t>
          </a:r>
          <a:endParaRPr lang="es-ES" sz="2000">
            <a:solidFill>
              <a:srgbClr val="FF0000"/>
            </a:solidFill>
            <a:effectLst/>
          </a:endParaRPr>
        </a:p>
      </xdr:txBody>
    </xdr:sp>
    <xdr:clientData/>
  </xdr:twoCellAnchor>
  <xdr:twoCellAnchor>
    <xdr:from>
      <xdr:col>6</xdr:col>
      <xdr:colOff>0</xdr:colOff>
      <xdr:row>586</xdr:row>
      <xdr:rowOff>0</xdr:rowOff>
    </xdr:from>
    <xdr:to>
      <xdr:col>9</xdr:col>
      <xdr:colOff>325931</xdr:colOff>
      <xdr:row>590</xdr:row>
      <xdr:rowOff>78123</xdr:rowOff>
    </xdr:to>
    <xdr:sp macro="" textlink="">
      <xdr:nvSpPr>
        <xdr:cNvPr id="24" name="Esquina doblada 1">
          <a:extLst>
            <a:ext uri="{FF2B5EF4-FFF2-40B4-BE49-F238E27FC236}">
              <a16:creationId xmlns:a16="http://schemas.microsoft.com/office/drawing/2014/main" id="{71CE1042-C62D-4526-A5E0-1CB1218EFCC9}"/>
            </a:ext>
          </a:extLst>
        </xdr:cNvPr>
        <xdr:cNvSpPr/>
      </xdr:nvSpPr>
      <xdr:spPr>
        <a:xfrm>
          <a:off x="29489400" y="84560229"/>
          <a:ext cx="7641131" cy="818351"/>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To use these exogenous</a:t>
          </a:r>
          <a:r>
            <a:rPr lang="en-GB" sz="1800" baseline="0">
              <a:solidFill>
                <a:sysClr val="windowText" lastClr="000000"/>
              </a:solidFill>
            </a:rPr>
            <a:t> shares, set to </a:t>
          </a:r>
          <a:r>
            <a:rPr lang="en-GB" sz="1800">
              <a:solidFill>
                <a:sysClr val="windowText" lastClr="000000"/>
              </a:solidFill>
            </a:rPr>
            <a:t>0 SWITCH_NRG_ENDOGENOUS_SHARE_ELEC_2_HYDROGEN_SUBTECHNOLOGIES</a:t>
          </a:r>
        </a:p>
      </xdr:txBody>
    </xdr:sp>
    <xdr:clientData/>
  </xdr:twoCellAnchor>
  <xdr:twoCellAnchor>
    <xdr:from>
      <xdr:col>6</xdr:col>
      <xdr:colOff>0</xdr:colOff>
      <xdr:row>563</xdr:row>
      <xdr:rowOff>0</xdr:rowOff>
    </xdr:from>
    <xdr:to>
      <xdr:col>9</xdr:col>
      <xdr:colOff>325931</xdr:colOff>
      <xdr:row>567</xdr:row>
      <xdr:rowOff>78123</xdr:rowOff>
    </xdr:to>
    <xdr:sp macro="" textlink="">
      <xdr:nvSpPr>
        <xdr:cNvPr id="25" name="Esquina doblada 1">
          <a:extLst>
            <a:ext uri="{FF2B5EF4-FFF2-40B4-BE49-F238E27FC236}">
              <a16:creationId xmlns:a16="http://schemas.microsoft.com/office/drawing/2014/main" id="{191B31B4-65CF-4872-9E53-70E067E930D8}"/>
            </a:ext>
          </a:extLst>
        </xdr:cNvPr>
        <xdr:cNvSpPr/>
      </xdr:nvSpPr>
      <xdr:spPr>
        <a:xfrm>
          <a:off x="29489400" y="79748743"/>
          <a:ext cx="7641131" cy="818351"/>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To use these exogenous</a:t>
          </a:r>
          <a:r>
            <a:rPr lang="en-GB" sz="1800" baseline="0">
              <a:solidFill>
                <a:sysClr val="windowText" lastClr="000000"/>
              </a:solidFill>
            </a:rPr>
            <a:t> shares, set to </a:t>
          </a:r>
          <a:r>
            <a:rPr lang="en-GB" sz="1800">
              <a:solidFill>
                <a:sysClr val="windowText" lastClr="000000"/>
              </a:solidFill>
            </a:rPr>
            <a:t>0 SWITCH_NRG_ENDOGENOUS_SHARE_ELEC_2_HYDROGEN_SUBTECHNOLOGIES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585108</xdr:colOff>
      <xdr:row>28</xdr:row>
      <xdr:rowOff>81644</xdr:rowOff>
    </xdr:from>
    <xdr:to>
      <xdr:col>20</xdr:col>
      <xdr:colOff>391886</xdr:colOff>
      <xdr:row>46</xdr:row>
      <xdr:rowOff>141099</xdr:rowOff>
    </xdr:to>
    <xdr:sp macro="" textlink="">
      <xdr:nvSpPr>
        <xdr:cNvPr id="2" name="Esquina doblada 1">
          <a:extLst>
            <a:ext uri="{FF2B5EF4-FFF2-40B4-BE49-F238E27FC236}">
              <a16:creationId xmlns:a16="http://schemas.microsoft.com/office/drawing/2014/main" id="{6DB15CB1-4600-4C78-AE39-577E3050056C}"/>
            </a:ext>
          </a:extLst>
        </xdr:cNvPr>
        <xdr:cNvSpPr/>
      </xdr:nvSpPr>
      <xdr:spPr>
        <a:xfrm>
          <a:off x="11469008" y="6971394"/>
          <a:ext cx="6512378" cy="3259855"/>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800">
              <a:solidFill>
                <a:sysClr val="windowText" lastClr="000000"/>
              </a:solidFill>
            </a:rPr>
            <a:t> In order to activate the subsidies replace 0 by 1 in the switches and define the % (from 0% to 100%) of the total cos of the renovation that is covered by the subsidy. Column B gives information on the default cost of renovation.Subsidies</a:t>
          </a:r>
          <a:r>
            <a:rPr lang="es-ES" sz="1800" baseline="0">
              <a:solidFill>
                <a:sysClr val="windowText" lastClr="000000"/>
              </a:solidFill>
            </a:rPr>
            <a:t> to the renovation of dwellings can be funded through taxes on GHG emission. The share of the revenues from GHG taxes on emissions from sectors and households that are used to finance this policy is defined in the "economy" spreadsheet. In order to keep the target for the government balance, the difference between the cost of this policy and the GHG revenues used to finace the policy is compensated by reducing/increasing the government consumption/investment</a:t>
          </a:r>
          <a:endParaRPr lang="en-GB" sz="1800">
            <a:solidFill>
              <a:sysClr val="windowText" lastClr="000000"/>
            </a:solidFill>
          </a:endParaRPr>
        </a:p>
      </xdr:txBody>
    </xdr:sp>
    <xdr:clientData/>
  </xdr:twoCellAnchor>
  <xdr:twoCellAnchor>
    <xdr:from>
      <xdr:col>11</xdr:col>
      <xdr:colOff>557892</xdr:colOff>
      <xdr:row>146</xdr:row>
      <xdr:rowOff>127907</xdr:rowOff>
    </xdr:from>
    <xdr:to>
      <xdr:col>23</xdr:col>
      <xdr:colOff>275152</xdr:colOff>
      <xdr:row>167</xdr:row>
      <xdr:rowOff>83947</xdr:rowOff>
    </xdr:to>
    <xdr:sp macro="" textlink="">
      <xdr:nvSpPr>
        <xdr:cNvPr id="3" name="Esquina doblada 1">
          <a:extLst>
            <a:ext uri="{FF2B5EF4-FFF2-40B4-BE49-F238E27FC236}">
              <a16:creationId xmlns:a16="http://schemas.microsoft.com/office/drawing/2014/main" id="{EC775D32-D254-4BE6-9CA5-B158A1B85790}"/>
            </a:ext>
          </a:extLst>
        </xdr:cNvPr>
        <xdr:cNvSpPr/>
      </xdr:nvSpPr>
      <xdr:spPr>
        <a:xfrm>
          <a:off x="12660992" y="28036157"/>
          <a:ext cx="7032460" cy="3689840"/>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800">
              <a:solidFill>
                <a:sysClr val="windowText" lastClr="000000"/>
              </a:solidFill>
            </a:rPr>
            <a:t> In order to activate the subsidies replace 0 by 1 in the switches and define the % of the cost of the devices (from 0% to 100%) that is covered by the subsidy. Column B gives information on the cost/kw of the device.</a:t>
          </a:r>
        </a:p>
        <a:p>
          <a:pPr algn="l"/>
          <a:r>
            <a:rPr lang="es-ES" sz="1800">
              <a:solidFill>
                <a:sysClr val="windowText" lastClr="000000"/>
              </a:solidFill>
            </a:rPr>
            <a:t>Subsidies</a:t>
          </a:r>
          <a:r>
            <a:rPr lang="es-ES" sz="1800" baseline="0">
              <a:solidFill>
                <a:sysClr val="windowText" lastClr="000000"/>
              </a:solidFill>
            </a:rPr>
            <a:t> to the purchase of dwelling devices can be funded through taxes on GHG emission. The share of the revenues frOm GHG taxes on emissions from sectors and households that are used to finance this policy is defined in the "economy" spreadsheet. In order to keep the target for the government balance, the difference between the cost of this policy and the GHG revenues used to finace the policy is compensated by reducing/increasing the government consumption/investment</a:t>
          </a:r>
          <a:endParaRPr lang="en-GB" sz="1800">
            <a:solidFill>
              <a:sysClr val="windowText" lastClr="000000"/>
            </a:solidFill>
          </a:endParaRPr>
        </a:p>
      </xdr:txBody>
    </xdr:sp>
    <xdr:clientData/>
  </xdr:twoCellAnchor>
  <xdr:twoCellAnchor>
    <xdr:from>
      <xdr:col>9</xdr:col>
      <xdr:colOff>95251</xdr:colOff>
      <xdr:row>377</xdr:row>
      <xdr:rowOff>40822</xdr:rowOff>
    </xdr:from>
    <xdr:to>
      <xdr:col>19</xdr:col>
      <xdr:colOff>394608</xdr:colOff>
      <xdr:row>382</xdr:row>
      <xdr:rowOff>176893</xdr:rowOff>
    </xdr:to>
    <xdr:sp macro="" textlink="">
      <xdr:nvSpPr>
        <xdr:cNvPr id="4" name="Esquina doblada 1">
          <a:extLst>
            <a:ext uri="{FF2B5EF4-FFF2-40B4-BE49-F238E27FC236}">
              <a16:creationId xmlns:a16="http://schemas.microsoft.com/office/drawing/2014/main" id="{DA876A0E-7294-401E-BECE-164F0B9ADC9F}"/>
            </a:ext>
          </a:extLst>
        </xdr:cNvPr>
        <xdr:cNvSpPr/>
      </xdr:nvSpPr>
      <xdr:spPr>
        <a:xfrm>
          <a:off x="10979151" y="69090722"/>
          <a:ext cx="6395357" cy="1056821"/>
        </a:xfrm>
        <a:prstGeom prst="foldedCorner">
          <a:avLst/>
        </a:prstGeom>
        <a:solidFill>
          <a:srgbClr val="FFFF00">
            <a:alpha val="7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800">
              <a:solidFill>
                <a:sysClr val="windowText" lastClr="000000"/>
              </a:solidFill>
            </a:rPr>
            <a:t> In order to activate the</a:t>
          </a:r>
          <a:r>
            <a:rPr lang="es-ES" sz="1800" baseline="0">
              <a:solidFill>
                <a:sysClr val="windowText" lastClr="000000"/>
              </a:solidFill>
            </a:rPr>
            <a:t> ban to a technology replace 0 by 1 and define the inital and final year of the ban</a:t>
          </a:r>
          <a:endParaRPr lang="en-GB" sz="18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449034</xdr:colOff>
      <xdr:row>63</xdr:row>
      <xdr:rowOff>-1</xdr:rowOff>
    </xdr:from>
    <xdr:to>
      <xdr:col>6</xdr:col>
      <xdr:colOff>2462892</xdr:colOff>
      <xdr:row>73</xdr:row>
      <xdr:rowOff>27213</xdr:rowOff>
    </xdr:to>
    <xdr:sp macro="" textlink="">
      <xdr:nvSpPr>
        <xdr:cNvPr id="2" name="Rectángulo: esquina doblada 1">
          <a:extLst>
            <a:ext uri="{FF2B5EF4-FFF2-40B4-BE49-F238E27FC236}">
              <a16:creationId xmlns:a16="http://schemas.microsoft.com/office/drawing/2014/main" id="{8566A80C-5824-4CE2-AC92-F28D6EC49D1B}"/>
            </a:ext>
          </a:extLst>
        </xdr:cNvPr>
        <xdr:cNvSpPr/>
      </xdr:nvSpPr>
      <xdr:spPr>
        <a:xfrm>
          <a:off x="24312334" y="12376149"/>
          <a:ext cx="5677808" cy="1900464"/>
        </a:xfrm>
        <a:prstGeom prst="foldedCorne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200"/>
            <a:t>for gas: </a:t>
          </a:r>
          <a:r>
            <a:rPr lang="es-ES" sz="1200">
              <a:effectLst/>
            </a:rPr>
            <a:t>For the medium Gas Scenario value I would recommend 26526.74 EJ based on BGR 2021 Report and recalculated to 2005 values with BP Stats 2022. </a:t>
          </a:r>
          <a:endParaRPr lang="es-ES" sz="1200"/>
        </a:p>
        <a:p>
          <a:pPr algn="l"/>
          <a:endParaRPr lang="es-ES" sz="1200"/>
        </a:p>
        <a:p>
          <a:pPr algn="l"/>
          <a:r>
            <a:rPr lang="es-ES" sz="1200"/>
            <a:t>for coal:</a:t>
          </a:r>
        </a:p>
        <a:p>
          <a:pPr algn="l"/>
          <a:r>
            <a:rPr lang="es-ES" sz="1200" b="0" i="0" u="none" strike="noStrike">
              <a:solidFill>
                <a:schemeClr val="lt1"/>
              </a:solidFill>
              <a:effectLst/>
              <a:latin typeface="+mn-lt"/>
              <a:ea typeface="+mn-ea"/>
              <a:cs typeface="+mn-cs"/>
            </a:rPr>
            <a:t>Low scenario: 70% medium scenario</a:t>
          </a:r>
        </a:p>
        <a:p>
          <a:pPr algn="l"/>
          <a:r>
            <a:rPr lang="es-ES" sz="1200" b="0" i="0" u="none" strike="noStrike">
              <a:solidFill>
                <a:schemeClr val="lt1"/>
              </a:solidFill>
              <a:effectLst/>
              <a:latin typeface="+mn-lt"/>
              <a:ea typeface="+mn-ea"/>
              <a:cs typeface="+mn-cs"/>
            </a:rPr>
            <a:t>High scenario: 130% medium scenario</a:t>
          </a:r>
          <a:r>
            <a:rPr lang="es-ES" sz="1200"/>
            <a:t> </a:t>
          </a:r>
        </a:p>
      </xdr:txBody>
    </xdr:sp>
    <xdr:clientData/>
  </xdr:twoCellAnchor>
  <xdr:twoCellAnchor>
    <xdr:from>
      <xdr:col>2</xdr:col>
      <xdr:colOff>120090</xdr:colOff>
      <xdr:row>43</xdr:row>
      <xdr:rowOff>108885</xdr:rowOff>
    </xdr:from>
    <xdr:to>
      <xdr:col>3</xdr:col>
      <xdr:colOff>1672853</xdr:colOff>
      <xdr:row>48</xdr:row>
      <xdr:rowOff>97679</xdr:rowOff>
    </xdr:to>
    <xdr:sp macro="" textlink="">
      <xdr:nvSpPr>
        <xdr:cNvPr id="3" name="Rectángulo: esquina doblada 2">
          <a:extLst>
            <a:ext uri="{FF2B5EF4-FFF2-40B4-BE49-F238E27FC236}">
              <a16:creationId xmlns:a16="http://schemas.microsoft.com/office/drawing/2014/main" id="{B8EE1FD4-049A-46EC-A2AE-40B649746BE7}"/>
            </a:ext>
          </a:extLst>
        </xdr:cNvPr>
        <xdr:cNvSpPr/>
      </xdr:nvSpPr>
      <xdr:spPr>
        <a:xfrm>
          <a:off x="11023040" y="8802035"/>
          <a:ext cx="5851713" cy="909544"/>
        </a:xfrm>
        <a:prstGeom prst="foldedCorne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800"/>
            <a:t>After 2020, gas</a:t>
          </a:r>
          <a:r>
            <a:rPr lang="es-ES" sz="1800" baseline="0"/>
            <a:t> price development is always independent from oil price development.</a:t>
          </a:r>
          <a:endParaRPr lang="es-ES" sz="1800"/>
        </a:p>
      </xdr:txBody>
    </xdr:sp>
    <xdr:clientData/>
  </xdr:twoCellAnchor>
  <xdr:twoCellAnchor>
    <xdr:from>
      <xdr:col>2</xdr:col>
      <xdr:colOff>154629</xdr:colOff>
      <xdr:row>225</xdr:row>
      <xdr:rowOff>90058</xdr:rowOff>
    </xdr:from>
    <xdr:to>
      <xdr:col>3</xdr:col>
      <xdr:colOff>139951</xdr:colOff>
      <xdr:row>232</xdr:row>
      <xdr:rowOff>121108</xdr:rowOff>
    </xdr:to>
    <xdr:sp macro="" textlink="">
      <xdr:nvSpPr>
        <xdr:cNvPr id="4" name="Esquina doblada 3">
          <a:extLst>
            <a:ext uri="{FF2B5EF4-FFF2-40B4-BE49-F238E27FC236}">
              <a16:creationId xmlns:a16="http://schemas.microsoft.com/office/drawing/2014/main" id="{8DF70914-15BD-488A-950A-9F1DF4875A3A}"/>
            </a:ext>
          </a:extLst>
        </xdr:cNvPr>
        <xdr:cNvSpPr/>
      </xdr:nvSpPr>
      <xdr:spPr>
        <a:xfrm>
          <a:off x="11057579" y="42660458"/>
          <a:ext cx="4284272" cy="1320100"/>
        </a:xfrm>
        <a:prstGeom prst="foldedCorner">
          <a:avLst/>
        </a:prstGeom>
        <a:solidFill>
          <a:schemeClr val="accent1">
            <a:alpha val="7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a:solidFill>
                <a:sysClr val="windowText" lastClr="000000"/>
              </a:solidFill>
            </a:rPr>
            <a:t>Original</a:t>
          </a:r>
          <a:r>
            <a:rPr lang="en-GB" sz="2000" baseline="0">
              <a:solidFill>
                <a:sysClr val="windowText" lastClr="000000"/>
              </a:solidFill>
            </a:rPr>
            <a:t> data loaded in the model in materials.xlsx</a:t>
          </a:r>
        </a:p>
      </xdr:txBody>
    </xdr:sp>
    <xdr:clientData/>
  </xdr:twoCellAnchor>
  <xdr:twoCellAnchor>
    <xdr:from>
      <xdr:col>2</xdr:col>
      <xdr:colOff>127000</xdr:colOff>
      <xdr:row>119</xdr:row>
      <xdr:rowOff>117929</xdr:rowOff>
    </xdr:from>
    <xdr:to>
      <xdr:col>3</xdr:col>
      <xdr:colOff>112322</xdr:colOff>
      <xdr:row>126</xdr:row>
      <xdr:rowOff>148979</xdr:rowOff>
    </xdr:to>
    <xdr:sp macro="" textlink="">
      <xdr:nvSpPr>
        <xdr:cNvPr id="5" name="Esquina doblada 3">
          <a:extLst>
            <a:ext uri="{FF2B5EF4-FFF2-40B4-BE49-F238E27FC236}">
              <a16:creationId xmlns:a16="http://schemas.microsoft.com/office/drawing/2014/main" id="{5A855559-199A-4BE1-BDFC-A2F07D078D93}"/>
            </a:ext>
          </a:extLst>
        </xdr:cNvPr>
        <xdr:cNvSpPr/>
      </xdr:nvSpPr>
      <xdr:spPr>
        <a:xfrm>
          <a:off x="11029950" y="23162079"/>
          <a:ext cx="4284272" cy="1320100"/>
        </a:xfrm>
        <a:prstGeom prst="foldedCorner">
          <a:avLst/>
        </a:prstGeom>
        <a:solidFill>
          <a:schemeClr val="accent1">
            <a:alpha val="7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a:solidFill>
                <a:sysClr val="windowText" lastClr="000000"/>
              </a:solidFill>
            </a:rPr>
            <a:t>Original</a:t>
          </a:r>
          <a:r>
            <a:rPr lang="en-GB" sz="2000" baseline="0">
              <a:solidFill>
                <a:sysClr val="windowText" lastClr="000000"/>
              </a:solidFill>
            </a:rPr>
            <a:t> data loaded in the model in materials.xlsx</a:t>
          </a:r>
        </a:p>
      </xdr:txBody>
    </xdr:sp>
    <xdr:clientData/>
  </xdr:twoCellAnchor>
  <xdr:twoCellAnchor>
    <xdr:from>
      <xdr:col>2</xdr:col>
      <xdr:colOff>55335</xdr:colOff>
      <xdr:row>104</xdr:row>
      <xdr:rowOff>12701</xdr:rowOff>
    </xdr:from>
    <xdr:to>
      <xdr:col>4</xdr:col>
      <xdr:colOff>3311071</xdr:colOff>
      <xdr:row>109</xdr:row>
      <xdr:rowOff>136072</xdr:rowOff>
    </xdr:to>
    <xdr:sp macro="" textlink="">
      <xdr:nvSpPr>
        <xdr:cNvPr id="6" name="Esquina doblada 3">
          <a:extLst>
            <a:ext uri="{FF2B5EF4-FFF2-40B4-BE49-F238E27FC236}">
              <a16:creationId xmlns:a16="http://schemas.microsoft.com/office/drawing/2014/main" id="{6E6CA192-69DE-4BAD-90C3-6138A4D150A3}"/>
            </a:ext>
          </a:extLst>
        </xdr:cNvPr>
        <xdr:cNvSpPr/>
      </xdr:nvSpPr>
      <xdr:spPr>
        <a:xfrm>
          <a:off x="10958285" y="20294601"/>
          <a:ext cx="12025086" cy="1044121"/>
        </a:xfrm>
        <a:prstGeom prst="foldedCorner">
          <a:avLst/>
        </a:prstGeom>
        <a:solidFill>
          <a:schemeClr val="accent1">
            <a:alpha val="7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a:solidFill>
                <a:sysClr val="windowText" lastClr="000000"/>
              </a:solidFill>
            </a:rPr>
            <a:t>These</a:t>
          </a:r>
          <a:r>
            <a:rPr lang="en-GB" sz="1800" baseline="0">
              <a:solidFill>
                <a:sysClr val="windowText" lastClr="000000"/>
              </a:solidFill>
            </a:rPr>
            <a:t> annual growth rate changes are absolute values, ie., if the recycling rate is 50% in year 2025 and the polici starts with a +1%/yr improvement in the recicyling rate, in 2026 the recycling rate will be 50+1=51%.</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174589</xdr:colOff>
      <xdr:row>362</xdr:row>
      <xdr:rowOff>162635</xdr:rowOff>
    </xdr:from>
    <xdr:to>
      <xdr:col>13</xdr:col>
      <xdr:colOff>1096010</xdr:colOff>
      <xdr:row>366</xdr:row>
      <xdr:rowOff>50801</xdr:rowOff>
    </xdr:to>
    <xdr:sp macro="" textlink="">
      <xdr:nvSpPr>
        <xdr:cNvPr id="2" name="CuadroTexto 1">
          <a:extLst>
            <a:ext uri="{FF2B5EF4-FFF2-40B4-BE49-F238E27FC236}">
              <a16:creationId xmlns:a16="http://schemas.microsoft.com/office/drawing/2014/main" id="{7CD7ED4B-3C70-4796-B167-A7B699A58ABB}"/>
            </a:ext>
          </a:extLst>
        </xdr:cNvPr>
        <xdr:cNvSpPr txBox="1"/>
      </xdr:nvSpPr>
      <xdr:spPr>
        <a:xfrm>
          <a:off x="31638839" y="67529785"/>
          <a:ext cx="5810921" cy="624766"/>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0" i="0" u="none" strike="noStrike">
              <a:solidFill>
                <a:schemeClr val="dk1"/>
              </a:solidFill>
              <a:effectLst/>
              <a:latin typeface="+mn-lt"/>
              <a:ea typeface="+mn-ea"/>
              <a:cs typeface="+mn-cs"/>
            </a:rPr>
            <a:t>wp(cns):</a:t>
          </a:r>
          <a:r>
            <a:rPr lang="es-ES"/>
            <a:t> variation in the p</a:t>
          </a:r>
          <a:r>
            <a:rPr lang="es-ES" sz="1100" b="0" i="0" u="none" strike="noStrike">
              <a:solidFill>
                <a:schemeClr val="dk1"/>
              </a:solidFill>
              <a:effectLst/>
              <a:latin typeface="+mn-lt"/>
              <a:ea typeface="+mn-ea"/>
              <a:cs typeface="+mn-cs"/>
            </a:rPr>
            <a:t>ercentage of fresh food wasted during consumption</a:t>
          </a:r>
          <a:r>
            <a:rPr lang="es-ES"/>
            <a:t> </a:t>
          </a:r>
        </a:p>
        <a:p>
          <a:r>
            <a:rPr lang="es-ES" sz="1100" b="0" i="0" u="none" strike="noStrike">
              <a:solidFill>
                <a:schemeClr val="dk1"/>
              </a:solidFill>
              <a:effectLst/>
              <a:latin typeface="+mn-lt"/>
              <a:ea typeface="+mn-ea"/>
              <a:cs typeface="+mn-cs"/>
            </a:rPr>
            <a:t>wp(cns</a:t>
          </a:r>
          <a:r>
            <a:rPr lang="es-ES" sz="1100" b="0" i="0" u="none" strike="noStrike" baseline="-25000">
              <a:solidFill>
                <a:schemeClr val="dk1"/>
              </a:solidFill>
              <a:effectLst/>
              <a:latin typeface="+mn-lt"/>
              <a:ea typeface="+mn-ea"/>
              <a:cs typeface="+mn-cs"/>
            </a:rPr>
            <a:t>prcd</a:t>
          </a:r>
          <a:r>
            <a:rPr lang="es-ES" sz="1100" b="0" i="0" u="none" strike="noStrike">
              <a:solidFill>
                <a:schemeClr val="dk1"/>
              </a:solidFill>
              <a:effectLst/>
              <a:latin typeface="+mn-lt"/>
              <a:ea typeface="+mn-ea"/>
              <a:cs typeface="+mn-cs"/>
            </a:rPr>
            <a:t>)</a:t>
          </a:r>
          <a:r>
            <a:rPr lang="es-ES"/>
            <a:t>: </a:t>
          </a:r>
          <a:r>
            <a:rPr lang="es-ES" sz="1100" b="0" i="0" u="none" strike="noStrike">
              <a:solidFill>
                <a:schemeClr val="dk1"/>
              </a:solidFill>
              <a:effectLst/>
              <a:latin typeface="+mn-lt"/>
              <a:ea typeface="+mn-ea"/>
              <a:cs typeface="+mn-cs"/>
            </a:rPr>
            <a:t>variation</a:t>
          </a:r>
          <a:r>
            <a:rPr lang="es-ES" sz="1100" b="0" i="0" u="none" strike="noStrike" baseline="0">
              <a:solidFill>
                <a:schemeClr val="dk1"/>
              </a:solidFill>
              <a:effectLst/>
              <a:latin typeface="+mn-lt"/>
              <a:ea typeface="+mn-ea"/>
              <a:cs typeface="+mn-cs"/>
            </a:rPr>
            <a:t> in the p</a:t>
          </a:r>
          <a:r>
            <a:rPr lang="es-ES" sz="1100" b="0" i="0" u="none" strike="noStrike">
              <a:solidFill>
                <a:schemeClr val="dk1"/>
              </a:solidFill>
              <a:effectLst/>
              <a:latin typeface="+mn-lt"/>
              <a:ea typeface="+mn-ea"/>
              <a:cs typeface="+mn-cs"/>
            </a:rPr>
            <a:t>ercentage of food wasted during consumption in processing form</a:t>
          </a:r>
          <a:r>
            <a:rPr lang="es-ES"/>
            <a:t>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33</xdr:col>
      <xdr:colOff>165432</xdr:colOff>
      <xdr:row>40</xdr:row>
      <xdr:rowOff>126502</xdr:rowOff>
    </xdr:from>
    <xdr:to>
      <xdr:col>38</xdr:col>
      <xdr:colOff>763049</xdr:colOff>
      <xdr:row>58</xdr:row>
      <xdr:rowOff>89647</xdr:rowOff>
    </xdr:to>
    <xdr:graphicFrame macro="">
      <xdr:nvGraphicFramePr>
        <xdr:cNvPr id="2" name="Gráfico 1">
          <a:extLst>
            <a:ext uri="{FF2B5EF4-FFF2-40B4-BE49-F238E27FC236}">
              <a16:creationId xmlns:a16="http://schemas.microsoft.com/office/drawing/2014/main" id="{884282A1-E378-45F9-B2D8-B6ACED777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582706</xdr:colOff>
      <xdr:row>43</xdr:row>
      <xdr:rowOff>170329</xdr:rowOff>
    </xdr:from>
    <xdr:to>
      <xdr:col>24</xdr:col>
      <xdr:colOff>645459</xdr:colOff>
      <xdr:row>49</xdr:row>
      <xdr:rowOff>26894</xdr:rowOff>
    </xdr:to>
    <xdr:sp macro="" textlink="">
      <xdr:nvSpPr>
        <xdr:cNvPr id="3" name="Flecha a la derecha con muesca 3">
          <a:extLst>
            <a:ext uri="{FF2B5EF4-FFF2-40B4-BE49-F238E27FC236}">
              <a16:creationId xmlns:a16="http://schemas.microsoft.com/office/drawing/2014/main" id="{DEE039C5-F6FF-487E-BB08-1780390A65C2}"/>
            </a:ext>
          </a:extLst>
        </xdr:cNvPr>
        <xdr:cNvSpPr/>
      </xdr:nvSpPr>
      <xdr:spPr>
        <a:xfrm>
          <a:off x="21925056" y="8285629"/>
          <a:ext cx="1675653" cy="961465"/>
        </a:xfrm>
        <a:prstGeom prst="notchedRightArrow">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1100" b="1">
              <a:solidFill>
                <a:sysClr val="windowText" lastClr="000000"/>
              </a:solidFill>
            </a:rPr>
            <a:t>change country manually</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114300</xdr:colOff>
      <xdr:row>0</xdr:row>
      <xdr:rowOff>53975</xdr:rowOff>
    </xdr:from>
    <xdr:to>
      <xdr:col>10</xdr:col>
      <xdr:colOff>619124</xdr:colOff>
      <xdr:row>17</xdr:row>
      <xdr:rowOff>0</xdr:rowOff>
    </xdr:to>
    <xdr:sp macro="" textlink="">
      <xdr:nvSpPr>
        <xdr:cNvPr id="2" name="CuadroTexto 1">
          <a:extLst>
            <a:ext uri="{FF2B5EF4-FFF2-40B4-BE49-F238E27FC236}">
              <a16:creationId xmlns:a16="http://schemas.microsoft.com/office/drawing/2014/main" id="{00000000-0008-0000-0D00-000002000000}"/>
            </a:ext>
          </a:extLst>
        </xdr:cNvPr>
        <xdr:cNvSpPr txBox="1"/>
      </xdr:nvSpPr>
      <xdr:spPr>
        <a:xfrm>
          <a:off x="114300" y="53975"/>
          <a:ext cx="11109324" cy="30226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400"/>
            <a:t>This sheet is dedicated to</a:t>
          </a:r>
          <a:r>
            <a:rPr lang="en-GB" sz="1400" baseline="0"/>
            <a:t> introduce exogenous energy capacity expansion inputs in order to use WILIAM as a CALCULATOR OF MATERIAL REQUIREMENTS.</a:t>
          </a:r>
        </a:p>
        <a:p>
          <a:r>
            <a:rPr lang="en-GB" sz="1400" baseline="0"/>
            <a:t>By exogenously setting these capacity expansion levels, the full WILIAM is not anymore functional. The functional outputs are those related to the bottom-up computation of material capacities (cf. view 'materials-primary_demand_vs_availability_MEDEAS').</a:t>
          </a:r>
        </a:p>
        <a:p>
          <a:endParaRPr lang="en-GB" sz="1400" baseline="0"/>
        </a:p>
        <a:p>
          <a:r>
            <a:rPr lang="en-GB" sz="1400" baseline="0">
              <a:solidFill>
                <a:schemeClr val="dk1"/>
              </a:solidFill>
              <a:effectLst/>
              <a:latin typeface="+mn-lt"/>
              <a:ea typeface="+mn-ea"/>
              <a:cs typeface="+mn-cs"/>
            </a:rPr>
            <a:t>There are currently 6 technologies included in this calculator:</a:t>
          </a:r>
          <a:endParaRPr lang="es-ES" sz="1400">
            <a:effectLst/>
          </a:endParaRPr>
        </a:p>
        <a:p>
          <a:r>
            <a:rPr lang="en-GB" sz="1400" baseline="0">
              <a:solidFill>
                <a:schemeClr val="dk1"/>
              </a:solidFill>
              <a:effectLst/>
              <a:latin typeface="+mn-lt"/>
              <a:ea typeface="+mn-ea"/>
              <a:cs typeface="+mn-cs"/>
            </a:rPr>
            <a:t>- Onshore wind</a:t>
          </a:r>
          <a:endParaRPr lang="es-ES" sz="1400">
            <a:effectLst/>
          </a:endParaRPr>
        </a:p>
        <a:p>
          <a:r>
            <a:rPr lang="en-GB" sz="1400" baseline="0">
              <a:solidFill>
                <a:schemeClr val="dk1"/>
              </a:solidFill>
              <a:effectLst/>
              <a:latin typeface="+mn-lt"/>
              <a:ea typeface="+mn-ea"/>
              <a:cs typeface="+mn-cs"/>
            </a:rPr>
            <a:t>- Offshore wind</a:t>
          </a:r>
          <a:endParaRPr lang="es-ES" sz="1400">
            <a:effectLst/>
          </a:endParaRPr>
        </a:p>
        <a:p>
          <a:r>
            <a:rPr lang="en-GB" sz="1400" baseline="0">
              <a:solidFill>
                <a:schemeClr val="dk1"/>
              </a:solidFill>
              <a:effectLst/>
              <a:latin typeface="+mn-lt"/>
              <a:ea typeface="+mn-ea"/>
              <a:cs typeface="+mn-cs"/>
            </a:rPr>
            <a:t>- Solar photovoltaics (open-space)</a:t>
          </a:r>
          <a:endParaRPr lang="es-ES" sz="1400">
            <a:effectLst/>
          </a:endParaRPr>
        </a:p>
        <a:p>
          <a:r>
            <a:rPr lang="en-GB" sz="1400" baseline="0">
              <a:solidFill>
                <a:schemeClr val="dk1"/>
              </a:solidFill>
              <a:effectLst/>
              <a:latin typeface="+mn-lt"/>
              <a:ea typeface="+mn-ea"/>
              <a:cs typeface="+mn-cs"/>
            </a:rPr>
            <a:t>- Solar CSP</a:t>
          </a:r>
          <a:endParaRPr lang="es-ES" sz="1400">
            <a:effectLst/>
          </a:endParaRPr>
        </a:p>
        <a:p>
          <a:pPr eaLnBrk="1" fontAlgn="auto" latinLnBrk="0" hangingPunct="1"/>
          <a:r>
            <a:rPr lang="en-GB" sz="1400">
              <a:solidFill>
                <a:srgbClr val="FF0000"/>
              </a:solidFill>
              <a:effectLst/>
              <a:latin typeface="+mn-lt"/>
              <a:ea typeface="+mn-ea"/>
              <a:cs typeface="+mn-cs"/>
            </a:rPr>
            <a:t>- Pumped hydro storage (but no material</a:t>
          </a:r>
          <a:r>
            <a:rPr lang="en-GB" sz="1400" baseline="0">
              <a:solidFill>
                <a:srgbClr val="FF0000"/>
              </a:solidFill>
              <a:effectLst/>
              <a:latin typeface="+mn-lt"/>
              <a:ea typeface="+mn-ea"/>
              <a:cs typeface="+mn-cs"/>
            </a:rPr>
            <a:t> requirements in the model yet</a:t>
          </a:r>
          <a:r>
            <a:rPr lang="en-GB" sz="1400">
              <a:solidFill>
                <a:srgbClr val="FF0000"/>
              </a:solidFill>
              <a:effectLst/>
              <a:latin typeface="+mn-lt"/>
              <a:ea typeface="+mn-ea"/>
              <a:cs typeface="+mn-cs"/>
            </a:rPr>
            <a:t>)</a:t>
          </a:r>
          <a:endParaRPr lang="es-ES" sz="1400">
            <a:solidFill>
              <a:srgbClr val="FF0000"/>
            </a:solidFill>
            <a:effectLst/>
          </a:endParaRPr>
        </a:p>
        <a:p>
          <a:pPr eaLnBrk="1" fontAlgn="auto" latinLnBrk="0" hangingPunct="1"/>
          <a:r>
            <a:rPr lang="en-GB" sz="1400">
              <a:solidFill>
                <a:schemeClr val="dk1"/>
              </a:solidFill>
              <a:effectLst/>
              <a:latin typeface="+mn-lt"/>
              <a:ea typeface="+mn-ea"/>
              <a:cs typeface="+mn-cs"/>
            </a:rPr>
            <a:t>- </a:t>
          </a:r>
          <a:r>
            <a:rPr lang="en-GB" sz="1400" baseline="0">
              <a:solidFill>
                <a:schemeClr val="dk1"/>
              </a:solidFill>
              <a:effectLst/>
              <a:latin typeface="+mn-lt"/>
              <a:ea typeface="+mn-ea"/>
              <a:cs typeface="+mn-cs"/>
            </a:rPr>
            <a:t>stationary grid storage</a:t>
          </a:r>
          <a:endParaRPr lang="es-ES" sz="1400">
            <a:effectLst/>
          </a:endParaRPr>
        </a:p>
        <a:p>
          <a:endParaRPr lang="en-GB" sz="1400" baseline="0"/>
        </a:p>
        <a:p>
          <a:r>
            <a:rPr lang="en-GB" sz="1400" baseline="0"/>
            <a:t>For the correct use of this calculator, follow the next steps, in order:</a:t>
          </a:r>
          <a:endParaRPr lang="en-GB" sz="1400"/>
        </a:p>
      </xdr:txBody>
    </xdr:sp>
    <xdr:clientData/>
  </xdr:twoCellAnchor>
  <xdr:twoCellAnchor>
    <xdr:from>
      <xdr:col>0</xdr:col>
      <xdr:colOff>119380</xdr:colOff>
      <xdr:row>17</xdr:row>
      <xdr:rowOff>104140</xdr:rowOff>
    </xdr:from>
    <xdr:to>
      <xdr:col>10</xdr:col>
      <xdr:colOff>643890</xdr:colOff>
      <xdr:row>19</xdr:row>
      <xdr:rowOff>139700</xdr:rowOff>
    </xdr:to>
    <xdr:sp macro="" textlink="">
      <xdr:nvSpPr>
        <xdr:cNvPr id="3" name="CuadroTexto 2">
          <a:extLst>
            <a:ext uri="{FF2B5EF4-FFF2-40B4-BE49-F238E27FC236}">
              <a16:creationId xmlns:a16="http://schemas.microsoft.com/office/drawing/2014/main" id="{00000000-0008-0000-0D00-000003000000}"/>
            </a:ext>
          </a:extLst>
        </xdr:cNvPr>
        <xdr:cNvSpPr txBox="1"/>
      </xdr:nvSpPr>
      <xdr:spPr>
        <a:xfrm>
          <a:off x="122555" y="3183890"/>
          <a:ext cx="11119485" cy="39751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400" b="1"/>
            <a:t>STEP</a:t>
          </a:r>
          <a:r>
            <a:rPr lang="en-GB" sz="1400" b="1" baseline="0"/>
            <a:t> 1 </a:t>
          </a:r>
          <a:r>
            <a:rPr lang="en-GB" sz="1400" baseline="0"/>
            <a:t>--&gt; SWITCH ON the calculator (SWITCH_MATERIALS_CALCULATOR)</a:t>
          </a:r>
          <a:endParaRPr lang="en-GB" sz="1400"/>
        </a:p>
      </xdr:txBody>
    </xdr:sp>
    <xdr:clientData/>
  </xdr:twoCellAnchor>
  <xdr:twoCellAnchor>
    <xdr:from>
      <xdr:col>0</xdr:col>
      <xdr:colOff>88900</xdr:colOff>
      <xdr:row>24</xdr:row>
      <xdr:rowOff>46990</xdr:rowOff>
    </xdr:from>
    <xdr:to>
      <xdr:col>5</xdr:col>
      <xdr:colOff>603250</xdr:colOff>
      <xdr:row>26</xdr:row>
      <xdr:rowOff>83820</xdr:rowOff>
    </xdr:to>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85725" y="4393565"/>
          <a:ext cx="7219950" cy="39878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400" b="1"/>
            <a:t>STEP</a:t>
          </a:r>
          <a:r>
            <a:rPr lang="en-GB" sz="1400" b="1" baseline="0"/>
            <a:t> 2 </a:t>
          </a:r>
          <a:r>
            <a:rPr lang="en-GB" sz="1400" baseline="0"/>
            <a:t>--&gt; FULLFILL ALL THE FOLLOWING INPUTS </a:t>
          </a:r>
          <a:r>
            <a:rPr lang="en-GB" sz="1400" baseline="0">
              <a:solidFill>
                <a:schemeClr val="dk1"/>
              </a:solidFill>
              <a:effectLst/>
              <a:latin typeface="+mn-lt"/>
              <a:ea typeface="+mn-ea"/>
              <a:cs typeface="+mn-cs"/>
            </a:rPr>
            <a:t>(cells marked with this colour) --&gt;</a:t>
          </a:r>
          <a:endParaRPr lang="en-GB" sz="1400"/>
        </a:p>
      </xdr:txBody>
    </xdr:sp>
    <xdr:clientData/>
  </xdr:twoCellAnchor>
  <xdr:twoCellAnchor>
    <xdr:from>
      <xdr:col>0</xdr:col>
      <xdr:colOff>27940</xdr:colOff>
      <xdr:row>27</xdr:row>
      <xdr:rowOff>151130</xdr:rowOff>
    </xdr:from>
    <xdr:to>
      <xdr:col>7</xdr:col>
      <xdr:colOff>180340</xdr:colOff>
      <xdr:row>30</xdr:row>
      <xdr:rowOff>154940</xdr:rowOff>
    </xdr:to>
    <xdr:sp macro="" textlink="">
      <xdr:nvSpPr>
        <xdr:cNvPr id="5" name="CuadroTexto 4">
          <a:extLst>
            <a:ext uri="{FF2B5EF4-FFF2-40B4-BE49-F238E27FC236}">
              <a16:creationId xmlns:a16="http://schemas.microsoft.com/office/drawing/2014/main" id="{00000000-0008-0000-0D00-000005000000}"/>
            </a:ext>
          </a:extLst>
        </xdr:cNvPr>
        <xdr:cNvSpPr txBox="1"/>
      </xdr:nvSpPr>
      <xdr:spPr>
        <a:xfrm>
          <a:off x="31115" y="5037455"/>
          <a:ext cx="8382000" cy="546735"/>
        </a:xfrm>
        <a:prstGeom prst="rect">
          <a:avLst/>
        </a:prstGeom>
        <a:solidFill>
          <a:schemeClr val="accent2">
            <a:lumMod val="60000"/>
            <a:lumOff val="4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400" b="1"/>
            <a:t>POWER</a:t>
          </a:r>
          <a:r>
            <a:rPr lang="en-GB" sz="1400" b="1" baseline="0"/>
            <a:t> SYSTEM --&gt; new installed capacity per year (TW/year)</a:t>
          </a:r>
          <a:endParaRPr lang="en-GB" sz="1400"/>
        </a:p>
      </xdr:txBody>
    </xdr:sp>
    <xdr:clientData/>
  </xdr:twoCellAnchor>
  <xdr:twoCellAnchor>
    <xdr:from>
      <xdr:col>0</xdr:col>
      <xdr:colOff>0</xdr:colOff>
      <xdr:row>121</xdr:row>
      <xdr:rowOff>0</xdr:rowOff>
    </xdr:from>
    <xdr:to>
      <xdr:col>7</xdr:col>
      <xdr:colOff>152400</xdr:colOff>
      <xdr:row>121</xdr:row>
      <xdr:rowOff>0</xdr:rowOff>
    </xdr:to>
    <xdr:sp macro="" textlink="">
      <xdr:nvSpPr>
        <xdr:cNvPr id="6" name="CuadroTexto 5">
          <a:extLst>
            <a:ext uri="{FF2B5EF4-FFF2-40B4-BE49-F238E27FC236}">
              <a16:creationId xmlns:a16="http://schemas.microsoft.com/office/drawing/2014/main" id="{00000000-0008-0000-0D00-000006000000}"/>
            </a:ext>
          </a:extLst>
        </xdr:cNvPr>
        <xdr:cNvSpPr txBox="1"/>
      </xdr:nvSpPr>
      <xdr:spPr>
        <a:xfrm>
          <a:off x="0" y="22298025"/>
          <a:ext cx="8382000" cy="0"/>
        </a:xfrm>
        <a:prstGeom prst="rect">
          <a:avLst/>
        </a:prstGeom>
        <a:solidFill>
          <a:schemeClr val="accent2">
            <a:lumMod val="60000"/>
            <a:lumOff val="4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400" b="1"/>
            <a:t>STORAGE </a:t>
          </a:r>
          <a:r>
            <a:rPr lang="en-GB" sz="1400" b="1" baseline="0"/>
            <a:t>--&gt; new installed capacity per year (TW/year)</a:t>
          </a:r>
          <a:endParaRPr lang="en-GB" sz="1400"/>
        </a:p>
      </xdr:txBody>
    </xdr:sp>
    <xdr:clientData/>
  </xdr:twoCellAnchor>
  <xdr:twoCellAnchor>
    <xdr:from>
      <xdr:col>0</xdr:col>
      <xdr:colOff>0</xdr:colOff>
      <xdr:row>121</xdr:row>
      <xdr:rowOff>0</xdr:rowOff>
    </xdr:from>
    <xdr:to>
      <xdr:col>7</xdr:col>
      <xdr:colOff>152400</xdr:colOff>
      <xdr:row>121</xdr:row>
      <xdr:rowOff>0</xdr:rowOff>
    </xdr:to>
    <xdr:sp macro="" textlink="">
      <xdr:nvSpPr>
        <xdr:cNvPr id="7" name="CuadroTexto 6">
          <a:extLst>
            <a:ext uri="{FF2B5EF4-FFF2-40B4-BE49-F238E27FC236}">
              <a16:creationId xmlns:a16="http://schemas.microsoft.com/office/drawing/2014/main" id="{00000000-0008-0000-0D00-000007000000}"/>
            </a:ext>
          </a:extLst>
        </xdr:cNvPr>
        <xdr:cNvSpPr txBox="1"/>
      </xdr:nvSpPr>
      <xdr:spPr>
        <a:xfrm>
          <a:off x="0" y="22298025"/>
          <a:ext cx="8382000" cy="0"/>
        </a:xfrm>
        <a:prstGeom prst="rect">
          <a:avLst/>
        </a:prstGeom>
        <a:solidFill>
          <a:schemeClr val="accent2">
            <a:lumMod val="60000"/>
            <a:lumOff val="4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400" b="1"/>
            <a:t>TRANSPORT </a:t>
          </a:r>
          <a:r>
            <a:rPr lang="en-GB" sz="1400" b="1" baseline="0"/>
            <a:t>--&gt; new vehicles per year (vehicles/year)</a:t>
          </a:r>
          <a:endParaRPr lang="en-GB" sz="1400"/>
        </a:p>
      </xdr:txBody>
    </xdr:sp>
    <xdr:clientData/>
  </xdr:twoCellAnchor>
  <xdr:twoCellAnchor>
    <xdr:from>
      <xdr:col>0</xdr:col>
      <xdr:colOff>284480</xdr:colOff>
      <xdr:row>123</xdr:row>
      <xdr:rowOff>69216</xdr:rowOff>
    </xdr:from>
    <xdr:to>
      <xdr:col>6</xdr:col>
      <xdr:colOff>657225</xdr:colOff>
      <xdr:row>133</xdr:row>
      <xdr:rowOff>9526</xdr:rowOff>
    </xdr:to>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284480" y="22726016"/>
          <a:ext cx="7837170" cy="175006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400" b="1"/>
            <a:t>STEP</a:t>
          </a:r>
          <a:r>
            <a:rPr lang="en-GB" sz="1400" b="1" baseline="0"/>
            <a:t> 3 </a:t>
          </a:r>
          <a:r>
            <a:rPr lang="en-GB" sz="1400" baseline="0"/>
            <a:t>--&gt; INTRODUCE THE MATERIALS RECYCLING RATES IN SHEET "materials" (row 170 forward)</a:t>
          </a:r>
        </a:p>
        <a:p>
          <a:r>
            <a:rPr lang="en-GB" sz="1400" baseline="0"/>
            <a:t>'POLICIES AND HYPOTHESES FROM MEDEAS'</a:t>
          </a:r>
        </a:p>
        <a:p>
          <a:endParaRPr lang="en-GB" sz="1400" baseline="0"/>
        </a:p>
        <a:p>
          <a:r>
            <a:rPr lang="en-GB" sz="1100" b="0" i="0" u="none" strike="noStrike">
              <a:solidFill>
                <a:schemeClr val="dk1"/>
              </a:solidFill>
              <a:effectLst/>
              <a:latin typeface="+mn-lt"/>
              <a:ea typeface="+mn-ea"/>
              <a:cs typeface="+mn-cs"/>
            </a:rPr>
            <a:t>Initial year</a:t>
          </a:r>
          <a:r>
            <a:rPr lang="en-GB" sz="1400"/>
            <a:t> </a:t>
          </a:r>
          <a:r>
            <a:rPr lang="en-GB" sz="1100" b="0" i="0" u="none" strike="noStrike">
              <a:solidFill>
                <a:schemeClr val="dk1"/>
              </a:solidFill>
              <a:effectLst/>
              <a:latin typeface="+mn-lt"/>
              <a:ea typeface="+mn-ea"/>
              <a:cs typeface="+mn-cs"/>
            </a:rPr>
            <a:t>2020</a:t>
          </a:r>
          <a:r>
            <a:rPr lang="en-GB" sz="1400"/>
            <a:t> </a:t>
          </a:r>
        </a:p>
        <a:p>
          <a:r>
            <a:rPr lang="en-GB" sz="1100" b="0" i="0" u="none" strike="noStrike">
              <a:solidFill>
                <a:schemeClr val="dk1"/>
              </a:solidFill>
              <a:effectLst/>
              <a:latin typeface="+mn-lt"/>
              <a:ea typeface="+mn-ea"/>
              <a:cs typeface="+mn-cs"/>
            </a:rPr>
            <a:t>Final year</a:t>
          </a:r>
          <a:r>
            <a:rPr lang="en-GB" sz="1400"/>
            <a:t> </a:t>
          </a:r>
          <a:r>
            <a:rPr lang="en-GB" sz="1100" b="0" i="0" u="none" strike="noStrike">
              <a:solidFill>
                <a:schemeClr val="dk1"/>
              </a:solidFill>
              <a:effectLst/>
              <a:latin typeface="+mn-lt"/>
              <a:ea typeface="+mn-ea"/>
              <a:cs typeface="+mn-cs"/>
            </a:rPr>
            <a:t>2050</a:t>
          </a:r>
          <a:r>
            <a:rPr lang="en-GB" sz="1400"/>
            <a:t> </a:t>
          </a:r>
        </a:p>
        <a:p>
          <a:r>
            <a:rPr lang="en-GB" sz="1100" b="0" i="0" u="none" strike="noStrike">
              <a:solidFill>
                <a:schemeClr val="dk1"/>
              </a:solidFill>
              <a:effectLst/>
              <a:latin typeface="+mn-lt"/>
              <a:ea typeface="+mn-ea"/>
              <a:cs typeface="+mn-cs"/>
            </a:rPr>
            <a:t>Target --&gt; recycling rate [0-1]</a:t>
          </a:r>
          <a:r>
            <a:rPr lang="en-GB" sz="1400"/>
            <a:t> </a:t>
          </a:r>
        </a:p>
      </xdr:txBody>
    </xdr:sp>
    <xdr:clientData/>
  </xdr:twoCellAnchor>
  <xdr:twoCellAnchor>
    <xdr:from>
      <xdr:col>11</xdr:col>
      <xdr:colOff>38099</xdr:colOff>
      <xdr:row>5</xdr:row>
      <xdr:rowOff>41274</xdr:rowOff>
    </xdr:from>
    <xdr:to>
      <xdr:col>17</xdr:col>
      <xdr:colOff>647700</xdr:colOff>
      <xdr:row>11</xdr:row>
      <xdr:rowOff>104774</xdr:rowOff>
    </xdr:to>
    <xdr:sp macro="" textlink="">
      <xdr:nvSpPr>
        <xdr:cNvPr id="9" name="Rectángulo: esquinas redondeadas 8">
          <a:extLst>
            <a:ext uri="{FF2B5EF4-FFF2-40B4-BE49-F238E27FC236}">
              <a16:creationId xmlns:a16="http://schemas.microsoft.com/office/drawing/2014/main" id="{00000000-0008-0000-0D00-000009000000}"/>
            </a:ext>
          </a:extLst>
        </xdr:cNvPr>
        <xdr:cNvSpPr/>
      </xdr:nvSpPr>
      <xdr:spPr>
        <a:xfrm>
          <a:off x="11401424" y="946149"/>
          <a:ext cx="5334001" cy="115252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400" baseline="0">
              <a:solidFill>
                <a:schemeClr val="tx1"/>
              </a:solidFill>
              <a:effectLst/>
              <a:latin typeface="+mn-lt"/>
              <a:ea typeface="+mn-ea"/>
              <a:cs typeface="+mn-cs"/>
            </a:rPr>
            <a:t>This calculator could be expanded to:</a:t>
          </a:r>
          <a:endParaRPr lang="es-ES" sz="1400">
            <a:solidFill>
              <a:schemeClr val="tx1"/>
            </a:solidFill>
            <a:effectLst/>
          </a:endParaRPr>
        </a:p>
        <a:p>
          <a:r>
            <a:rPr lang="en-GB" sz="1400">
              <a:solidFill>
                <a:schemeClr val="tx1"/>
              </a:solidFill>
              <a:effectLst/>
              <a:latin typeface="+mn-lt"/>
              <a:ea typeface="+mn-ea"/>
              <a:cs typeface="+mn-cs"/>
            </a:rPr>
            <a:t>- Electric batteries of</a:t>
          </a:r>
          <a:r>
            <a:rPr lang="en-GB" sz="1400" baseline="0">
              <a:solidFill>
                <a:schemeClr val="tx1"/>
              </a:solidFill>
              <a:effectLst/>
              <a:latin typeface="+mn-lt"/>
              <a:ea typeface="+mn-ea"/>
              <a:cs typeface="+mn-cs"/>
            </a:rPr>
            <a:t> passenger v</a:t>
          </a:r>
          <a:r>
            <a:rPr lang="en-GB" sz="1400">
              <a:solidFill>
                <a:schemeClr val="tx1"/>
              </a:solidFill>
              <a:effectLst/>
              <a:latin typeface="+mn-lt"/>
              <a:ea typeface="+mn-ea"/>
              <a:cs typeface="+mn-cs"/>
            </a:rPr>
            <a:t>ehicles (private and public)</a:t>
          </a:r>
          <a:endParaRPr lang="es-ES" sz="1400">
            <a:solidFill>
              <a:schemeClr val="tx1"/>
            </a:solidFill>
            <a:effectLst/>
          </a:endParaRPr>
        </a:p>
      </xdr:txBody>
    </xdr:sp>
    <xdr:clientData/>
  </xdr:twoCellAnchor>
  <xdr:twoCellAnchor>
    <xdr:from>
      <xdr:col>0</xdr:col>
      <xdr:colOff>0</xdr:colOff>
      <xdr:row>91</xdr:row>
      <xdr:rowOff>0</xdr:rowOff>
    </xdr:from>
    <xdr:to>
      <xdr:col>7</xdr:col>
      <xdr:colOff>152400</xdr:colOff>
      <xdr:row>94</xdr:row>
      <xdr:rowOff>3810</xdr:rowOff>
    </xdr:to>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0" y="16754475"/>
          <a:ext cx="8382000" cy="549910"/>
        </a:xfrm>
        <a:prstGeom prst="rect">
          <a:avLst/>
        </a:prstGeom>
        <a:solidFill>
          <a:schemeClr val="accent2">
            <a:lumMod val="60000"/>
            <a:lumOff val="4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400" b="1"/>
            <a:t>STORAGE </a:t>
          </a:r>
          <a:r>
            <a:rPr lang="en-GB" sz="1400" b="1" baseline="0"/>
            <a:t>--&gt; new installed capacity per year (TW/year)</a:t>
          </a:r>
          <a:endParaRPr lang="en-GB" sz="14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INAMICA%20DE%20SISTEMAS\WILIAM\gmasterWILIAM\model_parameters\land\lan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nacho/Desktop/comparar%20excel/scenario_parameters_H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nacho/Desktop/comparar%20excel/scenario_parameters_c-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nacho/Desktop/comparar%20excel/scenario_parameters_buildings_bran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ormation_matrices"/>
      <sheetName val="land_uses"/>
      <sheetName val="croplands"/>
      <sheetName val="Diet"/>
      <sheetName val="intermodule_global_allocate"/>
      <sheetName val="forest"/>
      <sheetName val="grasslands"/>
      <sheetName val="Emissions"/>
      <sheetName val="FACTOR ENERGY WOOD "/>
      <sheetName val="exogenous_inputs"/>
      <sheetName val="Yield_impact_Hadgemes_8p5"/>
      <sheetName val="Yield_impact_Hadgemes_4p5"/>
      <sheetName val="Yield_impact_gfdl_8p5"/>
      <sheetName val="Yield_impact_gfdl_4p5"/>
      <sheetName val="Yield_impact_ccsm4_8p5"/>
      <sheetName val="Yield_impact_ccsm4_4p5"/>
      <sheetName val="GHG_Emissions_Supply_Chains  "/>
    </sheetNames>
    <sheetDataSet>
      <sheetData sheetId="0"/>
      <sheetData sheetId="1"/>
      <sheetData sheetId="2"/>
      <sheetData sheetId="3">
        <row r="22">
          <cell r="B22">
            <v>85.77</v>
          </cell>
          <cell r="C22">
            <v>18.25</v>
          </cell>
          <cell r="D22">
            <v>36.5</v>
          </cell>
          <cell r="E22">
            <v>182.5</v>
          </cell>
          <cell r="F22">
            <v>17.149999999999999</v>
          </cell>
          <cell r="G22">
            <v>1.82</v>
          </cell>
          <cell r="H22">
            <v>91.25</v>
          </cell>
          <cell r="I22">
            <v>4.74</v>
          </cell>
          <cell r="J22">
            <v>2.5499999999999998</v>
          </cell>
          <cell r="K22">
            <v>13.14</v>
          </cell>
          <cell r="L22">
            <v>10.220000000000001</v>
          </cell>
          <cell r="M22">
            <v>11.31</v>
          </cell>
          <cell r="N22">
            <v>96.2</v>
          </cell>
          <cell r="O22">
            <v>7.5</v>
          </cell>
        </row>
        <row r="23">
          <cell r="B23">
            <v>85.77</v>
          </cell>
          <cell r="C23">
            <v>18.25</v>
          </cell>
          <cell r="D23">
            <v>36.5</v>
          </cell>
          <cell r="E23">
            <v>182.5</v>
          </cell>
          <cell r="F23">
            <v>17.149999999999999</v>
          </cell>
          <cell r="G23">
            <v>1.82</v>
          </cell>
          <cell r="H23">
            <v>91.25</v>
          </cell>
          <cell r="I23">
            <v>4.74</v>
          </cell>
          <cell r="J23">
            <v>2.5499999999999998</v>
          </cell>
          <cell r="K23">
            <v>13.14</v>
          </cell>
          <cell r="L23">
            <v>10.220000000000001</v>
          </cell>
          <cell r="M23">
            <v>11.31</v>
          </cell>
          <cell r="N23">
            <v>93.14</v>
          </cell>
          <cell r="O23">
            <v>7.8</v>
          </cell>
        </row>
        <row r="24">
          <cell r="B24">
            <v>85.77</v>
          </cell>
          <cell r="C24">
            <v>18.25</v>
          </cell>
          <cell r="D24">
            <v>36.5</v>
          </cell>
          <cell r="E24">
            <v>182.5</v>
          </cell>
          <cell r="F24">
            <v>17.149999999999999</v>
          </cell>
          <cell r="G24">
            <v>1.82</v>
          </cell>
          <cell r="H24">
            <v>91.25</v>
          </cell>
          <cell r="I24">
            <v>4.74</v>
          </cell>
          <cell r="J24">
            <v>2.5499999999999998</v>
          </cell>
          <cell r="K24">
            <v>13.14</v>
          </cell>
          <cell r="L24">
            <v>10.220000000000001</v>
          </cell>
          <cell r="M24">
            <v>11.31</v>
          </cell>
          <cell r="N24">
            <v>44.693772742972108</v>
          </cell>
          <cell r="O24">
            <v>1.3494088082236684</v>
          </cell>
        </row>
        <row r="25">
          <cell r="B25">
            <v>85.77</v>
          </cell>
          <cell r="C25">
            <v>18.25</v>
          </cell>
          <cell r="D25">
            <v>36.5</v>
          </cell>
          <cell r="E25">
            <v>182.5</v>
          </cell>
          <cell r="F25">
            <v>17.149999999999999</v>
          </cell>
          <cell r="G25">
            <v>1.82</v>
          </cell>
          <cell r="H25">
            <v>91.25</v>
          </cell>
          <cell r="I25">
            <v>4.74</v>
          </cell>
          <cell r="J25">
            <v>2.5499999999999998</v>
          </cell>
          <cell r="K25">
            <v>13.14</v>
          </cell>
          <cell r="L25">
            <v>10.220000000000001</v>
          </cell>
          <cell r="M25">
            <v>11.31</v>
          </cell>
          <cell r="N25">
            <v>25.571707816740577</v>
          </cell>
          <cell r="O25">
            <v>2.9750458397838258</v>
          </cell>
        </row>
        <row r="26">
          <cell r="B26">
            <v>85.77</v>
          </cell>
          <cell r="C26">
            <v>18.25</v>
          </cell>
          <cell r="D26">
            <v>36.5</v>
          </cell>
          <cell r="E26">
            <v>182.5</v>
          </cell>
          <cell r="F26">
            <v>17.149999999999999</v>
          </cell>
          <cell r="G26">
            <v>1.82</v>
          </cell>
          <cell r="H26">
            <v>91.25</v>
          </cell>
          <cell r="I26">
            <v>4.74</v>
          </cell>
          <cell r="J26">
            <v>2.5499999999999998</v>
          </cell>
          <cell r="K26">
            <v>13.14</v>
          </cell>
          <cell r="L26">
            <v>10.220000000000001</v>
          </cell>
          <cell r="M26">
            <v>11.31</v>
          </cell>
          <cell r="N26">
            <v>2.02</v>
          </cell>
          <cell r="O26">
            <v>0.81</v>
          </cell>
        </row>
        <row r="27">
          <cell r="B27">
            <v>85.77</v>
          </cell>
          <cell r="C27">
            <v>18.25</v>
          </cell>
          <cell r="D27">
            <v>36.5</v>
          </cell>
          <cell r="E27">
            <v>182.5</v>
          </cell>
          <cell r="F27">
            <v>17.149999999999999</v>
          </cell>
          <cell r="G27">
            <v>1.82</v>
          </cell>
          <cell r="H27">
            <v>91.25</v>
          </cell>
          <cell r="I27">
            <v>4.74</v>
          </cell>
          <cell r="J27">
            <v>2.5499999999999998</v>
          </cell>
          <cell r="K27">
            <v>13.14</v>
          </cell>
          <cell r="L27">
            <v>10.220000000000001</v>
          </cell>
          <cell r="M27">
            <v>11.31</v>
          </cell>
          <cell r="N27">
            <v>65.599999999999994</v>
          </cell>
          <cell r="O27">
            <v>5.5</v>
          </cell>
        </row>
        <row r="28">
          <cell r="B28">
            <v>85.77</v>
          </cell>
          <cell r="C28">
            <v>18.25</v>
          </cell>
          <cell r="D28">
            <v>36.5</v>
          </cell>
          <cell r="E28">
            <v>182.5</v>
          </cell>
          <cell r="F28">
            <v>17.149999999999999</v>
          </cell>
          <cell r="G28">
            <v>1.82</v>
          </cell>
          <cell r="H28">
            <v>91.25</v>
          </cell>
          <cell r="I28">
            <v>4.74</v>
          </cell>
          <cell r="J28">
            <v>2.5499999999999998</v>
          </cell>
          <cell r="K28">
            <v>13.14</v>
          </cell>
          <cell r="L28">
            <v>10.220000000000001</v>
          </cell>
          <cell r="M28">
            <v>11.31</v>
          </cell>
          <cell r="N28">
            <v>79.8</v>
          </cell>
          <cell r="O28">
            <v>4.41</v>
          </cell>
        </row>
        <row r="29">
          <cell r="B29">
            <v>85.77</v>
          </cell>
          <cell r="C29">
            <v>18.25</v>
          </cell>
          <cell r="D29">
            <v>36.5</v>
          </cell>
          <cell r="E29">
            <v>182.5</v>
          </cell>
          <cell r="F29">
            <v>17.149999999999999</v>
          </cell>
          <cell r="G29">
            <v>1.82</v>
          </cell>
          <cell r="H29">
            <v>91.25</v>
          </cell>
          <cell r="I29">
            <v>4.74</v>
          </cell>
          <cell r="J29">
            <v>2.5499999999999998</v>
          </cell>
          <cell r="K29">
            <v>13.14</v>
          </cell>
          <cell r="L29">
            <v>10.220000000000001</v>
          </cell>
          <cell r="M29">
            <v>11.31</v>
          </cell>
          <cell r="N29">
            <v>82.8</v>
          </cell>
          <cell r="O29">
            <v>6</v>
          </cell>
        </row>
        <row r="30">
          <cell r="B30">
            <v>85.77</v>
          </cell>
          <cell r="C30">
            <v>18.25</v>
          </cell>
          <cell r="D30">
            <v>36.5</v>
          </cell>
          <cell r="E30">
            <v>182.5</v>
          </cell>
          <cell r="F30">
            <v>17.149999999999999</v>
          </cell>
          <cell r="G30">
            <v>1.82</v>
          </cell>
          <cell r="H30">
            <v>91.25</v>
          </cell>
          <cell r="I30">
            <v>4.74</v>
          </cell>
          <cell r="J30">
            <v>2.5499999999999998</v>
          </cell>
          <cell r="K30">
            <v>13.14</v>
          </cell>
          <cell r="L30">
            <v>10.220000000000001</v>
          </cell>
          <cell r="M30">
            <v>11.31</v>
          </cell>
          <cell r="N30">
            <v>23.3</v>
          </cell>
          <cell r="O30">
            <v>0.54</v>
          </cell>
        </row>
        <row r="33">
          <cell r="B33">
            <v>126.38879259519562</v>
          </cell>
          <cell r="C33">
            <v>69.755465554343246</v>
          </cell>
          <cell r="D33">
            <v>52.49</v>
          </cell>
          <cell r="E33">
            <v>353.81</v>
          </cell>
          <cell r="F33">
            <v>19.586747759697879</v>
          </cell>
          <cell r="G33">
            <v>2.4136340418247109</v>
          </cell>
          <cell r="H33">
            <v>120.08514442673872</v>
          </cell>
          <cell r="I33">
            <v>6.0210812505315845</v>
          </cell>
          <cell r="J33">
            <v>8.533498947924647</v>
          </cell>
          <cell r="K33">
            <v>32.150891544623612</v>
          </cell>
          <cell r="L33">
            <v>11.291946980275144</v>
          </cell>
          <cell r="M33">
            <v>39.6</v>
          </cell>
          <cell r="N33">
            <v>96.2</v>
          </cell>
          <cell r="O33">
            <v>7.5</v>
          </cell>
        </row>
        <row r="34">
          <cell r="B34">
            <v>115.68</v>
          </cell>
          <cell r="C34">
            <v>104.05</v>
          </cell>
          <cell r="D34">
            <v>46.712600000000002</v>
          </cell>
          <cell r="E34">
            <v>349.92139599999996</v>
          </cell>
          <cell r="F34">
            <v>17.43</v>
          </cell>
          <cell r="G34">
            <v>1.27</v>
          </cell>
          <cell r="H34">
            <v>117.74</v>
          </cell>
          <cell r="I34">
            <v>5.54</v>
          </cell>
          <cell r="J34">
            <v>11.305</v>
          </cell>
          <cell r="K34">
            <v>29.44</v>
          </cell>
          <cell r="L34">
            <v>10.38</v>
          </cell>
          <cell r="M34">
            <v>41.28</v>
          </cell>
          <cell r="N34">
            <v>93.14</v>
          </cell>
          <cell r="O34">
            <v>7.8</v>
          </cell>
        </row>
        <row r="35">
          <cell r="B35">
            <v>149.40804810550873</v>
          </cell>
          <cell r="C35">
            <v>67.361880288201561</v>
          </cell>
          <cell r="D35">
            <v>39.450000000000003</v>
          </cell>
          <cell r="E35">
            <v>529.86</v>
          </cell>
          <cell r="F35">
            <v>7.455625073421162</v>
          </cell>
          <cell r="G35">
            <v>0.96331232862135885</v>
          </cell>
          <cell r="H35">
            <v>16.844103395243692</v>
          </cell>
          <cell r="I35">
            <v>9.3140834924751132</v>
          </cell>
          <cell r="J35">
            <v>4.2118731393712654</v>
          </cell>
          <cell r="K35">
            <v>26.938290026176226</v>
          </cell>
          <cell r="L35">
            <v>17.427514113168733</v>
          </cell>
          <cell r="M35">
            <v>7.5295693055096411</v>
          </cell>
          <cell r="N35">
            <v>44.693772742972108</v>
          </cell>
          <cell r="O35">
            <v>1.3494088082236684</v>
          </cell>
        </row>
        <row r="36">
          <cell r="B36">
            <v>158.02380357906154</v>
          </cell>
          <cell r="C36">
            <v>37.700000000000003</v>
          </cell>
          <cell r="D36">
            <v>26.74</v>
          </cell>
          <cell r="E36">
            <v>207.73000000000002</v>
          </cell>
          <cell r="F36">
            <v>10.18</v>
          </cell>
          <cell r="G36">
            <v>0.57047747833035167</v>
          </cell>
          <cell r="H36">
            <v>17.389406029900719</v>
          </cell>
          <cell r="I36">
            <v>4.2988695132416677</v>
          </cell>
          <cell r="J36">
            <v>3.5986124793026781</v>
          </cell>
          <cell r="K36">
            <v>14.975412488109729</v>
          </cell>
          <cell r="L36">
            <v>17.523072314673829</v>
          </cell>
          <cell r="M36">
            <v>24.243369350339623</v>
          </cell>
          <cell r="N36">
            <v>25.571707816740577</v>
          </cell>
          <cell r="O36">
            <v>2.9750458397838258</v>
          </cell>
        </row>
        <row r="37">
          <cell r="B37">
            <v>148.46</v>
          </cell>
          <cell r="C37">
            <v>30.79</v>
          </cell>
          <cell r="D37">
            <v>23.959</v>
          </cell>
          <cell r="E37">
            <v>168.3716</v>
          </cell>
          <cell r="F37">
            <v>8.67</v>
          </cell>
          <cell r="G37">
            <v>0.02</v>
          </cell>
          <cell r="H37">
            <v>43.765000000000001</v>
          </cell>
          <cell r="I37">
            <v>1.29</v>
          </cell>
          <cell r="J37">
            <v>0.69500000000000006</v>
          </cell>
          <cell r="K37">
            <v>1.1500000000000001</v>
          </cell>
          <cell r="L37">
            <v>2.52</v>
          </cell>
          <cell r="M37">
            <v>23.43</v>
          </cell>
          <cell r="N37">
            <v>2.02</v>
          </cell>
          <cell r="O37">
            <v>0.81</v>
          </cell>
        </row>
        <row r="38">
          <cell r="B38">
            <v>114.9</v>
          </cell>
          <cell r="C38">
            <v>63.5</v>
          </cell>
          <cell r="D38">
            <v>44.57</v>
          </cell>
          <cell r="E38">
            <v>249.67000000000002</v>
          </cell>
          <cell r="F38">
            <v>15.5</v>
          </cell>
          <cell r="G38">
            <v>1.2085676266262235</v>
          </cell>
          <cell r="H38">
            <v>70.558518662687476</v>
          </cell>
          <cell r="I38">
            <v>4.7879529698417116</v>
          </cell>
          <cell r="J38">
            <v>17.35014815932632</v>
          </cell>
          <cell r="K38">
            <v>24.950755108380342</v>
          </cell>
          <cell r="L38">
            <v>5.429712013317765</v>
          </cell>
          <cell r="M38">
            <v>44.4</v>
          </cell>
          <cell r="N38">
            <v>65.599999999999994</v>
          </cell>
          <cell r="O38">
            <v>5.5</v>
          </cell>
        </row>
        <row r="39">
          <cell r="B39">
            <v>147.9</v>
          </cell>
          <cell r="C39">
            <v>113.27</v>
          </cell>
          <cell r="D39">
            <v>38.58</v>
          </cell>
          <cell r="E39">
            <v>298.01</v>
          </cell>
          <cell r="F39">
            <v>13.75</v>
          </cell>
          <cell r="G39">
            <v>1.595</v>
          </cell>
          <cell r="H39">
            <v>83.075000000000003</v>
          </cell>
          <cell r="I39">
            <v>7.7149999999999999</v>
          </cell>
          <cell r="J39">
            <v>9.19</v>
          </cell>
          <cell r="K39">
            <v>28.22</v>
          </cell>
          <cell r="L39">
            <v>11.465</v>
          </cell>
          <cell r="M39">
            <v>49.02</v>
          </cell>
          <cell r="N39">
            <v>79.8</v>
          </cell>
          <cell r="O39">
            <v>4.41</v>
          </cell>
        </row>
        <row r="40">
          <cell r="B40">
            <v>119</v>
          </cell>
          <cell r="C40">
            <v>47.4</v>
          </cell>
          <cell r="D40">
            <v>54.81</v>
          </cell>
          <cell r="E40">
            <v>339.28</v>
          </cell>
          <cell r="F40">
            <v>25.03</v>
          </cell>
          <cell r="G40">
            <v>1.5664318791783418</v>
          </cell>
          <cell r="H40">
            <v>107.66416942144311</v>
          </cell>
          <cell r="I40">
            <v>7.7045581345229719</v>
          </cell>
          <cell r="J40">
            <v>15.545900002932514</v>
          </cell>
          <cell r="K40">
            <v>34.419548534069193</v>
          </cell>
          <cell r="L40">
            <v>9.3955661499822209</v>
          </cell>
          <cell r="M40">
            <v>58.7</v>
          </cell>
          <cell r="N40">
            <v>82.8</v>
          </cell>
          <cell r="O40">
            <v>6</v>
          </cell>
        </row>
        <row r="41">
          <cell r="B41">
            <v>143.9</v>
          </cell>
          <cell r="C41">
            <v>81.7</v>
          </cell>
          <cell r="D41">
            <v>24.4</v>
          </cell>
          <cell r="E41">
            <v>178.95999999999998</v>
          </cell>
          <cell r="F41">
            <v>9.4742357357929912</v>
          </cell>
          <cell r="G41">
            <v>0.33819946799063294</v>
          </cell>
          <cell r="H41">
            <v>35.576401294411603</v>
          </cell>
          <cell r="I41">
            <v>2.0231690939147002</v>
          </cell>
          <cell r="J41">
            <v>4.8450665160040822</v>
          </cell>
          <cell r="K41">
            <v>7.013455348260722</v>
          </cell>
          <cell r="L41">
            <v>5.157351690887837</v>
          </cell>
          <cell r="M41">
            <v>19.8</v>
          </cell>
          <cell r="N41">
            <v>23.3</v>
          </cell>
          <cell r="O41">
            <v>0.54</v>
          </cell>
        </row>
        <row r="44">
          <cell r="B44">
            <v>126.38879259519562</v>
          </cell>
          <cell r="C44">
            <v>69.755465554343246</v>
          </cell>
          <cell r="D44">
            <v>96.27</v>
          </cell>
          <cell r="E44">
            <v>494.6</v>
          </cell>
          <cell r="F44">
            <v>19.586747759697879</v>
          </cell>
          <cell r="G44">
            <v>0</v>
          </cell>
          <cell r="H44">
            <v>0</v>
          </cell>
          <cell r="I44">
            <v>0</v>
          </cell>
          <cell r="J44">
            <v>0</v>
          </cell>
          <cell r="K44">
            <v>0</v>
          </cell>
          <cell r="L44">
            <v>0</v>
          </cell>
          <cell r="M44">
            <v>39.6</v>
          </cell>
          <cell r="N44">
            <v>96.2</v>
          </cell>
          <cell r="O44">
            <v>7.5</v>
          </cell>
        </row>
        <row r="45">
          <cell r="B45">
            <v>115.68</v>
          </cell>
          <cell r="C45">
            <v>104.05</v>
          </cell>
          <cell r="D45">
            <v>85.7453</v>
          </cell>
          <cell r="E45">
            <v>475.45</v>
          </cell>
          <cell r="F45">
            <v>17.43</v>
          </cell>
          <cell r="G45">
            <v>0</v>
          </cell>
          <cell r="H45">
            <v>0</v>
          </cell>
          <cell r="I45">
            <v>0</v>
          </cell>
          <cell r="J45">
            <v>0</v>
          </cell>
          <cell r="K45">
            <v>0</v>
          </cell>
          <cell r="L45">
            <v>0</v>
          </cell>
          <cell r="M45">
            <v>41.28</v>
          </cell>
          <cell r="N45">
            <v>93.14</v>
          </cell>
          <cell r="O45">
            <v>7.8</v>
          </cell>
        </row>
        <row r="46">
          <cell r="B46">
            <v>149.40804810550873</v>
          </cell>
          <cell r="C46">
            <v>67.361880288201561</v>
          </cell>
          <cell r="D46">
            <v>67.17</v>
          </cell>
          <cell r="E46">
            <v>619.02</v>
          </cell>
          <cell r="F46">
            <v>7.455625073421162</v>
          </cell>
          <cell r="G46">
            <v>0</v>
          </cell>
          <cell r="H46">
            <v>0</v>
          </cell>
          <cell r="I46">
            <v>0</v>
          </cell>
          <cell r="J46">
            <v>0</v>
          </cell>
          <cell r="K46">
            <v>0</v>
          </cell>
          <cell r="L46">
            <v>0</v>
          </cell>
          <cell r="M46">
            <v>7.5295693055096411</v>
          </cell>
          <cell r="N46">
            <v>44.693772742972108</v>
          </cell>
          <cell r="O46">
            <v>1.3494088082236684</v>
          </cell>
        </row>
        <row r="47">
          <cell r="B47">
            <v>158.02380357906154</v>
          </cell>
          <cell r="C47">
            <v>37.700000000000003</v>
          </cell>
          <cell r="D47">
            <v>44.57</v>
          </cell>
          <cell r="E47">
            <v>265.07</v>
          </cell>
          <cell r="F47">
            <v>10.18</v>
          </cell>
          <cell r="G47">
            <v>0</v>
          </cell>
          <cell r="H47">
            <v>0</v>
          </cell>
          <cell r="I47">
            <v>0</v>
          </cell>
          <cell r="J47">
            <v>0</v>
          </cell>
          <cell r="K47">
            <v>0</v>
          </cell>
          <cell r="L47">
            <v>0</v>
          </cell>
          <cell r="M47">
            <v>24.243369350339623</v>
          </cell>
          <cell r="N47">
            <v>25.571707816740577</v>
          </cell>
          <cell r="O47">
            <v>2.9750458397838258</v>
          </cell>
        </row>
        <row r="48">
          <cell r="B48">
            <v>148.46</v>
          </cell>
          <cell r="C48">
            <v>30.79</v>
          </cell>
          <cell r="D48">
            <v>31.207799999999999</v>
          </cell>
          <cell r="E48">
            <v>191.68700000000001</v>
          </cell>
          <cell r="F48">
            <v>8.67</v>
          </cell>
          <cell r="G48">
            <v>0</v>
          </cell>
          <cell r="H48">
            <v>0</v>
          </cell>
          <cell r="I48">
            <v>0</v>
          </cell>
          <cell r="J48">
            <v>0</v>
          </cell>
          <cell r="K48">
            <v>0</v>
          </cell>
          <cell r="L48">
            <v>0</v>
          </cell>
          <cell r="M48">
            <v>23.43</v>
          </cell>
          <cell r="N48">
            <v>2.02</v>
          </cell>
          <cell r="O48">
            <v>0.81</v>
          </cell>
        </row>
        <row r="49">
          <cell r="B49">
            <v>114.9</v>
          </cell>
          <cell r="C49">
            <v>63.5</v>
          </cell>
          <cell r="D49">
            <v>74.27</v>
          </cell>
          <cell r="E49">
            <v>345.17</v>
          </cell>
          <cell r="F49">
            <v>15.5</v>
          </cell>
          <cell r="G49">
            <v>0</v>
          </cell>
          <cell r="H49">
            <v>0</v>
          </cell>
          <cell r="I49">
            <v>0</v>
          </cell>
          <cell r="J49">
            <v>0</v>
          </cell>
          <cell r="K49">
            <v>0</v>
          </cell>
          <cell r="L49">
            <v>0</v>
          </cell>
          <cell r="M49">
            <v>44.24</v>
          </cell>
          <cell r="N49">
            <v>65.599999999999994</v>
          </cell>
          <cell r="O49">
            <v>5.5</v>
          </cell>
        </row>
        <row r="50">
          <cell r="B50">
            <v>147.9</v>
          </cell>
          <cell r="C50">
            <v>113.27</v>
          </cell>
          <cell r="D50">
            <v>73.667199999999994</v>
          </cell>
          <cell r="E50">
            <v>410.834</v>
          </cell>
          <cell r="F50">
            <v>13.75</v>
          </cell>
          <cell r="G50">
            <v>0</v>
          </cell>
          <cell r="H50">
            <v>0</v>
          </cell>
          <cell r="I50">
            <v>0</v>
          </cell>
          <cell r="J50">
            <v>0</v>
          </cell>
          <cell r="K50">
            <v>0</v>
          </cell>
          <cell r="L50">
            <v>0</v>
          </cell>
          <cell r="M50">
            <v>49.02</v>
          </cell>
          <cell r="N50">
            <v>79.8</v>
          </cell>
          <cell r="O50">
            <v>4.41</v>
          </cell>
        </row>
        <row r="51">
          <cell r="B51">
            <v>119</v>
          </cell>
          <cell r="C51">
            <v>47.4</v>
          </cell>
          <cell r="D51">
            <v>96.11</v>
          </cell>
          <cell r="E51">
            <v>472.1</v>
          </cell>
          <cell r="F51">
            <v>25.03</v>
          </cell>
          <cell r="G51">
            <v>0</v>
          </cell>
          <cell r="H51">
            <v>0</v>
          </cell>
          <cell r="I51">
            <v>0</v>
          </cell>
          <cell r="J51">
            <v>0</v>
          </cell>
          <cell r="K51">
            <v>0</v>
          </cell>
          <cell r="L51">
            <v>0</v>
          </cell>
          <cell r="M51">
            <v>58.7</v>
          </cell>
          <cell r="N51">
            <v>82.8</v>
          </cell>
          <cell r="O51">
            <v>6</v>
          </cell>
        </row>
        <row r="52">
          <cell r="B52">
            <v>143.9</v>
          </cell>
          <cell r="C52">
            <v>81.7</v>
          </cell>
          <cell r="D52">
            <v>35.979999999999997</v>
          </cell>
          <cell r="E52">
            <v>216.19</v>
          </cell>
          <cell r="F52">
            <v>9.4742357357929912</v>
          </cell>
          <cell r="G52">
            <v>0</v>
          </cell>
          <cell r="H52">
            <v>0</v>
          </cell>
          <cell r="I52">
            <v>0</v>
          </cell>
          <cell r="J52">
            <v>0</v>
          </cell>
          <cell r="K52">
            <v>0</v>
          </cell>
          <cell r="L52">
            <v>0</v>
          </cell>
          <cell r="M52">
            <v>19.8</v>
          </cell>
          <cell r="N52">
            <v>23.3</v>
          </cell>
          <cell r="O52">
            <v>0.54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y (3)"/>
      <sheetName val="ReadMe"/>
      <sheetName val="glossary_and_narratives"/>
      <sheetName val="list_policies_hypotheses"/>
      <sheetName val="demography"/>
      <sheetName val="society"/>
      <sheetName val="economy"/>
      <sheetName val="energy"/>
      <sheetName val="energy-buildings"/>
      <sheetName val="energy-transport"/>
      <sheetName val="materials"/>
      <sheetName val="land_and_water"/>
      <sheetName val="climate"/>
      <sheetName val="demography_data"/>
      <sheetName val="energy-data"/>
      <sheetName val="data_materials_calculator"/>
      <sheetName val="inputs_model_explorer"/>
      <sheetName val="data_model_explor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y (3)"/>
      <sheetName val="ReadMe"/>
      <sheetName val="glossary_and_narratives"/>
      <sheetName val="list_policies_hypotheses"/>
      <sheetName val="demography"/>
      <sheetName val="society"/>
      <sheetName val="economy"/>
      <sheetName val="energy"/>
      <sheetName val="energy-buildings"/>
      <sheetName val="materials"/>
      <sheetName val="energy-transport"/>
      <sheetName val="land"/>
      <sheetName val="climate"/>
      <sheetName val="demography_data"/>
      <sheetName val="energy-data"/>
      <sheetName val="data_materials_calculator"/>
      <sheetName val="inputs_model_explorer"/>
      <sheetName val="data_model_explor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y (3)"/>
      <sheetName val="ReadMe"/>
      <sheetName val="glossary_and_narratives"/>
      <sheetName val="list_policies_hypotheses"/>
      <sheetName val="demography"/>
      <sheetName val="society"/>
      <sheetName val="economy"/>
      <sheetName val="energy"/>
      <sheetName val="energy-buildings"/>
      <sheetName val="energy-transport"/>
      <sheetName val="materials"/>
      <sheetName val="land_and_water"/>
      <sheetName val="climate"/>
      <sheetName val="demography_data"/>
      <sheetName val="energy-data"/>
      <sheetName val="data_materials_calculator"/>
      <sheetName val="inputs_model_explorer"/>
      <sheetName val="data_model_explor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Datos%20adjuntos/scenario_parameters.xls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3.bin"/><Relationship Id="rId1" Type="http://schemas.openxmlformats.org/officeDocument/2006/relationships/hyperlink" Target="https://tntcat.iiasa.ac.at/SspDb/dsd?Action=htmlpage&amp;page=citation"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B1:D40"/>
  <sheetViews>
    <sheetView tabSelected="1" topLeftCell="B1" zoomScaleNormal="100" workbookViewId="0">
      <selection activeCell="B1" sqref="B1"/>
    </sheetView>
  </sheetViews>
  <sheetFormatPr baseColWidth="10" defaultColWidth="10.54296875" defaultRowHeight="14.5" x14ac:dyDescent="0.35"/>
  <cols>
    <col min="1" max="1" width="4.453125" customWidth="1"/>
    <col min="2" max="2" width="40.54296875" customWidth="1"/>
    <col min="3" max="3" width="101.54296875" customWidth="1"/>
    <col min="4" max="4" width="24.453125" style="13" customWidth="1"/>
    <col min="5" max="5" width="59.453125" customWidth="1"/>
  </cols>
  <sheetData>
    <row r="1" spans="2:4" ht="18.5" x14ac:dyDescent="0.45">
      <c r="B1" s="184" t="s">
        <v>605</v>
      </c>
    </row>
    <row r="2" spans="2:4" x14ac:dyDescent="0.35">
      <c r="B2" t="s">
        <v>2215</v>
      </c>
    </row>
    <row r="3" spans="2:4" ht="30" customHeight="1" x14ac:dyDescent="0.35">
      <c r="B3" s="588" t="s">
        <v>1477</v>
      </c>
      <c r="C3" s="588"/>
    </row>
    <row r="4" spans="2:4" x14ac:dyDescent="0.35">
      <c r="D4" s="186"/>
    </row>
    <row r="5" spans="2:4" x14ac:dyDescent="0.35">
      <c r="B5" s="123" t="s">
        <v>602</v>
      </c>
      <c r="C5" s="123" t="s">
        <v>600</v>
      </c>
    </row>
    <row r="6" spans="2:4" ht="23.5" customHeight="1" x14ac:dyDescent="0.35">
      <c r="B6" s="589" t="s">
        <v>867</v>
      </c>
      <c r="C6" s="589"/>
    </row>
    <row r="7" spans="2:4" ht="60" customHeight="1" x14ac:dyDescent="0.35">
      <c r="B7" s="176" t="s">
        <v>601</v>
      </c>
      <c r="C7" s="188" t="s">
        <v>603</v>
      </c>
    </row>
    <row r="8" spans="2:4" ht="60" customHeight="1" x14ac:dyDescent="0.35">
      <c r="B8" s="176" t="s">
        <v>604</v>
      </c>
      <c r="C8" s="188" t="s">
        <v>1385</v>
      </c>
    </row>
    <row r="9" spans="2:4" ht="22.5" customHeight="1" x14ac:dyDescent="0.35">
      <c r="B9" s="589" t="s">
        <v>866</v>
      </c>
      <c r="C9" s="589"/>
    </row>
    <row r="10" spans="2:4" x14ac:dyDescent="0.35">
      <c r="B10" s="177" t="s">
        <v>591</v>
      </c>
      <c r="C10" s="189" t="s">
        <v>610</v>
      </c>
    </row>
    <row r="11" spans="2:4" x14ac:dyDescent="0.35">
      <c r="B11" s="178" t="s">
        <v>592</v>
      </c>
      <c r="C11" s="190" t="s">
        <v>611</v>
      </c>
    </row>
    <row r="12" spans="2:4" x14ac:dyDescent="0.35">
      <c r="B12" s="179" t="s">
        <v>593</v>
      </c>
      <c r="C12" s="191" t="s">
        <v>612</v>
      </c>
    </row>
    <row r="13" spans="2:4" x14ac:dyDescent="0.35">
      <c r="B13" s="179" t="s">
        <v>594</v>
      </c>
      <c r="C13" s="191" t="s">
        <v>613</v>
      </c>
    </row>
    <row r="14" spans="2:4" x14ac:dyDescent="0.35">
      <c r="B14" s="180" t="s">
        <v>595</v>
      </c>
      <c r="C14" s="192" t="s">
        <v>618</v>
      </c>
    </row>
    <row r="15" spans="2:4" x14ac:dyDescent="0.35">
      <c r="B15" s="180" t="s">
        <v>596</v>
      </c>
      <c r="C15" s="192" t="s">
        <v>617</v>
      </c>
    </row>
    <row r="16" spans="2:4" x14ac:dyDescent="0.35">
      <c r="B16" s="181" t="s">
        <v>599</v>
      </c>
      <c r="C16" s="193" t="s">
        <v>615</v>
      </c>
    </row>
    <row r="17" spans="2:4" x14ac:dyDescent="0.35">
      <c r="B17" s="182" t="s">
        <v>597</v>
      </c>
      <c r="C17" s="194" t="s">
        <v>614</v>
      </c>
    </row>
    <row r="18" spans="2:4" x14ac:dyDescent="0.35">
      <c r="B18" s="183" t="s">
        <v>598</v>
      </c>
      <c r="C18" s="195" t="s">
        <v>616</v>
      </c>
    </row>
    <row r="19" spans="2:4" ht="31.75" customHeight="1" x14ac:dyDescent="0.35">
      <c r="B19" s="590" t="s">
        <v>865</v>
      </c>
      <c r="C19" s="591"/>
    </row>
    <row r="20" spans="2:4" x14ac:dyDescent="0.35">
      <c r="B20" s="124" t="s">
        <v>606</v>
      </c>
      <c r="C20" s="196" t="s">
        <v>607</v>
      </c>
    </row>
    <row r="21" spans="2:4" x14ac:dyDescent="0.35">
      <c r="B21" s="124" t="s">
        <v>845</v>
      </c>
      <c r="C21" s="196" t="s">
        <v>846</v>
      </c>
    </row>
    <row r="22" spans="2:4" ht="22.75" customHeight="1" x14ac:dyDescent="0.35">
      <c r="B22" s="592" t="s">
        <v>1341</v>
      </c>
      <c r="C22" s="593"/>
    </row>
    <row r="23" spans="2:4" ht="43.5" x14ac:dyDescent="0.35">
      <c r="B23" s="227" t="s">
        <v>1342</v>
      </c>
      <c r="C23" s="228" t="s">
        <v>1343</v>
      </c>
    </row>
    <row r="24" spans="2:4" ht="18" customHeight="1" x14ac:dyDescent="0.35"/>
    <row r="25" spans="2:4" x14ac:dyDescent="0.35">
      <c r="B25" s="583" t="s">
        <v>609</v>
      </c>
      <c r="C25" s="584"/>
    </row>
    <row r="26" spans="2:4" ht="28.5" customHeight="1" x14ac:dyDescent="0.35">
      <c r="B26" s="585" t="s">
        <v>608</v>
      </c>
      <c r="C26" s="585"/>
      <c r="D26" s="187"/>
    </row>
    <row r="27" spans="2:4" x14ac:dyDescent="0.35">
      <c r="B27" s="585" t="s">
        <v>383</v>
      </c>
      <c r="C27" s="585"/>
      <c r="D27" s="187"/>
    </row>
    <row r="29" spans="2:4" x14ac:dyDescent="0.35">
      <c r="B29" s="586" t="s">
        <v>619</v>
      </c>
      <c r="C29" s="587"/>
    </row>
    <row r="30" spans="2:4" x14ac:dyDescent="0.35">
      <c r="B30" s="581" t="s">
        <v>317</v>
      </c>
      <c r="C30" s="582"/>
    </row>
    <row r="31" spans="2:4" x14ac:dyDescent="0.35">
      <c r="B31" s="581" t="s">
        <v>318</v>
      </c>
      <c r="C31" s="582"/>
    </row>
    <row r="32" spans="2:4" x14ac:dyDescent="0.35">
      <c r="B32" s="581" t="s">
        <v>319</v>
      </c>
      <c r="C32" s="582"/>
    </row>
    <row r="33" spans="2:3" x14ac:dyDescent="0.35">
      <c r="B33" s="581" t="s">
        <v>320</v>
      </c>
      <c r="C33" s="582"/>
    </row>
    <row r="34" spans="2:3" x14ac:dyDescent="0.35">
      <c r="B34" s="581" t="s">
        <v>321</v>
      </c>
      <c r="C34" s="582"/>
    </row>
    <row r="36" spans="2:3" x14ac:dyDescent="0.35">
      <c r="B36" s="25" t="s">
        <v>856</v>
      </c>
    </row>
    <row r="37" spans="2:3" x14ac:dyDescent="0.35">
      <c r="B37" s="211" t="s">
        <v>857</v>
      </c>
      <c r="C37" s="2"/>
    </row>
    <row r="38" spans="2:3" ht="29" x14ac:dyDescent="0.35">
      <c r="B38" s="135" t="s">
        <v>858</v>
      </c>
      <c r="C38" s="2"/>
    </row>
    <row r="39" spans="2:3" x14ac:dyDescent="0.35">
      <c r="B39" s="136" t="s">
        <v>859</v>
      </c>
    </row>
    <row r="40" spans="2:3" x14ac:dyDescent="0.35">
      <c r="B40" s="175">
        <v>0</v>
      </c>
      <c r="C40" s="24" t="s">
        <v>860</v>
      </c>
    </row>
  </sheetData>
  <mergeCells count="14">
    <mergeCell ref="B3:C3"/>
    <mergeCell ref="B6:C6"/>
    <mergeCell ref="B9:C9"/>
    <mergeCell ref="B19:C19"/>
    <mergeCell ref="B22:C22"/>
    <mergeCell ref="B32:C32"/>
    <mergeCell ref="B33:C33"/>
    <mergeCell ref="B34:C34"/>
    <mergeCell ref="B25:C25"/>
    <mergeCell ref="B26:C26"/>
    <mergeCell ref="B27:C27"/>
    <mergeCell ref="B29:C29"/>
    <mergeCell ref="B30:C30"/>
    <mergeCell ref="B31:C31"/>
  </mergeCells>
  <hyperlinks>
    <hyperlink ref="B7" location="glossary_and_narratives!A1" display="glossary_and_narratives" xr:uid="{00000000-0004-0000-0000-000000000000}"/>
    <hyperlink ref="B8" location="list_policies_hypotheses!A1" display="list_policies_hypotheses" xr:uid="{00000000-0004-0000-0000-000001000000}"/>
    <hyperlink ref="B10" location="demography!A1" display="demography" xr:uid="{00000000-0004-0000-0000-000002000000}"/>
    <hyperlink ref="B11" location="society!A1" display="society" xr:uid="{00000000-0004-0000-0000-000003000000}"/>
    <hyperlink ref="B12" location="economy!A1" display="economy" xr:uid="{00000000-0004-0000-0000-000004000000}"/>
    <hyperlink ref="B13" location="finance!A1" display="finance" xr:uid="{00000000-0004-0000-0000-000005000000}"/>
    <hyperlink ref="B14" location="energy!A1" display="energy" xr:uid="{00000000-0004-0000-0000-000006000000}"/>
    <hyperlink ref="B15" location="'energy-transport'!A1" display="energy-transport" xr:uid="{00000000-0004-0000-0000-000007000000}"/>
    <hyperlink ref="B17" location="land_and_water!A1" display="land_and_water" xr:uid="{00000000-0004-0000-0000-000008000000}"/>
    <hyperlink ref="B18" location="climate!A1" display="climate" xr:uid="{00000000-0004-0000-0000-000009000000}"/>
    <hyperlink ref="B16" location="materials!A1" display="materials" xr:uid="{00000000-0004-0000-0000-00000A000000}"/>
    <hyperlink ref="B20" location="demography_data!A1" display="demography-data" xr:uid="{00000000-0004-0000-0000-00000B000000}"/>
    <hyperlink ref="B21" location="'energy-data'!A1" display="energy-data" xr:uid="{00000000-0004-0000-0000-00000C000000}"/>
    <hyperlink ref="B23" location="data_materials_calculator!A1" display="data_materials_calculator" xr:uid="{00000000-0004-0000-0000-00000D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C15"/>
  <sheetViews>
    <sheetView zoomScaleNormal="100" workbookViewId="0">
      <pane xSplit="1" ySplit="1" topLeftCell="B12" activePane="bottomRight" state="frozen"/>
      <selection pane="topRight" activeCell="B1" sqref="B1"/>
      <selection pane="bottomLeft" activeCell="A2" sqref="A2"/>
      <selection pane="bottomRight" activeCell="B22" sqref="B22"/>
    </sheetView>
  </sheetViews>
  <sheetFormatPr baseColWidth="10" defaultColWidth="10.81640625" defaultRowHeight="14.5" x14ac:dyDescent="0.35"/>
  <cols>
    <col min="1" max="1" width="53.54296875" customWidth="1"/>
    <col min="2" max="2" width="46.54296875" customWidth="1"/>
    <col min="3" max="3" width="24.453125" customWidth="1"/>
  </cols>
  <sheetData>
    <row r="1" spans="1:3" x14ac:dyDescent="0.35">
      <c r="A1" s="60" t="s">
        <v>354</v>
      </c>
      <c r="B1" s="20" t="s">
        <v>332</v>
      </c>
      <c r="C1" s="20" t="s">
        <v>333</v>
      </c>
    </row>
    <row r="2" spans="1:3" ht="273" x14ac:dyDescent="0.35">
      <c r="A2" s="20" t="s">
        <v>334</v>
      </c>
      <c r="B2" s="61" t="s">
        <v>1405</v>
      </c>
      <c r="C2" s="62" t="s">
        <v>335</v>
      </c>
    </row>
    <row r="3" spans="1:3" ht="208" x14ac:dyDescent="0.35">
      <c r="A3" s="244" t="s">
        <v>336</v>
      </c>
      <c r="B3" s="61" t="s">
        <v>1404</v>
      </c>
      <c r="C3" s="62" t="s">
        <v>337</v>
      </c>
    </row>
    <row r="4" spans="1:3" ht="91" x14ac:dyDescent="0.35">
      <c r="A4" s="63" t="s">
        <v>338</v>
      </c>
      <c r="B4" s="61" t="s">
        <v>1406</v>
      </c>
      <c r="C4" s="62" t="s">
        <v>339</v>
      </c>
    </row>
    <row r="5" spans="1:3" ht="91" x14ac:dyDescent="0.35">
      <c r="A5" s="63" t="s">
        <v>340</v>
      </c>
      <c r="B5" s="61" t="s">
        <v>1407</v>
      </c>
      <c r="C5" s="62" t="s">
        <v>341</v>
      </c>
    </row>
    <row r="6" spans="1:3" ht="69" customHeight="1" x14ac:dyDescent="0.35">
      <c r="A6" s="244" t="s">
        <v>342</v>
      </c>
      <c r="B6" s="85" t="s">
        <v>343</v>
      </c>
      <c r="C6" s="62" t="s">
        <v>344</v>
      </c>
    </row>
    <row r="7" spans="1:3" ht="117" x14ac:dyDescent="0.35">
      <c r="A7" s="63" t="s">
        <v>345</v>
      </c>
      <c r="B7" s="86" t="s">
        <v>1408</v>
      </c>
      <c r="C7" s="62" t="s">
        <v>346</v>
      </c>
    </row>
    <row r="8" spans="1:3" ht="117" x14ac:dyDescent="0.35">
      <c r="A8" s="63" t="s">
        <v>347</v>
      </c>
      <c r="B8" s="61" t="s">
        <v>1409</v>
      </c>
      <c r="C8" s="62" t="s">
        <v>348</v>
      </c>
    </row>
    <row r="9" spans="1:3" ht="52" x14ac:dyDescent="0.35">
      <c r="A9" s="63" t="s">
        <v>349</v>
      </c>
      <c r="B9" s="64" t="s">
        <v>1410</v>
      </c>
      <c r="C9" s="65" t="s">
        <v>350</v>
      </c>
    </row>
    <row r="10" spans="1:3" ht="182" x14ac:dyDescent="0.35">
      <c r="A10" s="244" t="s">
        <v>351</v>
      </c>
      <c r="B10" s="61" t="s">
        <v>1411</v>
      </c>
      <c r="C10" s="62" t="s">
        <v>352</v>
      </c>
    </row>
    <row r="11" spans="1:3" ht="195" x14ac:dyDescent="0.35">
      <c r="A11" s="245" t="s">
        <v>1413</v>
      </c>
      <c r="B11" s="246" t="s">
        <v>1416</v>
      </c>
      <c r="C11" s="247" t="s">
        <v>1414</v>
      </c>
    </row>
    <row r="12" spans="1:3" ht="78" x14ac:dyDescent="0.35">
      <c r="A12" s="63" t="s">
        <v>353</v>
      </c>
      <c r="B12" s="61" t="s">
        <v>1412</v>
      </c>
      <c r="C12" s="62" t="s">
        <v>1415</v>
      </c>
    </row>
    <row r="13" spans="1:3" x14ac:dyDescent="0.35">
      <c r="A13" s="2"/>
      <c r="B13" s="2"/>
      <c r="C13" s="2"/>
    </row>
    <row r="14" spans="1:3" x14ac:dyDescent="0.35">
      <c r="A14" s="87"/>
      <c r="C14" s="2"/>
    </row>
    <row r="15" spans="1:3" x14ac:dyDescent="0.35">
      <c r="C15"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956D5-B149-42B9-A022-5B8375DA2303}">
  <sheetPr>
    <tabColor theme="1"/>
  </sheetPr>
  <dimension ref="A1:I130"/>
  <sheetViews>
    <sheetView zoomScale="70" zoomScaleNormal="70" workbookViewId="0">
      <pane xSplit="2" ySplit="2" topLeftCell="C3" activePane="bottomRight" state="frozen"/>
      <selection pane="topRight" activeCell="C1" sqref="C1"/>
      <selection pane="bottomLeft" activeCell="A2" sqref="A2"/>
      <selection pane="bottomRight" activeCell="I1" sqref="I1:I1048576"/>
    </sheetView>
  </sheetViews>
  <sheetFormatPr baseColWidth="10" defaultColWidth="11.453125" defaultRowHeight="14.5" x14ac:dyDescent="0.35"/>
  <cols>
    <col min="1" max="1" width="5.453125" style="2" bestFit="1" customWidth="1"/>
    <col min="2" max="2" width="56" style="2" customWidth="1"/>
    <col min="3" max="3" width="73.453125" style="2" bestFit="1" customWidth="1"/>
    <col min="4" max="4" width="18.453125" style="2" customWidth="1"/>
    <col min="5" max="5" width="50" style="2" bestFit="1" customWidth="1"/>
    <col min="6" max="6" width="99.453125" style="2" customWidth="1"/>
    <col min="7" max="7" width="83.36328125" style="249" customWidth="1"/>
    <col min="8" max="8" width="71.453125" style="249" customWidth="1"/>
    <col min="9" max="9" width="12.453125" customWidth="1"/>
  </cols>
  <sheetData>
    <row r="1" spans="1:9" ht="15.75" customHeight="1" x14ac:dyDescent="0.35">
      <c r="A1" s="596" t="s">
        <v>468</v>
      </c>
      <c r="B1" s="597" t="s">
        <v>393</v>
      </c>
      <c r="C1" s="597" t="s">
        <v>394</v>
      </c>
      <c r="D1" s="597" t="s">
        <v>303</v>
      </c>
      <c r="E1" s="597" t="s">
        <v>355</v>
      </c>
      <c r="F1" s="597" t="s">
        <v>304</v>
      </c>
      <c r="G1" s="598" t="s">
        <v>2131</v>
      </c>
      <c r="H1" s="594" t="s">
        <v>2151</v>
      </c>
    </row>
    <row r="2" spans="1:9" s="116" customFormat="1" ht="39" customHeight="1" x14ac:dyDescent="0.35">
      <c r="A2" s="596"/>
      <c r="B2" s="597"/>
      <c r="C2" s="597"/>
      <c r="D2" s="597"/>
      <c r="E2" s="597"/>
      <c r="F2" s="597"/>
      <c r="G2" s="598" t="s">
        <v>2131</v>
      </c>
      <c r="H2" s="595"/>
    </row>
    <row r="3" spans="1:9" s="115" customFormat="1" ht="18.5" x14ac:dyDescent="0.45">
      <c r="A3" s="432" t="s">
        <v>519</v>
      </c>
      <c r="C3" s="433"/>
      <c r="D3" s="434"/>
      <c r="E3" s="434"/>
      <c r="F3" s="434"/>
      <c r="G3" s="546"/>
      <c r="H3" s="546"/>
    </row>
    <row r="4" spans="1:9" ht="58" x14ac:dyDescent="0.35">
      <c r="A4" s="2" t="s">
        <v>507</v>
      </c>
      <c r="B4" s="435" t="s">
        <v>1639</v>
      </c>
      <c r="C4" s="436" t="s">
        <v>1631</v>
      </c>
      <c r="D4" s="435" t="s">
        <v>420</v>
      </c>
      <c r="E4" s="435" t="s">
        <v>467</v>
      </c>
      <c r="F4" s="437" t="s">
        <v>1640</v>
      </c>
      <c r="G4" s="437"/>
      <c r="H4" s="437"/>
    </row>
    <row r="5" spans="1:9" ht="58" x14ac:dyDescent="0.35">
      <c r="A5" s="2" t="s">
        <v>508</v>
      </c>
      <c r="B5" s="435" t="s">
        <v>405</v>
      </c>
      <c r="C5" s="436" t="s">
        <v>403</v>
      </c>
      <c r="D5" s="435" t="s">
        <v>420</v>
      </c>
      <c r="E5" s="435" t="s">
        <v>467</v>
      </c>
      <c r="F5" s="437" t="s">
        <v>1386</v>
      </c>
      <c r="G5" s="437"/>
      <c r="H5" s="437"/>
    </row>
    <row r="6" spans="1:9" ht="72.5" x14ac:dyDescent="0.35">
      <c r="A6" s="2" t="s">
        <v>509</v>
      </c>
      <c r="B6" s="547" t="s">
        <v>406</v>
      </c>
      <c r="C6" s="548" t="s">
        <v>427</v>
      </c>
      <c r="D6" s="435" t="s">
        <v>420</v>
      </c>
      <c r="E6" s="435" t="s">
        <v>467</v>
      </c>
      <c r="F6" s="549" t="s">
        <v>1387</v>
      </c>
      <c r="G6" s="437"/>
      <c r="H6" s="437"/>
    </row>
    <row r="7" spans="1:9" ht="43.5" x14ac:dyDescent="0.35">
      <c r="A7" s="2" t="s">
        <v>520</v>
      </c>
      <c r="B7" s="547" t="s">
        <v>428</v>
      </c>
      <c r="C7" s="548" t="s">
        <v>429</v>
      </c>
      <c r="D7" s="435" t="s">
        <v>420</v>
      </c>
      <c r="E7" s="435" t="s">
        <v>467</v>
      </c>
      <c r="F7" s="549" t="s">
        <v>628</v>
      </c>
      <c r="G7" s="437"/>
      <c r="H7" s="437"/>
    </row>
    <row r="8" spans="1:9" ht="58" x14ac:dyDescent="0.35">
      <c r="A8" s="2" t="s">
        <v>521</v>
      </c>
      <c r="B8" s="547" t="s">
        <v>464</v>
      </c>
      <c r="C8" s="548" t="s">
        <v>771</v>
      </c>
      <c r="D8" s="435" t="s">
        <v>420</v>
      </c>
      <c r="E8" s="547" t="s">
        <v>466</v>
      </c>
      <c r="F8" s="549" t="s">
        <v>1388</v>
      </c>
      <c r="G8" s="437"/>
      <c r="H8" s="437"/>
    </row>
    <row r="9" spans="1:9" ht="43.5" x14ac:dyDescent="0.35">
      <c r="A9" s="2" t="s">
        <v>522</v>
      </c>
      <c r="B9" s="549" t="s">
        <v>1300</v>
      </c>
      <c r="C9" s="550" t="s">
        <v>1483</v>
      </c>
      <c r="D9" s="435" t="s">
        <v>420</v>
      </c>
      <c r="E9" s="547" t="s">
        <v>466</v>
      </c>
      <c r="F9" s="549" t="s">
        <v>1484</v>
      </c>
      <c r="G9" s="437"/>
      <c r="H9" s="437"/>
    </row>
    <row r="10" spans="1:9" x14ac:dyDescent="0.35">
      <c r="A10" s="2" t="s">
        <v>523</v>
      </c>
      <c r="B10" s="549" t="s">
        <v>465</v>
      </c>
      <c r="C10" s="548" t="s">
        <v>1479</v>
      </c>
      <c r="D10" s="435" t="s">
        <v>420</v>
      </c>
      <c r="E10" s="547" t="s">
        <v>466</v>
      </c>
      <c r="F10" s="549" t="s">
        <v>472</v>
      </c>
      <c r="G10" s="437"/>
      <c r="H10" s="437"/>
    </row>
    <row r="11" spans="1:9" ht="87" x14ac:dyDescent="0.35">
      <c r="A11" s="2" t="s">
        <v>524</v>
      </c>
      <c r="B11" s="551" t="s">
        <v>484</v>
      </c>
      <c r="C11" s="552" t="s">
        <v>481</v>
      </c>
      <c r="D11" s="438" t="s">
        <v>482</v>
      </c>
      <c r="E11" s="553" t="s">
        <v>483</v>
      </c>
      <c r="F11" s="551" t="s">
        <v>1391</v>
      </c>
      <c r="G11" s="551"/>
      <c r="H11" s="551"/>
    </row>
    <row r="12" spans="1:9" ht="29" x14ac:dyDescent="0.35">
      <c r="A12" s="2" t="s">
        <v>525</v>
      </c>
      <c r="B12" s="554" t="s">
        <v>485</v>
      </c>
      <c r="C12" s="555" t="s">
        <v>777</v>
      </c>
      <c r="D12" s="556" t="s">
        <v>418</v>
      </c>
      <c r="E12" s="556" t="s">
        <v>421</v>
      </c>
      <c r="F12" s="557" t="s">
        <v>1284</v>
      </c>
      <c r="G12" s="557"/>
      <c r="H12" s="557"/>
    </row>
    <row r="13" spans="1:9" ht="29" x14ac:dyDescent="0.35">
      <c r="A13" s="2" t="s">
        <v>526</v>
      </c>
      <c r="B13" s="554" t="s">
        <v>1172</v>
      </c>
      <c r="C13" s="555" t="s">
        <v>1173</v>
      </c>
      <c r="D13" s="556" t="s">
        <v>418</v>
      </c>
      <c r="E13" s="556" t="s">
        <v>1403</v>
      </c>
      <c r="F13" s="557" t="s">
        <v>1392</v>
      </c>
      <c r="G13" s="557"/>
      <c r="H13" s="557"/>
    </row>
    <row r="14" spans="1:9" ht="58" x14ac:dyDescent="0.35">
      <c r="A14" s="2" t="s">
        <v>527</v>
      </c>
      <c r="B14" s="554" t="s">
        <v>486</v>
      </c>
      <c r="C14" s="555" t="s">
        <v>778</v>
      </c>
      <c r="D14" s="556" t="s">
        <v>418</v>
      </c>
      <c r="E14" s="556" t="s">
        <v>422</v>
      </c>
      <c r="F14" s="557" t="s">
        <v>1430</v>
      </c>
      <c r="G14" s="557"/>
      <c r="H14" s="557"/>
      <c r="I14" s="99"/>
    </row>
    <row r="15" spans="1:9" x14ac:dyDescent="0.35">
      <c r="A15" s="2" t="s">
        <v>510</v>
      </c>
      <c r="B15" s="554" t="s">
        <v>1459</v>
      </c>
      <c r="C15" s="555" t="s">
        <v>1460</v>
      </c>
      <c r="D15" s="556" t="s">
        <v>418</v>
      </c>
      <c r="E15" s="556" t="s">
        <v>422</v>
      </c>
      <c r="F15" s="557" t="s">
        <v>1461</v>
      </c>
      <c r="G15" s="557"/>
      <c r="H15" s="557"/>
    </row>
    <row r="16" spans="1:9" ht="58" x14ac:dyDescent="0.35">
      <c r="A16" s="2" t="s">
        <v>528</v>
      </c>
      <c r="B16" s="554" t="s">
        <v>487</v>
      </c>
      <c r="C16" s="555" t="s">
        <v>779</v>
      </c>
      <c r="D16" s="556" t="s">
        <v>418</v>
      </c>
      <c r="E16" s="556" t="s">
        <v>422</v>
      </c>
      <c r="F16" s="557" t="s">
        <v>1431</v>
      </c>
      <c r="G16" s="557"/>
      <c r="H16" s="557"/>
    </row>
    <row r="17" spans="1:8" ht="29" x14ac:dyDescent="0.35">
      <c r="A17" s="2" t="s">
        <v>1001</v>
      </c>
      <c r="B17" s="554" t="s">
        <v>1174</v>
      </c>
      <c r="C17" s="555" t="s">
        <v>1175</v>
      </c>
      <c r="D17" s="556" t="s">
        <v>418</v>
      </c>
      <c r="E17" s="558" t="s">
        <v>1444</v>
      </c>
      <c r="F17" s="557" t="s">
        <v>1393</v>
      </c>
      <c r="G17" s="557"/>
      <c r="H17" s="557"/>
    </row>
    <row r="18" spans="1:8" x14ac:dyDescent="0.35">
      <c r="A18" s="2" t="s">
        <v>1002</v>
      </c>
      <c r="B18" s="554" t="s">
        <v>488</v>
      </c>
      <c r="C18" s="555" t="s">
        <v>780</v>
      </c>
      <c r="D18" s="556" t="s">
        <v>418</v>
      </c>
      <c r="E18" s="556" t="s">
        <v>423</v>
      </c>
      <c r="F18" s="557" t="s">
        <v>1432</v>
      </c>
      <c r="G18" s="557"/>
      <c r="H18" s="557"/>
    </row>
    <row r="19" spans="1:8" x14ac:dyDescent="0.35">
      <c r="A19" s="2" t="s">
        <v>511</v>
      </c>
      <c r="B19" s="554" t="s">
        <v>1310</v>
      </c>
      <c r="C19" s="555" t="s">
        <v>1307</v>
      </c>
      <c r="D19" s="556" t="s">
        <v>418</v>
      </c>
      <c r="E19" s="556" t="s">
        <v>423</v>
      </c>
      <c r="F19" s="557" t="s">
        <v>1433</v>
      </c>
      <c r="G19" s="557"/>
      <c r="H19" s="557"/>
    </row>
    <row r="20" spans="1:8" x14ac:dyDescent="0.35">
      <c r="A20" s="2" t="s">
        <v>529</v>
      </c>
      <c r="B20" s="554" t="s">
        <v>1176</v>
      </c>
      <c r="C20" s="555" t="s">
        <v>1177</v>
      </c>
      <c r="D20" s="556" t="s">
        <v>418</v>
      </c>
      <c r="E20" s="556" t="s">
        <v>1178</v>
      </c>
      <c r="F20" s="557" t="s">
        <v>1434</v>
      </c>
      <c r="G20" s="557"/>
      <c r="H20" s="557"/>
    </row>
    <row r="21" spans="1:8" ht="29" x14ac:dyDescent="0.35">
      <c r="A21" s="2" t="s">
        <v>530</v>
      </c>
      <c r="B21" s="554" t="s">
        <v>1179</v>
      </c>
      <c r="C21" s="555" t="s">
        <v>1180</v>
      </c>
      <c r="D21" s="556" t="s">
        <v>418</v>
      </c>
      <c r="E21" s="556" t="s">
        <v>1178</v>
      </c>
      <c r="F21" s="557" t="s">
        <v>1435</v>
      </c>
      <c r="G21" s="557"/>
      <c r="H21" s="557"/>
    </row>
    <row r="22" spans="1:8" ht="29" x14ac:dyDescent="0.35">
      <c r="A22" s="2" t="s">
        <v>512</v>
      </c>
      <c r="B22" s="554" t="s">
        <v>1181</v>
      </c>
      <c r="C22" s="555" t="s">
        <v>1182</v>
      </c>
      <c r="D22" s="556" t="s">
        <v>418</v>
      </c>
      <c r="E22" s="558" t="s">
        <v>1445</v>
      </c>
      <c r="F22" s="557" t="s">
        <v>1394</v>
      </c>
      <c r="G22" s="557"/>
      <c r="H22" s="557"/>
    </row>
    <row r="23" spans="1:8" x14ac:dyDescent="0.35">
      <c r="A23" s="2" t="s">
        <v>513</v>
      </c>
      <c r="B23" s="554" t="s">
        <v>1183</v>
      </c>
      <c r="C23" s="555" t="s">
        <v>1184</v>
      </c>
      <c r="D23" s="556" t="s">
        <v>418</v>
      </c>
      <c r="E23" s="556" t="s">
        <v>921</v>
      </c>
      <c r="F23" s="557" t="s">
        <v>1436</v>
      </c>
      <c r="G23" s="557"/>
      <c r="H23" s="557"/>
    </row>
    <row r="24" spans="1:8" x14ac:dyDescent="0.35">
      <c r="A24" s="2" t="s">
        <v>531</v>
      </c>
      <c r="B24" s="554" t="s">
        <v>1298</v>
      </c>
      <c r="C24" s="555" t="s">
        <v>1185</v>
      </c>
      <c r="D24" s="556" t="s">
        <v>418</v>
      </c>
      <c r="E24" s="556" t="s">
        <v>1178</v>
      </c>
      <c r="F24" s="557" t="s">
        <v>1437</v>
      </c>
      <c r="G24" s="557"/>
      <c r="H24" s="557"/>
    </row>
    <row r="25" spans="1:8" ht="29" x14ac:dyDescent="0.35">
      <c r="A25" s="2" t="s">
        <v>532</v>
      </c>
      <c r="B25" s="554" t="s">
        <v>1186</v>
      </c>
      <c r="C25" s="555" t="s">
        <v>1187</v>
      </c>
      <c r="D25" s="556" t="s">
        <v>418</v>
      </c>
      <c r="E25" s="556" t="s">
        <v>921</v>
      </c>
      <c r="F25" s="557" t="s">
        <v>1438</v>
      </c>
      <c r="G25" s="557"/>
      <c r="H25" s="557"/>
    </row>
    <row r="26" spans="1:8" ht="72.5" x14ac:dyDescent="0.35">
      <c r="A26" s="2" t="s">
        <v>533</v>
      </c>
      <c r="B26" s="554" t="s">
        <v>1188</v>
      </c>
      <c r="C26" s="555" t="s">
        <v>1189</v>
      </c>
      <c r="D26" s="556" t="s">
        <v>418</v>
      </c>
      <c r="E26" s="556" t="s">
        <v>921</v>
      </c>
      <c r="F26" s="557" t="s">
        <v>1439</v>
      </c>
      <c r="G26" s="557"/>
      <c r="H26" s="557"/>
    </row>
    <row r="27" spans="1:8" ht="101.5" x14ac:dyDescent="0.35">
      <c r="A27" s="2" t="s">
        <v>534</v>
      </c>
      <c r="B27" s="554" t="s">
        <v>1190</v>
      </c>
      <c r="C27" s="555" t="s">
        <v>1191</v>
      </c>
      <c r="D27" s="556" t="s">
        <v>418</v>
      </c>
      <c r="E27" s="556" t="s">
        <v>921</v>
      </c>
      <c r="F27" s="557" t="s">
        <v>1440</v>
      </c>
      <c r="G27" s="557"/>
      <c r="H27" s="557"/>
    </row>
    <row r="28" spans="1:8" ht="72.5" x14ac:dyDescent="0.35">
      <c r="A28" s="2" t="s">
        <v>1153</v>
      </c>
      <c r="B28" s="557" t="s">
        <v>1192</v>
      </c>
      <c r="C28" s="555" t="s">
        <v>1107</v>
      </c>
      <c r="D28" s="556" t="s">
        <v>418</v>
      </c>
      <c r="E28" s="556" t="s">
        <v>1403</v>
      </c>
      <c r="F28" s="557" t="s">
        <v>1669</v>
      </c>
      <c r="G28" s="557"/>
      <c r="H28" s="557"/>
    </row>
    <row r="29" spans="1:8" ht="58" x14ac:dyDescent="0.35">
      <c r="A29" s="2" t="s">
        <v>1154</v>
      </c>
      <c r="B29" s="557" t="s">
        <v>1193</v>
      </c>
      <c r="C29" s="555" t="s">
        <v>1108</v>
      </c>
      <c r="D29" s="556" t="s">
        <v>418</v>
      </c>
      <c r="E29" s="556" t="s">
        <v>1403</v>
      </c>
      <c r="F29" s="557" t="s">
        <v>1441</v>
      </c>
      <c r="G29" s="557"/>
      <c r="H29" s="557"/>
    </row>
    <row r="30" spans="1:8" ht="63" customHeight="1" x14ac:dyDescent="0.35">
      <c r="A30" s="2" t="s">
        <v>1481</v>
      </c>
      <c r="B30" s="557" t="s">
        <v>1362</v>
      </c>
      <c r="C30" s="559" t="s">
        <v>1488</v>
      </c>
      <c r="D30" s="556" t="s">
        <v>418</v>
      </c>
      <c r="E30" s="556" t="s">
        <v>921</v>
      </c>
      <c r="F30" s="557" t="s">
        <v>1670</v>
      </c>
      <c r="G30" s="557"/>
      <c r="H30" s="557"/>
    </row>
    <row r="31" spans="1:8" ht="58" x14ac:dyDescent="0.35">
      <c r="A31" s="2" t="s">
        <v>1482</v>
      </c>
      <c r="B31" s="557" t="s">
        <v>1194</v>
      </c>
      <c r="C31" s="555" t="s">
        <v>870</v>
      </c>
      <c r="D31" s="556" t="s">
        <v>418</v>
      </c>
      <c r="E31" s="556" t="s">
        <v>921</v>
      </c>
      <c r="F31" s="557" t="s">
        <v>1442</v>
      </c>
      <c r="G31" s="557"/>
      <c r="H31" s="557"/>
    </row>
    <row r="32" spans="1:8" ht="43.5" x14ac:dyDescent="0.35">
      <c r="A32" s="2" t="s">
        <v>535</v>
      </c>
      <c r="B32" s="557" t="s">
        <v>1395</v>
      </c>
      <c r="C32" s="555" t="s">
        <v>1195</v>
      </c>
      <c r="D32" s="556" t="s">
        <v>418</v>
      </c>
      <c r="E32" s="556" t="s">
        <v>1178</v>
      </c>
      <c r="F32" s="557" t="s">
        <v>1443</v>
      </c>
      <c r="G32" s="557"/>
      <c r="H32" s="557"/>
    </row>
    <row r="33" spans="1:8" ht="29" x14ac:dyDescent="0.35">
      <c r="A33" s="2" t="s">
        <v>536</v>
      </c>
      <c r="B33" s="557" t="s">
        <v>1196</v>
      </c>
      <c r="C33" s="555" t="s">
        <v>1197</v>
      </c>
      <c r="D33" s="556" t="s">
        <v>418</v>
      </c>
      <c r="E33" s="556" t="s">
        <v>1178</v>
      </c>
      <c r="F33" s="557" t="s">
        <v>1396</v>
      </c>
      <c r="G33" s="557"/>
      <c r="H33" s="557"/>
    </row>
    <row r="34" spans="1:8" ht="87" x14ac:dyDescent="0.35">
      <c r="A34" s="2" t="s">
        <v>537</v>
      </c>
      <c r="B34" s="530" t="s">
        <v>1450</v>
      </c>
      <c r="C34" s="529" t="s">
        <v>1451</v>
      </c>
      <c r="D34" s="528" t="s">
        <v>382</v>
      </c>
      <c r="E34" s="528" t="s">
        <v>664</v>
      </c>
      <c r="F34" s="525" t="s">
        <v>2152</v>
      </c>
      <c r="G34" s="525" t="s">
        <v>2153</v>
      </c>
      <c r="H34" s="525"/>
    </row>
    <row r="35" spans="1:8" ht="159.5" x14ac:dyDescent="0.35">
      <c r="A35" s="2" t="s">
        <v>1155</v>
      </c>
      <c r="B35" s="528" t="s">
        <v>1452</v>
      </c>
      <c r="C35" s="529" t="s">
        <v>1453</v>
      </c>
      <c r="D35" s="528" t="s">
        <v>382</v>
      </c>
      <c r="E35" s="528" t="s">
        <v>664</v>
      </c>
      <c r="F35" s="525" t="s">
        <v>2154</v>
      </c>
      <c r="G35" s="525" t="s">
        <v>2155</v>
      </c>
      <c r="H35" s="525"/>
    </row>
    <row r="36" spans="1:8" ht="101.5" x14ac:dyDescent="0.35">
      <c r="A36" s="2" t="s">
        <v>1156</v>
      </c>
      <c r="B36" s="530" t="s">
        <v>2143</v>
      </c>
      <c r="C36" s="529" t="s">
        <v>2138</v>
      </c>
      <c r="D36" s="528" t="s">
        <v>382</v>
      </c>
      <c r="E36" s="528" t="s">
        <v>2142</v>
      </c>
      <c r="F36" s="525" t="s">
        <v>2156</v>
      </c>
      <c r="G36" s="525" t="s">
        <v>2157</v>
      </c>
      <c r="H36" s="525"/>
    </row>
    <row r="37" spans="1:8" ht="217.5" x14ac:dyDescent="0.35">
      <c r="A37" s="2" t="s">
        <v>1157</v>
      </c>
      <c r="B37" s="530" t="s">
        <v>1551</v>
      </c>
      <c r="C37" s="560" t="s">
        <v>1547</v>
      </c>
      <c r="D37" s="530" t="s">
        <v>382</v>
      </c>
      <c r="E37" s="530" t="s">
        <v>2158</v>
      </c>
      <c r="F37" s="525" t="s">
        <v>2159</v>
      </c>
      <c r="G37" s="525" t="s">
        <v>2160</v>
      </c>
      <c r="H37" s="525" t="s">
        <v>2161</v>
      </c>
    </row>
    <row r="38" spans="1:8" ht="174" x14ac:dyDescent="0.35">
      <c r="A38" s="2" t="s">
        <v>1158</v>
      </c>
      <c r="B38" s="530" t="s">
        <v>1590</v>
      </c>
      <c r="C38" s="560" t="s">
        <v>1589</v>
      </c>
      <c r="D38" s="530" t="s">
        <v>382</v>
      </c>
      <c r="E38" s="530" t="s">
        <v>2158</v>
      </c>
      <c r="F38" s="525" t="s">
        <v>2162</v>
      </c>
      <c r="G38" s="525" t="s">
        <v>2163</v>
      </c>
      <c r="H38" s="525" t="s">
        <v>2164</v>
      </c>
    </row>
    <row r="39" spans="1:8" ht="159.5" x14ac:dyDescent="0.35">
      <c r="A39" s="2" t="s">
        <v>538</v>
      </c>
      <c r="B39" s="530" t="s">
        <v>1546</v>
      </c>
      <c r="C39" s="560" t="s">
        <v>1545</v>
      </c>
      <c r="D39" s="530" t="s">
        <v>382</v>
      </c>
      <c r="E39" s="530" t="s">
        <v>2158</v>
      </c>
      <c r="F39" s="525" t="s">
        <v>2165</v>
      </c>
      <c r="G39" s="525" t="s">
        <v>2166</v>
      </c>
      <c r="H39" s="525" t="s">
        <v>2167</v>
      </c>
    </row>
    <row r="40" spans="1:8" ht="217.5" x14ac:dyDescent="0.35">
      <c r="A40" s="2" t="s">
        <v>539</v>
      </c>
      <c r="B40" s="530" t="s">
        <v>2018</v>
      </c>
      <c r="C40" s="560" t="s">
        <v>2019</v>
      </c>
      <c r="D40" s="530" t="s">
        <v>382</v>
      </c>
      <c r="E40" s="530" t="s">
        <v>1030</v>
      </c>
      <c r="F40" s="525" t="s">
        <v>2168</v>
      </c>
      <c r="G40" s="525" t="s">
        <v>2169</v>
      </c>
      <c r="H40" s="525" t="s">
        <v>2170</v>
      </c>
    </row>
    <row r="41" spans="1:8" ht="72.5" x14ac:dyDescent="0.35">
      <c r="A41" s="2" t="s">
        <v>540</v>
      </c>
      <c r="B41" s="525" t="s">
        <v>473</v>
      </c>
      <c r="C41" s="529" t="s">
        <v>787</v>
      </c>
      <c r="D41" s="528" t="s">
        <v>382</v>
      </c>
      <c r="E41" s="528" t="s">
        <v>363</v>
      </c>
      <c r="F41" s="525" t="s">
        <v>2171</v>
      </c>
      <c r="G41" s="525"/>
      <c r="H41" s="525"/>
    </row>
    <row r="42" spans="1:8" ht="58" x14ac:dyDescent="0.35">
      <c r="A42" s="2" t="s">
        <v>798</v>
      </c>
      <c r="B42" s="525" t="s">
        <v>474</v>
      </c>
      <c r="C42" s="526" t="s">
        <v>356</v>
      </c>
      <c r="D42" s="528" t="s">
        <v>382</v>
      </c>
      <c r="E42" s="528" t="s">
        <v>363</v>
      </c>
      <c r="F42" s="525" t="s">
        <v>2172</v>
      </c>
      <c r="G42" s="525"/>
      <c r="H42" s="525"/>
    </row>
    <row r="43" spans="1:8" ht="101.5" x14ac:dyDescent="0.35">
      <c r="A43" s="2" t="s">
        <v>799</v>
      </c>
      <c r="B43" s="525" t="s">
        <v>475</v>
      </c>
      <c r="C43" s="526" t="s">
        <v>362</v>
      </c>
      <c r="D43" s="528" t="s">
        <v>382</v>
      </c>
      <c r="E43" s="528" t="s">
        <v>363</v>
      </c>
      <c r="F43" s="525" t="s">
        <v>2173</v>
      </c>
      <c r="G43" s="525" t="s">
        <v>2174</v>
      </c>
      <c r="H43" s="525"/>
    </row>
    <row r="44" spans="1:8" ht="43.5" customHeight="1" x14ac:dyDescent="0.35">
      <c r="A44" s="2" t="s">
        <v>541</v>
      </c>
      <c r="B44" s="525" t="s">
        <v>1344</v>
      </c>
      <c r="C44" s="526" t="s">
        <v>1345</v>
      </c>
      <c r="D44" s="528" t="s">
        <v>382</v>
      </c>
      <c r="E44" s="528" t="s">
        <v>363</v>
      </c>
      <c r="F44" s="525" t="s">
        <v>2175</v>
      </c>
      <c r="G44" s="525" t="s">
        <v>2176</v>
      </c>
      <c r="H44" s="525"/>
    </row>
    <row r="45" spans="1:8" ht="58" x14ac:dyDescent="0.35">
      <c r="A45" s="2" t="s">
        <v>542</v>
      </c>
      <c r="B45" s="525" t="s">
        <v>1346</v>
      </c>
      <c r="C45" s="526" t="s">
        <v>1347</v>
      </c>
      <c r="D45" s="528" t="s">
        <v>382</v>
      </c>
      <c r="E45" s="528" t="s">
        <v>363</v>
      </c>
      <c r="F45" s="525" t="s">
        <v>2177</v>
      </c>
      <c r="G45" s="525" t="s">
        <v>2178</v>
      </c>
      <c r="H45" s="525"/>
    </row>
    <row r="46" spans="1:8" ht="159.5" x14ac:dyDescent="0.35">
      <c r="A46" s="2" t="s">
        <v>663</v>
      </c>
      <c r="B46" s="525" t="s">
        <v>477</v>
      </c>
      <c r="C46" s="526" t="s">
        <v>401</v>
      </c>
      <c r="D46" s="528" t="s">
        <v>382</v>
      </c>
      <c r="E46" s="528" t="s">
        <v>402</v>
      </c>
      <c r="F46" s="525" t="s">
        <v>2179</v>
      </c>
      <c r="G46" s="525" t="s">
        <v>2180</v>
      </c>
      <c r="H46" s="525" t="s">
        <v>2181</v>
      </c>
    </row>
    <row r="47" spans="1:8" ht="188" customHeight="1" x14ac:dyDescent="0.35">
      <c r="A47" s="2" t="s">
        <v>665</v>
      </c>
      <c r="B47" s="525" t="s">
        <v>1597</v>
      </c>
      <c r="C47" s="526" t="s">
        <v>788</v>
      </c>
      <c r="D47" s="528" t="s">
        <v>382</v>
      </c>
      <c r="E47" s="528" t="s">
        <v>623</v>
      </c>
      <c r="F47" s="525" t="s">
        <v>2182</v>
      </c>
      <c r="G47" s="525" t="s">
        <v>2183</v>
      </c>
      <c r="H47" s="525" t="s">
        <v>2184</v>
      </c>
    </row>
    <row r="48" spans="1:8" ht="72.5" x14ac:dyDescent="0.35">
      <c r="A48" s="2" t="s">
        <v>1159</v>
      </c>
      <c r="B48" s="525" t="s">
        <v>1142</v>
      </c>
      <c r="C48" s="526" t="s">
        <v>1097</v>
      </c>
      <c r="D48" s="525" t="s">
        <v>382</v>
      </c>
      <c r="E48" s="525" t="s">
        <v>1143</v>
      </c>
      <c r="F48" s="525" t="s">
        <v>2185</v>
      </c>
      <c r="G48" s="525" t="s">
        <v>2186</v>
      </c>
      <c r="H48" s="525"/>
    </row>
    <row r="49" spans="1:8" ht="203" x14ac:dyDescent="0.35">
      <c r="A49" s="2" t="s">
        <v>674</v>
      </c>
      <c r="B49" s="525" t="s">
        <v>1580</v>
      </c>
      <c r="C49" s="526" t="s">
        <v>1579</v>
      </c>
      <c r="D49" s="525" t="s">
        <v>382</v>
      </c>
      <c r="E49" s="525" t="s">
        <v>2187</v>
      </c>
      <c r="F49" s="525" t="s">
        <v>2188</v>
      </c>
      <c r="G49" s="525" t="s">
        <v>2189</v>
      </c>
      <c r="H49" s="525" t="s">
        <v>2190</v>
      </c>
    </row>
    <row r="50" spans="1:8" ht="221" customHeight="1" x14ac:dyDescent="0.35">
      <c r="A50" s="2" t="s">
        <v>1582</v>
      </c>
      <c r="B50" s="525" t="s">
        <v>1581</v>
      </c>
      <c r="C50" s="526" t="s">
        <v>1587</v>
      </c>
      <c r="D50" s="525" t="s">
        <v>382</v>
      </c>
      <c r="E50" s="525" t="s">
        <v>2187</v>
      </c>
      <c r="F50" s="525" t="s">
        <v>2191</v>
      </c>
      <c r="G50" s="525" t="s">
        <v>2192</v>
      </c>
      <c r="H50" s="525" t="s">
        <v>2193</v>
      </c>
    </row>
    <row r="51" spans="1:8" ht="178.5" customHeight="1" x14ac:dyDescent="0.35">
      <c r="A51" s="2" t="s">
        <v>1583</v>
      </c>
      <c r="B51" s="525" t="s">
        <v>1598</v>
      </c>
      <c r="C51" s="529" t="s">
        <v>1604</v>
      </c>
      <c r="D51" s="525" t="s">
        <v>382</v>
      </c>
      <c r="E51" s="525" t="s">
        <v>402</v>
      </c>
      <c r="F51" s="525" t="s">
        <v>2194</v>
      </c>
      <c r="G51" s="525"/>
      <c r="H51" s="525"/>
    </row>
    <row r="52" spans="1:8" ht="178.5" customHeight="1" x14ac:dyDescent="0.35">
      <c r="A52" s="2" t="s">
        <v>743</v>
      </c>
      <c r="B52" s="525" t="s">
        <v>1606</v>
      </c>
      <c r="C52" s="529" t="s">
        <v>1607</v>
      </c>
      <c r="D52" s="525" t="s">
        <v>382</v>
      </c>
      <c r="E52" s="525" t="s">
        <v>402</v>
      </c>
      <c r="F52" s="525" t="s">
        <v>2195</v>
      </c>
      <c r="G52" s="525"/>
      <c r="H52" s="525"/>
    </row>
    <row r="53" spans="1:8" ht="57" customHeight="1" x14ac:dyDescent="0.35">
      <c r="A53" s="2" t="s">
        <v>800</v>
      </c>
      <c r="B53" s="528" t="s">
        <v>377</v>
      </c>
      <c r="C53" s="561" t="s">
        <v>370</v>
      </c>
      <c r="D53" s="528" t="s">
        <v>382</v>
      </c>
      <c r="E53" s="528" t="s">
        <v>1446</v>
      </c>
      <c r="F53" s="525" t="s">
        <v>2196</v>
      </c>
      <c r="G53" s="525"/>
      <c r="H53" s="525"/>
    </row>
    <row r="54" spans="1:8" ht="58" x14ac:dyDescent="0.35">
      <c r="A54" s="2" t="s">
        <v>744</v>
      </c>
      <c r="B54" s="528" t="s">
        <v>376</v>
      </c>
      <c r="C54" s="561" t="s">
        <v>364</v>
      </c>
      <c r="D54" s="528" t="s">
        <v>382</v>
      </c>
      <c r="E54" s="528" t="s">
        <v>1446</v>
      </c>
      <c r="F54" s="525" t="s">
        <v>2197</v>
      </c>
      <c r="G54" s="525"/>
      <c r="H54" s="525"/>
    </row>
    <row r="55" spans="1:8" ht="44.25" customHeight="1" x14ac:dyDescent="0.35">
      <c r="A55" s="2" t="s">
        <v>745</v>
      </c>
      <c r="B55" s="525" t="s">
        <v>673</v>
      </c>
      <c r="C55" s="529" t="s">
        <v>790</v>
      </c>
      <c r="D55" s="528" t="s">
        <v>382</v>
      </c>
      <c r="E55" s="528" t="s">
        <v>1447</v>
      </c>
      <c r="F55" s="525" t="s">
        <v>2198</v>
      </c>
      <c r="G55" s="525"/>
      <c r="H55" s="525"/>
    </row>
    <row r="56" spans="1:8" ht="44.25" customHeight="1" x14ac:dyDescent="0.35">
      <c r="A56" s="2" t="s">
        <v>746</v>
      </c>
      <c r="B56" s="525" t="s">
        <v>1492</v>
      </c>
      <c r="C56" s="529" t="s">
        <v>1498</v>
      </c>
      <c r="D56" s="528" t="s">
        <v>382</v>
      </c>
      <c r="E56" s="528" t="s">
        <v>1030</v>
      </c>
      <c r="F56" s="525" t="s">
        <v>2199</v>
      </c>
      <c r="G56" s="525"/>
      <c r="H56" s="525"/>
    </row>
    <row r="57" spans="1:8" ht="130.5" x14ac:dyDescent="0.35">
      <c r="A57" s="2" t="s">
        <v>1160</v>
      </c>
      <c r="B57" s="525" t="s">
        <v>1499</v>
      </c>
      <c r="C57" s="529" t="s">
        <v>1093</v>
      </c>
      <c r="D57" s="528" t="s">
        <v>382</v>
      </c>
      <c r="E57" s="528" t="s">
        <v>2200</v>
      </c>
      <c r="F57" s="525" t="s">
        <v>2201</v>
      </c>
      <c r="G57" s="525" t="s">
        <v>2202</v>
      </c>
      <c r="H57" s="525" t="s">
        <v>2203</v>
      </c>
    </row>
    <row r="58" spans="1:8" ht="44.25" customHeight="1" x14ac:dyDescent="0.35">
      <c r="A58" s="2" t="s">
        <v>1161</v>
      </c>
      <c r="B58" s="525" t="s">
        <v>766</v>
      </c>
      <c r="C58" s="133" t="s">
        <v>749</v>
      </c>
      <c r="D58" s="528" t="s">
        <v>382</v>
      </c>
      <c r="E58" s="528" t="s">
        <v>478</v>
      </c>
      <c r="F58" s="525" t="s">
        <v>2204</v>
      </c>
      <c r="G58" s="525"/>
      <c r="H58" s="525"/>
    </row>
    <row r="59" spans="1:8" ht="58" x14ac:dyDescent="0.35">
      <c r="A59" s="2" t="s">
        <v>747</v>
      </c>
      <c r="B59" s="525" t="s">
        <v>476</v>
      </c>
      <c r="C59" s="529" t="s">
        <v>256</v>
      </c>
      <c r="D59" s="528" t="s">
        <v>382</v>
      </c>
      <c r="E59" s="528" t="s">
        <v>400</v>
      </c>
      <c r="F59" s="525" t="s">
        <v>2205</v>
      </c>
      <c r="G59" s="525"/>
      <c r="H59" s="525"/>
    </row>
    <row r="60" spans="1:8" ht="47.5" customHeight="1" x14ac:dyDescent="0.35">
      <c r="A60" s="2" t="s">
        <v>1098</v>
      </c>
      <c r="B60" s="525" t="s">
        <v>1649</v>
      </c>
      <c r="C60" s="529" t="s">
        <v>1650</v>
      </c>
      <c r="D60" s="528" t="s">
        <v>382</v>
      </c>
      <c r="E60" s="528" t="s">
        <v>1651</v>
      </c>
      <c r="F60" s="525" t="s">
        <v>2206</v>
      </c>
      <c r="G60" s="525"/>
      <c r="H60" s="525"/>
    </row>
    <row r="61" spans="1:8" ht="47.5" customHeight="1" x14ac:dyDescent="0.35">
      <c r="A61" s="2" t="s">
        <v>1104</v>
      </c>
      <c r="B61" s="525" t="s">
        <v>1652</v>
      </c>
      <c r="C61" s="529" t="s">
        <v>1653</v>
      </c>
      <c r="D61" s="528" t="s">
        <v>382</v>
      </c>
      <c r="E61" s="528" t="s">
        <v>1651</v>
      </c>
      <c r="F61" s="525" t="s">
        <v>2207</v>
      </c>
      <c r="G61" s="525"/>
      <c r="H61" s="525"/>
    </row>
    <row r="62" spans="1:8" ht="47.5" customHeight="1" x14ac:dyDescent="0.35">
      <c r="A62" s="2" t="s">
        <v>1105</v>
      </c>
      <c r="B62" s="525" t="s">
        <v>1654</v>
      </c>
      <c r="C62" s="529" t="s">
        <v>1655</v>
      </c>
      <c r="D62" s="528" t="s">
        <v>382</v>
      </c>
      <c r="E62" s="528" t="s">
        <v>1651</v>
      </c>
      <c r="F62" s="525" t="s">
        <v>2208</v>
      </c>
      <c r="G62" s="525"/>
      <c r="H62" s="525"/>
    </row>
    <row r="63" spans="1:8" ht="49.5" customHeight="1" x14ac:dyDescent="0.35">
      <c r="A63" s="2" t="s">
        <v>1106</v>
      </c>
      <c r="B63" s="525" t="s">
        <v>1656</v>
      </c>
      <c r="C63" s="529" t="s">
        <v>1657</v>
      </c>
      <c r="D63" s="528" t="s">
        <v>382</v>
      </c>
      <c r="E63" s="528" t="s">
        <v>1651</v>
      </c>
      <c r="F63" s="525" t="s">
        <v>2209</v>
      </c>
      <c r="G63" s="525" t="s">
        <v>2210</v>
      </c>
      <c r="H63" s="525"/>
    </row>
    <row r="64" spans="1:8" ht="53.25" customHeight="1" x14ac:dyDescent="0.35">
      <c r="A64" s="2" t="s">
        <v>1168</v>
      </c>
      <c r="B64" s="525" t="s">
        <v>1658</v>
      </c>
      <c r="C64" s="529" t="s">
        <v>1659</v>
      </c>
      <c r="D64" s="528" t="s">
        <v>382</v>
      </c>
      <c r="E64" s="528" t="s">
        <v>1651</v>
      </c>
      <c r="F64" s="525" t="s">
        <v>2211</v>
      </c>
      <c r="G64" s="525" t="s">
        <v>2212</v>
      </c>
      <c r="H64" s="525"/>
    </row>
    <row r="65" spans="1:8" ht="58" x14ac:dyDescent="0.35">
      <c r="A65" s="2" t="s">
        <v>1198</v>
      </c>
      <c r="B65" s="525" t="s">
        <v>1660</v>
      </c>
      <c r="C65" s="529" t="s">
        <v>1661</v>
      </c>
      <c r="D65" s="528" t="s">
        <v>382</v>
      </c>
      <c r="E65" s="528" t="s">
        <v>1651</v>
      </c>
      <c r="F65" s="525" t="s">
        <v>2213</v>
      </c>
      <c r="G65" s="525" t="s">
        <v>2214</v>
      </c>
      <c r="H65" s="525"/>
    </row>
    <row r="66" spans="1:8" ht="101.5" x14ac:dyDescent="0.35">
      <c r="A66" s="2" t="s">
        <v>1199</v>
      </c>
      <c r="B66" s="562" t="s">
        <v>1167</v>
      </c>
      <c r="C66" s="563" t="s">
        <v>501</v>
      </c>
      <c r="D66" s="564" t="s">
        <v>490</v>
      </c>
      <c r="E66" s="564" t="s">
        <v>498</v>
      </c>
      <c r="F66" s="562" t="s">
        <v>1397</v>
      </c>
      <c r="G66" s="562"/>
      <c r="H66" s="562"/>
    </row>
    <row r="67" spans="1:8" ht="43.5" x14ac:dyDescent="0.35">
      <c r="A67" s="2" t="s">
        <v>1200</v>
      </c>
      <c r="B67" s="562" t="s">
        <v>627</v>
      </c>
      <c r="C67" s="563" t="s">
        <v>502</v>
      </c>
      <c r="D67" s="564" t="s">
        <v>490</v>
      </c>
      <c r="E67" s="564" t="s">
        <v>498</v>
      </c>
      <c r="F67" s="562" t="s">
        <v>506</v>
      </c>
      <c r="G67" s="562"/>
      <c r="H67" s="562"/>
    </row>
    <row r="68" spans="1:8" ht="58" x14ac:dyDescent="0.35">
      <c r="A68" s="2" t="s">
        <v>1201</v>
      </c>
      <c r="B68" s="565" t="s">
        <v>504</v>
      </c>
      <c r="C68" s="563" t="s">
        <v>503</v>
      </c>
      <c r="D68" s="564" t="s">
        <v>490</v>
      </c>
      <c r="E68" s="564" t="s">
        <v>399</v>
      </c>
      <c r="F68" s="565" t="s">
        <v>505</v>
      </c>
      <c r="G68" s="562"/>
      <c r="H68" s="562"/>
    </row>
    <row r="69" spans="1:8" ht="58" x14ac:dyDescent="0.35">
      <c r="A69" s="2" t="s">
        <v>1202</v>
      </c>
      <c r="B69" s="565" t="s">
        <v>1576</v>
      </c>
      <c r="C69" s="563" t="s">
        <v>1575</v>
      </c>
      <c r="D69" s="564" t="s">
        <v>490</v>
      </c>
      <c r="E69" s="564" t="s">
        <v>1577</v>
      </c>
      <c r="F69" s="565" t="s">
        <v>1578</v>
      </c>
      <c r="G69" s="562"/>
      <c r="H69" s="562"/>
    </row>
    <row r="70" spans="1:8" ht="58" x14ac:dyDescent="0.35">
      <c r="A70" s="2" t="s">
        <v>1203</v>
      </c>
      <c r="B70" s="565" t="s">
        <v>793</v>
      </c>
      <c r="C70" s="563" t="s">
        <v>792</v>
      </c>
      <c r="D70" s="564" t="s">
        <v>490</v>
      </c>
      <c r="E70" s="564" t="s">
        <v>794</v>
      </c>
      <c r="F70" s="565" t="s">
        <v>2017</v>
      </c>
      <c r="G70" s="562"/>
      <c r="H70" s="562"/>
    </row>
    <row r="71" spans="1:8" ht="101.5" x14ac:dyDescent="0.35">
      <c r="A71" s="2" t="s">
        <v>1204</v>
      </c>
      <c r="B71" s="565" t="s">
        <v>2015</v>
      </c>
      <c r="C71" s="563" t="s">
        <v>1821</v>
      </c>
      <c r="D71" s="564" t="s">
        <v>490</v>
      </c>
      <c r="E71" s="564" t="s">
        <v>2012</v>
      </c>
      <c r="F71" s="565" t="s">
        <v>2016</v>
      </c>
      <c r="G71" s="562"/>
      <c r="H71" s="562"/>
    </row>
    <row r="72" spans="1:8" ht="172.5" customHeight="1" x14ac:dyDescent="0.35">
      <c r="A72" s="2" t="s">
        <v>1205</v>
      </c>
      <c r="B72" s="566" t="s">
        <v>514</v>
      </c>
      <c r="C72" s="567" t="s">
        <v>305</v>
      </c>
      <c r="D72" s="566" t="s">
        <v>2087</v>
      </c>
      <c r="E72" s="566" t="s">
        <v>2088</v>
      </c>
      <c r="F72" s="568" t="s">
        <v>2089</v>
      </c>
      <c r="G72" s="568" t="s">
        <v>1629</v>
      </c>
      <c r="H72" s="568"/>
    </row>
    <row r="73" spans="1:8" ht="141.75" customHeight="1" x14ac:dyDescent="0.35">
      <c r="A73" s="2" t="s">
        <v>1206</v>
      </c>
      <c r="B73" s="566" t="s">
        <v>2090</v>
      </c>
      <c r="C73" s="567" t="s">
        <v>1027</v>
      </c>
      <c r="D73" s="566" t="s">
        <v>2087</v>
      </c>
      <c r="E73" s="566" t="s">
        <v>2088</v>
      </c>
      <c r="F73" s="568" t="s">
        <v>2091</v>
      </c>
      <c r="G73" s="568" t="s">
        <v>1630</v>
      </c>
      <c r="H73" s="568"/>
    </row>
    <row r="74" spans="1:8" ht="127.5" customHeight="1" x14ac:dyDescent="0.35">
      <c r="A74" s="2" t="s">
        <v>1207</v>
      </c>
      <c r="B74" s="566" t="s">
        <v>306</v>
      </c>
      <c r="C74" s="567" t="s">
        <v>795</v>
      </c>
      <c r="D74" s="566" t="s">
        <v>2087</v>
      </c>
      <c r="E74" s="566" t="s">
        <v>2092</v>
      </c>
      <c r="F74" s="568" t="s">
        <v>2093</v>
      </c>
      <c r="G74" s="568" t="s">
        <v>1120</v>
      </c>
      <c r="H74" s="568"/>
    </row>
    <row r="75" spans="1:8" ht="141.75" customHeight="1" x14ac:dyDescent="0.35">
      <c r="A75" s="2" t="s">
        <v>1208</v>
      </c>
      <c r="B75" s="566" t="s">
        <v>1121</v>
      </c>
      <c r="C75" s="567" t="s">
        <v>796</v>
      </c>
      <c r="D75" s="566" t="s">
        <v>2087</v>
      </c>
      <c r="E75" s="566" t="s">
        <v>2088</v>
      </c>
      <c r="F75" s="568" t="s">
        <v>2094</v>
      </c>
      <c r="G75" s="568" t="s">
        <v>1122</v>
      </c>
      <c r="H75" s="568"/>
    </row>
    <row r="76" spans="1:8" ht="159.5" x14ac:dyDescent="0.35">
      <c r="A76" s="2" t="s">
        <v>1209</v>
      </c>
      <c r="B76" s="347" t="s">
        <v>2095</v>
      </c>
      <c r="C76" s="348" t="s">
        <v>1099</v>
      </c>
      <c r="D76" s="566" t="s">
        <v>2087</v>
      </c>
      <c r="E76" s="566" t="s">
        <v>2096</v>
      </c>
      <c r="F76" s="568" t="s">
        <v>2097</v>
      </c>
      <c r="G76" s="568" t="s">
        <v>1616</v>
      </c>
      <c r="H76" s="568"/>
    </row>
    <row r="77" spans="1:8" ht="141.75" customHeight="1" x14ac:dyDescent="0.35">
      <c r="A77" s="2" t="s">
        <v>1299</v>
      </c>
      <c r="B77" s="566" t="s">
        <v>1123</v>
      </c>
      <c r="C77" s="567" t="s">
        <v>797</v>
      </c>
      <c r="D77" s="566" t="s">
        <v>2087</v>
      </c>
      <c r="E77" s="566" t="s">
        <v>2088</v>
      </c>
      <c r="F77" s="568" t="s">
        <v>2098</v>
      </c>
      <c r="G77" s="568" t="s">
        <v>1124</v>
      </c>
      <c r="H77" s="568"/>
    </row>
    <row r="78" spans="1:8" ht="141.75" customHeight="1" x14ac:dyDescent="0.35">
      <c r="A78" s="2" t="s">
        <v>1313</v>
      </c>
      <c r="B78" s="566" t="s">
        <v>1125</v>
      </c>
      <c r="C78" s="567" t="s">
        <v>697</v>
      </c>
      <c r="D78" s="566" t="s">
        <v>2087</v>
      </c>
      <c r="E78" s="566" t="s">
        <v>2088</v>
      </c>
      <c r="F78" s="568" t="s">
        <v>2099</v>
      </c>
      <c r="G78" s="568" t="s">
        <v>1126</v>
      </c>
      <c r="H78" s="568"/>
    </row>
    <row r="79" spans="1:8" ht="141.75" customHeight="1" x14ac:dyDescent="0.35">
      <c r="A79" s="2" t="s">
        <v>1402</v>
      </c>
      <c r="B79" s="566" t="s">
        <v>1127</v>
      </c>
      <c r="C79" s="567" t="s">
        <v>695</v>
      </c>
      <c r="D79" s="566" t="s">
        <v>2087</v>
      </c>
      <c r="E79" s="566" t="s">
        <v>2088</v>
      </c>
      <c r="F79" s="568" t="s">
        <v>2100</v>
      </c>
      <c r="G79" s="568" t="s">
        <v>1128</v>
      </c>
      <c r="H79" s="568"/>
    </row>
    <row r="80" spans="1:8" ht="101.5" x14ac:dyDescent="0.35">
      <c r="A80" s="2" t="s">
        <v>1509</v>
      </c>
      <c r="B80" s="566" t="s">
        <v>1504</v>
      </c>
      <c r="C80" s="567" t="s">
        <v>1506</v>
      </c>
      <c r="D80" s="566" t="s">
        <v>2087</v>
      </c>
      <c r="E80" s="566" t="s">
        <v>2092</v>
      </c>
      <c r="F80" s="568" t="s">
        <v>2101</v>
      </c>
      <c r="G80" s="568" t="s">
        <v>1516</v>
      </c>
      <c r="H80" s="568"/>
    </row>
    <row r="81" spans="1:8" ht="87" x14ac:dyDescent="0.35">
      <c r="A81" s="2" t="s">
        <v>1510</v>
      </c>
      <c r="B81" s="566" t="s">
        <v>1507</v>
      </c>
      <c r="C81" s="567" t="s">
        <v>1014</v>
      </c>
      <c r="D81" s="566" t="s">
        <v>2087</v>
      </c>
      <c r="E81" s="566" t="s">
        <v>2088</v>
      </c>
      <c r="F81" s="568" t="s">
        <v>2102</v>
      </c>
      <c r="G81" s="568" t="s">
        <v>1508</v>
      </c>
      <c r="H81" s="568"/>
    </row>
    <row r="82" spans="1:8" ht="85.5" customHeight="1" x14ac:dyDescent="0.35">
      <c r="A82" s="2" t="s">
        <v>1535</v>
      </c>
      <c r="B82" s="566" t="s">
        <v>803</v>
      </c>
      <c r="C82" s="567" t="s">
        <v>700</v>
      </c>
      <c r="D82" s="566" t="s">
        <v>2087</v>
      </c>
      <c r="E82" s="566" t="s">
        <v>2088</v>
      </c>
      <c r="F82" s="568" t="s">
        <v>2103</v>
      </c>
      <c r="G82" s="568" t="s">
        <v>1505</v>
      </c>
      <c r="H82" s="568"/>
    </row>
    <row r="83" spans="1:8" ht="130.5" x14ac:dyDescent="0.35">
      <c r="A83" s="2" t="s">
        <v>1536</v>
      </c>
      <c r="B83" s="569" t="s">
        <v>2104</v>
      </c>
      <c r="C83" s="567" t="s">
        <v>742</v>
      </c>
      <c r="D83" s="566" t="s">
        <v>2087</v>
      </c>
      <c r="E83" s="566" t="s">
        <v>2105</v>
      </c>
      <c r="F83" s="568" t="s">
        <v>2106</v>
      </c>
      <c r="G83" s="568" t="s">
        <v>1517</v>
      </c>
      <c r="H83" s="568"/>
    </row>
    <row r="84" spans="1:8" ht="116" x14ac:dyDescent="0.35">
      <c r="A84" s="2" t="s">
        <v>1537</v>
      </c>
      <c r="B84" s="566" t="s">
        <v>802</v>
      </c>
      <c r="C84" s="567" t="s">
        <v>688</v>
      </c>
      <c r="D84" s="566" t="s">
        <v>2087</v>
      </c>
      <c r="E84" s="566" t="s">
        <v>2107</v>
      </c>
      <c r="F84" s="568" t="s">
        <v>2108</v>
      </c>
      <c r="G84" s="568" t="s">
        <v>1501</v>
      </c>
      <c r="H84" s="568"/>
    </row>
    <row r="85" spans="1:8" ht="72.5" x14ac:dyDescent="0.35">
      <c r="A85" s="2" t="s">
        <v>1538</v>
      </c>
      <c r="B85" s="566" t="s">
        <v>330</v>
      </c>
      <c r="C85" s="567" t="s">
        <v>315</v>
      </c>
      <c r="D85" s="566" t="s">
        <v>2087</v>
      </c>
      <c r="E85" s="566" t="s">
        <v>2109</v>
      </c>
      <c r="F85" s="568" t="s">
        <v>2110</v>
      </c>
      <c r="G85" s="568" t="s">
        <v>1095</v>
      </c>
      <c r="H85" s="568"/>
    </row>
    <row r="86" spans="1:8" ht="87" x14ac:dyDescent="0.35">
      <c r="A86" s="2" t="s">
        <v>1561</v>
      </c>
      <c r="B86" s="566" t="s">
        <v>331</v>
      </c>
      <c r="C86" s="567" t="s">
        <v>316</v>
      </c>
      <c r="D86" s="566" t="s">
        <v>2087</v>
      </c>
      <c r="E86" s="566" t="s">
        <v>2109</v>
      </c>
      <c r="F86" s="568" t="s">
        <v>2111</v>
      </c>
      <c r="G86" s="568" t="s">
        <v>1096</v>
      </c>
      <c r="H86" s="568"/>
    </row>
    <row r="87" spans="1:8" ht="217.5" x14ac:dyDescent="0.35">
      <c r="A87" s="2" t="s">
        <v>1599</v>
      </c>
      <c r="B87" s="566" t="s">
        <v>806</v>
      </c>
      <c r="C87" s="567" t="s">
        <v>737</v>
      </c>
      <c r="D87" s="566" t="s">
        <v>2087</v>
      </c>
      <c r="E87" s="566" t="s">
        <v>2109</v>
      </c>
      <c r="F87" s="568" t="s">
        <v>2112</v>
      </c>
      <c r="G87" s="568" t="s">
        <v>1137</v>
      </c>
      <c r="H87" s="568"/>
    </row>
    <row r="88" spans="1:8" ht="232" x14ac:dyDescent="0.35">
      <c r="A88" s="2" t="s">
        <v>1605</v>
      </c>
      <c r="B88" s="566" t="s">
        <v>2113</v>
      </c>
      <c r="C88" s="567" t="s">
        <v>827</v>
      </c>
      <c r="D88" s="566" t="s">
        <v>2087</v>
      </c>
      <c r="E88" s="566" t="s">
        <v>2114</v>
      </c>
      <c r="F88" s="568" t="s">
        <v>2115</v>
      </c>
      <c r="G88" s="568" t="s">
        <v>1615</v>
      </c>
      <c r="H88" s="568"/>
    </row>
    <row r="89" spans="1:8" ht="101.5" x14ac:dyDescent="0.35">
      <c r="A89" s="2" t="s">
        <v>1617</v>
      </c>
      <c r="B89" s="566" t="s">
        <v>1078</v>
      </c>
      <c r="C89" s="567" t="s">
        <v>1398</v>
      </c>
      <c r="D89" s="566" t="s">
        <v>2087</v>
      </c>
      <c r="E89" s="566" t="s">
        <v>2116</v>
      </c>
      <c r="F89" s="568" t="s">
        <v>2117</v>
      </c>
      <c r="G89" s="568" t="s">
        <v>1138</v>
      </c>
      <c r="H89" s="568"/>
    </row>
    <row r="90" spans="1:8" ht="138.75" customHeight="1" x14ac:dyDescent="0.35">
      <c r="A90" s="2" t="s">
        <v>1618</v>
      </c>
      <c r="B90" s="566" t="s">
        <v>1129</v>
      </c>
      <c r="C90" s="570" t="s">
        <v>1130</v>
      </c>
      <c r="D90" s="566" t="s">
        <v>2087</v>
      </c>
      <c r="E90" s="566" t="s">
        <v>2118</v>
      </c>
      <c r="F90" s="568" t="s">
        <v>2119</v>
      </c>
      <c r="G90" s="568" t="s">
        <v>1131</v>
      </c>
      <c r="H90" s="568"/>
    </row>
    <row r="91" spans="1:8" ht="72.5" x14ac:dyDescent="0.35">
      <c r="A91" s="2" t="s">
        <v>1638</v>
      </c>
      <c r="B91" s="566" t="s">
        <v>1647</v>
      </c>
      <c r="C91" s="570" t="s">
        <v>1644</v>
      </c>
      <c r="D91" s="566" t="s">
        <v>2087</v>
      </c>
      <c r="E91" s="566" t="s">
        <v>2118</v>
      </c>
      <c r="F91" s="568" t="s">
        <v>2120</v>
      </c>
      <c r="G91" s="568" t="s">
        <v>1648</v>
      </c>
      <c r="H91" s="568"/>
    </row>
    <row r="92" spans="1:8" ht="116" x14ac:dyDescent="0.35">
      <c r="A92" s="2" t="s">
        <v>1662</v>
      </c>
      <c r="B92" s="566" t="s">
        <v>2121</v>
      </c>
      <c r="C92" s="567" t="s">
        <v>1017</v>
      </c>
      <c r="D92" s="566" t="s">
        <v>2087</v>
      </c>
      <c r="E92" s="566" t="s">
        <v>2122</v>
      </c>
      <c r="F92" s="568" t="s">
        <v>2123</v>
      </c>
      <c r="G92" s="568" t="s">
        <v>2124</v>
      </c>
      <c r="H92" s="568"/>
    </row>
    <row r="93" spans="1:8" ht="188.5" x14ac:dyDescent="0.35">
      <c r="A93" s="2" t="s">
        <v>1663</v>
      </c>
      <c r="B93" s="566" t="s">
        <v>804</v>
      </c>
      <c r="C93" s="567" t="s">
        <v>707</v>
      </c>
      <c r="D93" s="566" t="s">
        <v>2087</v>
      </c>
      <c r="E93" s="566" t="s">
        <v>2125</v>
      </c>
      <c r="F93" s="568" t="s">
        <v>2126</v>
      </c>
      <c r="G93" s="568" t="s">
        <v>1135</v>
      </c>
      <c r="H93" s="568"/>
    </row>
    <row r="94" spans="1:8" ht="159.5" x14ac:dyDescent="0.35">
      <c r="A94" s="2" t="s">
        <v>1664</v>
      </c>
      <c r="B94" s="566" t="s">
        <v>805</v>
      </c>
      <c r="C94" s="567" t="s">
        <v>722</v>
      </c>
      <c r="D94" s="566" t="s">
        <v>2087</v>
      </c>
      <c r="E94" s="566" t="s">
        <v>2125</v>
      </c>
      <c r="F94" s="568" t="s">
        <v>2127</v>
      </c>
      <c r="G94" s="568" t="s">
        <v>1136</v>
      </c>
      <c r="H94" s="568"/>
    </row>
    <row r="95" spans="1:8" ht="145" x14ac:dyDescent="0.35">
      <c r="A95" s="2" t="s">
        <v>1665</v>
      </c>
      <c r="B95" s="568" t="s">
        <v>1133</v>
      </c>
      <c r="C95" s="567" t="s">
        <v>727</v>
      </c>
      <c r="D95" s="566" t="s">
        <v>2087</v>
      </c>
      <c r="E95" s="566" t="s">
        <v>2125</v>
      </c>
      <c r="F95" s="568" t="s">
        <v>2128</v>
      </c>
      <c r="G95" s="568" t="s">
        <v>1134</v>
      </c>
      <c r="H95" s="568"/>
    </row>
    <row r="96" spans="1:8" ht="145" x14ac:dyDescent="0.35">
      <c r="A96" s="2" t="s">
        <v>2141</v>
      </c>
      <c r="B96" s="568" t="s">
        <v>2129</v>
      </c>
      <c r="C96" s="567" t="s">
        <v>732</v>
      </c>
      <c r="D96" s="566" t="s">
        <v>2087</v>
      </c>
      <c r="E96" s="566" t="s">
        <v>2125</v>
      </c>
      <c r="F96" s="568" t="s">
        <v>2130</v>
      </c>
      <c r="G96" s="568" t="s">
        <v>1132</v>
      </c>
      <c r="H96" s="568"/>
    </row>
    <row r="97" spans="1:8" x14ac:dyDescent="0.35">
      <c r="A97" s="439"/>
      <c r="B97" s="440"/>
      <c r="C97" s="119"/>
      <c r="D97" s="48"/>
      <c r="E97" s="48"/>
      <c r="F97" s="131"/>
    </row>
    <row r="98" spans="1:8" x14ac:dyDescent="0.35">
      <c r="A98" s="534">
        <v>93</v>
      </c>
      <c r="B98" s="534" t="s">
        <v>543</v>
      </c>
    </row>
    <row r="101" spans="1:8" s="115" customFormat="1" ht="18.5" x14ac:dyDescent="0.45">
      <c r="A101" s="571" t="s">
        <v>515</v>
      </c>
      <c r="C101" s="433"/>
      <c r="D101" s="434"/>
      <c r="E101" s="434"/>
      <c r="F101" s="434"/>
      <c r="G101" s="546"/>
      <c r="H101" s="546"/>
    </row>
    <row r="102" spans="1:8" s="500" customFormat="1" ht="29" x14ac:dyDescent="0.45">
      <c r="A102" s="534" t="s">
        <v>516</v>
      </c>
      <c r="B102" s="435" t="s">
        <v>2028</v>
      </c>
      <c r="C102" s="435" t="s">
        <v>2029</v>
      </c>
      <c r="D102" s="435" t="s">
        <v>420</v>
      </c>
      <c r="E102" s="435" t="s">
        <v>2030</v>
      </c>
      <c r="F102" s="572" t="s">
        <v>2031</v>
      </c>
      <c r="G102" s="572"/>
      <c r="H102" s="572"/>
    </row>
    <row r="103" spans="1:8" ht="29" x14ac:dyDescent="0.35">
      <c r="A103" s="534" t="s">
        <v>517</v>
      </c>
      <c r="B103" s="557" t="s">
        <v>1196</v>
      </c>
      <c r="C103" s="555" t="s">
        <v>1197</v>
      </c>
      <c r="D103" s="556" t="s">
        <v>418</v>
      </c>
      <c r="E103" s="556" t="s">
        <v>1178</v>
      </c>
      <c r="F103" s="557" t="s">
        <v>1396</v>
      </c>
      <c r="G103" s="557"/>
      <c r="H103" s="557"/>
    </row>
    <row r="104" spans="1:8" ht="29" x14ac:dyDescent="0.35">
      <c r="A104" s="534" t="s">
        <v>518</v>
      </c>
      <c r="B104" s="557" t="s">
        <v>1473</v>
      </c>
      <c r="C104" s="555" t="s">
        <v>1467</v>
      </c>
      <c r="D104" s="556" t="s">
        <v>418</v>
      </c>
      <c r="E104" s="556" t="s">
        <v>1178</v>
      </c>
      <c r="F104" s="557" t="s">
        <v>1474</v>
      </c>
      <c r="G104" s="557"/>
      <c r="H104" s="557"/>
    </row>
    <row r="105" spans="1:8" ht="29" x14ac:dyDescent="0.35">
      <c r="A105" s="534" t="s">
        <v>545</v>
      </c>
      <c r="B105" s="557" t="s">
        <v>1475</v>
      </c>
      <c r="C105" s="555" t="s">
        <v>1470</v>
      </c>
      <c r="D105" s="556" t="s">
        <v>418</v>
      </c>
      <c r="E105" s="556" t="s">
        <v>1178</v>
      </c>
      <c r="F105" s="557" t="s">
        <v>1476</v>
      </c>
      <c r="G105" s="557"/>
      <c r="H105" s="557"/>
    </row>
    <row r="106" spans="1:8" x14ac:dyDescent="0.35">
      <c r="A106" s="534" t="s">
        <v>626</v>
      </c>
      <c r="B106" s="557" t="s">
        <v>470</v>
      </c>
      <c r="C106" s="555" t="s">
        <v>417</v>
      </c>
      <c r="D106" s="556" t="s">
        <v>418</v>
      </c>
      <c r="E106" s="556" t="s">
        <v>424</v>
      </c>
      <c r="F106" s="557" t="s">
        <v>471</v>
      </c>
      <c r="G106" s="557"/>
      <c r="H106" s="557"/>
    </row>
    <row r="107" spans="1:8" ht="29" x14ac:dyDescent="0.35">
      <c r="A107" s="534" t="s">
        <v>748</v>
      </c>
      <c r="B107" s="554" t="s">
        <v>920</v>
      </c>
      <c r="C107" s="555" t="s">
        <v>469</v>
      </c>
      <c r="D107" s="556" t="s">
        <v>418</v>
      </c>
      <c r="E107" s="556" t="s">
        <v>424</v>
      </c>
      <c r="F107" s="557" t="s">
        <v>926</v>
      </c>
      <c r="G107" s="557"/>
      <c r="H107" s="557"/>
    </row>
    <row r="108" spans="1:8" ht="29" x14ac:dyDescent="0.35">
      <c r="A108" s="534" t="s">
        <v>997</v>
      </c>
      <c r="B108" s="554" t="s">
        <v>2038</v>
      </c>
      <c r="C108" s="555" t="s">
        <v>2039</v>
      </c>
      <c r="D108" s="556" t="s">
        <v>418</v>
      </c>
      <c r="E108" s="556" t="s">
        <v>424</v>
      </c>
      <c r="F108" s="557" t="s">
        <v>2040</v>
      </c>
      <c r="G108" s="557"/>
      <c r="H108" s="557"/>
    </row>
    <row r="109" spans="1:8" x14ac:dyDescent="0.35">
      <c r="A109" s="534" t="s">
        <v>998</v>
      </c>
      <c r="B109" s="554" t="s">
        <v>2041</v>
      </c>
      <c r="C109" s="555" t="s">
        <v>2042</v>
      </c>
      <c r="D109" s="556" t="s">
        <v>418</v>
      </c>
      <c r="E109" s="556" t="s">
        <v>422</v>
      </c>
      <c r="F109" s="557" t="s">
        <v>2043</v>
      </c>
      <c r="G109" s="557"/>
      <c r="H109" s="557"/>
    </row>
    <row r="110" spans="1:8" ht="43.5" x14ac:dyDescent="0.35">
      <c r="A110" s="534" t="s">
        <v>1035</v>
      </c>
      <c r="B110" s="525" t="s">
        <v>1071</v>
      </c>
      <c r="C110" s="526" t="s">
        <v>1072</v>
      </c>
      <c r="D110" s="525" t="s">
        <v>382</v>
      </c>
      <c r="E110" s="525" t="s">
        <v>402</v>
      </c>
      <c r="F110" s="525" t="s">
        <v>1074</v>
      </c>
      <c r="G110" s="525"/>
      <c r="H110" s="525"/>
    </row>
    <row r="111" spans="1:8" ht="29" x14ac:dyDescent="0.35">
      <c r="A111" s="534" t="s">
        <v>1162</v>
      </c>
      <c r="B111" s="525" t="s">
        <v>1031</v>
      </c>
      <c r="C111" s="526" t="s">
        <v>1032</v>
      </c>
      <c r="D111" s="525" t="s">
        <v>382</v>
      </c>
      <c r="E111" s="525" t="s">
        <v>1033</v>
      </c>
      <c r="F111" s="525" t="s">
        <v>1034</v>
      </c>
      <c r="G111" s="525"/>
      <c r="H111" s="525"/>
    </row>
    <row r="112" spans="1:8" x14ac:dyDescent="0.35">
      <c r="A112" s="534" t="s">
        <v>1163</v>
      </c>
      <c r="B112" s="525" t="s">
        <v>2133</v>
      </c>
      <c r="C112" s="526" t="s">
        <v>2137</v>
      </c>
      <c r="D112" s="525" t="s">
        <v>382</v>
      </c>
      <c r="E112" s="525" t="s">
        <v>1447</v>
      </c>
      <c r="F112" s="525" t="s">
        <v>2134</v>
      </c>
      <c r="G112" s="525"/>
      <c r="H112" s="525"/>
    </row>
    <row r="113" spans="1:8" x14ac:dyDescent="0.35">
      <c r="A113" s="534" t="s">
        <v>1164</v>
      </c>
      <c r="B113" s="525" t="s">
        <v>1149</v>
      </c>
      <c r="C113" s="526" t="s">
        <v>397</v>
      </c>
      <c r="D113" s="525" t="s">
        <v>382</v>
      </c>
      <c r="E113" s="525" t="s">
        <v>1446</v>
      </c>
      <c r="F113" s="525" t="s">
        <v>1148</v>
      </c>
      <c r="G113" s="525"/>
      <c r="H113" s="525"/>
    </row>
    <row r="114" spans="1:8" x14ac:dyDescent="0.35">
      <c r="A114" s="534" t="s">
        <v>1165</v>
      </c>
      <c r="B114" s="525" t="s">
        <v>1150</v>
      </c>
      <c r="C114" s="526" t="s">
        <v>1146</v>
      </c>
      <c r="D114" s="525" t="s">
        <v>382</v>
      </c>
      <c r="E114" s="525" t="s">
        <v>1446</v>
      </c>
      <c r="F114" s="525" t="s">
        <v>1151</v>
      </c>
      <c r="G114" s="525"/>
      <c r="H114" s="525"/>
    </row>
    <row r="115" spans="1:8" ht="43.5" x14ac:dyDescent="0.35">
      <c r="A115" s="534" t="s">
        <v>1304</v>
      </c>
      <c r="B115" s="525" t="s">
        <v>874</v>
      </c>
      <c r="C115" s="526" t="s">
        <v>873</v>
      </c>
      <c r="D115" s="528" t="s">
        <v>382</v>
      </c>
      <c r="E115" s="528" t="s">
        <v>1448</v>
      </c>
      <c r="F115" s="573" t="s">
        <v>875</v>
      </c>
      <c r="G115" s="573"/>
      <c r="H115" s="573"/>
    </row>
    <row r="116" spans="1:8" ht="29" x14ac:dyDescent="0.35">
      <c r="A116" s="534" t="s">
        <v>1400</v>
      </c>
      <c r="B116" s="525" t="s">
        <v>1144</v>
      </c>
      <c r="C116" s="529" t="s">
        <v>245</v>
      </c>
      <c r="D116" s="528" t="s">
        <v>382</v>
      </c>
      <c r="E116" s="528" t="s">
        <v>399</v>
      </c>
      <c r="F116" s="525" t="s">
        <v>1145</v>
      </c>
      <c r="G116" s="525"/>
      <c r="H116" s="525"/>
    </row>
    <row r="117" spans="1:8" ht="29" x14ac:dyDescent="0.35">
      <c r="A117" s="534" t="s">
        <v>1401</v>
      </c>
      <c r="B117" s="525" t="s">
        <v>1584</v>
      </c>
      <c r="C117" s="529" t="s">
        <v>1585</v>
      </c>
      <c r="D117" s="525" t="s">
        <v>382</v>
      </c>
      <c r="E117" s="525" t="s">
        <v>1588</v>
      </c>
      <c r="F117" s="525" t="s">
        <v>1586</v>
      </c>
      <c r="G117" s="525"/>
      <c r="H117" s="525"/>
    </row>
    <row r="118" spans="1:8" s="117" customFormat="1" ht="29" x14ac:dyDescent="0.45">
      <c r="A118" s="534" t="s">
        <v>1562</v>
      </c>
      <c r="B118" s="574" t="s">
        <v>396</v>
      </c>
      <c r="C118" s="575" t="s">
        <v>391</v>
      </c>
      <c r="D118" s="574" t="s">
        <v>419</v>
      </c>
      <c r="E118" s="574" t="s">
        <v>392</v>
      </c>
      <c r="F118" s="576" t="s">
        <v>425</v>
      </c>
      <c r="G118" s="576"/>
      <c r="H118" s="576"/>
    </row>
    <row r="119" spans="1:8" s="117" customFormat="1" ht="72.5" x14ac:dyDescent="0.45">
      <c r="A119" s="534" t="s">
        <v>1666</v>
      </c>
      <c r="B119" s="577" t="s">
        <v>624</v>
      </c>
      <c r="C119" s="575" t="s">
        <v>625</v>
      </c>
      <c r="D119" s="574" t="s">
        <v>419</v>
      </c>
      <c r="E119" s="577" t="s">
        <v>1449</v>
      </c>
      <c r="F119" s="576" t="s">
        <v>489</v>
      </c>
      <c r="G119" s="576"/>
      <c r="H119" s="576"/>
    </row>
    <row r="120" spans="1:8" s="117" customFormat="1" ht="174" x14ac:dyDescent="0.45">
      <c r="A120" s="534" t="s">
        <v>1667</v>
      </c>
      <c r="B120" s="574" t="s">
        <v>395</v>
      </c>
      <c r="C120" s="575" t="s">
        <v>388</v>
      </c>
      <c r="D120" s="574" t="s">
        <v>419</v>
      </c>
      <c r="E120" s="574" t="s">
        <v>1449</v>
      </c>
      <c r="F120" s="576" t="s">
        <v>499</v>
      </c>
      <c r="G120" s="576"/>
      <c r="H120" s="576"/>
    </row>
    <row r="121" spans="1:8" s="117" customFormat="1" ht="18.5" x14ac:dyDescent="0.45">
      <c r="A121" s="534" t="s">
        <v>1668</v>
      </c>
      <c r="B121" s="565" t="s">
        <v>1079</v>
      </c>
      <c r="C121" s="563" t="s">
        <v>1399</v>
      </c>
      <c r="D121" s="564" t="s">
        <v>599</v>
      </c>
      <c r="E121" s="564" t="s">
        <v>1365</v>
      </c>
      <c r="F121" s="564" t="s">
        <v>999</v>
      </c>
      <c r="G121" s="564"/>
      <c r="H121" s="564"/>
    </row>
    <row r="122" spans="1:8" s="117" customFormat="1" ht="87" x14ac:dyDescent="0.45">
      <c r="A122" s="534" t="s">
        <v>2014</v>
      </c>
      <c r="B122" s="565" t="s">
        <v>1489</v>
      </c>
      <c r="C122" s="563" t="s">
        <v>1421</v>
      </c>
      <c r="D122" s="564" t="s">
        <v>599</v>
      </c>
      <c r="E122" s="564" t="s">
        <v>1422</v>
      </c>
      <c r="F122" s="578" t="s">
        <v>1522</v>
      </c>
      <c r="G122" s="578"/>
      <c r="H122" s="578"/>
    </row>
    <row r="123" spans="1:8" s="117" customFormat="1" ht="29" x14ac:dyDescent="0.45">
      <c r="A123" s="534" t="s">
        <v>2032</v>
      </c>
      <c r="B123" s="565" t="s">
        <v>1426</v>
      </c>
      <c r="C123" s="563" t="s">
        <v>1423</v>
      </c>
      <c r="D123" s="578" t="s">
        <v>1424</v>
      </c>
      <c r="E123" s="578" t="s">
        <v>1455</v>
      </c>
      <c r="F123" s="578" t="s">
        <v>1425</v>
      </c>
      <c r="G123" s="578"/>
      <c r="H123" s="578"/>
    </row>
    <row r="124" spans="1:8" ht="58" x14ac:dyDescent="0.35">
      <c r="A124" s="534" t="s">
        <v>2044</v>
      </c>
      <c r="B124" s="564" t="s">
        <v>646</v>
      </c>
      <c r="C124" s="563" t="s">
        <v>831</v>
      </c>
      <c r="D124" s="564" t="s">
        <v>599</v>
      </c>
      <c r="E124" s="564" t="s">
        <v>647</v>
      </c>
      <c r="F124" s="579" t="s">
        <v>648</v>
      </c>
      <c r="G124" s="579"/>
      <c r="H124" s="579"/>
    </row>
    <row r="125" spans="1:8" ht="101.5" x14ac:dyDescent="0.35">
      <c r="A125" s="534" t="s">
        <v>2045</v>
      </c>
      <c r="B125" s="564" t="s">
        <v>2011</v>
      </c>
      <c r="C125" s="563" t="s">
        <v>1920</v>
      </c>
      <c r="D125" s="564" t="s">
        <v>599</v>
      </c>
      <c r="E125" s="564" t="s">
        <v>2012</v>
      </c>
      <c r="F125" s="579" t="s">
        <v>2013</v>
      </c>
      <c r="G125" s="579"/>
      <c r="H125" s="579"/>
    </row>
    <row r="126" spans="1:8" s="117" customFormat="1" ht="130.5" x14ac:dyDescent="0.45">
      <c r="A126" s="534" t="s">
        <v>2132</v>
      </c>
      <c r="B126" s="566" t="s">
        <v>1303</v>
      </c>
      <c r="C126" s="567" t="s">
        <v>1302</v>
      </c>
      <c r="D126" s="566" t="s">
        <v>597</v>
      </c>
      <c r="E126" s="566" t="s">
        <v>1283</v>
      </c>
      <c r="F126" s="568" t="s">
        <v>1458</v>
      </c>
      <c r="G126" s="568"/>
      <c r="H126" s="568"/>
    </row>
    <row r="127" spans="1:8" s="117" customFormat="1" ht="18.5" x14ac:dyDescent="0.45">
      <c r="A127" s="47"/>
      <c r="B127" s="48"/>
      <c r="C127" s="119"/>
      <c r="D127" s="48"/>
      <c r="E127" s="48"/>
      <c r="F127" s="79"/>
      <c r="G127" s="580"/>
      <c r="H127" s="580"/>
    </row>
    <row r="128" spans="1:8" s="117" customFormat="1" ht="46.5" customHeight="1" x14ac:dyDescent="0.45">
      <c r="A128" s="534" t="str">
        <f>RIGHT(A126,2)</f>
        <v>25</v>
      </c>
      <c r="B128" s="534" t="s">
        <v>544</v>
      </c>
      <c r="C128" s="120"/>
      <c r="D128" s="120"/>
      <c r="E128" s="120"/>
      <c r="F128" s="120"/>
      <c r="G128" s="580"/>
      <c r="H128" s="580"/>
    </row>
    <row r="130" spans="1:2" x14ac:dyDescent="0.35">
      <c r="A130" s="534">
        <f>A98+A128</f>
        <v>118</v>
      </c>
      <c r="B130" s="534" t="s">
        <v>1511</v>
      </c>
    </row>
  </sheetData>
  <mergeCells count="8">
    <mergeCell ref="H1:H2"/>
    <mergeCell ref="A1:A2"/>
    <mergeCell ref="B1:B2"/>
    <mergeCell ref="C1:C2"/>
    <mergeCell ref="D1:D2"/>
    <mergeCell ref="E1:E2"/>
    <mergeCell ref="F1:F2"/>
    <mergeCell ref="G1:G2"/>
  </mergeCells>
  <phoneticPr fontId="50" type="noConversion"/>
  <hyperlinks>
    <hyperlink ref="C42" location="'energy-transport'!LOAD_FACTOR_SP" display="'energy-transport'!LOAD_FACTOR_SP" xr:uid="{43E1D928-9B71-4E12-BBCD-CD6CFBC435B2}"/>
    <hyperlink ref="C43" location="'energy-transport'!FUEL_CONSUMPTION_EFFICIENCY_CHANGE" display="'energy-transport'!FUEL_CONSUMPTION_EFFICIENCY_CHANGE" xr:uid="{FB3CE333-C3A3-406E-A28D-3742A2D2E818}"/>
    <hyperlink ref="C54" location="energy!V2G_SP" display="V2G_SP" xr:uid="{5915F8A1-11BD-48BD-B34B-D6E754148D08}"/>
    <hyperlink ref="C53" location="energy!SC_SP" display="SC_SP" xr:uid="{7AC43B3B-DFDA-480C-B58B-756A8D90D1B3}"/>
    <hyperlink ref="C5" location="demography!FERTILITY_RATES_SP" display="FERTILITY_RATES_SP" xr:uid="{5EA2C3B0-35AC-40D7-91A5-EA3C5A46D56D}"/>
    <hyperlink ref="C6" location="demography!LIFE_EXPECTANCY_AT_BIRTH_SP" display="LIFE_EXPECTANCY_AT_BIRTH_SP" xr:uid="{D8B71017-F7B5-4A1B-90ED-F08458B23170}"/>
    <hyperlink ref="C7" location="demography!MIGRATION_SP" display="MIGRATION_SP" xr:uid="{39CA6605-5A16-4802-A5CD-B47E5B2DC085}"/>
    <hyperlink ref="C66" location="materials!OPEC_OIL_TARGET_PRICE_SP" display="OPEC_OIL_TARGET_PRICE_SP" xr:uid="{A7762D1C-95BB-4A83-8BEF-CE1DE7C81CFF}"/>
    <hyperlink ref="C68" location="materials!REDUCTION_RATE_MATERIAL_INTENSITY_PV_PANELS_SP" display="REDUCTION_RATE_MATERIAL_INTENSITY_PV_PANELS_SP" xr:uid="{7651CC8C-6CCF-4654-A0D7-0CDD16015368}"/>
    <hyperlink ref="C67" location="materials!TAX_RATE_ON_EXTRATION_OF_RESOURCES_SP" display="TAX_RATE_ON_EXTRATION_OF_RESOURCES_SP" xr:uid="{865D8946-1B32-452D-9E2F-6ED66E73F159}"/>
    <hyperlink ref="C118" location="CLIMATE_SENSITIVITY_SP" display="CLIMATE_SENSITIVITY_SP" xr:uid="{60AB07C5-4651-4BA9-B7FA-79BDB7C83725}"/>
    <hyperlink ref="C120" location="SELECT_GWP_TIME_FRAME_SP" display="SELECT_GWP_TIME_FRAME_SP" xr:uid="{2DC07C18-85D3-49F5-BC27-A811105DA048}"/>
    <hyperlink ref="C119" location="SELECT_RCP_FOR_EXOGENOUS_GHG_EMISSIONS_SP" display="SELECT_RCP_FOR_EXOGENOUS_GHG_EMISSIONS_SP" xr:uid="{90E00ACC-C769-4A9C-9BDC-C738E0718188}"/>
    <hyperlink ref="C124" location="SELECT_URANIUM_MAXIMUM_SUPPLY_CURVE_SP_x" display="SELECT_URANIUM_MAXIMUM_SUPPLY_CURVE_SP" xr:uid="{D14BAC6C-9C94-4DBC-9047-00F786A7D712}"/>
    <hyperlink ref="C8" location="demography!SLOPE_EVOLUTION_OF_EU27_HOUSEHOLDS_COMPOSITION" display="SELECT_SLOPE_EVOLUTION_OF_EU27_HOUSEHOLDS_COMPOSITION_SP" xr:uid="{FE1A9CD6-1E21-4D5E-A0C7-19ADF19FAD99}"/>
    <hyperlink ref="C11" location="GENDER_PARITY_INDEX_TARGET" display="GENDER PARITY INDEX TARGET" xr:uid="{67113E56-8DAA-41A5-B9C4-40A81D6842E3}"/>
    <hyperlink ref="C115" location="SELECT_EROI_MIN_POTENTIAL_SOLAR_WIND_SP_x" display="SELECT_EROI_MIN_POTENTIAL_SOLAR_WIND_SP" xr:uid="{F3DC66D1-6CD8-4F38-9C38-DC3947F9FE47}"/>
    <hyperlink ref="C106" location="SELECT_CLIMATE_CHANGE_IMPACT_UNCERTAINTY_SCENARIO_SP_x" display="SELECT_CLIMATE_CHANGE_IMPACT_UNCERTAINTY_SCENARIO_SP" xr:uid="{46997B69-88F7-4DD5-9D6C-9AD390510C73}"/>
    <hyperlink ref="C121" location="materials!FOSSIL_RESOURCE_ESTIMATION_LOW_MED_HIGH_OTHER_SP" display="FOSSIL_RESOURCE_STIMATION_LOW_MED_HIGH_OTHER_SP" xr:uid="{4AF34710-4BD8-4DE6-8FE2-ABBA4FD89CBA}"/>
    <hyperlink ref="C110" location="SELECT_AVAILABILITY_UNMATURE_ENERGY_TECHNOLOGIES_SP_x" display="SELECT_AVAILABILITY_UNMATURE_ENERGY_TECHNOLOGIES_SP" xr:uid="{F0F2A3D6-8EA9-421D-B204-C26299602976}"/>
    <hyperlink ref="C46" location="energy!PROTRA_CAPACITY_EXPANSION_PRIORITIES_VECTOR_SP" display="energy!PROTRA_CAPACITY_EXPANSION_PRIORITIES_VECTOR_SP" xr:uid="{82497B3D-CE79-49EE-BC9D-08AE398B28AC}"/>
    <hyperlink ref="C47" location="PROTRA_UTILIZATION_PRIORITIES_POLICYWEIGHT_SP_x" display="PROTRA_UTILIZATION_PRIORITIES_POLICYWEIGHT_SP" xr:uid="{BFF717E3-737C-4743-BAA5-FB73B14EDB3B}"/>
    <hyperlink ref="C48" location="energy!EXOGENOUS_CAPACITY_EXPANSION_VARIABILITY_MANAGEMENT_OPTIONS_SP" display="energy!EXOGENOUS_CAPACITY_EXPANSION_VARIABILITY_MANAGEMENT_OPTIONS_SP" xr:uid="{C747A5C3-352B-4107-B6A3-19C1D8CA446B}"/>
    <hyperlink ref="C59" location="energy!ANNUAL_EFFICIENCY_INCREASE_PV_SP_x" display="ANNUAL_EFFICIENCY_INCREASE_PV_SP" xr:uid="{D444D5F6-96BF-4A74-9DA5-F874B7F7AC77}"/>
    <hyperlink ref="C55" location="energy!FLEXIBLE_ELEC_DEMAND_SP" display="energy!FLEXIBLE_ELEC_DEMAND_SP" xr:uid="{D5F6EE2D-001F-4BC9-B14F-71887D320007}"/>
    <hyperlink ref="C58" location="SELECT_ROOFTOP_USE_SOLAR_TECHNOLOGIES_SP_x" display="SELECT_ROOFTOP_USE_SOLAR_TECHNOLOGIES_SP" xr:uid="{FB64CA24-5D75-4ACB-8C64-52BF0D375646}"/>
    <hyperlink ref="C56" location="SHARE_BIOENERGY_IN_TI_LIQUIDS_AND_GASES_SP" display="SHARE_BIOENERGY_IN_TI_LIQUIDS_AND_GASES_SP" xr:uid="{E7DF1E86-501D-43D8-BDEF-F253AA7A00D0}"/>
    <hyperlink ref="C57" location="energy!SHARE_FE_LIQUID_AND_GAS_SUBSTITUTED_BY_H2_SYNFUELS_SP" display="energy!SHARE_FE_LIQUID_AND_GAS_SUBSTITUTED_BY_H2_SYNFUELS_SP" xr:uid="{16DAB015-19EF-424E-9686-7B9CA3354451}"/>
    <hyperlink ref="C111" location="SELECT_CAPACITY_INVESTMENT_COST_DEVELOPMENT_SP_x" display="SELECT_CAPACITY_INVESTMENT_COST_DEVELOPMENT_SP" xr:uid="{FE73E850-A6D1-42C3-97D5-7610C6EFBA68}"/>
    <hyperlink ref="C116" location="energy!SHARE_PV_INSTALLATIONS_SINGLE_FAMILY_VS_TOTAL_HOUSEHOLDS_BUILDINGS_SP_x" display="SHARE_PV_INSTALLATIONS_SINGLE_FAMILY_VS_TOTAL_HOUSEHOLDS_BUILDINGS_SP" xr:uid="{EF115D98-0F7D-47AA-9A7E-87F83ACA4FFD}"/>
    <hyperlink ref="C113" location="energy!STATIONARY_BATTERIES_MAXIMUM_SP_x" display="STATIONARY_BATTERIES_MAXIMUM_SP" xr:uid="{659F7246-717D-4444-8D7C-265BDA56CEC3}"/>
    <hyperlink ref="C114" location="PHS_POTENTIAL_SP_x" display="PHS_POTENTIAL_SP" xr:uid="{0F85CA61-0F79-49C8-9073-422B4A10EF61}"/>
    <hyperlink ref="C28" location="economy!CO2_TAX_SECTORS_SP_x" display="CO2_TAX_SECTORS_SP" xr:uid="{F0FFCA60-45BF-468D-9756-CBF3C5459F9C}"/>
    <hyperlink ref="C12" location="economy!CAPITAL_PRODUCTIVITY_VARIATION" display="economy!CAPITAL_PRODUCTIVITY_VARIATION" xr:uid="{B4EEA734-12CD-4C64-B6F3-1400F8A53BC4}"/>
    <hyperlink ref="C14" location="LABOUR_PRODUCTIVITY_VARIATION_SP_x" display="LABOUR_PRODUCTIVITY_VARIATION" xr:uid="{6FC13A82-654F-4C1D-8BFB-4BAA7347C6A3}"/>
    <hyperlink ref="C16" location="WORKING_TIME_VARIATION_SP" display="WORKING_TIME_VARIATION_SP" xr:uid="{87D818BB-4B7A-450B-ABED-A0859082E22E}"/>
    <hyperlink ref="C17" location="DEBT_INTEREST_RATE_SP_x" display="DEBT_INTEREST_RATE_SP" xr:uid="{73CA1AD9-FBBE-49FF-8999-82D6F1156127}"/>
    <hyperlink ref="C18" location="GOVERNMENT_BUDGET_BALANCE_TO_GDP_OBJECTIVE_SP_x" display="GOVERNMENT_BUDGET_BALANCE_TO_GDP_OBJECTIVE_TARGET_SP" xr:uid="{80D9C56D-5447-44C6-AF74-545901B55ED2}"/>
    <hyperlink ref="C31" location="BASIC_INCOME_SP" display="BASIC_INCOME_SP" xr:uid="{4FAFE22E-70D1-43F1-94DE-BCED6556754E}"/>
    <hyperlink ref="C13" location="MARK_UP_SP_x" display="MARK_UP" xr:uid="{D78E29A5-CCC3-4FE7-8285-A8065D5FEEE1}"/>
    <hyperlink ref="C21" location="TAX_RATE_WEALTH_SP_x" display="TAX_RATE_WEALTH_SP" xr:uid="{EBA68044-D89C-44BE-ABD1-89A9691F30EA}"/>
    <hyperlink ref="C20" location="TAX_RATE_INCOME_SP_x" display="TAX_RATE_INCOME_SP" xr:uid="{96E53751-26C2-42AA-ACFF-923BCE611B2B}"/>
    <hyperlink ref="C22" location="TAX_RATE_PRODUCTION_SP_x" display="TAX_RATE_PRODUCTION_SP" xr:uid="{19A03F18-DC91-4E03-95F9-0919F20D2F24}"/>
    <hyperlink ref="C23" location="TAX_RATE_PROFITS_SP_x" display="TAX_RATE_PROFITS_SP" xr:uid="{BFB020FF-2A1E-4FB6-87CC-55CA7DFF1D94}"/>
    <hyperlink ref="C24" location="TAX_RATE_SOCIAL_SECURITY_SP_x" display="TAX_RATE_SOCIAL_SECURITY_SP" xr:uid="{77564070-933C-4B1B-8ABE-1AE8518AF246}"/>
    <hyperlink ref="C25" location="STRUCTURE_GOVERNMENT_EXPENDITURE_SP_x" display="STRUCTURE_GOVERNMENT_EXPENDITURE_SP" xr:uid="{7B89A350-090A-4D28-905A-F60EA0419555}"/>
    <hyperlink ref="C26" location="STRUCTURE_GOVERNMENT_CONSUMPTION_SP_x" display="STRUCTURE_GOVERNMENT_CONSUMPTION_SP" xr:uid="{922B173E-5459-4324-BA52-2455185B0884}"/>
    <hyperlink ref="C27" location="STRUCTURE_GOVERNMENT_INVESTMENT_SP_x" display="STRUCTURE_GOVERNMENT_INVESTMENT_SP" xr:uid="{D9A7CB47-AC26-4073-906D-52262B27FBC6}"/>
    <hyperlink ref="C29" location="economy!CO2_TAX_HOUSEHOLDS_SP_x" display="CO2_TAX_HOUSEHOLDS_SP" xr:uid="{B35D71A5-6DEB-41A9-A39D-B35777DE15C6}"/>
    <hyperlink ref="C33" location="LIMIT_CONSUMPTION_ENERGY_OVER_TOTAL_NON_DURABLES_SP" display="LIMIT_CONSUMPTION_ENERGY_OVER_TOTAL_NON_DURABLES_SP" xr:uid="{4D316538-08EC-4B0C-816C-436F6012798F}"/>
    <hyperlink ref="C32" location="LOCKDOWN_EFFECT_ON_HOUSEHOLDS_TRANSPORT_SP" display="LOCKDOWN_EFFECT_ON_HOUSEHOLDS_TRANSPORT_SP" xr:uid="{FD89458A-DCD2-43E6-B6ED-E3B345CB9987}"/>
    <hyperlink ref="C126" location="SELECT_LIMITS_LAND_USES_BY_SOURCE_SP_x" display="SELECT_LIMITS_LAND_USES_BY_SOURCE_SP" xr:uid="{E2BA5449-F2F3-458B-B4DD-13E7C1D64308}"/>
    <hyperlink ref="C19" location="LIMIT_ANNUAL_GROWTH_GOVERNMENT_EXPENDITURE_SP_x" display="LIMIT_ANNUAL_GROWTH_GOVERNMENT_EXPENDITURE_SP" xr:uid="{018BA29B-34A2-4464-BEA7-2CF70B06417D}"/>
    <hyperlink ref="C45" location="TARGET_POWER_TRAIN_SHARE_BY_PASSENGER_TRANSPORT_MODE_SP" display="TARGET_POWER_TRAIN_SHARE_BY_PASSENGER_TRANSPORT_MODE_SP" xr:uid="{C9676130-CD00-4CBE-BCBF-26F6DA2BE921}"/>
    <hyperlink ref="C44" location="TARGET_PASSENGER_TRANSPORT_MODAL_SHARE_BY_REGION_SP" display="TARGET_PASSENGER_TRANSPORT_MODAL_SHARE_BY_REGION_SP" xr:uid="{561C03F9-D3F7-4225-9194-9531450BC4E3}"/>
    <hyperlink ref="C107" location="SELECT_CLIMATE_HAZARDS_SP_x" display="SELECT_CLIMATE_HAZARDS_SP" xr:uid="{04601D65-80C5-4E61-BA0C-FB134DF2BC38}"/>
    <hyperlink ref="C34" location="energy!FINAL_ENERGY_EFFICIENCY_RATE_TOP_DOWN_SECTORS_SP_x" display="FINAL_ENERGY_EFFICIENCY_RATE_TOP_DOWN_SECTORS_SP" xr:uid="{881FA9FE-DAF9-4CCA-A0A1-77FDCED875AA}"/>
    <hyperlink ref="C35" location="energy!FINAL_ENERGY_SUBSTITUTION_RATE_TOP_DOWN_SECTORS_SP_x" display="FINAL_ENERGY_SUBSTITUTION_RATE_TOP_DOWN_SECTORS_SP" xr:uid="{3F657FDD-E37D-42A3-975F-89AAA9FA5A96}"/>
    <hyperlink ref="C71" location="materials!MATERIALS_RECYCLING_MEDEAS_SP" display="materials!MATERIALS_RECYCLING_MEDEAS_SP" xr:uid="{2EFA6E06-0EA2-44D2-BAD1-68B90048D5AC}"/>
    <hyperlink ref="C70" location="MATERIALS_RECYCLING_SP_x" display="MATERIALS_RECYCLING_SP" xr:uid="{9CFED6F0-0941-40E2-8058-966834F993BB}"/>
    <hyperlink ref="C122" location="SELECT_GAS_PRICE_OIL_LINK_SP_x" display="SELECT_GAS_PRICE_OIL_LINK_SP" xr:uid="{E7BBB858-BEB7-47A3-84AA-84A096DD9853}"/>
    <hyperlink ref="C123" location="SELECT_MATERIAL_INTENSITY_SP_x" display="SELECT_MATERIAL_INTENSITY_SP" xr:uid="{776C936E-9330-449B-965F-5C1D59C4BC06}"/>
    <hyperlink ref="C15" location="LIMIT_ANNUAL_GROWTH_WAGES_SP" display="LIMIT_ANNUAL_GROWTH_WAGES_SP" xr:uid="{EEE14698-237A-43DF-97E3-B99691A91513}"/>
    <hyperlink ref="C103" location="LIMIT_CONSUMPTION_ENERGY_OVER_TOTAL_NON_DURABLES_SP" display="LIMIT_CONSUMPTION_ENERGY_OVER_TOTAL_NON_DURABLES_SP" xr:uid="{42096588-D7E9-4A40-8E5C-F349017A5932}"/>
    <hyperlink ref="C104" location="LIMIT_ANNUAL_GROWTH_CONSUMPTION_DURABLES_SP_x" display="LIMIT_ANNUAL_GROWTH_CONSUMPTION_DURABLES_SP" xr:uid="{50EDC81E-9BE4-49FA-80C9-8A112E6280C0}"/>
    <hyperlink ref="C105" location="LIMIT_ANNUAL_GROWTH_CONSUMPTION_NON_DURABLES_SP_x" display="LIMIT_ANNUAL_GROWTH_CONSUMPTION_NON_DURABLES_SP" xr:uid="{5027B070-4489-498F-818F-47E8F341A55C}"/>
    <hyperlink ref="C9" location="SPEED_OF_CHANGE_IN_HOUSEHOLD_COMPOSITION" display="SPEED_OF_CHANGE_IN_HOUSEHOLD_COMPOSITION" xr:uid="{9AF7ECBF-5CC4-4BDF-B219-EB888417F6C1}"/>
    <hyperlink ref="C10" location="HOUSEHOLD_COMPOSITION_IN_NON_EU_REGIONS" display="HOUSEHOLD_COMPOSITION_IN_NON_EU_REGIONS" xr:uid="{A7A61F52-81BB-49FE-A4BC-187BA0947A98}"/>
    <hyperlink ref="C30" location="RECYCLING_CARBON_TAX_REVENUES_SP" display="RECYLING_CARBON_TAX_REVENUES_SP" xr:uid="{D158B1DE-8390-4695-977C-48D3665A426A}"/>
    <hyperlink ref="C37" location="SHARE_NON_ENERGY_USE_FOSSIL_FUELS_SUBSTITUTED_BY_ELECTROLYTIC_H2_SP" display="SHARE_NON_ENERGY_USE_FOSSIL_FUELS_SUBSTITUTED_BY_ELECTROLYTIC_H2_SP" xr:uid="{52DB8832-E2ED-43E2-BCC4-49C5A4E53CDB}"/>
    <hyperlink ref="C38" location="SHARE_MERCHANT_ELECTROLYTIC_H2_DEMAND_FOR_NON_ENERGY_USES" display="SHARE_MERCHANT_ELECTROLYTIC_H2_DEMAND_FOR_NON_ENERGY_USES" xr:uid="{06131131-52BF-4B42-8819-DF6EF5971FF5}"/>
    <hyperlink ref="C39" location="STEEL_MANUFACTURING_PROCESSES_SP" display="STEEL MANUFACTURING PROCESSES SP" xr:uid="{70CC122E-520C-444A-A79D-5559AD3FACB7}"/>
    <hyperlink ref="C49" location="SELECT_ON_SITE_ELECTROLYZERS_EXPANSION_PRIORITY_SP_x" display="SELECT ON SITE AND STATIONARY ELECTROLYZERS EXPANSION PRIORITY SP" xr:uid="{A7521309-7ACC-4DE9-8F1E-C5E9B6C15764}"/>
    <hyperlink ref="C50" location="EXOGENOUS_SHARE_OF_NEW_ON_SITE_ELECTROLYZERS_SUBTECHNOLOGIES_SP_x" display="EXOGENOUS_SHARE_OF_NEW_ON_SITE_AND_STATIONARY_ELECTROLYZERS_SUBTECHNOLOGIES_SP" xr:uid="{0624085E-DACD-436E-A17A-3AFE9A8064BE}"/>
    <hyperlink ref="C117" location="SELECT_LIFETIME_ELECTROLYZERS_DEVELOPMENT_SP_x" display="SELECT_TECHNICAL_PARAMETERS_ELECTROLYZERS_DEVELOPMENT_SP" xr:uid="{1ED96D46-EE64-48A6-BFEA-5833F0FBD313}"/>
    <hyperlink ref="C69" location="materials!A84" display="REDUCTION_RATE_MATERIAL_INTENSITY_ELECTROLYZERS_SP" xr:uid="{B7F31A2D-23FF-4EE3-BE12-809675B87EA7}"/>
    <hyperlink ref="C51" location="SELECT_FEEDBACK_CURTAILMENT_TO_CAPACITY_EXPANSION_SP" display="SELECT_FEEDBACK_CURTAILMENT_TO_CAPACITY_EXPANSION_SP" xr:uid="{FAFD09EB-8683-4B84-BB29-CD0F5F6A8446}"/>
    <hyperlink ref="C52" location="CF_LOSS_SHARE_STOPPING_PROTRA_NUCLEAR_CAPACITY_EXPANSION_SP" display="CF_LOSS_SHARE_STOPPING_PROTRA_NUCLEAR_CAPACITY_EXPANSION_SP" xr:uid="{147250C1-9A96-4D0F-B8BA-9CD104FC9ECF}"/>
    <hyperlink ref="C4" location="SCENARIO_POPULATION_SP" display="SCENARIO_POPULATION_SP" xr:uid="{5E5999C6-3FE8-4022-9B25-171C2059DA25}"/>
    <hyperlink ref="C60" location="'energy-buildings'!A2" display="RENOVATION_IMPROVEMENT_SHARES_SP" xr:uid="{44992B7F-27AC-407F-BC7F-9DDA65CC1492}"/>
    <hyperlink ref="C61" location="'energy-buildings'!A18" display="YEARS_AMORTIZATION_INVESTMENT_IN_RENOVATION_SP" xr:uid="{DF508D8A-DF7F-43BB-A6FD-35380AD2A54D}"/>
    <hyperlink ref="C62" location="'energy-buildings'!A22" display="IMPROVEMENT_EFFICIENCY_NEW_DWELLINGS_SP" xr:uid="{B0ADD7AF-997B-4227-B63C-A494EF1E7269}"/>
    <hyperlink ref="C63" location="'energy-buildings'!A27" display="SUBSIDY_RENOVATION_SP" xr:uid="{6DF7FE2B-7C43-4B27-BB94-287DA31EB5B0}"/>
    <hyperlink ref="C64" location="'energy-buildings'!A143" display="SUBSIDY_DWELLING_DEVICES_SP" xr:uid="{B244512C-5D7B-4FE2-8570-BE0E7ABA603F}"/>
    <hyperlink ref="C65" location="'energy-buildings'!A373" display="BAN_DWELLING_DEVICE_TECHNOLOGY_SP" xr:uid="{0907EB57-C189-4F9D-AF18-D332AEB64474}"/>
    <hyperlink ref="C125" location="MATERIALS_ORE_GRADE_PE_IMPACT_EXTRACTION_SP" display="MATERIALS_ORE_GRADE_PE_IMPACT_EXTRACTION_SP" xr:uid="{E8DF2F79-00AF-49D7-8B41-37915DE93C9D}"/>
    <hyperlink ref="C40" location="energy!A213" display="INTERNATIONAL_H2_TRADE_SP" xr:uid="{8CAB995E-E222-4AD2-BFDB-098B1FB90966}"/>
    <hyperlink ref="C72" location="land_and_water!AFFORESTATION_SP" display="AFFORESTATION_SP" xr:uid="{FF4B66C1-E0FE-4206-9935-F141F18CCD0F}"/>
    <hyperlink ref="C74" location="LAND_PROTECTION_BY_POLICY_SP" display="LAND_PROTECTION_BY_POLICY_SP" xr:uid="{90BDFA07-2A53-44D2-9F0B-DD64561454C3}"/>
    <hyperlink ref="C85" location="land_and_water!TRADITIONAL_TO_INDUSTRIAL_AGRICULTURE_SP" display="TRADITIONAL_TO_INDUSTRIAL_AGRICULTURE_SP" xr:uid="{43FD7BE1-F4F0-46CF-9AB5-3340A94328A3}"/>
    <hyperlink ref="C86" location="land_and_water!CHANGE_TO_REGENERATIVE_AGRICULTURE_SP" display="CHANGE_TO_REGENERATIVE_AGRICULTURE_SP" xr:uid="{A67F6932-149D-4CF0-8351-A8375ED16948}"/>
    <hyperlink ref="C82" location="land_and_water!SOLAR_LAND_FROM_OTHERS_SP" display="land_and_water!SOLAR_LAND_FROM_OTHERS_SP" xr:uid="{22DA766D-79E0-4B55-B4F2-9E947CCBE272}"/>
    <hyperlink ref="C93" location="land_and_water!PRIORITIES_OF_LAND_PRODUCTS_DISTRIBUTION_AMONG_REGIONS_SP" display="land_and_water!PRIORITIES_OF_LAND_PRODUCTS_DISTRIBUTION_AMONG_REGIONS_SP" xr:uid="{281496BC-BC64-4B52-8E6C-0268521E0793}"/>
    <hyperlink ref="C94" location="land_and_water!LAND_PRODUCTS_GLOBAL_POOL_SP" display="land_and_water!LAND_PRODUCTS_GLOBAL_POOL_SP" xr:uid="{B327C21C-2E46-4025-9652-8334749167D9}"/>
    <hyperlink ref="C87" location="land_and_water!EFFECT_OIL_AND_GAS_ON_AGRICULTURE_SP" display="land_and_water!EFFECT_OIL_AND_GAS_ON_AGRICULTURE_SP" xr:uid="{090396BE-92A7-4B02-BE8F-29B83A8EAB92}"/>
    <hyperlink ref="C83" location="land_and_water!SOLARLAND_MANAGEMENT_SP" display="land_and_water!SOLARLAND_MANAGEMENT_SP" xr:uid="{BCDB5662-7703-4A09-8A6A-AE1E4896C853}"/>
    <hyperlink ref="C84" location="land_and_water!URBAN_LAND_DENSITY_SP" display="land_and_water!URBAN_LAND_DENSITY_SP" xr:uid="{AB9DB5EB-CA40-4468-A3A1-520540629A56}"/>
    <hyperlink ref="C88" location="land_and_water!GRASSLAND_MANAGEMENT_SP" display="GRASSLAND_MANAGEMENT_SP" xr:uid="{27EE09F1-B9D1-47DC-806F-C660C69B15F0}"/>
    <hyperlink ref="C89" location="land_and_water!MANURE_MANAGEMENT_SYSTEM_SP" display="MANURE_MANAGEMENT_SYSTEM_SP" xr:uid="{45AEC2A0-EFB1-400A-A7DD-E9F3920B9279}"/>
    <hyperlink ref="C92" location="land_and_water!FORESTRY_SELF_SUFFICIENCY_SP" display="FORESTRY_SELF_SUFFICIENCY_SP" xr:uid="{4BBE214C-6F0E-4BB3-9438-A642FC5E9854}"/>
    <hyperlink ref="C73" location="FOREST_PLANTATIONS_INCREASE_SP" display="FOREST_PLANTATIONS_INCREASE_SP" xr:uid="{FFE3E281-C238-4E90-9AE7-1BBE03CCF74F}"/>
    <hyperlink ref="C75" location="MANAGED_FOREST_PROTECTION_SP" display="MANAGED_FOREST_PROTECTION_SP" xr:uid="{D7DF9FED-29F9-4C58-B301-1F9D32A4D42E}"/>
    <hyperlink ref="C77" location="CROPLAND_PROTECTION_SP" display="CROPLAND_PROTECTION_SP" xr:uid="{B705259A-C051-4FDF-B456-E2CC43E3398C}"/>
    <hyperlink ref="C78" location="land_and_water!GRASSLAND_PROTECTION_SP" display="GRASSLAND_PROTECTION_SP" xr:uid="{645211AC-7FCB-47B6-87C9-DB27318404CB}"/>
    <hyperlink ref="C79" location="land_and_water!NATURAL_LAND_PROTECTION_SP" display="NATURAL_LAND_PROTECTION_SP" xr:uid="{7B06E9CE-95AE-443D-97A5-98D4AE0A6413}"/>
    <hyperlink ref="C90" location="land_and_water!SHARE_OF_CHANGE_TO_POLICY_DIET_SP" display="SHARE_OF_CHANGE_TO_POLICY_DIET_SP" xr:uid="{F15B6F98-6C7F-4235-8661-4A1C68E728E8}"/>
    <hyperlink ref="C96" location="land_and_water!WOOD_FOR_ENERGY_SP" display="WOOD_FOR_ENERGY_SP" xr:uid="{5E9DC68B-3735-46DF-B54A-17D54B46E228}"/>
    <hyperlink ref="C95" location="land_and_water!CROPS_FOR_ENERGY_SP" display="land_and_water!CROPS_FOR_ENERGY_SP" xr:uid="{BB5914AC-7B51-4387-A4D7-7860EE0CD81E}"/>
    <hyperlink ref="C80" location="POLICY_LAND_PROTECTION_FROM_SOLAR_PV_SP_x" display="POLICY_LAND_PROTECTION_FROM_SOLAR_PV_SP" xr:uid="{FD199552-309B-43FF-9A95-FCB5BF5B68B7}"/>
    <hyperlink ref="C81" location="POLICY_MAXIMUM_SHARE_SOLAR_URBAN_SP_x" display="POLICY_MAXIMUM_SHARE_SOLAR_URBAN_SP" xr:uid="{DFCD3187-FD61-4392-804F-D13E28C6C6D7}"/>
    <hyperlink ref="C76" r:id="rId1" xr:uid="{F9B35259-A427-4549-A002-304434FD1A2C}"/>
    <hyperlink ref="C91" location="YEAR_INITIAL_FOOD_LOSS_INTAKE_CHANGE_SP" display="FOOD_LOSS_INTAKE_CHANGE_SP" xr:uid="{87300DF6-B0B1-44B8-A6EA-DC8A0149A601}"/>
    <hyperlink ref="C112" location="SWICHT_DISPATCHABLE_DAM_HYDROPOWER_SP_x" display="SWICHT_DISPATCHABLE_DAM_HYDROPOWER_SP" xr:uid="{695A65F6-9009-4E33-982B-3E7D7894FB09}"/>
    <hyperlink ref="C36" location="SELECT_NON_ENERGY_FE_USE_INTENSITIES_BY_SECTOR_SP" display="SELECT_NON_ENERGY_FE_USE_INTENSITIES_BY_SECTOR_SP" xr:uid="{BA5E63C7-1556-429F-800B-E6782A388375}"/>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I214"/>
  <sheetViews>
    <sheetView zoomScale="130" zoomScaleNormal="130" workbookViewId="0">
      <pane xSplit="1" ySplit="1" topLeftCell="B175" activePane="bottomRight" state="frozen"/>
      <selection pane="topRight" activeCell="B1" sqref="B1"/>
      <selection pane="bottomLeft" activeCell="A2" sqref="A2"/>
      <selection pane="bottomRight" activeCell="B179" sqref="B179"/>
    </sheetView>
  </sheetViews>
  <sheetFormatPr baseColWidth="10" defaultColWidth="11.453125" defaultRowHeight="14.5" x14ac:dyDescent="0.35"/>
  <cols>
    <col min="1" max="1" width="81.1796875" customWidth="1"/>
    <col min="2" max="2" width="46.453125" style="2" customWidth="1"/>
    <col min="3" max="3" width="45.453125" style="2" customWidth="1"/>
    <col min="4" max="4" width="40.453125" bestFit="1" customWidth="1"/>
    <col min="5" max="5" width="28.54296875" bestFit="1" customWidth="1"/>
    <col min="6" max="6" width="30" customWidth="1"/>
    <col min="7" max="7" width="28.453125" bestFit="1" customWidth="1"/>
    <col min="8" max="8" width="24.54296875" customWidth="1"/>
    <col min="9" max="9" width="24.453125" customWidth="1"/>
    <col min="11" max="11" width="15" bestFit="1" customWidth="1"/>
    <col min="12" max="13" width="13.54296875" bestFit="1" customWidth="1"/>
    <col min="21" max="21" width="15.1796875" bestFit="1" customWidth="1"/>
  </cols>
  <sheetData>
    <row r="1" spans="1:3" s="217" customFormat="1" ht="31" x14ac:dyDescent="0.7">
      <c r="A1" s="599" t="s">
        <v>591</v>
      </c>
      <c r="B1" s="599"/>
      <c r="C1" s="599"/>
    </row>
    <row r="3" spans="1:3" x14ac:dyDescent="0.35">
      <c r="A3" s="236" t="s">
        <v>1631</v>
      </c>
    </row>
    <row r="4" spans="1:3" x14ac:dyDescent="0.35">
      <c r="A4" s="309" t="s">
        <v>168</v>
      </c>
      <c r="B4" s="310" t="s">
        <v>169</v>
      </c>
      <c r="C4"/>
    </row>
    <row r="5" spans="1:3" x14ac:dyDescent="0.35">
      <c r="A5" s="351">
        <v>0</v>
      </c>
      <c r="B5" s="329" t="s">
        <v>1632</v>
      </c>
      <c r="C5"/>
    </row>
    <row r="6" spans="1:3" x14ac:dyDescent="0.35">
      <c r="A6" s="351">
        <v>1</v>
      </c>
      <c r="B6" s="329" t="s">
        <v>1633</v>
      </c>
      <c r="C6"/>
    </row>
    <row r="7" spans="1:3" x14ac:dyDescent="0.35">
      <c r="A7" s="351">
        <v>2</v>
      </c>
      <c r="B7" s="329" t="s">
        <v>1634</v>
      </c>
      <c r="C7"/>
    </row>
    <row r="8" spans="1:3" x14ac:dyDescent="0.35">
      <c r="A8" s="351">
        <v>3</v>
      </c>
      <c r="B8" s="329" t="s">
        <v>1635</v>
      </c>
      <c r="C8"/>
    </row>
    <row r="9" spans="1:3" x14ac:dyDescent="0.35">
      <c r="A9" s="351">
        <v>4</v>
      </c>
      <c r="B9" s="300" t="s">
        <v>1636</v>
      </c>
      <c r="C9"/>
    </row>
    <row r="10" spans="1:3" x14ac:dyDescent="0.35">
      <c r="A10" s="351">
        <v>5</v>
      </c>
      <c r="B10" s="300" t="s">
        <v>1637</v>
      </c>
      <c r="C10"/>
    </row>
    <row r="11" spans="1:3" x14ac:dyDescent="0.35">
      <c r="A11" s="352" t="s">
        <v>170</v>
      </c>
      <c r="B11" s="360">
        <v>0</v>
      </c>
      <c r="C11"/>
    </row>
    <row r="12" spans="1:3" x14ac:dyDescent="0.35">
      <c r="B12"/>
      <c r="C12"/>
    </row>
    <row r="13" spans="1:3" x14ac:dyDescent="0.35">
      <c r="A13" s="236" t="s">
        <v>403</v>
      </c>
    </row>
    <row r="14" spans="1:3" x14ac:dyDescent="0.35">
      <c r="A14" s="2"/>
    </row>
    <row r="15" spans="1:3" x14ac:dyDescent="0.35">
      <c r="A15" s="251" t="s">
        <v>323</v>
      </c>
      <c r="B15" s="251" t="s">
        <v>769</v>
      </c>
      <c r="C15" s="251" t="s">
        <v>404</v>
      </c>
    </row>
    <row r="16" spans="1:3" x14ac:dyDescent="0.35">
      <c r="A16" s="242" t="s">
        <v>378</v>
      </c>
      <c r="B16" s="252" t="s">
        <v>322</v>
      </c>
      <c r="C16" s="252" t="s">
        <v>128</v>
      </c>
    </row>
    <row r="17" spans="1:3" x14ac:dyDescent="0.35">
      <c r="A17" s="253" t="s">
        <v>433</v>
      </c>
      <c r="B17" s="254">
        <v>2050</v>
      </c>
      <c r="C17" s="254">
        <v>2</v>
      </c>
    </row>
    <row r="18" spans="1:3" x14ac:dyDescent="0.35">
      <c r="A18" s="253" t="s">
        <v>434</v>
      </c>
      <c r="B18" s="254">
        <v>2050</v>
      </c>
      <c r="C18" s="254">
        <v>2</v>
      </c>
    </row>
    <row r="19" spans="1:3" x14ac:dyDescent="0.35">
      <c r="A19" s="253" t="s">
        <v>435</v>
      </c>
      <c r="B19" s="254">
        <v>2050</v>
      </c>
      <c r="C19" s="254">
        <v>2</v>
      </c>
    </row>
    <row r="20" spans="1:3" x14ac:dyDescent="0.35">
      <c r="A20" s="253" t="s">
        <v>436</v>
      </c>
      <c r="B20" s="254">
        <v>2050</v>
      </c>
      <c r="C20" s="254">
        <v>2</v>
      </c>
    </row>
    <row r="21" spans="1:3" x14ac:dyDescent="0.35">
      <c r="A21" s="253" t="s">
        <v>437</v>
      </c>
      <c r="B21" s="254">
        <v>2050</v>
      </c>
      <c r="C21" s="254">
        <v>2</v>
      </c>
    </row>
    <row r="22" spans="1:3" x14ac:dyDescent="0.35">
      <c r="A22" s="253" t="s">
        <v>438</v>
      </c>
      <c r="B22" s="254">
        <v>2050</v>
      </c>
      <c r="C22" s="254">
        <v>2</v>
      </c>
    </row>
    <row r="23" spans="1:3" x14ac:dyDescent="0.35">
      <c r="A23" s="253" t="s">
        <v>439</v>
      </c>
      <c r="B23" s="254">
        <v>2050</v>
      </c>
      <c r="C23" s="254">
        <v>2</v>
      </c>
    </row>
    <row r="24" spans="1:3" x14ac:dyDescent="0.35">
      <c r="A24" s="253" t="s">
        <v>440</v>
      </c>
      <c r="B24" s="254">
        <v>2050</v>
      </c>
      <c r="C24" s="254">
        <v>2</v>
      </c>
    </row>
    <row r="25" spans="1:3" x14ac:dyDescent="0.35">
      <c r="A25" s="253" t="s">
        <v>441</v>
      </c>
      <c r="B25" s="254">
        <v>2050</v>
      </c>
      <c r="C25" s="254">
        <v>2</v>
      </c>
    </row>
    <row r="26" spans="1:3" x14ac:dyDescent="0.35">
      <c r="A26" s="253" t="s">
        <v>442</v>
      </c>
      <c r="B26" s="254">
        <v>2050</v>
      </c>
      <c r="C26" s="254">
        <v>2</v>
      </c>
    </row>
    <row r="27" spans="1:3" x14ac:dyDescent="0.35">
      <c r="A27" s="253" t="s">
        <v>443</v>
      </c>
      <c r="B27" s="254">
        <v>2050</v>
      </c>
      <c r="C27" s="254">
        <v>2</v>
      </c>
    </row>
    <row r="28" spans="1:3" x14ac:dyDescent="0.35">
      <c r="A28" s="253" t="s">
        <v>444</v>
      </c>
      <c r="B28" s="254">
        <v>2050</v>
      </c>
      <c r="C28" s="254">
        <v>2</v>
      </c>
    </row>
    <row r="29" spans="1:3" x14ac:dyDescent="0.35">
      <c r="A29" s="253" t="s">
        <v>445</v>
      </c>
      <c r="B29" s="254">
        <v>2050</v>
      </c>
      <c r="C29" s="254">
        <v>2</v>
      </c>
    </row>
    <row r="30" spans="1:3" x14ac:dyDescent="0.35">
      <c r="A30" s="253" t="s">
        <v>446</v>
      </c>
      <c r="B30" s="254">
        <v>2050</v>
      </c>
      <c r="C30" s="254">
        <v>2</v>
      </c>
    </row>
    <row r="31" spans="1:3" x14ac:dyDescent="0.35">
      <c r="A31" s="253" t="s">
        <v>447</v>
      </c>
      <c r="B31" s="254">
        <v>2050</v>
      </c>
      <c r="C31" s="254">
        <v>2</v>
      </c>
    </row>
    <row r="32" spans="1:3" x14ac:dyDescent="0.35">
      <c r="A32" s="253" t="s">
        <v>448</v>
      </c>
      <c r="B32" s="254">
        <v>2050</v>
      </c>
      <c r="C32" s="254">
        <v>2</v>
      </c>
    </row>
    <row r="33" spans="1:3" x14ac:dyDescent="0.35">
      <c r="A33" s="253" t="s">
        <v>449</v>
      </c>
      <c r="B33" s="254">
        <v>2050</v>
      </c>
      <c r="C33" s="254">
        <v>2</v>
      </c>
    </row>
    <row r="34" spans="1:3" x14ac:dyDescent="0.35">
      <c r="A34" s="253" t="s">
        <v>450</v>
      </c>
      <c r="B34" s="254">
        <v>2050</v>
      </c>
      <c r="C34" s="254">
        <v>2</v>
      </c>
    </row>
    <row r="35" spans="1:3" x14ac:dyDescent="0.35">
      <c r="A35" s="253" t="s">
        <v>451</v>
      </c>
      <c r="B35" s="254">
        <v>2050</v>
      </c>
      <c r="C35" s="254">
        <v>2</v>
      </c>
    </row>
    <row r="36" spans="1:3" x14ac:dyDescent="0.35">
      <c r="A36" s="253" t="s">
        <v>452</v>
      </c>
      <c r="B36" s="254">
        <v>2050</v>
      </c>
      <c r="C36" s="254">
        <v>2</v>
      </c>
    </row>
    <row r="37" spans="1:3" x14ac:dyDescent="0.35">
      <c r="A37" s="253" t="s">
        <v>453</v>
      </c>
      <c r="B37" s="254">
        <v>2050</v>
      </c>
      <c r="C37" s="254">
        <v>2</v>
      </c>
    </row>
    <row r="38" spans="1:3" x14ac:dyDescent="0.35">
      <c r="A38" s="253" t="s">
        <v>454</v>
      </c>
      <c r="B38" s="254">
        <v>2050</v>
      </c>
      <c r="C38" s="254">
        <v>2</v>
      </c>
    </row>
    <row r="39" spans="1:3" x14ac:dyDescent="0.35">
      <c r="A39" s="253" t="s">
        <v>455</v>
      </c>
      <c r="B39" s="254">
        <v>2050</v>
      </c>
      <c r="C39" s="254">
        <v>2</v>
      </c>
    </row>
    <row r="40" spans="1:3" x14ac:dyDescent="0.35">
      <c r="A40" s="253" t="s">
        <v>456</v>
      </c>
      <c r="B40" s="254">
        <v>2050</v>
      </c>
      <c r="C40" s="254">
        <v>2</v>
      </c>
    </row>
    <row r="41" spans="1:3" x14ac:dyDescent="0.35">
      <c r="A41" s="253" t="s">
        <v>457</v>
      </c>
      <c r="B41" s="254">
        <v>2050</v>
      </c>
      <c r="C41" s="254">
        <v>2</v>
      </c>
    </row>
    <row r="42" spans="1:3" x14ac:dyDescent="0.35">
      <c r="A42" s="253" t="s">
        <v>458</v>
      </c>
      <c r="B42" s="254">
        <v>2050</v>
      </c>
      <c r="C42" s="254">
        <v>2</v>
      </c>
    </row>
    <row r="43" spans="1:3" x14ac:dyDescent="0.35">
      <c r="A43" s="253" t="s">
        <v>459</v>
      </c>
      <c r="B43" s="254">
        <v>2050</v>
      </c>
      <c r="C43" s="254">
        <v>2</v>
      </c>
    </row>
    <row r="44" spans="1:3" x14ac:dyDescent="0.35">
      <c r="A44" s="253" t="s">
        <v>460</v>
      </c>
      <c r="B44" s="254">
        <v>2050</v>
      </c>
      <c r="C44" s="254">
        <v>2</v>
      </c>
    </row>
    <row r="45" spans="1:3" x14ac:dyDescent="0.35">
      <c r="A45" s="253" t="s">
        <v>461</v>
      </c>
      <c r="B45" s="254">
        <v>2050</v>
      </c>
      <c r="C45" s="254">
        <v>2</v>
      </c>
    </row>
    <row r="46" spans="1:3" x14ac:dyDescent="0.35">
      <c r="A46" s="253" t="s">
        <v>164</v>
      </c>
      <c r="B46" s="254">
        <v>2050</v>
      </c>
      <c r="C46" s="254">
        <v>2</v>
      </c>
    </row>
    <row r="47" spans="1:3" x14ac:dyDescent="0.35">
      <c r="A47" s="253" t="s">
        <v>86</v>
      </c>
      <c r="B47" s="254">
        <v>2050</v>
      </c>
      <c r="C47" s="254">
        <v>2</v>
      </c>
    </row>
    <row r="48" spans="1:3" x14ac:dyDescent="0.35">
      <c r="A48" s="253" t="s">
        <v>87</v>
      </c>
      <c r="B48" s="254">
        <v>2050</v>
      </c>
      <c r="C48" s="254">
        <v>2</v>
      </c>
    </row>
    <row r="49" spans="1:3" x14ac:dyDescent="0.35">
      <c r="A49" s="253" t="s">
        <v>88</v>
      </c>
      <c r="B49" s="254">
        <v>2050</v>
      </c>
      <c r="C49" s="254">
        <v>2</v>
      </c>
    </row>
    <row r="50" spans="1:3" x14ac:dyDescent="0.35">
      <c r="A50" s="253" t="s">
        <v>89</v>
      </c>
      <c r="B50" s="254">
        <v>2050</v>
      </c>
      <c r="C50" s="254">
        <v>2</v>
      </c>
    </row>
    <row r="51" spans="1:3" x14ac:dyDescent="0.35">
      <c r="A51" s="253" t="s">
        <v>90</v>
      </c>
      <c r="B51" s="254">
        <v>2050</v>
      </c>
      <c r="C51" s="254">
        <v>2</v>
      </c>
    </row>
    <row r="52" spans="1:3" x14ac:dyDescent="0.35">
      <c r="A52" s="59"/>
      <c r="B52" s="145"/>
      <c r="C52" s="145"/>
    </row>
    <row r="53" spans="1:3" x14ac:dyDescent="0.35">
      <c r="A53" s="236" t="s">
        <v>427</v>
      </c>
      <c r="B53"/>
      <c r="C53"/>
    </row>
    <row r="54" spans="1:3" x14ac:dyDescent="0.35">
      <c r="A54" s="255" t="s">
        <v>323</v>
      </c>
      <c r="B54" s="231" t="s">
        <v>912</v>
      </c>
      <c r="C54" s="231" t="s">
        <v>913</v>
      </c>
    </row>
    <row r="55" spans="1:3" x14ac:dyDescent="0.35">
      <c r="A55" s="256" t="s">
        <v>378</v>
      </c>
      <c r="B55" s="257" t="s">
        <v>322</v>
      </c>
      <c r="C55" s="257" t="s">
        <v>128</v>
      </c>
    </row>
    <row r="56" spans="1:3" x14ac:dyDescent="0.35">
      <c r="A56" s="253" t="s">
        <v>49</v>
      </c>
      <c r="B56" s="254">
        <v>2050</v>
      </c>
      <c r="C56" s="258">
        <v>2</v>
      </c>
    </row>
    <row r="57" spans="1:3" x14ac:dyDescent="0.35">
      <c r="A57" s="253" t="s">
        <v>57</v>
      </c>
      <c r="B57" s="254">
        <v>2050</v>
      </c>
      <c r="C57" s="258">
        <v>2</v>
      </c>
    </row>
    <row r="58" spans="1:3" x14ac:dyDescent="0.35">
      <c r="A58" s="253" t="s">
        <v>58</v>
      </c>
      <c r="B58" s="254">
        <v>2050</v>
      </c>
      <c r="C58" s="258">
        <v>2</v>
      </c>
    </row>
    <row r="59" spans="1:3" x14ac:dyDescent="0.35">
      <c r="A59" s="253" t="s">
        <v>59</v>
      </c>
      <c r="B59" s="254">
        <v>2050</v>
      </c>
      <c r="C59" s="258">
        <v>2</v>
      </c>
    </row>
    <row r="60" spans="1:3" x14ac:dyDescent="0.35">
      <c r="A60" s="253" t="s">
        <v>60</v>
      </c>
      <c r="B60" s="254">
        <v>2050</v>
      </c>
      <c r="C60" s="258">
        <v>2</v>
      </c>
    </row>
    <row r="61" spans="1:3" x14ac:dyDescent="0.35">
      <c r="A61" s="253" t="s">
        <v>61</v>
      </c>
      <c r="B61" s="254">
        <v>2050</v>
      </c>
      <c r="C61" s="258">
        <v>2</v>
      </c>
    </row>
    <row r="62" spans="1:3" x14ac:dyDescent="0.35">
      <c r="A62" s="253" t="s">
        <v>62</v>
      </c>
      <c r="B62" s="254">
        <v>2050</v>
      </c>
      <c r="C62" s="258">
        <v>2</v>
      </c>
    </row>
    <row r="63" spans="1:3" x14ac:dyDescent="0.35">
      <c r="A63" s="253" t="s">
        <v>63</v>
      </c>
      <c r="B63" s="254">
        <v>2050</v>
      </c>
      <c r="C63" s="258">
        <v>2</v>
      </c>
    </row>
    <row r="64" spans="1:3" x14ac:dyDescent="0.35">
      <c r="A64" s="253" t="s">
        <v>64</v>
      </c>
      <c r="B64" s="254">
        <v>2050</v>
      </c>
      <c r="C64" s="258">
        <v>2</v>
      </c>
    </row>
    <row r="65" spans="1:3" x14ac:dyDescent="0.35">
      <c r="A65" s="253" t="s">
        <v>65</v>
      </c>
      <c r="B65" s="254">
        <v>2050</v>
      </c>
      <c r="C65" s="258">
        <v>2</v>
      </c>
    </row>
    <row r="66" spans="1:3" x14ac:dyDescent="0.35">
      <c r="A66" s="253" t="s">
        <v>66</v>
      </c>
      <c r="B66" s="254">
        <v>2050</v>
      </c>
      <c r="C66" s="258">
        <v>2</v>
      </c>
    </row>
    <row r="67" spans="1:3" x14ac:dyDescent="0.35">
      <c r="A67" s="253" t="s">
        <v>67</v>
      </c>
      <c r="B67" s="254">
        <v>2050</v>
      </c>
      <c r="C67" s="258">
        <v>2</v>
      </c>
    </row>
    <row r="68" spans="1:3" x14ac:dyDescent="0.35">
      <c r="A68" s="253" t="s">
        <v>68</v>
      </c>
      <c r="B68" s="254">
        <v>2050</v>
      </c>
      <c r="C68" s="258">
        <v>2</v>
      </c>
    </row>
    <row r="69" spans="1:3" x14ac:dyDescent="0.35">
      <c r="A69" s="253" t="s">
        <v>69</v>
      </c>
      <c r="B69" s="254">
        <v>2050</v>
      </c>
      <c r="C69" s="258">
        <v>2</v>
      </c>
    </row>
    <row r="70" spans="1:3" x14ac:dyDescent="0.35">
      <c r="A70" s="253" t="s">
        <v>70</v>
      </c>
      <c r="B70" s="254">
        <v>2050</v>
      </c>
      <c r="C70" s="258">
        <v>2</v>
      </c>
    </row>
    <row r="71" spans="1:3" x14ac:dyDescent="0.35">
      <c r="A71" s="253" t="s">
        <v>71</v>
      </c>
      <c r="B71" s="254">
        <v>2050</v>
      </c>
      <c r="C71" s="258">
        <v>2</v>
      </c>
    </row>
    <row r="72" spans="1:3" x14ac:dyDescent="0.35">
      <c r="A72" s="253" t="s">
        <v>72</v>
      </c>
      <c r="B72" s="254">
        <v>2050</v>
      </c>
      <c r="C72" s="258">
        <v>2</v>
      </c>
    </row>
    <row r="73" spans="1:3" x14ac:dyDescent="0.35">
      <c r="A73" s="253" t="s">
        <v>73</v>
      </c>
      <c r="B73" s="254">
        <v>2050</v>
      </c>
      <c r="C73" s="258">
        <v>2</v>
      </c>
    </row>
    <row r="74" spans="1:3" x14ac:dyDescent="0.35">
      <c r="A74" s="253" t="s">
        <v>74</v>
      </c>
      <c r="B74" s="254">
        <v>2050</v>
      </c>
      <c r="C74" s="258">
        <v>2</v>
      </c>
    </row>
    <row r="75" spans="1:3" x14ac:dyDescent="0.35">
      <c r="A75" s="253" t="s">
        <v>75</v>
      </c>
      <c r="B75" s="254">
        <v>2050</v>
      </c>
      <c r="C75" s="258">
        <v>2</v>
      </c>
    </row>
    <row r="76" spans="1:3" x14ac:dyDescent="0.35">
      <c r="A76" s="253" t="s">
        <v>76</v>
      </c>
      <c r="B76" s="254">
        <v>2050</v>
      </c>
      <c r="C76" s="258">
        <v>2</v>
      </c>
    </row>
    <row r="77" spans="1:3" x14ac:dyDescent="0.35">
      <c r="A77" s="253" t="s">
        <v>77</v>
      </c>
      <c r="B77" s="254">
        <v>2050</v>
      </c>
      <c r="C77" s="258">
        <v>2</v>
      </c>
    </row>
    <row r="78" spans="1:3" x14ac:dyDescent="0.35">
      <c r="A78" s="253" t="s">
        <v>78</v>
      </c>
      <c r="B78" s="254">
        <v>2050</v>
      </c>
      <c r="C78" s="258">
        <v>2</v>
      </c>
    </row>
    <row r="79" spans="1:3" x14ac:dyDescent="0.35">
      <c r="A79" s="253" t="s">
        <v>79</v>
      </c>
      <c r="B79" s="254">
        <v>2050</v>
      </c>
      <c r="C79" s="258">
        <v>2</v>
      </c>
    </row>
    <row r="80" spans="1:3" x14ac:dyDescent="0.35">
      <c r="A80" s="253" t="s">
        <v>80</v>
      </c>
      <c r="B80" s="254">
        <v>2050</v>
      </c>
      <c r="C80" s="258">
        <v>2</v>
      </c>
    </row>
    <row r="81" spans="1:3" x14ac:dyDescent="0.35">
      <c r="A81" s="253" t="s">
        <v>81</v>
      </c>
      <c r="B81" s="254">
        <v>2050</v>
      </c>
      <c r="C81" s="258">
        <v>2</v>
      </c>
    </row>
    <row r="82" spans="1:3" x14ac:dyDescent="0.35">
      <c r="A82" s="253" t="s">
        <v>82</v>
      </c>
      <c r="B82" s="254">
        <v>2050</v>
      </c>
      <c r="C82" s="258">
        <v>2</v>
      </c>
    </row>
    <row r="83" spans="1:3" x14ac:dyDescent="0.35">
      <c r="A83" s="253" t="s">
        <v>83</v>
      </c>
      <c r="B83" s="254">
        <v>2050</v>
      </c>
      <c r="C83" s="258">
        <v>2</v>
      </c>
    </row>
    <row r="84" spans="1:3" x14ac:dyDescent="0.35">
      <c r="A84" s="253" t="s">
        <v>84</v>
      </c>
      <c r="B84" s="254">
        <v>2050</v>
      </c>
      <c r="C84" s="258">
        <v>2</v>
      </c>
    </row>
    <row r="85" spans="1:3" x14ac:dyDescent="0.35">
      <c r="A85" s="253" t="s">
        <v>85</v>
      </c>
      <c r="B85" s="254">
        <v>2050</v>
      </c>
      <c r="C85" s="258">
        <v>2</v>
      </c>
    </row>
    <row r="86" spans="1:3" x14ac:dyDescent="0.35">
      <c r="A86" s="253" t="s">
        <v>86</v>
      </c>
      <c r="B86" s="254">
        <v>2050</v>
      </c>
      <c r="C86" s="258">
        <v>2</v>
      </c>
    </row>
    <row r="87" spans="1:3" x14ac:dyDescent="0.35">
      <c r="A87" s="253" t="s">
        <v>87</v>
      </c>
      <c r="B87" s="254">
        <v>2050</v>
      </c>
      <c r="C87" s="258">
        <v>2</v>
      </c>
    </row>
    <row r="88" spans="1:3" x14ac:dyDescent="0.35">
      <c r="A88" s="253" t="s">
        <v>88</v>
      </c>
      <c r="B88" s="254">
        <v>2050</v>
      </c>
      <c r="C88" s="258">
        <v>2</v>
      </c>
    </row>
    <row r="89" spans="1:3" x14ac:dyDescent="0.35">
      <c r="A89" s="253" t="s">
        <v>89</v>
      </c>
      <c r="B89" s="254">
        <v>2050</v>
      </c>
      <c r="C89" s="258">
        <v>2</v>
      </c>
    </row>
    <row r="90" spans="1:3" x14ac:dyDescent="0.35">
      <c r="A90" s="253" t="s">
        <v>90</v>
      </c>
      <c r="B90" s="254">
        <v>2050</v>
      </c>
      <c r="C90" s="258">
        <v>2</v>
      </c>
    </row>
    <row r="91" spans="1:3" x14ac:dyDescent="0.35">
      <c r="A91" s="59"/>
      <c r="B91" s="145"/>
      <c r="C91" s="145"/>
    </row>
    <row r="92" spans="1:3" x14ac:dyDescent="0.35">
      <c r="A92" s="236" t="s">
        <v>429</v>
      </c>
    </row>
    <row r="93" spans="1:3" x14ac:dyDescent="0.35">
      <c r="A93" s="231" t="s">
        <v>323</v>
      </c>
      <c r="B93" s="231" t="s">
        <v>430</v>
      </c>
    </row>
    <row r="94" spans="1:3" x14ac:dyDescent="0.35">
      <c r="A94" s="242" t="s">
        <v>378</v>
      </c>
      <c r="B94" s="48" t="s">
        <v>128</v>
      </c>
    </row>
    <row r="95" spans="1:3" x14ac:dyDescent="0.35">
      <c r="A95" s="259">
        <v>0</v>
      </c>
      <c r="B95" s="237" t="s">
        <v>250</v>
      </c>
    </row>
    <row r="96" spans="1:3" x14ac:dyDescent="0.35">
      <c r="A96" s="259">
        <v>1</v>
      </c>
      <c r="B96" s="237" t="s">
        <v>847</v>
      </c>
    </row>
    <row r="97" spans="1:36" ht="15" thickBot="1" x14ac:dyDescent="0.4">
      <c r="A97" s="238" t="s">
        <v>170</v>
      </c>
      <c r="B97" s="141">
        <v>1</v>
      </c>
    </row>
    <row r="98" spans="1:36" x14ac:dyDescent="0.35">
      <c r="A98" s="238"/>
      <c r="B98" s="260"/>
    </row>
    <row r="99" spans="1:36" x14ac:dyDescent="0.35">
      <c r="A99" s="231" t="s">
        <v>323</v>
      </c>
      <c r="B99" s="231" t="s">
        <v>683</v>
      </c>
    </row>
    <row r="100" spans="1:36" x14ac:dyDescent="0.35">
      <c r="A100" s="238" t="s">
        <v>380</v>
      </c>
      <c r="B100" s="48" t="s">
        <v>12</v>
      </c>
    </row>
    <row r="101" spans="1:36" x14ac:dyDescent="0.35">
      <c r="A101" s="238" t="s">
        <v>127</v>
      </c>
      <c r="B101" s="261">
        <v>2020</v>
      </c>
    </row>
    <row r="102" spans="1:36" x14ac:dyDescent="0.35">
      <c r="A102" s="238"/>
      <c r="B102" s="260"/>
    </row>
    <row r="103" spans="1:36" x14ac:dyDescent="0.35">
      <c r="A103" s="231" t="s">
        <v>323</v>
      </c>
      <c r="B103" s="231" t="s">
        <v>770</v>
      </c>
    </row>
    <row r="104" spans="1:36" x14ac:dyDescent="0.35">
      <c r="A104" s="242" t="s">
        <v>378</v>
      </c>
      <c r="B104" s="229" t="s">
        <v>128</v>
      </c>
    </row>
    <row r="105" spans="1:36" ht="15" thickBot="1" x14ac:dyDescent="0.4">
      <c r="A105" s="253" t="s">
        <v>433</v>
      </c>
      <c r="B105" s="139">
        <v>6.7638094652093458E-3</v>
      </c>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7"/>
      <c r="AF105" s="127"/>
      <c r="AG105" s="127"/>
      <c r="AH105" s="127"/>
      <c r="AI105" s="127"/>
      <c r="AJ105" s="127"/>
    </row>
    <row r="106" spans="1:36" ht="15" thickBot="1" x14ac:dyDescent="0.4">
      <c r="A106" s="253" t="s">
        <v>434</v>
      </c>
      <c r="B106" s="140">
        <v>6.0517171836007855E-3</v>
      </c>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7"/>
      <c r="AF106" s="127"/>
      <c r="AG106" s="127"/>
      <c r="AH106" s="127"/>
      <c r="AI106" s="127"/>
      <c r="AJ106" s="127"/>
    </row>
    <row r="107" spans="1:36" ht="15" thickBot="1" x14ac:dyDescent="0.4">
      <c r="A107" s="253" t="s">
        <v>435</v>
      </c>
      <c r="B107" s="140">
        <v>7.7984313042458895E-3</v>
      </c>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c r="AD107" s="127"/>
      <c r="AE107" s="127"/>
      <c r="AF107" s="127"/>
      <c r="AG107" s="127"/>
      <c r="AH107" s="127"/>
      <c r="AI107" s="127"/>
      <c r="AJ107" s="127"/>
    </row>
    <row r="108" spans="1:36" ht="15" thickBot="1" x14ac:dyDescent="0.4">
      <c r="A108" s="253" t="s">
        <v>436</v>
      </c>
      <c r="B108" s="140">
        <v>1.1432512756108498E-2</v>
      </c>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7"/>
      <c r="AF108" s="127"/>
      <c r="AG108" s="127"/>
      <c r="AH108" s="127"/>
      <c r="AI108" s="127"/>
      <c r="AJ108" s="127"/>
    </row>
    <row r="109" spans="1:36" ht="15" thickBot="1" x14ac:dyDescent="0.4">
      <c r="A109" s="253" t="s">
        <v>437</v>
      </c>
      <c r="B109" s="140">
        <v>2.5111601733975593E-2</v>
      </c>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7"/>
      <c r="AF109" s="127"/>
      <c r="AG109" s="127"/>
      <c r="AH109" s="127"/>
      <c r="AI109" s="127"/>
      <c r="AJ109" s="127"/>
    </row>
    <row r="110" spans="1:36" ht="15" thickBot="1" x14ac:dyDescent="0.4">
      <c r="A110" s="253" t="s">
        <v>438</v>
      </c>
      <c r="B110" s="140">
        <v>3.7858541191296614E-3</v>
      </c>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c r="AD110" s="127"/>
      <c r="AE110" s="127"/>
      <c r="AF110" s="127"/>
      <c r="AG110" s="127"/>
      <c r="AH110" s="127"/>
      <c r="AI110" s="127"/>
      <c r="AJ110" s="127"/>
    </row>
    <row r="111" spans="1:36" ht="15" thickBot="1" x14ac:dyDescent="0.4">
      <c r="A111" s="253" t="s">
        <v>439</v>
      </c>
      <c r="B111" s="140">
        <v>5.108581845221092E-3</v>
      </c>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c r="AD111" s="127"/>
      <c r="AE111" s="127"/>
      <c r="AF111" s="127"/>
      <c r="AG111" s="127"/>
      <c r="AH111" s="127"/>
      <c r="AI111" s="127"/>
      <c r="AJ111" s="127"/>
    </row>
    <row r="112" spans="1:36" ht="15" thickBot="1" x14ac:dyDescent="0.4">
      <c r="A112" s="253" t="s">
        <v>440</v>
      </c>
      <c r="B112" s="140">
        <v>7.8017258026502846E-3</v>
      </c>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c r="AD112" s="127"/>
      <c r="AE112" s="127"/>
      <c r="AF112" s="127"/>
      <c r="AG112" s="127"/>
      <c r="AH112" s="127"/>
      <c r="AI112" s="127"/>
      <c r="AJ112" s="127"/>
    </row>
    <row r="113" spans="1:36" ht="15" thickBot="1" x14ac:dyDescent="0.4">
      <c r="A113" s="253" t="s">
        <v>441</v>
      </c>
      <c r="B113" s="140">
        <v>3.0320098344720284E-3</v>
      </c>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row>
    <row r="114" spans="1:36" ht="15" thickBot="1" x14ac:dyDescent="0.4">
      <c r="A114" s="253" t="s">
        <v>442</v>
      </c>
      <c r="B114" s="140">
        <v>5.2085601839995709E-3</v>
      </c>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7"/>
      <c r="AF114" s="127"/>
      <c r="AG114" s="127"/>
      <c r="AH114" s="127"/>
      <c r="AI114" s="127"/>
      <c r="AJ114" s="127"/>
    </row>
    <row r="115" spans="1:36" ht="15" thickBot="1" x14ac:dyDescent="0.4">
      <c r="A115" s="253" t="s">
        <v>443</v>
      </c>
      <c r="B115" s="140">
        <v>6.7653358045530994E-3</v>
      </c>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row>
    <row r="116" spans="1:36" ht="15" thickBot="1" x14ac:dyDescent="0.4">
      <c r="A116" s="253" t="s">
        <v>444</v>
      </c>
      <c r="B116" s="140">
        <v>9.8700339417379622E-3</v>
      </c>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c r="AH116" s="127"/>
      <c r="AI116" s="127"/>
      <c r="AJ116" s="127"/>
    </row>
    <row r="117" spans="1:36" ht="15" thickBot="1" x14ac:dyDescent="0.4">
      <c r="A117" s="253" t="s">
        <v>445</v>
      </c>
      <c r="B117" s="140">
        <v>5.0849162782492198E-3</v>
      </c>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c r="AD117" s="127"/>
      <c r="AE117" s="127"/>
      <c r="AF117" s="127"/>
      <c r="AG117" s="127"/>
      <c r="AH117" s="127"/>
      <c r="AI117" s="127"/>
      <c r="AJ117" s="127"/>
    </row>
    <row r="118" spans="1:36" ht="15" thickBot="1" x14ac:dyDescent="0.4">
      <c r="A118" s="253" t="s">
        <v>446</v>
      </c>
      <c r="B118" s="140">
        <v>8.1738329729474125E-3</v>
      </c>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c r="AD118" s="127"/>
      <c r="AE118" s="127"/>
      <c r="AF118" s="127"/>
      <c r="AG118" s="127"/>
      <c r="AH118" s="127"/>
      <c r="AI118" s="127"/>
      <c r="AJ118" s="127"/>
    </row>
    <row r="119" spans="1:36" ht="15" thickBot="1" x14ac:dyDescent="0.4">
      <c r="A119" s="253" t="s">
        <v>447</v>
      </c>
      <c r="B119" s="140">
        <v>5.0635419117172099E-3</v>
      </c>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c r="AD119" s="127"/>
      <c r="AE119" s="127"/>
      <c r="AF119" s="127"/>
      <c r="AG119" s="127"/>
      <c r="AH119" s="127"/>
      <c r="AI119" s="127"/>
      <c r="AJ119" s="127"/>
    </row>
    <row r="120" spans="1:36" ht="15" thickBot="1" x14ac:dyDescent="0.4">
      <c r="A120" s="253" t="s">
        <v>448</v>
      </c>
      <c r="B120" s="140">
        <v>1.4625487128787217E-2</v>
      </c>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c r="AD120" s="127"/>
      <c r="AE120" s="127"/>
      <c r="AF120" s="127"/>
      <c r="AG120" s="127"/>
      <c r="AH120" s="127"/>
      <c r="AI120" s="127"/>
      <c r="AJ120" s="127"/>
    </row>
    <row r="121" spans="1:36" ht="15" thickBot="1" x14ac:dyDescent="0.4">
      <c r="A121" s="253" t="s">
        <v>449</v>
      </c>
      <c r="B121" s="140">
        <v>1.7020425175451041E-2</v>
      </c>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27"/>
      <c r="AF121" s="127"/>
      <c r="AG121" s="127"/>
      <c r="AH121" s="127"/>
      <c r="AI121" s="127"/>
      <c r="AJ121" s="127"/>
    </row>
    <row r="122" spans="1:36" ht="15" thickBot="1" x14ac:dyDescent="0.4">
      <c r="A122" s="253" t="s">
        <v>450</v>
      </c>
      <c r="B122" s="140">
        <v>2.5743494823914276E-2</v>
      </c>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c r="AD122" s="127"/>
      <c r="AE122" s="127"/>
      <c r="AF122" s="127"/>
      <c r="AG122" s="127"/>
      <c r="AH122" s="127"/>
      <c r="AI122" s="127"/>
      <c r="AJ122" s="127"/>
    </row>
    <row r="123" spans="1:36" ht="15" thickBot="1" x14ac:dyDescent="0.4">
      <c r="A123" s="253" t="s">
        <v>451</v>
      </c>
      <c r="B123" s="140">
        <v>2.447970864403691E-2</v>
      </c>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127"/>
      <c r="AF123" s="127"/>
      <c r="AG123" s="127"/>
      <c r="AH123" s="127"/>
      <c r="AI123" s="127"/>
      <c r="AJ123" s="127"/>
    </row>
    <row r="124" spans="1:36" ht="15" thickBot="1" x14ac:dyDescent="0.4">
      <c r="A124" s="253" t="s">
        <v>452</v>
      </c>
      <c r="B124" s="140">
        <v>6.5774558915870432E-3</v>
      </c>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c r="AH124" s="127"/>
      <c r="AI124" s="127"/>
      <c r="AJ124" s="127"/>
    </row>
    <row r="125" spans="1:36" ht="15" thickBot="1" x14ac:dyDescent="0.4">
      <c r="A125" s="253" t="s">
        <v>453</v>
      </c>
      <c r="B125" s="140">
        <v>4.7801411029414782E-3</v>
      </c>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7"/>
      <c r="AF125" s="127"/>
      <c r="AG125" s="127"/>
      <c r="AH125" s="127"/>
      <c r="AI125" s="127"/>
      <c r="AJ125" s="127"/>
    </row>
    <row r="126" spans="1:36" ht="15" thickBot="1" x14ac:dyDescent="0.4">
      <c r="A126" s="253" t="s">
        <v>454</v>
      </c>
      <c r="B126" s="140">
        <v>9.405439016020492E-3</v>
      </c>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c r="AD126" s="127"/>
      <c r="AE126" s="127"/>
      <c r="AF126" s="127"/>
      <c r="AG126" s="127"/>
      <c r="AH126" s="127"/>
      <c r="AI126" s="127"/>
      <c r="AJ126" s="127"/>
    </row>
    <row r="127" spans="1:36" ht="15" thickBot="1" x14ac:dyDescent="0.4">
      <c r="A127" s="253" t="s">
        <v>455</v>
      </c>
      <c r="B127" s="140">
        <v>1.10735976213417E-2</v>
      </c>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c r="AD127" s="127"/>
      <c r="AE127" s="127"/>
      <c r="AF127" s="127"/>
      <c r="AG127" s="127"/>
      <c r="AH127" s="127"/>
      <c r="AI127" s="127"/>
      <c r="AJ127" s="127"/>
    </row>
    <row r="128" spans="1:36" ht="15" thickBot="1" x14ac:dyDescent="0.4">
      <c r="A128" s="253" t="s">
        <v>456</v>
      </c>
      <c r="B128" s="140">
        <v>3.5934788599779159E-3</v>
      </c>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row>
    <row r="129" spans="1:36" ht="15" thickBot="1" x14ac:dyDescent="0.4">
      <c r="A129" s="253" t="s">
        <v>457</v>
      </c>
      <c r="B129" s="140">
        <v>7.0714026030333152E-3</v>
      </c>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7"/>
    </row>
    <row r="130" spans="1:36" ht="15" thickBot="1" x14ac:dyDescent="0.4">
      <c r="A130" s="253" t="s">
        <v>458</v>
      </c>
      <c r="B130" s="140">
        <v>6.1640668342778015E-3</v>
      </c>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c r="AD130" s="127"/>
      <c r="AE130" s="127"/>
      <c r="AF130" s="127"/>
      <c r="AG130" s="127"/>
      <c r="AH130" s="127"/>
      <c r="AI130" s="127"/>
      <c r="AJ130" s="127"/>
    </row>
    <row r="131" spans="1:36" ht="15" thickBot="1" x14ac:dyDescent="0.4">
      <c r="A131" s="253" t="s">
        <v>459</v>
      </c>
      <c r="B131" s="140">
        <v>7.1498562870118427E-3</v>
      </c>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c r="AD131" s="127"/>
      <c r="AE131" s="127"/>
      <c r="AF131" s="127"/>
      <c r="AG131" s="127"/>
      <c r="AH131" s="127"/>
      <c r="AI131" s="127"/>
      <c r="AJ131" s="127"/>
    </row>
    <row r="132" spans="1:36" ht="15" thickBot="1" x14ac:dyDescent="0.4">
      <c r="A132" s="253" t="s">
        <v>460</v>
      </c>
      <c r="B132" s="140">
        <v>6.0638369645959955E-3</v>
      </c>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7"/>
      <c r="AF132" s="127"/>
      <c r="AG132" s="127"/>
      <c r="AH132" s="127"/>
      <c r="AI132" s="127"/>
      <c r="AJ132" s="127"/>
    </row>
    <row r="133" spans="1:36" ht="15" thickBot="1" x14ac:dyDescent="0.4">
      <c r="A133" s="253" t="s">
        <v>461</v>
      </c>
      <c r="B133" s="140">
        <v>4.1624106228969654E-4</v>
      </c>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c r="AD133" s="127"/>
      <c r="AE133" s="127"/>
      <c r="AF133" s="127"/>
      <c r="AG133" s="127"/>
      <c r="AH133" s="127"/>
      <c r="AI133" s="127"/>
      <c r="AJ133" s="127"/>
    </row>
    <row r="134" spans="1:36" ht="15" thickBot="1" x14ac:dyDescent="0.4">
      <c r="A134" s="253" t="s">
        <v>164</v>
      </c>
      <c r="B134" s="140">
        <v>1.3251843148416149E-3</v>
      </c>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c r="AF134" s="127"/>
      <c r="AG134" s="127"/>
      <c r="AH134" s="127"/>
      <c r="AI134" s="127"/>
      <c r="AJ134" s="127"/>
    </row>
    <row r="135" spans="1:36" ht="15" thickBot="1" x14ac:dyDescent="0.4">
      <c r="A135" s="253" t="s">
        <v>86</v>
      </c>
      <c r="B135" s="140">
        <v>8.685831899774908E-4</v>
      </c>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c r="AD135" s="127"/>
      <c r="AE135" s="127"/>
      <c r="AF135" s="127"/>
      <c r="AG135" s="127"/>
      <c r="AH135" s="127"/>
      <c r="AI135" s="127"/>
      <c r="AJ135" s="127"/>
    </row>
    <row r="136" spans="1:36" ht="15" thickBot="1" x14ac:dyDescent="0.4">
      <c r="A136" s="253" t="s">
        <v>87</v>
      </c>
      <c r="B136" s="140">
        <v>1.5012725870325971E-3</v>
      </c>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c r="AD136" s="127"/>
      <c r="AE136" s="127"/>
      <c r="AF136" s="127"/>
      <c r="AG136" s="127"/>
      <c r="AH136" s="127"/>
      <c r="AI136" s="127"/>
      <c r="AJ136" s="127"/>
    </row>
    <row r="137" spans="1:36" ht="15" thickBot="1" x14ac:dyDescent="0.4">
      <c r="A137" s="253" t="s">
        <v>88</v>
      </c>
      <c r="B137" s="140">
        <v>3.6601629965195238E-3</v>
      </c>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c r="AD137" s="127"/>
      <c r="AE137" s="127"/>
      <c r="AF137" s="127"/>
      <c r="AG137" s="127"/>
      <c r="AH137" s="127"/>
      <c r="AI137" s="127"/>
      <c r="AJ137" s="127"/>
    </row>
    <row r="138" spans="1:36" ht="15" thickBot="1" x14ac:dyDescent="0.4">
      <c r="A138" s="253" t="s">
        <v>89</v>
      </c>
      <c r="B138" s="140">
        <v>2.4650430266646771E-3</v>
      </c>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c r="AD138" s="127"/>
      <c r="AE138" s="127"/>
      <c r="AF138" s="127"/>
      <c r="AG138" s="127"/>
      <c r="AH138" s="127"/>
      <c r="AI138" s="127"/>
      <c r="AJ138" s="127"/>
    </row>
    <row r="139" spans="1:36" ht="15" thickBot="1" x14ac:dyDescent="0.4">
      <c r="A139" s="253" t="s">
        <v>90</v>
      </c>
      <c r="B139" s="140">
        <v>2.2029915947564564E-3</v>
      </c>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c r="AD139" s="127"/>
      <c r="AE139" s="127"/>
      <c r="AF139" s="127"/>
      <c r="AG139" s="127"/>
      <c r="AH139" s="127"/>
      <c r="AI139" s="127"/>
      <c r="AJ139" s="127"/>
    </row>
    <row r="142" spans="1:36" x14ac:dyDescent="0.35">
      <c r="A142" s="289" t="s">
        <v>771</v>
      </c>
    </row>
    <row r="143" spans="1:36" x14ac:dyDescent="0.35">
      <c r="A143" s="102">
        <v>0</v>
      </c>
      <c r="B143" s="262" t="s">
        <v>250</v>
      </c>
    </row>
    <row r="144" spans="1:36" x14ac:dyDescent="0.35">
      <c r="A144" s="263">
        <v>1</v>
      </c>
      <c r="B144" s="262" t="s">
        <v>463</v>
      </c>
    </row>
    <row r="145" spans="1:2" x14ac:dyDescent="0.35">
      <c r="A145" s="263">
        <v>2</v>
      </c>
      <c r="B145" s="262" t="s">
        <v>1389</v>
      </c>
    </row>
    <row r="146" spans="1:2" x14ac:dyDescent="0.35">
      <c r="A146" s="263">
        <v>3</v>
      </c>
      <c r="B146" s="262" t="s">
        <v>1390</v>
      </c>
    </row>
    <row r="147" spans="1:2" x14ac:dyDescent="0.35">
      <c r="A147" s="238" t="s">
        <v>170</v>
      </c>
      <c r="B147" s="240">
        <v>1</v>
      </c>
    </row>
    <row r="148" spans="1:2" x14ac:dyDescent="0.35">
      <c r="A148" s="121"/>
      <c r="B148" s="48"/>
    </row>
    <row r="149" spans="1:2" x14ac:dyDescent="0.35">
      <c r="A149" s="48"/>
    </row>
    <row r="150" spans="1:2" x14ac:dyDescent="0.35">
      <c r="A150" s="288" t="s">
        <v>1480</v>
      </c>
    </row>
    <row r="151" spans="1:2" x14ac:dyDescent="0.35">
      <c r="A151" s="102"/>
      <c r="B151" s="262"/>
    </row>
    <row r="152" spans="1:2" x14ac:dyDescent="0.35">
      <c r="A152" s="263">
        <v>1</v>
      </c>
      <c r="B152" s="264" t="s">
        <v>1139</v>
      </c>
    </row>
    <row r="153" spans="1:2" x14ac:dyDescent="0.35">
      <c r="A153" s="263">
        <v>2</v>
      </c>
      <c r="B153" s="264" t="s">
        <v>1140</v>
      </c>
    </row>
    <row r="154" spans="1:2" x14ac:dyDescent="0.35">
      <c r="A154" s="263">
        <v>3</v>
      </c>
      <c r="B154" s="264" t="s">
        <v>1141</v>
      </c>
    </row>
    <row r="155" spans="1:2" x14ac:dyDescent="0.35">
      <c r="A155" s="238" t="s">
        <v>170</v>
      </c>
      <c r="B155" s="240">
        <v>2</v>
      </c>
    </row>
    <row r="156" spans="1:2" x14ac:dyDescent="0.35">
      <c r="A156" s="2"/>
    </row>
    <row r="157" spans="1:2" x14ac:dyDescent="0.35">
      <c r="A157" s="270" t="s">
        <v>1478</v>
      </c>
    </row>
    <row r="158" spans="1:2" x14ac:dyDescent="0.35">
      <c r="A158" s="49" t="s">
        <v>772</v>
      </c>
      <c r="B158" s="134"/>
    </row>
    <row r="159" spans="1:2" x14ac:dyDescent="0.35">
      <c r="A159" s="265">
        <v>0</v>
      </c>
      <c r="B159" s="266" t="s">
        <v>250</v>
      </c>
    </row>
    <row r="160" spans="1:2" x14ac:dyDescent="0.35">
      <c r="A160" s="265">
        <v>1</v>
      </c>
      <c r="B160" s="267" t="s">
        <v>251</v>
      </c>
    </row>
    <row r="161" spans="1:87" x14ac:dyDescent="0.35">
      <c r="A161" s="238" t="s">
        <v>170</v>
      </c>
      <c r="B161" s="239">
        <v>0</v>
      </c>
    </row>
    <row r="163" spans="1:87" x14ac:dyDescent="0.35">
      <c r="A163" s="278" t="s">
        <v>767</v>
      </c>
    </row>
    <row r="164" spans="1:87" x14ac:dyDescent="0.35">
      <c r="A164" s="230" t="s">
        <v>249</v>
      </c>
      <c r="B164" s="248">
        <v>2015</v>
      </c>
      <c r="C164" s="248">
        <f t="shared" ref="C164:BN164" si="0">1+B164</f>
        <v>2016</v>
      </c>
      <c r="D164" s="248">
        <f t="shared" si="0"/>
        <v>2017</v>
      </c>
      <c r="E164" s="248">
        <f t="shared" si="0"/>
        <v>2018</v>
      </c>
      <c r="F164" s="248">
        <f t="shared" si="0"/>
        <v>2019</v>
      </c>
      <c r="G164" s="248">
        <f t="shared" si="0"/>
        <v>2020</v>
      </c>
      <c r="H164" s="248">
        <f t="shared" si="0"/>
        <v>2021</v>
      </c>
      <c r="I164" s="248">
        <f t="shared" si="0"/>
        <v>2022</v>
      </c>
      <c r="J164" s="248">
        <f t="shared" si="0"/>
        <v>2023</v>
      </c>
      <c r="K164" s="248">
        <f t="shared" si="0"/>
        <v>2024</v>
      </c>
      <c r="L164" s="248">
        <f t="shared" si="0"/>
        <v>2025</v>
      </c>
      <c r="M164" s="248">
        <f t="shared" si="0"/>
        <v>2026</v>
      </c>
      <c r="N164" s="248">
        <f t="shared" si="0"/>
        <v>2027</v>
      </c>
      <c r="O164" s="248">
        <f t="shared" si="0"/>
        <v>2028</v>
      </c>
      <c r="P164" s="248">
        <f t="shared" si="0"/>
        <v>2029</v>
      </c>
      <c r="Q164" s="248">
        <f t="shared" si="0"/>
        <v>2030</v>
      </c>
      <c r="R164" s="248">
        <f t="shared" si="0"/>
        <v>2031</v>
      </c>
      <c r="S164" s="248">
        <f t="shared" si="0"/>
        <v>2032</v>
      </c>
      <c r="T164" s="248">
        <f t="shared" si="0"/>
        <v>2033</v>
      </c>
      <c r="U164" s="248">
        <f t="shared" si="0"/>
        <v>2034</v>
      </c>
      <c r="V164" s="248">
        <f t="shared" si="0"/>
        <v>2035</v>
      </c>
      <c r="W164" s="248">
        <f t="shared" si="0"/>
        <v>2036</v>
      </c>
      <c r="X164" s="248">
        <f t="shared" si="0"/>
        <v>2037</v>
      </c>
      <c r="Y164" s="248">
        <f t="shared" si="0"/>
        <v>2038</v>
      </c>
      <c r="Z164" s="248">
        <f t="shared" si="0"/>
        <v>2039</v>
      </c>
      <c r="AA164" s="248">
        <f t="shared" si="0"/>
        <v>2040</v>
      </c>
      <c r="AB164" s="248">
        <f t="shared" si="0"/>
        <v>2041</v>
      </c>
      <c r="AC164" s="248">
        <f t="shared" si="0"/>
        <v>2042</v>
      </c>
      <c r="AD164" s="248">
        <f t="shared" si="0"/>
        <v>2043</v>
      </c>
      <c r="AE164" s="248">
        <f t="shared" si="0"/>
        <v>2044</v>
      </c>
      <c r="AF164" s="248">
        <f t="shared" si="0"/>
        <v>2045</v>
      </c>
      <c r="AG164" s="248">
        <f t="shared" si="0"/>
        <v>2046</v>
      </c>
      <c r="AH164" s="248">
        <f t="shared" si="0"/>
        <v>2047</v>
      </c>
      <c r="AI164" s="248">
        <f t="shared" si="0"/>
        <v>2048</v>
      </c>
      <c r="AJ164" s="248">
        <f t="shared" si="0"/>
        <v>2049</v>
      </c>
      <c r="AK164" s="248">
        <f t="shared" si="0"/>
        <v>2050</v>
      </c>
      <c r="AL164" s="248">
        <f t="shared" si="0"/>
        <v>2051</v>
      </c>
      <c r="AM164" s="248">
        <f t="shared" si="0"/>
        <v>2052</v>
      </c>
      <c r="AN164" s="248">
        <f t="shared" si="0"/>
        <v>2053</v>
      </c>
      <c r="AO164" s="248">
        <f t="shared" si="0"/>
        <v>2054</v>
      </c>
      <c r="AP164" s="248">
        <f t="shared" si="0"/>
        <v>2055</v>
      </c>
      <c r="AQ164" s="248">
        <f t="shared" si="0"/>
        <v>2056</v>
      </c>
      <c r="AR164" s="248">
        <f t="shared" si="0"/>
        <v>2057</v>
      </c>
      <c r="AS164" s="248">
        <f t="shared" si="0"/>
        <v>2058</v>
      </c>
      <c r="AT164" s="248">
        <f t="shared" si="0"/>
        <v>2059</v>
      </c>
      <c r="AU164" s="248">
        <f t="shared" si="0"/>
        <v>2060</v>
      </c>
      <c r="AV164" s="248">
        <f t="shared" si="0"/>
        <v>2061</v>
      </c>
      <c r="AW164" s="248">
        <f t="shared" si="0"/>
        <v>2062</v>
      </c>
      <c r="AX164" s="248">
        <f t="shared" si="0"/>
        <v>2063</v>
      </c>
      <c r="AY164" s="248">
        <f t="shared" si="0"/>
        <v>2064</v>
      </c>
      <c r="AZ164" s="248">
        <f t="shared" si="0"/>
        <v>2065</v>
      </c>
      <c r="BA164" s="248">
        <f t="shared" si="0"/>
        <v>2066</v>
      </c>
      <c r="BB164" s="248">
        <f t="shared" si="0"/>
        <v>2067</v>
      </c>
      <c r="BC164" s="248">
        <f t="shared" si="0"/>
        <v>2068</v>
      </c>
      <c r="BD164" s="248">
        <f t="shared" si="0"/>
        <v>2069</v>
      </c>
      <c r="BE164" s="248">
        <f t="shared" si="0"/>
        <v>2070</v>
      </c>
      <c r="BF164" s="248">
        <f t="shared" si="0"/>
        <v>2071</v>
      </c>
      <c r="BG164" s="248">
        <f t="shared" si="0"/>
        <v>2072</v>
      </c>
      <c r="BH164" s="248">
        <f t="shared" si="0"/>
        <v>2073</v>
      </c>
      <c r="BI164" s="248">
        <f t="shared" si="0"/>
        <v>2074</v>
      </c>
      <c r="BJ164" s="248">
        <f t="shared" si="0"/>
        <v>2075</v>
      </c>
      <c r="BK164" s="248">
        <f t="shared" si="0"/>
        <v>2076</v>
      </c>
      <c r="BL164" s="248">
        <f t="shared" si="0"/>
        <v>2077</v>
      </c>
      <c r="BM164" s="248">
        <f t="shared" si="0"/>
        <v>2078</v>
      </c>
      <c r="BN164" s="248">
        <f t="shared" si="0"/>
        <v>2079</v>
      </c>
      <c r="BO164" s="248">
        <f t="shared" ref="BO164:CI164" si="1">1+BN164</f>
        <v>2080</v>
      </c>
      <c r="BP164" s="248">
        <f t="shared" si="1"/>
        <v>2081</v>
      </c>
      <c r="BQ164" s="248">
        <f t="shared" si="1"/>
        <v>2082</v>
      </c>
      <c r="BR164" s="248">
        <f t="shared" si="1"/>
        <v>2083</v>
      </c>
      <c r="BS164" s="248">
        <f t="shared" si="1"/>
        <v>2084</v>
      </c>
      <c r="BT164" s="248">
        <f t="shared" si="1"/>
        <v>2085</v>
      </c>
      <c r="BU164" s="248">
        <f t="shared" si="1"/>
        <v>2086</v>
      </c>
      <c r="BV164" s="248">
        <f t="shared" si="1"/>
        <v>2087</v>
      </c>
      <c r="BW164" s="248">
        <f t="shared" si="1"/>
        <v>2088</v>
      </c>
      <c r="BX164" s="248">
        <f t="shared" si="1"/>
        <v>2089</v>
      </c>
      <c r="BY164" s="248">
        <f t="shared" si="1"/>
        <v>2090</v>
      </c>
      <c r="BZ164" s="248">
        <f t="shared" si="1"/>
        <v>2091</v>
      </c>
      <c r="CA164" s="248">
        <f t="shared" si="1"/>
        <v>2092</v>
      </c>
      <c r="CB164" s="248">
        <f t="shared" si="1"/>
        <v>2093</v>
      </c>
      <c r="CC164" s="248">
        <f t="shared" si="1"/>
        <v>2094</v>
      </c>
      <c r="CD164" s="248">
        <f t="shared" si="1"/>
        <v>2095</v>
      </c>
      <c r="CE164" s="248">
        <f t="shared" si="1"/>
        <v>2096</v>
      </c>
      <c r="CF164" s="248">
        <f t="shared" si="1"/>
        <v>2097</v>
      </c>
      <c r="CG164" s="248">
        <f t="shared" si="1"/>
        <v>2098</v>
      </c>
      <c r="CH164" s="248">
        <f t="shared" si="1"/>
        <v>2099</v>
      </c>
      <c r="CI164" s="248">
        <f t="shared" si="1"/>
        <v>2100</v>
      </c>
    </row>
    <row r="165" spans="1:87" x14ac:dyDescent="0.35">
      <c r="A165" s="49" t="s">
        <v>83</v>
      </c>
      <c r="B165" s="268">
        <v>2.3296299999999999</v>
      </c>
      <c r="C165" s="268">
        <f t="shared" ref="C165:R172" si="2">B165*0.999</f>
        <v>2.3273003699999997</v>
      </c>
      <c r="D165" s="268">
        <f t="shared" si="2"/>
        <v>2.3249730696299995</v>
      </c>
      <c r="E165" s="268">
        <f t="shared" si="2"/>
        <v>2.3226480965603695</v>
      </c>
      <c r="F165" s="268">
        <f t="shared" si="2"/>
        <v>2.3203254484638092</v>
      </c>
      <c r="G165" s="268">
        <f t="shared" si="2"/>
        <v>2.3180051230153453</v>
      </c>
      <c r="H165" s="268">
        <f t="shared" si="2"/>
        <v>2.3156871178923302</v>
      </c>
      <c r="I165" s="268">
        <f t="shared" si="2"/>
        <v>2.313371430774438</v>
      </c>
      <c r="J165" s="268">
        <f t="shared" si="2"/>
        <v>2.3110580593436634</v>
      </c>
      <c r="K165" s="268">
        <f t="shared" si="2"/>
        <v>2.3087470012843196</v>
      </c>
      <c r="L165" s="268">
        <f t="shared" si="2"/>
        <v>2.3064382542830355</v>
      </c>
      <c r="M165" s="268">
        <f t="shared" si="2"/>
        <v>2.3041318160287525</v>
      </c>
      <c r="N165" s="268">
        <f t="shared" si="2"/>
        <v>2.3018276842127237</v>
      </c>
      <c r="O165" s="268">
        <f t="shared" si="2"/>
        <v>2.2995258565285108</v>
      </c>
      <c r="P165" s="268">
        <f t="shared" si="2"/>
        <v>2.2972263306719825</v>
      </c>
      <c r="Q165" s="268">
        <f t="shared" si="2"/>
        <v>2.2949291043413105</v>
      </c>
      <c r="R165" s="268">
        <f t="shared" si="2"/>
        <v>2.292634175236969</v>
      </c>
      <c r="S165" s="268">
        <f t="shared" ref="S165:AH172" si="3">R165*0.999</f>
        <v>2.290341541061732</v>
      </c>
      <c r="T165" s="268">
        <f t="shared" si="3"/>
        <v>2.2880511995206705</v>
      </c>
      <c r="U165" s="268">
        <f t="shared" si="3"/>
        <v>2.2857631483211498</v>
      </c>
      <c r="V165" s="268">
        <f t="shared" si="3"/>
        <v>2.2834773851728287</v>
      </c>
      <c r="W165" s="268">
        <f t="shared" si="3"/>
        <v>2.2811939077876557</v>
      </c>
      <c r="X165" s="268">
        <f t="shared" si="3"/>
        <v>2.2789127138798682</v>
      </c>
      <c r="Y165" s="268">
        <f t="shared" si="3"/>
        <v>2.2766338011659881</v>
      </c>
      <c r="Z165" s="268">
        <f t="shared" si="3"/>
        <v>2.2743571673648222</v>
      </c>
      <c r="AA165" s="268">
        <f t="shared" si="3"/>
        <v>2.2720828101974573</v>
      </c>
      <c r="AB165" s="268">
        <f t="shared" si="3"/>
        <v>2.2698107273872599</v>
      </c>
      <c r="AC165" s="268">
        <f t="shared" si="3"/>
        <v>2.2675409166598728</v>
      </c>
      <c r="AD165" s="268">
        <f t="shared" si="3"/>
        <v>2.2652733757432131</v>
      </c>
      <c r="AE165" s="268">
        <f t="shared" si="3"/>
        <v>2.2630081023674697</v>
      </c>
      <c r="AF165" s="268">
        <f t="shared" si="3"/>
        <v>2.2607450942651024</v>
      </c>
      <c r="AG165" s="268">
        <f t="shared" si="3"/>
        <v>2.2584843491708373</v>
      </c>
      <c r="AH165" s="268">
        <f t="shared" si="3"/>
        <v>2.2562258648216664</v>
      </c>
      <c r="AI165" s="268">
        <f t="shared" ref="AI165:AX172" si="4">AH165*0.999</f>
        <v>2.2539696389568449</v>
      </c>
      <c r="AJ165" s="268">
        <f t="shared" si="4"/>
        <v>2.2517156693178881</v>
      </c>
      <c r="AK165" s="268">
        <f t="shared" si="4"/>
        <v>2.2494639536485703</v>
      </c>
      <c r="AL165" s="268">
        <f t="shared" si="4"/>
        <v>2.2472144896949215</v>
      </c>
      <c r="AM165" s="268">
        <f t="shared" si="4"/>
        <v>2.2449672752052265</v>
      </c>
      <c r="AN165" s="268">
        <f t="shared" si="4"/>
        <v>2.2427223079300211</v>
      </c>
      <c r="AO165" s="268">
        <f t="shared" si="4"/>
        <v>2.2404795856220909</v>
      </c>
      <c r="AP165" s="268">
        <f t="shared" si="4"/>
        <v>2.238239106036469</v>
      </c>
      <c r="AQ165" s="268">
        <f t="shared" si="4"/>
        <v>2.2360008669304325</v>
      </c>
      <c r="AR165" s="268">
        <f t="shared" si="4"/>
        <v>2.2337648660635021</v>
      </c>
      <c r="AS165" s="268">
        <f t="shared" si="4"/>
        <v>2.2315311011974388</v>
      </c>
      <c r="AT165" s="268">
        <f t="shared" si="4"/>
        <v>2.2292995700962415</v>
      </c>
      <c r="AU165" s="268">
        <f t="shared" si="4"/>
        <v>2.2270702705261454</v>
      </c>
      <c r="AV165" s="268">
        <f t="shared" si="4"/>
        <v>2.2248432002556191</v>
      </c>
      <c r="AW165" s="268">
        <f t="shared" si="4"/>
        <v>2.2226183570553637</v>
      </c>
      <c r="AX165" s="268">
        <f t="shared" si="4"/>
        <v>2.2203957386983082</v>
      </c>
      <c r="AY165" s="268">
        <f t="shared" ref="AY165:BN172" si="5">AX165*0.999</f>
        <v>2.2181753429596101</v>
      </c>
      <c r="AZ165" s="268">
        <f t="shared" si="5"/>
        <v>2.2159571676166503</v>
      </c>
      <c r="BA165" s="268">
        <f t="shared" si="5"/>
        <v>2.2137412104490335</v>
      </c>
      <c r="BB165" s="268">
        <f t="shared" si="5"/>
        <v>2.2115274692385847</v>
      </c>
      <c r="BC165" s="268">
        <f t="shared" si="5"/>
        <v>2.2093159417693462</v>
      </c>
      <c r="BD165" s="268">
        <f t="shared" si="5"/>
        <v>2.2071066258275769</v>
      </c>
      <c r="BE165" s="268">
        <f t="shared" si="5"/>
        <v>2.2048995192017493</v>
      </c>
      <c r="BF165" s="268">
        <f t="shared" si="5"/>
        <v>2.2026946196825476</v>
      </c>
      <c r="BG165" s="268">
        <f t="shared" si="5"/>
        <v>2.200491925062865</v>
      </c>
      <c r="BH165" s="268">
        <f t="shared" si="5"/>
        <v>2.1982914331378023</v>
      </c>
      <c r="BI165" s="268">
        <f t="shared" si="5"/>
        <v>2.1960931417046643</v>
      </c>
      <c r="BJ165" s="268">
        <f t="shared" si="5"/>
        <v>2.1938970485629596</v>
      </c>
      <c r="BK165" s="268">
        <f t="shared" si="5"/>
        <v>2.1917031515143965</v>
      </c>
      <c r="BL165" s="268">
        <f t="shared" si="5"/>
        <v>2.1895114483628824</v>
      </c>
      <c r="BM165" s="268">
        <f t="shared" si="5"/>
        <v>2.1873219369145196</v>
      </c>
      <c r="BN165" s="268">
        <f t="shared" si="5"/>
        <v>2.185134614977605</v>
      </c>
      <c r="BO165" s="268">
        <f t="shared" ref="BO165:CD172" si="6">BN165*0.999</f>
        <v>2.1829494803626273</v>
      </c>
      <c r="BP165" s="268">
        <f t="shared" si="6"/>
        <v>2.1807665308822646</v>
      </c>
      <c r="BQ165" s="268">
        <f t="shared" si="6"/>
        <v>2.1785857643513822</v>
      </c>
      <c r="BR165" s="268">
        <f t="shared" si="6"/>
        <v>2.1764071785870307</v>
      </c>
      <c r="BS165" s="268">
        <f t="shared" si="6"/>
        <v>2.1742307714084435</v>
      </c>
      <c r="BT165" s="268">
        <f t="shared" si="6"/>
        <v>2.1720565406370351</v>
      </c>
      <c r="BU165" s="268">
        <f t="shared" si="6"/>
        <v>2.1698844840963982</v>
      </c>
      <c r="BV165" s="268">
        <f t="shared" si="6"/>
        <v>2.1677145996123017</v>
      </c>
      <c r="BW165" s="268">
        <f t="shared" si="6"/>
        <v>2.1655468850126893</v>
      </c>
      <c r="BX165" s="268">
        <f t="shared" si="6"/>
        <v>2.1633813381276767</v>
      </c>
      <c r="BY165" s="268">
        <f t="shared" si="6"/>
        <v>2.1612179567895491</v>
      </c>
      <c r="BZ165" s="268">
        <f t="shared" si="6"/>
        <v>2.1590567388327595</v>
      </c>
      <c r="CA165" s="268">
        <f t="shared" si="6"/>
        <v>2.156897682093927</v>
      </c>
      <c r="CB165" s="268">
        <f t="shared" si="6"/>
        <v>2.1547407844118331</v>
      </c>
      <c r="CC165" s="268">
        <f t="shared" si="6"/>
        <v>2.1525860436274211</v>
      </c>
      <c r="CD165" s="268">
        <f t="shared" si="6"/>
        <v>2.1504334575837936</v>
      </c>
      <c r="CE165" s="268">
        <f t="shared" ref="CE165:CI172" si="7">CD165*0.999</f>
        <v>2.1482830241262096</v>
      </c>
      <c r="CF165" s="268">
        <f t="shared" si="7"/>
        <v>2.1461347411020832</v>
      </c>
      <c r="CG165" s="268">
        <f t="shared" si="7"/>
        <v>2.1439886063609812</v>
      </c>
      <c r="CH165" s="268">
        <f t="shared" si="7"/>
        <v>2.1418446177546202</v>
      </c>
      <c r="CI165" s="268">
        <f t="shared" si="7"/>
        <v>2.1397027731368654</v>
      </c>
    </row>
    <row r="166" spans="1:87" x14ac:dyDescent="0.35">
      <c r="A166" s="241" t="s">
        <v>144</v>
      </c>
      <c r="B166" s="268">
        <v>3.1600799999999998</v>
      </c>
      <c r="C166" s="268">
        <f t="shared" si="2"/>
        <v>3.15691992</v>
      </c>
      <c r="D166" s="268">
        <f t="shared" si="2"/>
        <v>3.1537630000800001</v>
      </c>
      <c r="E166" s="268">
        <f t="shared" si="2"/>
        <v>3.1506092370799199</v>
      </c>
      <c r="F166" s="268">
        <f t="shared" si="2"/>
        <v>3.1474586278428398</v>
      </c>
      <c r="G166" s="268">
        <f t="shared" si="2"/>
        <v>3.1443111692149968</v>
      </c>
      <c r="H166" s="268">
        <f t="shared" si="2"/>
        <v>3.1411668580457817</v>
      </c>
      <c r="I166" s="268">
        <f t="shared" si="2"/>
        <v>3.1380256911877358</v>
      </c>
      <c r="J166" s="268">
        <f t="shared" si="2"/>
        <v>3.1348876654965481</v>
      </c>
      <c r="K166" s="268">
        <f t="shared" si="2"/>
        <v>3.1317527778310517</v>
      </c>
      <c r="L166" s="268">
        <f t="shared" si="2"/>
        <v>3.1286210250532207</v>
      </c>
      <c r="M166" s="268">
        <f t="shared" si="2"/>
        <v>3.1254924040281673</v>
      </c>
      <c r="N166" s="268">
        <f t="shared" si="2"/>
        <v>3.1223669116241393</v>
      </c>
      <c r="O166" s="268">
        <f t="shared" si="2"/>
        <v>3.1192445447125152</v>
      </c>
      <c r="P166" s="268">
        <f t="shared" si="2"/>
        <v>3.1161253001678029</v>
      </c>
      <c r="Q166" s="268">
        <f t="shared" si="2"/>
        <v>3.113009174867635</v>
      </c>
      <c r="R166" s="268">
        <f t="shared" si="2"/>
        <v>3.1098961656927675</v>
      </c>
      <c r="S166" s="268">
        <f t="shared" si="3"/>
        <v>3.1067862695270749</v>
      </c>
      <c r="T166" s="268">
        <f t="shared" si="3"/>
        <v>3.1036794832575478</v>
      </c>
      <c r="U166" s="268">
        <f t="shared" si="3"/>
        <v>3.1005758037742903</v>
      </c>
      <c r="V166" s="268">
        <f t="shared" si="3"/>
        <v>3.097475227970516</v>
      </c>
      <c r="W166" s="268">
        <f t="shared" si="3"/>
        <v>3.0943777527425453</v>
      </c>
      <c r="X166" s="268">
        <f t="shared" si="3"/>
        <v>3.091283374989803</v>
      </c>
      <c r="Y166" s="268">
        <f t="shared" si="3"/>
        <v>3.0881920916148133</v>
      </c>
      <c r="Z166" s="268">
        <f t="shared" si="3"/>
        <v>3.0851038995231987</v>
      </c>
      <c r="AA166" s="268">
        <f t="shared" si="3"/>
        <v>3.0820187956236755</v>
      </c>
      <c r="AB166" s="268">
        <f t="shared" si="3"/>
        <v>3.0789367768280518</v>
      </c>
      <c r="AC166" s="268">
        <f t="shared" si="3"/>
        <v>3.0758578400512238</v>
      </c>
      <c r="AD166" s="268">
        <f t="shared" si="3"/>
        <v>3.0727819822111724</v>
      </c>
      <c r="AE166" s="268">
        <f t="shared" si="3"/>
        <v>3.069709200228961</v>
      </c>
      <c r="AF166" s="268">
        <f t="shared" si="3"/>
        <v>3.0666394910287322</v>
      </c>
      <c r="AG166" s="268">
        <f t="shared" si="3"/>
        <v>3.0635728515377036</v>
      </c>
      <c r="AH166" s="268">
        <f t="shared" si="3"/>
        <v>3.0605092786861658</v>
      </c>
      <c r="AI166" s="268">
        <f t="shared" si="4"/>
        <v>3.0574487694074799</v>
      </c>
      <c r="AJ166" s="268">
        <f t="shared" si="4"/>
        <v>3.0543913206380724</v>
      </c>
      <c r="AK166" s="268">
        <f t="shared" si="4"/>
        <v>3.0513369293174342</v>
      </c>
      <c r="AL166" s="268">
        <f t="shared" si="4"/>
        <v>3.0482855923881167</v>
      </c>
      <c r="AM166" s="268">
        <f t="shared" si="4"/>
        <v>3.0452373067957286</v>
      </c>
      <c r="AN166" s="268">
        <f t="shared" si="4"/>
        <v>3.0421920694889328</v>
      </c>
      <c r="AO166" s="268">
        <f t="shared" si="4"/>
        <v>3.0391498774194439</v>
      </c>
      <c r="AP166" s="268">
        <f t="shared" si="4"/>
        <v>3.0361107275420243</v>
      </c>
      <c r="AQ166" s="268">
        <f t="shared" si="4"/>
        <v>3.0330746168144822</v>
      </c>
      <c r="AR166" s="268">
        <f t="shared" si="4"/>
        <v>3.0300415421976679</v>
      </c>
      <c r="AS166" s="268">
        <f t="shared" si="4"/>
        <v>3.0270115006554703</v>
      </c>
      <c r="AT166" s="268">
        <f t="shared" si="4"/>
        <v>3.0239844891548149</v>
      </c>
      <c r="AU166" s="268">
        <f t="shared" si="4"/>
        <v>3.02096050466566</v>
      </c>
      <c r="AV166" s="268">
        <f t="shared" si="4"/>
        <v>3.0179395441609942</v>
      </c>
      <c r="AW166" s="268">
        <f t="shared" si="4"/>
        <v>3.0149216046168332</v>
      </c>
      <c r="AX166" s="268">
        <f t="shared" si="4"/>
        <v>3.0119066830122163</v>
      </c>
      <c r="AY166" s="268">
        <f t="shared" si="5"/>
        <v>3.0088947763292042</v>
      </c>
      <c r="AZ166" s="268">
        <f t="shared" si="5"/>
        <v>3.0058858815528748</v>
      </c>
      <c r="BA166" s="268">
        <f t="shared" si="5"/>
        <v>3.0028799956713219</v>
      </c>
      <c r="BB166" s="268">
        <f t="shared" si="5"/>
        <v>2.9998771156756505</v>
      </c>
      <c r="BC166" s="268">
        <f t="shared" si="5"/>
        <v>2.9968772385599749</v>
      </c>
      <c r="BD166" s="268">
        <f t="shared" si="5"/>
        <v>2.9938803613214149</v>
      </c>
      <c r="BE166" s="268">
        <f t="shared" si="5"/>
        <v>2.9908864809600937</v>
      </c>
      <c r="BF166" s="268">
        <f t="shared" si="5"/>
        <v>2.9878955944791334</v>
      </c>
      <c r="BG166" s="268">
        <f t="shared" si="5"/>
        <v>2.9849076988846543</v>
      </c>
      <c r="BH166" s="268">
        <f t="shared" si="5"/>
        <v>2.9819227911857697</v>
      </c>
      <c r="BI166" s="268">
        <f t="shared" si="5"/>
        <v>2.9789408683945839</v>
      </c>
      <c r="BJ166" s="268">
        <f t="shared" si="5"/>
        <v>2.9759619275261895</v>
      </c>
      <c r="BK166" s="268">
        <f t="shared" si="5"/>
        <v>2.9729859655986632</v>
      </c>
      <c r="BL166" s="268">
        <f t="shared" si="5"/>
        <v>2.9700129796330645</v>
      </c>
      <c r="BM166" s="268">
        <f t="shared" si="5"/>
        <v>2.9670429666534313</v>
      </c>
      <c r="BN166" s="268">
        <f t="shared" si="5"/>
        <v>2.964075923686778</v>
      </c>
      <c r="BO166" s="268">
        <f t="shared" si="6"/>
        <v>2.9611118477630911</v>
      </c>
      <c r="BP166" s="268">
        <f t="shared" si="6"/>
        <v>2.9581507359153281</v>
      </c>
      <c r="BQ166" s="268">
        <f t="shared" si="6"/>
        <v>2.9551925851794127</v>
      </c>
      <c r="BR166" s="268">
        <f t="shared" si="6"/>
        <v>2.9522373925942333</v>
      </c>
      <c r="BS166" s="268">
        <f t="shared" si="6"/>
        <v>2.9492851552016393</v>
      </c>
      <c r="BT166" s="268">
        <f t="shared" si="6"/>
        <v>2.9463358700464375</v>
      </c>
      <c r="BU166" s="268">
        <f t="shared" si="6"/>
        <v>2.9433895341763909</v>
      </c>
      <c r="BV166" s="268">
        <f t="shared" si="6"/>
        <v>2.9404461446422143</v>
      </c>
      <c r="BW166" s="268">
        <f t="shared" si="6"/>
        <v>2.937505698497572</v>
      </c>
      <c r="BX166" s="268">
        <f t="shared" si="6"/>
        <v>2.9345681927990745</v>
      </c>
      <c r="BY166" s="268">
        <f t="shared" si="6"/>
        <v>2.9316336246062753</v>
      </c>
      <c r="BZ166" s="268">
        <f t="shared" si="6"/>
        <v>2.9287019909816689</v>
      </c>
      <c r="CA166" s="268">
        <f t="shared" si="6"/>
        <v>2.9257732889906873</v>
      </c>
      <c r="CB166" s="268">
        <f t="shared" si="6"/>
        <v>2.9228475157016964</v>
      </c>
      <c r="CC166" s="268">
        <f t="shared" si="6"/>
        <v>2.9199246681859949</v>
      </c>
      <c r="CD166" s="268">
        <f t="shared" si="6"/>
        <v>2.917004743517809</v>
      </c>
      <c r="CE166" s="268">
        <f t="shared" si="7"/>
        <v>2.9140877387742914</v>
      </c>
      <c r="CF166" s="268">
        <f t="shared" si="7"/>
        <v>2.9111736510355173</v>
      </c>
      <c r="CG166" s="268">
        <f t="shared" si="7"/>
        <v>2.9082624773844818</v>
      </c>
      <c r="CH166" s="268">
        <f t="shared" si="7"/>
        <v>2.9053542149070974</v>
      </c>
      <c r="CI166" s="268">
        <f t="shared" si="7"/>
        <v>2.9024488606921905</v>
      </c>
    </row>
    <row r="167" spans="1:87" x14ac:dyDescent="0.35">
      <c r="A167" s="241" t="s">
        <v>164</v>
      </c>
      <c r="B167" s="268">
        <v>3.3982700000000001</v>
      </c>
      <c r="C167" s="268">
        <f t="shared" si="2"/>
        <v>3.3948717300000002</v>
      </c>
      <c r="D167" s="268">
        <f t="shared" si="2"/>
        <v>3.3914768582700003</v>
      </c>
      <c r="E167" s="268">
        <f t="shared" si="2"/>
        <v>3.3880853814117304</v>
      </c>
      <c r="F167" s="268">
        <f t="shared" si="2"/>
        <v>3.3846972960303185</v>
      </c>
      <c r="G167" s="268">
        <f t="shared" si="2"/>
        <v>3.3813125987342882</v>
      </c>
      <c r="H167" s="268">
        <f t="shared" si="2"/>
        <v>3.3779312861355542</v>
      </c>
      <c r="I167" s="268">
        <f t="shared" si="2"/>
        <v>3.3745533548494184</v>
      </c>
      <c r="J167" s="268">
        <f t="shared" si="2"/>
        <v>3.3711788014945689</v>
      </c>
      <c r="K167" s="268">
        <f t="shared" si="2"/>
        <v>3.3678076226930744</v>
      </c>
      <c r="L167" s="268">
        <f t="shared" si="2"/>
        <v>3.3644398150703814</v>
      </c>
      <c r="M167" s="268">
        <f t="shared" si="2"/>
        <v>3.3610753752553109</v>
      </c>
      <c r="N167" s="268">
        <f t="shared" si="2"/>
        <v>3.3577142998800555</v>
      </c>
      <c r="O167" s="268">
        <f t="shared" si="2"/>
        <v>3.3543565855801756</v>
      </c>
      <c r="P167" s="268">
        <f t="shared" si="2"/>
        <v>3.3510022289945955</v>
      </c>
      <c r="Q167" s="268">
        <f t="shared" si="2"/>
        <v>3.3476512267656009</v>
      </c>
      <c r="R167" s="268">
        <f t="shared" si="2"/>
        <v>3.3443035755388353</v>
      </c>
      <c r="S167" s="268">
        <f t="shared" si="3"/>
        <v>3.3409592719632966</v>
      </c>
      <c r="T167" s="268">
        <f t="shared" si="3"/>
        <v>3.3376183126913332</v>
      </c>
      <c r="U167" s="268">
        <f t="shared" si="3"/>
        <v>3.3342806943786418</v>
      </c>
      <c r="V167" s="268">
        <f t="shared" si="3"/>
        <v>3.3309464136842633</v>
      </c>
      <c r="W167" s="268">
        <f t="shared" si="3"/>
        <v>3.3276154672705789</v>
      </c>
      <c r="X167" s="268">
        <f t="shared" si="3"/>
        <v>3.3242878518033083</v>
      </c>
      <c r="Y167" s="268">
        <f t="shared" si="3"/>
        <v>3.3209635639515049</v>
      </c>
      <c r="Z167" s="268">
        <f t="shared" si="3"/>
        <v>3.3176426003875532</v>
      </c>
      <c r="AA167" s="268">
        <f t="shared" si="3"/>
        <v>3.3143249577871656</v>
      </c>
      <c r="AB167" s="268">
        <f t="shared" si="3"/>
        <v>3.3110106328293782</v>
      </c>
      <c r="AC167" s="268">
        <f t="shared" si="3"/>
        <v>3.3076996221965489</v>
      </c>
      <c r="AD167" s="268">
        <f t="shared" si="3"/>
        <v>3.3043919225743523</v>
      </c>
      <c r="AE167" s="268">
        <f t="shared" si="3"/>
        <v>3.301087530651778</v>
      </c>
      <c r="AF167" s="268">
        <f t="shared" si="3"/>
        <v>3.2977864431211263</v>
      </c>
      <c r="AG167" s="268">
        <f t="shared" si="3"/>
        <v>3.2944886566780052</v>
      </c>
      <c r="AH167" s="268">
        <f t="shared" si="3"/>
        <v>3.291194168021327</v>
      </c>
      <c r="AI167" s="268">
        <f t="shared" si="4"/>
        <v>3.2879029738533059</v>
      </c>
      <c r="AJ167" s="268">
        <f t="shared" si="4"/>
        <v>3.2846150708794526</v>
      </c>
      <c r="AK167" s="268">
        <f t="shared" si="4"/>
        <v>3.2813304558085732</v>
      </c>
      <c r="AL167" s="268">
        <f t="shared" si="4"/>
        <v>3.2780491253527648</v>
      </c>
      <c r="AM167" s="268">
        <f t="shared" si="4"/>
        <v>3.2747710762274123</v>
      </c>
      <c r="AN167" s="268">
        <f t="shared" si="4"/>
        <v>3.2714963051511847</v>
      </c>
      <c r="AO167" s="268">
        <f t="shared" si="4"/>
        <v>3.2682248088460337</v>
      </c>
      <c r="AP167" s="268">
        <f t="shared" si="4"/>
        <v>3.2649565840371877</v>
      </c>
      <c r="AQ167" s="268">
        <f t="shared" si="4"/>
        <v>3.2616916274531507</v>
      </c>
      <c r="AR167" s="268">
        <f t="shared" si="4"/>
        <v>3.2584299358256974</v>
      </c>
      <c r="AS167" s="268">
        <f t="shared" si="4"/>
        <v>3.2551715058898716</v>
      </c>
      <c r="AT167" s="268">
        <f t="shared" si="4"/>
        <v>3.2519163343839819</v>
      </c>
      <c r="AU167" s="268">
        <f t="shared" si="4"/>
        <v>3.2486644180495978</v>
      </c>
      <c r="AV167" s="268">
        <f t="shared" si="4"/>
        <v>3.2454157536315482</v>
      </c>
      <c r="AW167" s="268">
        <f t="shared" si="4"/>
        <v>3.2421703378779165</v>
      </c>
      <c r="AX167" s="268">
        <f t="shared" si="4"/>
        <v>3.2389281675400388</v>
      </c>
      <c r="AY167" s="268">
        <f t="shared" si="5"/>
        <v>3.2356892393724985</v>
      </c>
      <c r="AZ167" s="268">
        <f t="shared" si="5"/>
        <v>3.2324535501331262</v>
      </c>
      <c r="BA167" s="268">
        <f t="shared" si="5"/>
        <v>3.2292210965829931</v>
      </c>
      <c r="BB167" s="268">
        <f t="shared" si="5"/>
        <v>3.2259918754864101</v>
      </c>
      <c r="BC167" s="268">
        <f t="shared" si="5"/>
        <v>3.2227658836109239</v>
      </c>
      <c r="BD167" s="268">
        <f t="shared" si="5"/>
        <v>3.2195431177273131</v>
      </c>
      <c r="BE167" s="268">
        <f t="shared" si="5"/>
        <v>3.2163235746095857</v>
      </c>
      <c r="BF167" s="268">
        <f t="shared" si="5"/>
        <v>3.2131072510349763</v>
      </c>
      <c r="BG167" s="268">
        <f t="shared" si="5"/>
        <v>3.2098941437839414</v>
      </c>
      <c r="BH167" s="268">
        <f t="shared" si="5"/>
        <v>3.2066842496401575</v>
      </c>
      <c r="BI167" s="268">
        <f t="shared" si="5"/>
        <v>3.2034775653905174</v>
      </c>
      <c r="BJ167" s="268">
        <f t="shared" si="5"/>
        <v>3.200274087825127</v>
      </c>
      <c r="BK167" s="268">
        <f t="shared" si="5"/>
        <v>3.197073813737302</v>
      </c>
      <c r="BL167" s="268">
        <f t="shared" si="5"/>
        <v>3.1938767399235646</v>
      </c>
      <c r="BM167" s="268">
        <f t="shared" si="5"/>
        <v>3.1906828631836408</v>
      </c>
      <c r="BN167" s="268">
        <f t="shared" si="5"/>
        <v>3.187492180320457</v>
      </c>
      <c r="BO167" s="268">
        <f t="shared" si="6"/>
        <v>3.1843046881401365</v>
      </c>
      <c r="BP167" s="268">
        <f t="shared" si="6"/>
        <v>3.1811203834519963</v>
      </c>
      <c r="BQ167" s="268">
        <f t="shared" si="6"/>
        <v>3.1779392630685441</v>
      </c>
      <c r="BR167" s="268">
        <f t="shared" si="6"/>
        <v>3.1747613238054755</v>
      </c>
      <c r="BS167" s="268">
        <f t="shared" si="6"/>
        <v>3.1715865624816701</v>
      </c>
      <c r="BT167" s="268">
        <f t="shared" si="6"/>
        <v>3.1684149759191884</v>
      </c>
      <c r="BU167" s="268">
        <f t="shared" si="6"/>
        <v>3.1652465609432694</v>
      </c>
      <c r="BV167" s="268">
        <f t="shared" si="6"/>
        <v>3.1620813143823261</v>
      </c>
      <c r="BW167" s="268">
        <f t="shared" si="6"/>
        <v>3.1589192330679436</v>
      </c>
      <c r="BX167" s="268">
        <f t="shared" si="6"/>
        <v>3.1557603138348758</v>
      </c>
      <c r="BY167" s="268">
        <f t="shared" si="6"/>
        <v>3.1526045535210407</v>
      </c>
      <c r="BZ167" s="268">
        <f t="shared" si="6"/>
        <v>3.1494519489675197</v>
      </c>
      <c r="CA167" s="268">
        <f t="shared" si="6"/>
        <v>3.146302497018552</v>
      </c>
      <c r="CB167" s="268">
        <f t="shared" si="6"/>
        <v>3.1431561945215334</v>
      </c>
      <c r="CC167" s="268">
        <f t="shared" si="6"/>
        <v>3.140013038327012</v>
      </c>
      <c r="CD167" s="268">
        <f t="shared" si="6"/>
        <v>3.1368730252886849</v>
      </c>
      <c r="CE167" s="268">
        <f t="shared" si="7"/>
        <v>3.1337361522633964</v>
      </c>
      <c r="CF167" s="268">
        <f t="shared" si="7"/>
        <v>3.1306024161111332</v>
      </c>
      <c r="CG167" s="268">
        <f t="shared" si="7"/>
        <v>3.1274718136950219</v>
      </c>
      <c r="CH167" s="268">
        <f t="shared" si="7"/>
        <v>3.124344341881327</v>
      </c>
      <c r="CI167" s="268">
        <f t="shared" si="7"/>
        <v>3.1212199975394457</v>
      </c>
    </row>
    <row r="168" spans="1:87" x14ac:dyDescent="0.35">
      <c r="A168" s="241" t="s">
        <v>145</v>
      </c>
      <c r="B168" s="268">
        <v>4.8</v>
      </c>
      <c r="C168" s="268">
        <f t="shared" si="2"/>
        <v>4.7951999999999995</v>
      </c>
      <c r="D168" s="268">
        <f t="shared" si="2"/>
        <v>4.7904047999999992</v>
      </c>
      <c r="E168" s="268">
        <f t="shared" si="2"/>
        <v>4.7856143951999996</v>
      </c>
      <c r="F168" s="268">
        <f t="shared" si="2"/>
        <v>4.7808287808048</v>
      </c>
      <c r="G168" s="268">
        <f t="shared" si="2"/>
        <v>4.7760479520239949</v>
      </c>
      <c r="H168" s="268">
        <f t="shared" si="2"/>
        <v>4.7712719040719707</v>
      </c>
      <c r="I168" s="268">
        <f t="shared" si="2"/>
        <v>4.7665006321678991</v>
      </c>
      <c r="J168" s="268">
        <f t="shared" si="2"/>
        <v>4.7617341315357313</v>
      </c>
      <c r="K168" s="268">
        <f t="shared" si="2"/>
        <v>4.756972397404196</v>
      </c>
      <c r="L168" s="268">
        <f t="shared" si="2"/>
        <v>4.7522154250067921</v>
      </c>
      <c r="M168" s="268">
        <f t="shared" si="2"/>
        <v>4.7474632095817855</v>
      </c>
      <c r="N168" s="268">
        <f t="shared" si="2"/>
        <v>4.7427157463722036</v>
      </c>
      <c r="O168" s="268">
        <f t="shared" si="2"/>
        <v>4.737973030625831</v>
      </c>
      <c r="P168" s="268">
        <f t="shared" si="2"/>
        <v>4.7332350575952056</v>
      </c>
      <c r="Q168" s="268">
        <f t="shared" si="2"/>
        <v>4.7285018225376101</v>
      </c>
      <c r="R168" s="268">
        <f t="shared" si="2"/>
        <v>4.7237733207150727</v>
      </c>
      <c r="S168" s="268">
        <f t="shared" si="3"/>
        <v>4.7190495473943574</v>
      </c>
      <c r="T168" s="268">
        <f t="shared" si="3"/>
        <v>4.7143304978469631</v>
      </c>
      <c r="U168" s="268">
        <f t="shared" si="3"/>
        <v>4.7096161673491164</v>
      </c>
      <c r="V168" s="268">
        <f t="shared" si="3"/>
        <v>4.7049065511817671</v>
      </c>
      <c r="W168" s="268">
        <f t="shared" si="3"/>
        <v>4.7002016446305852</v>
      </c>
      <c r="X168" s="268">
        <f t="shared" si="3"/>
        <v>4.6955014429859547</v>
      </c>
      <c r="Y168" s="268">
        <f t="shared" si="3"/>
        <v>4.690805941542969</v>
      </c>
      <c r="Z168" s="268">
        <f t="shared" si="3"/>
        <v>4.6861151356014261</v>
      </c>
      <c r="AA168" s="268">
        <f t="shared" si="3"/>
        <v>4.6814290204658251</v>
      </c>
      <c r="AB168" s="268">
        <f t="shared" si="3"/>
        <v>4.6767475914453591</v>
      </c>
      <c r="AC168" s="268">
        <f t="shared" si="3"/>
        <v>4.6720708438539136</v>
      </c>
      <c r="AD168" s="268">
        <f t="shared" si="3"/>
        <v>4.6673987730100599</v>
      </c>
      <c r="AE168" s="268">
        <f t="shared" si="3"/>
        <v>4.6627313742370502</v>
      </c>
      <c r="AF168" s="268">
        <f t="shared" si="3"/>
        <v>4.6580686428628129</v>
      </c>
      <c r="AG168" s="268">
        <f t="shared" si="3"/>
        <v>4.6534105742199499</v>
      </c>
      <c r="AH168" s="268">
        <f t="shared" si="3"/>
        <v>4.6487571636457297</v>
      </c>
      <c r="AI168" s="268">
        <f t="shared" si="4"/>
        <v>4.6441084064820837</v>
      </c>
      <c r="AJ168" s="268">
        <f t="shared" si="4"/>
        <v>4.6394642980756018</v>
      </c>
      <c r="AK168" s="268">
        <f t="shared" si="4"/>
        <v>4.6348248337775262</v>
      </c>
      <c r="AL168" s="268">
        <f t="shared" si="4"/>
        <v>4.6301900089437487</v>
      </c>
      <c r="AM168" s="268">
        <f t="shared" si="4"/>
        <v>4.6255598189348053</v>
      </c>
      <c r="AN168" s="268">
        <f t="shared" si="4"/>
        <v>4.6209342591158702</v>
      </c>
      <c r="AO168" s="268">
        <f t="shared" si="4"/>
        <v>4.6163133248567547</v>
      </c>
      <c r="AP168" s="268">
        <f t="shared" si="4"/>
        <v>4.6116970115318976</v>
      </c>
      <c r="AQ168" s="268">
        <f t="shared" si="4"/>
        <v>4.6070853145203658</v>
      </c>
      <c r="AR168" s="268">
        <f t="shared" si="4"/>
        <v>4.602478229205845</v>
      </c>
      <c r="AS168" s="268">
        <f t="shared" si="4"/>
        <v>4.5978757509766393</v>
      </c>
      <c r="AT168" s="268">
        <f t="shared" si="4"/>
        <v>4.5932778752256622</v>
      </c>
      <c r="AU168" s="268">
        <f t="shared" si="4"/>
        <v>4.5886845973504364</v>
      </c>
      <c r="AV168" s="268">
        <f t="shared" si="4"/>
        <v>4.584095912753086</v>
      </c>
      <c r="AW168" s="268">
        <f t="shared" si="4"/>
        <v>4.5795118168403333</v>
      </c>
      <c r="AX168" s="268">
        <f t="shared" si="4"/>
        <v>4.5749323050234931</v>
      </c>
      <c r="AY168" s="268">
        <f t="shared" si="5"/>
        <v>4.5703573727184699</v>
      </c>
      <c r="AZ168" s="268">
        <f t="shared" si="5"/>
        <v>4.5657870153457516</v>
      </c>
      <c r="BA168" s="268">
        <f t="shared" si="5"/>
        <v>4.5612212283304059</v>
      </c>
      <c r="BB168" s="268">
        <f t="shared" si="5"/>
        <v>4.5566600071020753</v>
      </c>
      <c r="BC168" s="268">
        <f t="shared" si="5"/>
        <v>4.552103347094973</v>
      </c>
      <c r="BD168" s="268">
        <f t="shared" si="5"/>
        <v>4.5475512437478782</v>
      </c>
      <c r="BE168" s="268">
        <f t="shared" si="5"/>
        <v>4.5430036925041302</v>
      </c>
      <c r="BF168" s="268">
        <f t="shared" si="5"/>
        <v>4.5384606888116261</v>
      </c>
      <c r="BG168" s="268">
        <f t="shared" si="5"/>
        <v>4.5339222281228144</v>
      </c>
      <c r="BH168" s="268">
        <f t="shared" si="5"/>
        <v>4.5293883058946918</v>
      </c>
      <c r="BI168" s="268">
        <f t="shared" si="5"/>
        <v>4.524858917588797</v>
      </c>
      <c r="BJ168" s="268">
        <f t="shared" si="5"/>
        <v>4.5203340586712084</v>
      </c>
      <c r="BK168" s="268">
        <f t="shared" si="5"/>
        <v>4.5158137246125376</v>
      </c>
      <c r="BL168" s="268">
        <f t="shared" si="5"/>
        <v>4.511297910887925</v>
      </c>
      <c r="BM168" s="268">
        <f t="shared" si="5"/>
        <v>4.5067866129770371</v>
      </c>
      <c r="BN168" s="268">
        <f t="shared" si="5"/>
        <v>4.5022798263640604</v>
      </c>
      <c r="BO168" s="268">
        <f t="shared" si="6"/>
        <v>4.4977775465376961</v>
      </c>
      <c r="BP168" s="268">
        <f t="shared" si="6"/>
        <v>4.4932797689911581</v>
      </c>
      <c r="BQ168" s="268">
        <f t="shared" si="6"/>
        <v>4.4887864892221669</v>
      </c>
      <c r="BR168" s="268">
        <f t="shared" si="6"/>
        <v>4.4842977027329445</v>
      </c>
      <c r="BS168" s="268">
        <f t="shared" si="6"/>
        <v>4.4798134050302112</v>
      </c>
      <c r="BT168" s="268">
        <f t="shared" si="6"/>
        <v>4.4753335916251809</v>
      </c>
      <c r="BU168" s="268">
        <f t="shared" si="6"/>
        <v>4.4708582580335561</v>
      </c>
      <c r="BV168" s="268">
        <f t="shared" si="6"/>
        <v>4.4663873997755221</v>
      </c>
      <c r="BW168" s="268">
        <f t="shared" si="6"/>
        <v>4.4619210123757469</v>
      </c>
      <c r="BX168" s="268">
        <f t="shared" si="6"/>
        <v>4.4574590913633712</v>
      </c>
      <c r="BY168" s="268">
        <f t="shared" si="6"/>
        <v>4.4530016322720076</v>
      </c>
      <c r="BZ168" s="268">
        <f t="shared" si="6"/>
        <v>4.4485486306397357</v>
      </c>
      <c r="CA168" s="268">
        <f t="shared" si="6"/>
        <v>4.4441000820090961</v>
      </c>
      <c r="CB168" s="268">
        <f t="shared" si="6"/>
        <v>4.4396559819270873</v>
      </c>
      <c r="CC168" s="268">
        <f t="shared" si="6"/>
        <v>4.4352163259451602</v>
      </c>
      <c r="CD168" s="268">
        <f t="shared" si="6"/>
        <v>4.4307811096192147</v>
      </c>
      <c r="CE168" s="268">
        <f t="shared" si="7"/>
        <v>4.4263503285095958</v>
      </c>
      <c r="CF168" s="268">
        <f t="shared" si="7"/>
        <v>4.421923978181086</v>
      </c>
      <c r="CG168" s="268">
        <f t="shared" si="7"/>
        <v>4.4175020542029051</v>
      </c>
      <c r="CH168" s="268">
        <f t="shared" si="7"/>
        <v>4.4130845521487023</v>
      </c>
      <c r="CI168" s="268">
        <f t="shared" si="7"/>
        <v>4.4086714675965535</v>
      </c>
    </row>
    <row r="169" spans="1:87" x14ac:dyDescent="0.35">
      <c r="A169" s="241" t="s">
        <v>87</v>
      </c>
      <c r="B169" s="268">
        <v>3.2494700000000001</v>
      </c>
      <c r="C169" s="268">
        <f t="shared" si="2"/>
        <v>3.24622053</v>
      </c>
      <c r="D169" s="268">
        <f t="shared" si="2"/>
        <v>3.2429743094700001</v>
      </c>
      <c r="E169" s="268">
        <f t="shared" si="2"/>
        <v>3.2397313351605299</v>
      </c>
      <c r="F169" s="268">
        <f t="shared" si="2"/>
        <v>3.2364916038253693</v>
      </c>
      <c r="G169" s="268">
        <f t="shared" si="2"/>
        <v>3.2332551122215438</v>
      </c>
      <c r="H169" s="268">
        <f t="shared" si="2"/>
        <v>3.2300218571093224</v>
      </c>
      <c r="I169" s="268">
        <f t="shared" si="2"/>
        <v>3.2267918352522131</v>
      </c>
      <c r="J169" s="268">
        <f t="shared" si="2"/>
        <v>3.2235650434169609</v>
      </c>
      <c r="K169" s="268">
        <f t="shared" si="2"/>
        <v>3.2203414783735438</v>
      </c>
      <c r="L169" s="268">
        <f t="shared" si="2"/>
        <v>3.2171211368951704</v>
      </c>
      <c r="M169" s="268">
        <f t="shared" si="2"/>
        <v>3.2139040157582754</v>
      </c>
      <c r="N169" s="268">
        <f t="shared" si="2"/>
        <v>3.2106901117425171</v>
      </c>
      <c r="O169" s="268">
        <f t="shared" si="2"/>
        <v>3.2074794216307745</v>
      </c>
      <c r="P169" s="268">
        <f t="shared" si="2"/>
        <v>3.2042719422091439</v>
      </c>
      <c r="Q169" s="268">
        <f t="shared" si="2"/>
        <v>3.201067670266935</v>
      </c>
      <c r="R169" s="268">
        <f t="shared" si="2"/>
        <v>3.197866602596668</v>
      </c>
      <c r="S169" s="268">
        <f t="shared" si="3"/>
        <v>3.1946687359940715</v>
      </c>
      <c r="T169" s="268">
        <f t="shared" si="3"/>
        <v>3.1914740672580773</v>
      </c>
      <c r="U169" s="268">
        <f t="shared" si="3"/>
        <v>3.1882825931908192</v>
      </c>
      <c r="V169" s="268">
        <f t="shared" si="3"/>
        <v>3.1850943105976284</v>
      </c>
      <c r="W169" s="268">
        <f t="shared" si="3"/>
        <v>3.1819092162870306</v>
      </c>
      <c r="X169" s="268">
        <f t="shared" si="3"/>
        <v>3.1787273070707434</v>
      </c>
      <c r="Y169" s="268">
        <f t="shared" si="3"/>
        <v>3.1755485797636727</v>
      </c>
      <c r="Z169" s="268">
        <f t="shared" si="3"/>
        <v>3.1723730311839091</v>
      </c>
      <c r="AA169" s="268">
        <f t="shared" si="3"/>
        <v>3.1692006581527252</v>
      </c>
      <c r="AB169" s="268">
        <f t="shared" si="3"/>
        <v>3.1660314574945727</v>
      </c>
      <c r="AC169" s="268">
        <f t="shared" si="3"/>
        <v>3.1628654260370781</v>
      </c>
      <c r="AD169" s="268">
        <f t="shared" si="3"/>
        <v>3.1597025606110409</v>
      </c>
      <c r="AE169" s="268">
        <f t="shared" si="3"/>
        <v>3.1565428580504298</v>
      </c>
      <c r="AF169" s="268">
        <f t="shared" si="3"/>
        <v>3.1533863151923796</v>
      </c>
      <c r="AG169" s="268">
        <f t="shared" si="3"/>
        <v>3.1502329288771871</v>
      </c>
      <c r="AH169" s="268">
        <f t="shared" si="3"/>
        <v>3.1470826959483098</v>
      </c>
      <c r="AI169" s="268">
        <f t="shared" si="4"/>
        <v>3.1439356132523617</v>
      </c>
      <c r="AJ169" s="268">
        <f t="shared" si="4"/>
        <v>3.1407916776391094</v>
      </c>
      <c r="AK169" s="268">
        <f t="shared" si="4"/>
        <v>3.1376508859614702</v>
      </c>
      <c r="AL169" s="268">
        <f t="shared" si="4"/>
        <v>3.1345132350755089</v>
      </c>
      <c r="AM169" s="268">
        <f t="shared" si="4"/>
        <v>3.1313787218404334</v>
      </c>
      <c r="AN169" s="268">
        <f t="shared" si="4"/>
        <v>3.1282473431185931</v>
      </c>
      <c r="AO169" s="268">
        <f t="shared" si="4"/>
        <v>3.1251190957754744</v>
      </c>
      <c r="AP169" s="268">
        <f t="shared" si="4"/>
        <v>3.1219939766796991</v>
      </c>
      <c r="AQ169" s="268">
        <f t="shared" si="4"/>
        <v>3.1188719827030194</v>
      </c>
      <c r="AR169" s="268">
        <f t="shared" si="4"/>
        <v>3.1157531107203162</v>
      </c>
      <c r="AS169" s="268">
        <f t="shared" si="4"/>
        <v>3.112637357609596</v>
      </c>
      <c r="AT169" s="268">
        <f t="shared" si="4"/>
        <v>3.1095247202519865</v>
      </c>
      <c r="AU169" s="268">
        <f t="shared" si="4"/>
        <v>3.1064151955317345</v>
      </c>
      <c r="AV169" s="268">
        <f t="shared" si="4"/>
        <v>3.1033087803362029</v>
      </c>
      <c r="AW169" s="268">
        <f t="shared" si="4"/>
        <v>3.1002054715558667</v>
      </c>
      <c r="AX169" s="268">
        <f t="shared" si="4"/>
        <v>3.097105266084311</v>
      </c>
      <c r="AY169" s="268">
        <f t="shared" si="5"/>
        <v>3.0940081608182268</v>
      </c>
      <c r="AZ169" s="268">
        <f t="shared" si="5"/>
        <v>3.0909141526574087</v>
      </c>
      <c r="BA169" s="268">
        <f t="shared" si="5"/>
        <v>3.0878232385047513</v>
      </c>
      <c r="BB169" s="268">
        <f t="shared" si="5"/>
        <v>3.0847354152662465</v>
      </c>
      <c r="BC169" s="268">
        <f t="shared" si="5"/>
        <v>3.0816506798509802</v>
      </c>
      <c r="BD169" s="268">
        <f t="shared" si="5"/>
        <v>3.0785690291711294</v>
      </c>
      <c r="BE169" s="268">
        <f t="shared" si="5"/>
        <v>3.0754904601419581</v>
      </c>
      <c r="BF169" s="268">
        <f t="shared" si="5"/>
        <v>3.0724149696818164</v>
      </c>
      <c r="BG169" s="268">
        <f t="shared" si="5"/>
        <v>3.0693425547121347</v>
      </c>
      <c r="BH169" s="268">
        <f t="shared" si="5"/>
        <v>3.0662732121574225</v>
      </c>
      <c r="BI169" s="268">
        <f t="shared" si="5"/>
        <v>3.0632069389452652</v>
      </c>
      <c r="BJ169" s="268">
        <f t="shared" si="5"/>
        <v>3.0601437320063201</v>
      </c>
      <c r="BK169" s="268">
        <f t="shared" si="5"/>
        <v>3.0570835882743137</v>
      </c>
      <c r="BL169" s="268">
        <f t="shared" si="5"/>
        <v>3.0540265046860395</v>
      </c>
      <c r="BM169" s="268">
        <f t="shared" si="5"/>
        <v>3.0509724781813534</v>
      </c>
      <c r="BN169" s="268">
        <f t="shared" si="5"/>
        <v>3.0479215057031719</v>
      </c>
      <c r="BO169" s="268">
        <f t="shared" si="6"/>
        <v>3.0448735841974686</v>
      </c>
      <c r="BP169" s="268">
        <f t="shared" si="6"/>
        <v>3.0418287106132711</v>
      </c>
      <c r="BQ169" s="268">
        <f t="shared" si="6"/>
        <v>3.038786881902658</v>
      </c>
      <c r="BR169" s="268">
        <f t="shared" si="6"/>
        <v>3.0357480950207552</v>
      </c>
      <c r="BS169" s="268">
        <f t="shared" si="6"/>
        <v>3.0327123469257344</v>
      </c>
      <c r="BT169" s="268">
        <f t="shared" si="6"/>
        <v>3.0296796345788088</v>
      </c>
      <c r="BU169" s="268">
        <f t="shared" si="6"/>
        <v>3.0266499549442298</v>
      </c>
      <c r="BV169" s="268">
        <f t="shared" si="6"/>
        <v>3.0236233049892856</v>
      </c>
      <c r="BW169" s="268">
        <f t="shared" si="6"/>
        <v>3.0205996816842964</v>
      </c>
      <c r="BX169" s="268">
        <f t="shared" si="6"/>
        <v>3.0175790820026123</v>
      </c>
      <c r="BY169" s="268">
        <f t="shared" si="6"/>
        <v>3.0145615029206096</v>
      </c>
      <c r="BZ169" s="268">
        <f t="shared" si="6"/>
        <v>3.0115469414176892</v>
      </c>
      <c r="CA169" s="268">
        <f t="shared" si="6"/>
        <v>3.0085353944762714</v>
      </c>
      <c r="CB169" s="268">
        <f t="shared" si="6"/>
        <v>3.0055268590817952</v>
      </c>
      <c r="CC169" s="268">
        <f t="shared" si="6"/>
        <v>3.0025213322227136</v>
      </c>
      <c r="CD169" s="268">
        <f t="shared" si="6"/>
        <v>2.9995188108904909</v>
      </c>
      <c r="CE169" s="268">
        <f t="shared" si="7"/>
        <v>2.9965192920796002</v>
      </c>
      <c r="CF169" s="268">
        <f t="shared" si="7"/>
        <v>2.9935227727875207</v>
      </c>
      <c r="CG169" s="268">
        <f t="shared" si="7"/>
        <v>2.9905292500147334</v>
      </c>
      <c r="CH169" s="268">
        <f t="shared" si="7"/>
        <v>2.9875387207647188</v>
      </c>
      <c r="CI169" s="268">
        <f t="shared" si="7"/>
        <v>2.9845511820439543</v>
      </c>
    </row>
    <row r="170" spans="1:87" x14ac:dyDescent="0.35">
      <c r="A170" s="241" t="s">
        <v>146</v>
      </c>
      <c r="B170" s="268">
        <v>3.2197200000000001</v>
      </c>
      <c r="C170" s="268">
        <f t="shared" si="2"/>
        <v>3.21650028</v>
      </c>
      <c r="D170" s="268">
        <f t="shared" si="2"/>
        <v>3.2132837797199998</v>
      </c>
      <c r="E170" s="268">
        <f t="shared" si="2"/>
        <v>3.2100704959402799</v>
      </c>
      <c r="F170" s="268">
        <f t="shared" si="2"/>
        <v>3.2068604254443396</v>
      </c>
      <c r="G170" s="268">
        <f t="shared" si="2"/>
        <v>3.2036535650188953</v>
      </c>
      <c r="H170" s="268">
        <f t="shared" si="2"/>
        <v>3.2004499114538763</v>
      </c>
      <c r="I170" s="268">
        <f t="shared" si="2"/>
        <v>3.1972494615424223</v>
      </c>
      <c r="J170" s="268">
        <f t="shared" si="2"/>
        <v>3.1940522120808801</v>
      </c>
      <c r="K170" s="268">
        <f t="shared" si="2"/>
        <v>3.1908581598687991</v>
      </c>
      <c r="L170" s="268">
        <f t="shared" si="2"/>
        <v>3.1876673017089301</v>
      </c>
      <c r="M170" s="268">
        <f t="shared" si="2"/>
        <v>3.184479634407221</v>
      </c>
      <c r="N170" s="268">
        <f t="shared" si="2"/>
        <v>3.1812951547728137</v>
      </c>
      <c r="O170" s="268">
        <f t="shared" si="2"/>
        <v>3.1781138596180409</v>
      </c>
      <c r="P170" s="268">
        <f t="shared" si="2"/>
        <v>3.1749357457584231</v>
      </c>
      <c r="Q170" s="268">
        <f t="shared" si="2"/>
        <v>3.1717608100126649</v>
      </c>
      <c r="R170" s="268">
        <f t="shared" si="2"/>
        <v>3.1685890492026521</v>
      </c>
      <c r="S170" s="268">
        <f t="shared" si="3"/>
        <v>3.1654204601534492</v>
      </c>
      <c r="T170" s="268">
        <f t="shared" si="3"/>
        <v>3.1622550396932958</v>
      </c>
      <c r="U170" s="268">
        <f t="shared" si="3"/>
        <v>3.1590927846536023</v>
      </c>
      <c r="V170" s="268">
        <f t="shared" si="3"/>
        <v>3.1559336918689489</v>
      </c>
      <c r="W170" s="268">
        <f t="shared" si="3"/>
        <v>3.1527777581770797</v>
      </c>
      <c r="X170" s="268">
        <f t="shared" si="3"/>
        <v>3.1496249804189027</v>
      </c>
      <c r="Y170" s="268">
        <f t="shared" si="3"/>
        <v>3.1464753554384837</v>
      </c>
      <c r="Z170" s="268">
        <f t="shared" si="3"/>
        <v>3.143328880083045</v>
      </c>
      <c r="AA170" s="268">
        <f t="shared" si="3"/>
        <v>3.1401855512029622</v>
      </c>
      <c r="AB170" s="268">
        <f t="shared" si="3"/>
        <v>3.1370453656517592</v>
      </c>
      <c r="AC170" s="268">
        <f t="shared" si="3"/>
        <v>3.1339083202861073</v>
      </c>
      <c r="AD170" s="268">
        <f t="shared" si="3"/>
        <v>3.1307744119658212</v>
      </c>
      <c r="AE170" s="268">
        <f t="shared" si="3"/>
        <v>3.1276436375538554</v>
      </c>
      <c r="AF170" s="268">
        <f t="shared" si="3"/>
        <v>3.1245159939163014</v>
      </c>
      <c r="AG170" s="268">
        <f t="shared" si="3"/>
        <v>3.1213914779223852</v>
      </c>
      <c r="AH170" s="268">
        <f t="shared" si="3"/>
        <v>3.118270086444463</v>
      </c>
      <c r="AI170" s="268">
        <f t="shared" si="4"/>
        <v>3.1151518163580185</v>
      </c>
      <c r="AJ170" s="268">
        <f t="shared" si="4"/>
        <v>3.1120366645416606</v>
      </c>
      <c r="AK170" s="268">
        <f t="shared" si="4"/>
        <v>3.1089246278771188</v>
      </c>
      <c r="AL170" s="268">
        <f t="shared" si="4"/>
        <v>3.1058157032492417</v>
      </c>
      <c r="AM170" s="268">
        <f t="shared" si="4"/>
        <v>3.1027098875459926</v>
      </c>
      <c r="AN170" s="268">
        <f t="shared" si="4"/>
        <v>3.0996071776584468</v>
      </c>
      <c r="AO170" s="268">
        <f t="shared" si="4"/>
        <v>3.0965075704807883</v>
      </c>
      <c r="AP170" s="268">
        <f t="shared" si="4"/>
        <v>3.0934110629103073</v>
      </c>
      <c r="AQ170" s="268">
        <f t="shared" si="4"/>
        <v>3.0903176518473972</v>
      </c>
      <c r="AR170" s="268">
        <f t="shared" si="4"/>
        <v>3.0872273341955498</v>
      </c>
      <c r="AS170" s="268">
        <f t="shared" si="4"/>
        <v>3.0841401068613541</v>
      </c>
      <c r="AT170" s="268">
        <f t="shared" si="4"/>
        <v>3.0810559667544926</v>
      </c>
      <c r="AU170" s="268">
        <f t="shared" si="4"/>
        <v>3.0779749107877379</v>
      </c>
      <c r="AV170" s="268">
        <f t="shared" si="4"/>
        <v>3.07489693587695</v>
      </c>
      <c r="AW170" s="268">
        <f t="shared" si="4"/>
        <v>3.0718220389410731</v>
      </c>
      <c r="AX170" s="268">
        <f t="shared" si="4"/>
        <v>3.0687502169021319</v>
      </c>
      <c r="AY170" s="268">
        <f t="shared" si="5"/>
        <v>3.0656814666852297</v>
      </c>
      <c r="AZ170" s="268">
        <f t="shared" si="5"/>
        <v>3.0626157852185445</v>
      </c>
      <c r="BA170" s="268">
        <f t="shared" si="5"/>
        <v>3.0595531694333258</v>
      </c>
      <c r="BB170" s="268">
        <f t="shared" si="5"/>
        <v>3.0564936162638925</v>
      </c>
      <c r="BC170" s="268">
        <f t="shared" si="5"/>
        <v>3.0534371226476287</v>
      </c>
      <c r="BD170" s="268">
        <f t="shared" si="5"/>
        <v>3.0503836855249808</v>
      </c>
      <c r="BE170" s="268">
        <f t="shared" si="5"/>
        <v>3.0473333018394557</v>
      </c>
      <c r="BF170" s="268">
        <f t="shared" si="5"/>
        <v>3.0442859685376162</v>
      </c>
      <c r="BG170" s="268">
        <f t="shared" si="5"/>
        <v>3.0412416825690785</v>
      </c>
      <c r="BH170" s="268">
        <f t="shared" si="5"/>
        <v>3.0382004408865093</v>
      </c>
      <c r="BI170" s="268">
        <f t="shared" si="5"/>
        <v>3.0351622404456227</v>
      </c>
      <c r="BJ170" s="268">
        <f t="shared" si="5"/>
        <v>3.032127078205177</v>
      </c>
      <c r="BK170" s="268">
        <f t="shared" si="5"/>
        <v>3.029094951126972</v>
      </c>
      <c r="BL170" s="268">
        <f t="shared" si="5"/>
        <v>3.0260658561758449</v>
      </c>
      <c r="BM170" s="268">
        <f t="shared" si="5"/>
        <v>3.0230397903196691</v>
      </c>
      <c r="BN170" s="268">
        <f t="shared" si="5"/>
        <v>3.0200167505293494</v>
      </c>
      <c r="BO170" s="268">
        <f t="shared" si="6"/>
        <v>3.0169967337788202</v>
      </c>
      <c r="BP170" s="268">
        <f t="shared" si="6"/>
        <v>3.0139797370450414</v>
      </c>
      <c r="BQ170" s="268">
        <f t="shared" si="6"/>
        <v>3.0109657573079964</v>
      </c>
      <c r="BR170" s="268">
        <f t="shared" si="6"/>
        <v>3.0079547915506883</v>
      </c>
      <c r="BS170" s="268">
        <f t="shared" si="6"/>
        <v>3.0049468367591379</v>
      </c>
      <c r="BT170" s="268">
        <f t="shared" si="6"/>
        <v>3.0019418899223789</v>
      </c>
      <c r="BU170" s="268">
        <f t="shared" si="6"/>
        <v>2.9989399480324566</v>
      </c>
      <c r="BV170" s="268">
        <f t="shared" si="6"/>
        <v>2.995941008084424</v>
      </c>
      <c r="BW170" s="268">
        <f t="shared" si="6"/>
        <v>2.9929450670763393</v>
      </c>
      <c r="BX170" s="268">
        <f t="shared" si="6"/>
        <v>2.9899521220092629</v>
      </c>
      <c r="BY170" s="268">
        <f t="shared" si="6"/>
        <v>2.9869621698872537</v>
      </c>
      <c r="BZ170" s="268">
        <f t="shared" si="6"/>
        <v>2.9839752077173665</v>
      </c>
      <c r="CA170" s="268">
        <f t="shared" si="6"/>
        <v>2.9809912325096493</v>
      </c>
      <c r="CB170" s="268">
        <f t="shared" si="6"/>
        <v>2.9780102412771394</v>
      </c>
      <c r="CC170" s="268">
        <f t="shared" si="6"/>
        <v>2.9750322310358621</v>
      </c>
      <c r="CD170" s="268">
        <f t="shared" si="6"/>
        <v>2.9720571988048263</v>
      </c>
      <c r="CE170" s="268">
        <f t="shared" si="7"/>
        <v>2.9690851416060213</v>
      </c>
      <c r="CF170" s="268">
        <f t="shared" si="7"/>
        <v>2.9661160564644153</v>
      </c>
      <c r="CG170" s="268">
        <f t="shared" si="7"/>
        <v>2.9631499404079511</v>
      </c>
      <c r="CH170" s="268">
        <f t="shared" si="7"/>
        <v>2.9601867904675432</v>
      </c>
      <c r="CI170" s="268">
        <f t="shared" si="7"/>
        <v>2.9572266036770758</v>
      </c>
    </row>
    <row r="171" spans="1:87" x14ac:dyDescent="0.35">
      <c r="A171" s="241" t="s">
        <v>89</v>
      </c>
      <c r="B171" s="268">
        <v>3.50339</v>
      </c>
      <c r="C171" s="268">
        <f t="shared" si="2"/>
        <v>3.4998866099999999</v>
      </c>
      <c r="D171" s="268">
        <f t="shared" si="2"/>
        <v>3.4963867233899997</v>
      </c>
      <c r="E171" s="268">
        <f t="shared" si="2"/>
        <v>3.4928903366666098</v>
      </c>
      <c r="F171" s="268">
        <f t="shared" si="2"/>
        <v>3.4893974463299431</v>
      </c>
      <c r="G171" s="268">
        <f t="shared" si="2"/>
        <v>3.4859080488836129</v>
      </c>
      <c r="H171" s="268">
        <f t="shared" si="2"/>
        <v>3.4824221408347293</v>
      </c>
      <c r="I171" s="268">
        <f t="shared" si="2"/>
        <v>3.4789397186938946</v>
      </c>
      <c r="J171" s="268">
        <f t="shared" si="2"/>
        <v>3.4754607789752008</v>
      </c>
      <c r="K171" s="268">
        <f t="shared" si="2"/>
        <v>3.4719853181962255</v>
      </c>
      <c r="L171" s="268">
        <f t="shared" si="2"/>
        <v>3.4685133328780293</v>
      </c>
      <c r="M171" s="268">
        <f t="shared" si="2"/>
        <v>3.4650448195451511</v>
      </c>
      <c r="N171" s="268">
        <f t="shared" si="2"/>
        <v>3.4615797747256059</v>
      </c>
      <c r="O171" s="268">
        <f t="shared" si="2"/>
        <v>3.4581181949508801</v>
      </c>
      <c r="P171" s="268">
        <f t="shared" si="2"/>
        <v>3.4546600767559292</v>
      </c>
      <c r="Q171" s="268">
        <f t="shared" si="2"/>
        <v>3.4512054166791732</v>
      </c>
      <c r="R171" s="268">
        <f t="shared" si="2"/>
        <v>3.4477542112624939</v>
      </c>
      <c r="S171" s="268">
        <f t="shared" si="3"/>
        <v>3.4443064570512316</v>
      </c>
      <c r="T171" s="268">
        <f t="shared" si="3"/>
        <v>3.4408621505941803</v>
      </c>
      <c r="U171" s="268">
        <f t="shared" si="3"/>
        <v>3.437421288443586</v>
      </c>
      <c r="V171" s="268">
        <f t="shared" si="3"/>
        <v>3.4339838671551424</v>
      </c>
      <c r="W171" s="268">
        <f t="shared" si="3"/>
        <v>3.4305498832879873</v>
      </c>
      <c r="X171" s="268">
        <f t="shared" si="3"/>
        <v>3.4271193334046992</v>
      </c>
      <c r="Y171" s="268">
        <f t="shared" si="3"/>
        <v>3.4236922140712944</v>
      </c>
      <c r="Z171" s="268">
        <f t="shared" si="3"/>
        <v>3.4202685218572233</v>
      </c>
      <c r="AA171" s="268">
        <f t="shared" si="3"/>
        <v>3.4168482533353659</v>
      </c>
      <c r="AB171" s="268">
        <f t="shared" si="3"/>
        <v>3.4134314050820307</v>
      </c>
      <c r="AC171" s="268">
        <f t="shared" si="3"/>
        <v>3.4100179736769487</v>
      </c>
      <c r="AD171" s="268">
        <f t="shared" si="3"/>
        <v>3.4066079557032718</v>
      </c>
      <c r="AE171" s="268">
        <f t="shared" si="3"/>
        <v>3.4032013477475687</v>
      </c>
      <c r="AF171" s="268">
        <f t="shared" si="3"/>
        <v>3.3997981463998213</v>
      </c>
      <c r="AG171" s="268">
        <f t="shared" si="3"/>
        <v>3.3963983482534212</v>
      </c>
      <c r="AH171" s="268">
        <f t="shared" si="3"/>
        <v>3.3930019499051678</v>
      </c>
      <c r="AI171" s="268">
        <f t="shared" si="4"/>
        <v>3.3896089479552627</v>
      </c>
      <c r="AJ171" s="268">
        <f t="shared" si="4"/>
        <v>3.3862193390073072</v>
      </c>
      <c r="AK171" s="268">
        <f t="shared" si="4"/>
        <v>3.3828331196682999</v>
      </c>
      <c r="AL171" s="268">
        <f t="shared" si="4"/>
        <v>3.3794502865486318</v>
      </c>
      <c r="AM171" s="268">
        <f t="shared" si="4"/>
        <v>3.376070836262083</v>
      </c>
      <c r="AN171" s="268">
        <f t="shared" si="4"/>
        <v>3.372694765425821</v>
      </c>
      <c r="AO171" s="268">
        <f t="shared" si="4"/>
        <v>3.3693220706603952</v>
      </c>
      <c r="AP171" s="268">
        <f t="shared" si="4"/>
        <v>3.3659527485897347</v>
      </c>
      <c r="AQ171" s="268">
        <f t="shared" si="4"/>
        <v>3.3625867958411448</v>
      </c>
      <c r="AR171" s="268">
        <f t="shared" si="4"/>
        <v>3.3592242090453035</v>
      </c>
      <c r="AS171" s="268">
        <f t="shared" si="4"/>
        <v>3.3558649848362583</v>
      </c>
      <c r="AT171" s="268">
        <f t="shared" si="4"/>
        <v>3.3525091198514221</v>
      </c>
      <c r="AU171" s="268">
        <f t="shared" si="4"/>
        <v>3.3491566107315704</v>
      </c>
      <c r="AV171" s="268">
        <f t="shared" si="4"/>
        <v>3.3458074541208389</v>
      </c>
      <c r="AW171" s="268">
        <f t="shared" si="4"/>
        <v>3.3424616466667181</v>
      </c>
      <c r="AX171" s="268">
        <f t="shared" si="4"/>
        <v>3.3391191850200515</v>
      </c>
      <c r="AY171" s="268">
        <f t="shared" si="5"/>
        <v>3.3357800658350314</v>
      </c>
      <c r="AZ171" s="268">
        <f t="shared" si="5"/>
        <v>3.3324442857691965</v>
      </c>
      <c r="BA171" s="268">
        <f t="shared" si="5"/>
        <v>3.3291118414834271</v>
      </c>
      <c r="BB171" s="268">
        <f t="shared" si="5"/>
        <v>3.3257827296419435</v>
      </c>
      <c r="BC171" s="268">
        <f t="shared" si="5"/>
        <v>3.3224569469123018</v>
      </c>
      <c r="BD171" s="268">
        <f t="shared" si="5"/>
        <v>3.3191344899653896</v>
      </c>
      <c r="BE171" s="268">
        <f t="shared" si="5"/>
        <v>3.3158153554754244</v>
      </c>
      <c r="BF171" s="268">
        <f t="shared" si="5"/>
        <v>3.3124995401199491</v>
      </c>
      <c r="BG171" s="268">
        <f t="shared" si="5"/>
        <v>3.3091870405798289</v>
      </c>
      <c r="BH171" s="268">
        <f t="shared" si="5"/>
        <v>3.3058778535392492</v>
      </c>
      <c r="BI171" s="268">
        <f t="shared" si="5"/>
        <v>3.3025719756857099</v>
      </c>
      <c r="BJ171" s="268">
        <f t="shared" si="5"/>
        <v>3.2992694037100243</v>
      </c>
      <c r="BK171" s="268">
        <f t="shared" si="5"/>
        <v>3.2959701343063141</v>
      </c>
      <c r="BL171" s="268">
        <f t="shared" si="5"/>
        <v>3.2926741641720079</v>
      </c>
      <c r="BM171" s="268">
        <f t="shared" si="5"/>
        <v>3.2893814900078358</v>
      </c>
      <c r="BN171" s="268">
        <f t="shared" si="5"/>
        <v>3.2860921085178281</v>
      </c>
      <c r="BO171" s="268">
        <f t="shared" si="6"/>
        <v>3.2828060164093102</v>
      </c>
      <c r="BP171" s="268">
        <f t="shared" si="6"/>
        <v>3.2795232103929011</v>
      </c>
      <c r="BQ171" s="268">
        <f t="shared" si="6"/>
        <v>3.2762436871825082</v>
      </c>
      <c r="BR171" s="268">
        <f t="shared" si="6"/>
        <v>3.2729674434953258</v>
      </c>
      <c r="BS171" s="268">
        <f t="shared" si="6"/>
        <v>3.2696944760518303</v>
      </c>
      <c r="BT171" s="268">
        <f t="shared" si="6"/>
        <v>3.2664247815757785</v>
      </c>
      <c r="BU171" s="268">
        <f t="shared" si="6"/>
        <v>3.2631583567942029</v>
      </c>
      <c r="BV171" s="268">
        <f t="shared" si="6"/>
        <v>3.2598951984374085</v>
      </c>
      <c r="BW171" s="268">
        <f t="shared" si="6"/>
        <v>3.256635303238971</v>
      </c>
      <c r="BX171" s="268">
        <f t="shared" si="6"/>
        <v>3.2533786679357322</v>
      </c>
      <c r="BY171" s="268">
        <f t="shared" si="6"/>
        <v>3.2501252892677965</v>
      </c>
      <c r="BZ171" s="268">
        <f t="shared" si="6"/>
        <v>3.2468751639785287</v>
      </c>
      <c r="CA171" s="268">
        <f t="shared" si="6"/>
        <v>3.2436282888145502</v>
      </c>
      <c r="CB171" s="268">
        <f t="shared" si="6"/>
        <v>3.2403846605257356</v>
      </c>
      <c r="CC171" s="268">
        <f t="shared" si="6"/>
        <v>3.23714427586521</v>
      </c>
      <c r="CD171" s="268">
        <f t="shared" si="6"/>
        <v>3.2339071315893446</v>
      </c>
      <c r="CE171" s="268">
        <f t="shared" si="7"/>
        <v>3.2306732244577554</v>
      </c>
      <c r="CF171" s="268">
        <f t="shared" si="7"/>
        <v>3.2274425512332976</v>
      </c>
      <c r="CG171" s="268">
        <f t="shared" si="7"/>
        <v>3.2242151086820643</v>
      </c>
      <c r="CH171" s="268">
        <f t="shared" si="7"/>
        <v>3.2209908935733824</v>
      </c>
      <c r="CI171" s="268">
        <f t="shared" si="7"/>
        <v>3.2177699026798092</v>
      </c>
    </row>
    <row r="172" spans="1:87" x14ac:dyDescent="0.35">
      <c r="A172" s="241" t="s">
        <v>90</v>
      </c>
      <c r="B172" s="268">
        <v>3.7277499999999999</v>
      </c>
      <c r="C172" s="268">
        <f t="shared" si="2"/>
        <v>3.72402225</v>
      </c>
      <c r="D172" s="268">
        <f t="shared" si="2"/>
        <v>3.7202982277499999</v>
      </c>
      <c r="E172" s="268">
        <f t="shared" si="2"/>
        <v>3.7165779295222499</v>
      </c>
      <c r="F172" s="268">
        <f t="shared" si="2"/>
        <v>3.7128613515927276</v>
      </c>
      <c r="G172" s="268">
        <f t="shared" si="2"/>
        <v>3.7091484902411347</v>
      </c>
      <c r="H172" s="268">
        <f t="shared" si="2"/>
        <v>3.7054393417508935</v>
      </c>
      <c r="I172" s="268">
        <f t="shared" si="2"/>
        <v>3.7017339024091425</v>
      </c>
      <c r="J172" s="268">
        <f t="shared" si="2"/>
        <v>3.6980321685067334</v>
      </c>
      <c r="K172" s="268">
        <f t="shared" si="2"/>
        <v>3.6943341363382265</v>
      </c>
      <c r="L172" s="268">
        <f t="shared" si="2"/>
        <v>3.6906398022018885</v>
      </c>
      <c r="M172" s="268">
        <f t="shared" si="2"/>
        <v>3.6869491623996864</v>
      </c>
      <c r="N172" s="268">
        <f t="shared" si="2"/>
        <v>3.6832622132372865</v>
      </c>
      <c r="O172" s="268">
        <f t="shared" si="2"/>
        <v>3.6795789510240491</v>
      </c>
      <c r="P172" s="268">
        <f t="shared" si="2"/>
        <v>3.6758993720730251</v>
      </c>
      <c r="Q172" s="268">
        <f t="shared" si="2"/>
        <v>3.672223472700952</v>
      </c>
      <c r="R172" s="268">
        <f t="shared" si="2"/>
        <v>3.6685512492282508</v>
      </c>
      <c r="S172" s="268">
        <f t="shared" si="3"/>
        <v>3.6648826979790226</v>
      </c>
      <c r="T172" s="268">
        <f t="shared" si="3"/>
        <v>3.6612178152810437</v>
      </c>
      <c r="U172" s="268">
        <f t="shared" si="3"/>
        <v>3.6575565974657627</v>
      </c>
      <c r="V172" s="268">
        <f t="shared" si="3"/>
        <v>3.6538990408682968</v>
      </c>
      <c r="W172" s="268">
        <f t="shared" si="3"/>
        <v>3.6502451418274284</v>
      </c>
      <c r="X172" s="268">
        <f t="shared" si="3"/>
        <v>3.6465948966856012</v>
      </c>
      <c r="Y172" s="268">
        <f t="shared" si="3"/>
        <v>3.6429483017889157</v>
      </c>
      <c r="Z172" s="268">
        <f t="shared" si="3"/>
        <v>3.6393053534871269</v>
      </c>
      <c r="AA172" s="268">
        <f t="shared" si="3"/>
        <v>3.6356660481336398</v>
      </c>
      <c r="AB172" s="268">
        <f t="shared" si="3"/>
        <v>3.6320303820855062</v>
      </c>
      <c r="AC172" s="268">
        <f t="shared" si="3"/>
        <v>3.6283983517034208</v>
      </c>
      <c r="AD172" s="268">
        <f t="shared" si="3"/>
        <v>3.6247699533517173</v>
      </c>
      <c r="AE172" s="268">
        <f t="shared" si="3"/>
        <v>3.6211451833983657</v>
      </c>
      <c r="AF172" s="268">
        <f t="shared" si="3"/>
        <v>3.6175240382149672</v>
      </c>
      <c r="AG172" s="268">
        <f t="shared" si="3"/>
        <v>3.6139065141767523</v>
      </c>
      <c r="AH172" s="268">
        <f t="shared" si="3"/>
        <v>3.6102926076625756</v>
      </c>
      <c r="AI172" s="268">
        <f t="shared" si="4"/>
        <v>3.606682315054913</v>
      </c>
      <c r="AJ172" s="268">
        <f t="shared" si="4"/>
        <v>3.6030756327398579</v>
      </c>
      <c r="AK172" s="268">
        <f t="shared" si="4"/>
        <v>3.5994725571071182</v>
      </c>
      <c r="AL172" s="268">
        <f t="shared" si="4"/>
        <v>3.5958730845500111</v>
      </c>
      <c r="AM172" s="268">
        <f t="shared" si="4"/>
        <v>3.5922772114654609</v>
      </c>
      <c r="AN172" s="268">
        <f t="shared" si="4"/>
        <v>3.5886849342539953</v>
      </c>
      <c r="AO172" s="268">
        <f t="shared" si="4"/>
        <v>3.5850962493197414</v>
      </c>
      <c r="AP172" s="268">
        <f t="shared" si="4"/>
        <v>3.5815111530704216</v>
      </c>
      <c r="AQ172" s="268">
        <f t="shared" si="4"/>
        <v>3.577929641917351</v>
      </c>
      <c r="AR172" s="268">
        <f t="shared" si="4"/>
        <v>3.5743517122754338</v>
      </c>
      <c r="AS172" s="268">
        <f t="shared" si="4"/>
        <v>3.5707773605631585</v>
      </c>
      <c r="AT172" s="268">
        <f t="shared" si="4"/>
        <v>3.5672065832025952</v>
      </c>
      <c r="AU172" s="268">
        <f t="shared" si="4"/>
        <v>3.5636393766193928</v>
      </c>
      <c r="AV172" s="268">
        <f t="shared" si="4"/>
        <v>3.5600757372427734</v>
      </c>
      <c r="AW172" s="268">
        <f t="shared" si="4"/>
        <v>3.5565156615055304</v>
      </c>
      <c r="AX172" s="268">
        <f t="shared" si="4"/>
        <v>3.5529591458440248</v>
      </c>
      <c r="AY172" s="268">
        <f t="shared" si="5"/>
        <v>3.5494061866981808</v>
      </c>
      <c r="AZ172" s="268">
        <f t="shared" si="5"/>
        <v>3.5458567805114827</v>
      </c>
      <c r="BA172" s="268">
        <f t="shared" si="5"/>
        <v>3.5423109237309713</v>
      </c>
      <c r="BB172" s="268">
        <f t="shared" si="5"/>
        <v>3.5387686128072402</v>
      </c>
      <c r="BC172" s="268">
        <f t="shared" si="5"/>
        <v>3.5352298441944328</v>
      </c>
      <c r="BD172" s="268">
        <f t="shared" si="5"/>
        <v>3.5316946143502381</v>
      </c>
      <c r="BE172" s="268">
        <f t="shared" si="5"/>
        <v>3.5281629197358879</v>
      </c>
      <c r="BF172" s="268">
        <f t="shared" si="5"/>
        <v>3.5246347568161522</v>
      </c>
      <c r="BG172" s="268">
        <f t="shared" si="5"/>
        <v>3.5211101220593362</v>
      </c>
      <c r="BH172" s="268">
        <f t="shared" si="5"/>
        <v>3.517589011937277</v>
      </c>
      <c r="BI172" s="268">
        <f t="shared" si="5"/>
        <v>3.5140714229253396</v>
      </c>
      <c r="BJ172" s="268">
        <f t="shared" si="5"/>
        <v>3.5105573515024142</v>
      </c>
      <c r="BK172" s="268">
        <f t="shared" si="5"/>
        <v>3.5070467941509116</v>
      </c>
      <c r="BL172" s="268">
        <f t="shared" si="5"/>
        <v>3.5035397473567609</v>
      </c>
      <c r="BM172" s="268">
        <f t="shared" si="5"/>
        <v>3.500036207609404</v>
      </c>
      <c r="BN172" s="268">
        <f t="shared" si="5"/>
        <v>3.4965361714017948</v>
      </c>
      <c r="BO172" s="268">
        <f t="shared" si="6"/>
        <v>3.4930396352303932</v>
      </c>
      <c r="BP172" s="268">
        <f t="shared" si="6"/>
        <v>3.4895465955951628</v>
      </c>
      <c r="BQ172" s="268">
        <f t="shared" si="6"/>
        <v>3.4860570489995677</v>
      </c>
      <c r="BR172" s="268">
        <f t="shared" si="6"/>
        <v>3.4825709919505683</v>
      </c>
      <c r="BS172" s="268">
        <f t="shared" si="6"/>
        <v>3.4790884209586177</v>
      </c>
      <c r="BT172" s="268">
        <f t="shared" si="6"/>
        <v>3.4756093325376591</v>
      </c>
      <c r="BU172" s="268">
        <f t="shared" si="6"/>
        <v>3.4721337232051215</v>
      </c>
      <c r="BV172" s="268">
        <f t="shared" si="6"/>
        <v>3.4686615894819162</v>
      </c>
      <c r="BW172" s="268">
        <f t="shared" si="6"/>
        <v>3.465192927892434</v>
      </c>
      <c r="BX172" s="268">
        <f t="shared" si="6"/>
        <v>3.4617277349645414</v>
      </c>
      <c r="BY172" s="268">
        <f t="shared" si="6"/>
        <v>3.458266007229577</v>
      </c>
      <c r="BZ172" s="268">
        <f t="shared" si="6"/>
        <v>3.4548077412223472</v>
      </c>
      <c r="CA172" s="268">
        <f t="shared" si="6"/>
        <v>3.4513529334811248</v>
      </c>
      <c r="CB172" s="268">
        <f t="shared" si="6"/>
        <v>3.4479015805476436</v>
      </c>
      <c r="CC172" s="268">
        <f t="shared" si="6"/>
        <v>3.4444536789670961</v>
      </c>
      <c r="CD172" s="268">
        <f t="shared" si="6"/>
        <v>3.4410092252881288</v>
      </c>
      <c r="CE172" s="268">
        <f t="shared" si="7"/>
        <v>3.4375682160628407</v>
      </c>
      <c r="CF172" s="268">
        <f t="shared" si="7"/>
        <v>3.4341306478467777</v>
      </c>
      <c r="CG172" s="268">
        <f t="shared" si="7"/>
        <v>3.430696517198931</v>
      </c>
      <c r="CH172" s="268">
        <f t="shared" si="7"/>
        <v>3.4272658206817321</v>
      </c>
      <c r="CI172" s="268">
        <f t="shared" si="7"/>
        <v>3.4238385548610504</v>
      </c>
    </row>
    <row r="174" spans="1:87" x14ac:dyDescent="0.35">
      <c r="A174" s="388" t="s">
        <v>2033</v>
      </c>
    </row>
    <row r="175" spans="1:87" x14ac:dyDescent="0.35">
      <c r="A175" s="501" t="s">
        <v>2034</v>
      </c>
      <c r="B175" s="134"/>
      <c r="C175"/>
    </row>
    <row r="176" spans="1:87" ht="29" x14ac:dyDescent="0.35">
      <c r="A176" s="502">
        <v>0</v>
      </c>
      <c r="B176" s="503" t="s">
        <v>2035</v>
      </c>
    </row>
    <row r="177" spans="1:2" x14ac:dyDescent="0.35">
      <c r="A177" s="502">
        <v>1</v>
      </c>
      <c r="B177" s="504" t="s">
        <v>2036</v>
      </c>
    </row>
    <row r="178" spans="1:2" x14ac:dyDescent="0.35">
      <c r="A178" s="502">
        <v>2</v>
      </c>
      <c r="B178" s="505" t="s">
        <v>2037</v>
      </c>
    </row>
    <row r="179" spans="1:2" x14ac:dyDescent="0.35">
      <c r="A179" s="352" t="s">
        <v>170</v>
      </c>
      <c r="B179" s="353">
        <v>0</v>
      </c>
    </row>
    <row r="183" spans="1:2" ht="15" customHeight="1" x14ac:dyDescent="0.35"/>
    <row r="207" spans="9:9" x14ac:dyDescent="0.35">
      <c r="I207" s="137"/>
    </row>
    <row r="208" spans="9:9" x14ac:dyDescent="0.35">
      <c r="I208" s="138"/>
    </row>
    <row r="209" spans="3:9" x14ac:dyDescent="0.35">
      <c r="I209" s="138"/>
    </row>
    <row r="210" spans="3:9" x14ac:dyDescent="0.35">
      <c r="I210" s="138"/>
    </row>
    <row r="212" spans="3:9" x14ac:dyDescent="0.35">
      <c r="I212" s="137"/>
    </row>
    <row r="214" spans="3:9" x14ac:dyDescent="0.35">
      <c r="C214"/>
    </row>
  </sheetData>
  <mergeCells count="1">
    <mergeCell ref="A1:C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I41"/>
  <sheetViews>
    <sheetView zoomScale="90" zoomScaleNormal="90" workbookViewId="0">
      <pane xSplit="1" ySplit="1" topLeftCell="D2" activePane="bottomRight" state="frozen"/>
      <selection pane="topRight" activeCell="B1" sqref="B1"/>
      <selection pane="bottomLeft" activeCell="A2" sqref="A2"/>
      <selection pane="bottomRight" activeCell="A3" sqref="A3"/>
    </sheetView>
  </sheetViews>
  <sheetFormatPr baseColWidth="10" defaultColWidth="11.453125" defaultRowHeight="14.5" x14ac:dyDescent="0.35"/>
  <cols>
    <col min="1" max="1" width="45.81640625" customWidth="1"/>
    <col min="2" max="2" width="42.81640625" customWidth="1"/>
    <col min="3" max="3" width="43" customWidth="1"/>
    <col min="4" max="4" width="36.453125" customWidth="1"/>
    <col min="6" max="6" width="64.54296875" customWidth="1"/>
    <col min="7" max="7" width="41.453125" customWidth="1"/>
    <col min="8" max="8" width="42.453125" customWidth="1"/>
    <col min="9" max="9" width="28.453125" customWidth="1"/>
    <col min="10" max="10" width="21.54296875" customWidth="1"/>
    <col min="11" max="11" width="22.54296875" customWidth="1"/>
  </cols>
  <sheetData>
    <row r="1" spans="1:8" s="216" customFormat="1" ht="31" x14ac:dyDescent="0.7">
      <c r="A1" s="602" t="s">
        <v>592</v>
      </c>
      <c r="B1" s="602"/>
      <c r="C1" s="602"/>
    </row>
    <row r="3" spans="1:8" x14ac:dyDescent="0.35">
      <c r="A3" s="143" t="s">
        <v>481</v>
      </c>
    </row>
    <row r="4" spans="1:8" ht="15" thickBot="1" x14ac:dyDescent="0.4">
      <c r="A4" s="2"/>
    </row>
    <row r="5" spans="1:8" x14ac:dyDescent="0.35">
      <c r="A5" s="52" t="s">
        <v>323</v>
      </c>
      <c r="B5" s="52" t="s">
        <v>774</v>
      </c>
      <c r="C5" s="52" t="s">
        <v>479</v>
      </c>
      <c r="D5" s="52" t="s">
        <v>480</v>
      </c>
      <c r="F5" s="52" t="s">
        <v>768</v>
      </c>
      <c r="G5" s="600" t="s">
        <v>773</v>
      </c>
      <c r="H5" s="601"/>
    </row>
    <row r="6" spans="1:8" ht="15" thickBot="1" x14ac:dyDescent="0.4">
      <c r="A6" s="109" t="s">
        <v>378</v>
      </c>
      <c r="B6" s="105" t="s">
        <v>128</v>
      </c>
      <c r="C6" s="105" t="s">
        <v>322</v>
      </c>
      <c r="D6" s="104" t="s">
        <v>322</v>
      </c>
      <c r="F6" s="108" t="s">
        <v>378</v>
      </c>
      <c r="G6" s="9" t="s">
        <v>776</v>
      </c>
      <c r="H6" s="9" t="s">
        <v>775</v>
      </c>
    </row>
    <row r="7" spans="1:8" x14ac:dyDescent="0.35">
      <c r="A7" s="69" t="s">
        <v>165</v>
      </c>
      <c r="B7" s="106">
        <v>0</v>
      </c>
      <c r="C7" s="107">
        <v>2015</v>
      </c>
      <c r="D7" s="142">
        <v>2050</v>
      </c>
      <c r="F7" s="69" t="s">
        <v>165</v>
      </c>
      <c r="G7" s="110">
        <v>1</v>
      </c>
      <c r="H7" s="110">
        <v>1</v>
      </c>
    </row>
    <row r="8" spans="1:8" x14ac:dyDescent="0.35">
      <c r="A8" s="69" t="s">
        <v>57</v>
      </c>
      <c r="B8" s="106">
        <v>0</v>
      </c>
      <c r="C8" s="107">
        <v>2015</v>
      </c>
      <c r="D8" s="142">
        <v>2050</v>
      </c>
      <c r="F8" s="69" t="s">
        <v>57</v>
      </c>
      <c r="G8" s="111">
        <v>1</v>
      </c>
      <c r="H8" s="111">
        <v>1</v>
      </c>
    </row>
    <row r="9" spans="1:8" x14ac:dyDescent="0.35">
      <c r="A9" s="69" t="s">
        <v>58</v>
      </c>
      <c r="B9" s="106">
        <v>0</v>
      </c>
      <c r="C9" s="107">
        <v>2015</v>
      </c>
      <c r="D9" s="142">
        <v>2050</v>
      </c>
      <c r="F9" s="69" t="s">
        <v>58</v>
      </c>
      <c r="G9" s="112">
        <v>1</v>
      </c>
      <c r="H9" s="112">
        <v>1</v>
      </c>
    </row>
    <row r="10" spans="1:8" x14ac:dyDescent="0.35">
      <c r="A10" s="69" t="s">
        <v>59</v>
      </c>
      <c r="B10" s="106">
        <v>0</v>
      </c>
      <c r="C10" s="107">
        <v>2015</v>
      </c>
      <c r="D10" s="142">
        <v>2050</v>
      </c>
      <c r="F10" s="69" t="s">
        <v>59</v>
      </c>
      <c r="G10" s="111">
        <v>1</v>
      </c>
      <c r="H10" s="111">
        <v>1</v>
      </c>
    </row>
    <row r="11" spans="1:8" x14ac:dyDescent="0.35">
      <c r="A11" s="69" t="s">
        <v>60</v>
      </c>
      <c r="B11" s="106">
        <v>0</v>
      </c>
      <c r="C11" s="107">
        <v>2015</v>
      </c>
      <c r="D11" s="142">
        <v>2050</v>
      </c>
      <c r="F11" s="69" t="s">
        <v>60</v>
      </c>
      <c r="G11" s="112">
        <v>1</v>
      </c>
      <c r="H11" s="112">
        <v>1</v>
      </c>
    </row>
    <row r="12" spans="1:8" x14ac:dyDescent="0.35">
      <c r="A12" s="69" t="s">
        <v>166</v>
      </c>
      <c r="B12" s="106">
        <v>0</v>
      </c>
      <c r="C12" s="107">
        <v>2015</v>
      </c>
      <c r="D12" s="142">
        <v>2050</v>
      </c>
      <c r="F12" s="69" t="s">
        <v>166</v>
      </c>
      <c r="G12" s="111">
        <v>1</v>
      </c>
      <c r="H12" s="111">
        <v>1</v>
      </c>
    </row>
    <row r="13" spans="1:8" x14ac:dyDescent="0.35">
      <c r="A13" s="69" t="s">
        <v>62</v>
      </c>
      <c r="B13" s="106">
        <v>0</v>
      </c>
      <c r="C13" s="107">
        <v>2015</v>
      </c>
      <c r="D13" s="142">
        <v>2050</v>
      </c>
      <c r="F13" s="69" t="s">
        <v>62</v>
      </c>
      <c r="G13" s="112">
        <v>1</v>
      </c>
      <c r="H13" s="112">
        <v>1</v>
      </c>
    </row>
    <row r="14" spans="1:8" x14ac:dyDescent="0.35">
      <c r="A14" s="69" t="s">
        <v>63</v>
      </c>
      <c r="B14" s="106">
        <v>0</v>
      </c>
      <c r="C14" s="107">
        <v>2015</v>
      </c>
      <c r="D14" s="142">
        <v>2050</v>
      </c>
      <c r="F14" s="69" t="s">
        <v>63</v>
      </c>
      <c r="G14" s="111">
        <v>1</v>
      </c>
      <c r="H14" s="111">
        <v>1</v>
      </c>
    </row>
    <row r="15" spans="1:8" x14ac:dyDescent="0.35">
      <c r="A15" s="69" t="s">
        <v>64</v>
      </c>
      <c r="B15" s="106">
        <v>0</v>
      </c>
      <c r="C15" s="107">
        <v>2015</v>
      </c>
      <c r="D15" s="142">
        <v>2050</v>
      </c>
      <c r="F15" s="69" t="s">
        <v>64</v>
      </c>
      <c r="G15" s="112">
        <v>1</v>
      </c>
      <c r="H15" s="112">
        <v>1</v>
      </c>
    </row>
    <row r="16" spans="1:8" x14ac:dyDescent="0.35">
      <c r="A16" s="69" t="s">
        <v>65</v>
      </c>
      <c r="B16" s="106">
        <v>0</v>
      </c>
      <c r="C16" s="107">
        <v>2015</v>
      </c>
      <c r="D16" s="142">
        <v>2050</v>
      </c>
      <c r="F16" s="69" t="s">
        <v>65</v>
      </c>
      <c r="G16" s="111">
        <v>1</v>
      </c>
      <c r="H16" s="111">
        <v>1</v>
      </c>
    </row>
    <row r="17" spans="1:9" x14ac:dyDescent="0.35">
      <c r="A17" s="69" t="s">
        <v>66</v>
      </c>
      <c r="B17" s="106">
        <v>0</v>
      </c>
      <c r="C17" s="107">
        <v>2015</v>
      </c>
      <c r="D17" s="142">
        <v>2050</v>
      </c>
      <c r="F17" s="69" t="s">
        <v>66</v>
      </c>
      <c r="G17" s="112">
        <v>1</v>
      </c>
      <c r="H17" s="112">
        <v>1</v>
      </c>
    </row>
    <row r="18" spans="1:9" x14ac:dyDescent="0.35">
      <c r="A18" s="69" t="s">
        <v>67</v>
      </c>
      <c r="B18" s="106">
        <v>0</v>
      </c>
      <c r="C18" s="107">
        <v>2015</v>
      </c>
      <c r="D18" s="142">
        <v>2050</v>
      </c>
      <c r="F18" s="69" t="s">
        <v>67</v>
      </c>
      <c r="G18" s="111">
        <v>1</v>
      </c>
      <c r="H18" s="111">
        <v>1</v>
      </c>
    </row>
    <row r="19" spans="1:9" x14ac:dyDescent="0.35">
      <c r="A19" s="69" t="s">
        <v>68</v>
      </c>
      <c r="B19" s="106">
        <v>0</v>
      </c>
      <c r="C19" s="107">
        <v>2015</v>
      </c>
      <c r="D19" s="142">
        <v>2050</v>
      </c>
      <c r="F19" s="69" t="s">
        <v>68</v>
      </c>
      <c r="G19" s="112">
        <v>1</v>
      </c>
      <c r="H19" s="112">
        <v>1</v>
      </c>
    </row>
    <row r="20" spans="1:9" x14ac:dyDescent="0.35">
      <c r="A20" s="69" t="s">
        <v>69</v>
      </c>
      <c r="B20" s="106">
        <v>0</v>
      </c>
      <c r="C20" s="107">
        <v>2015</v>
      </c>
      <c r="D20" s="142">
        <v>2050</v>
      </c>
      <c r="F20" s="69" t="s">
        <v>69</v>
      </c>
      <c r="G20" s="111">
        <v>1</v>
      </c>
      <c r="H20" s="111">
        <v>1</v>
      </c>
    </row>
    <row r="21" spans="1:9" x14ac:dyDescent="0.35">
      <c r="A21" s="69" t="s">
        <v>70</v>
      </c>
      <c r="B21" s="106">
        <v>0</v>
      </c>
      <c r="C21" s="107">
        <v>2015</v>
      </c>
      <c r="D21" s="142">
        <v>2050</v>
      </c>
      <c r="F21" s="69" t="s">
        <v>70</v>
      </c>
      <c r="G21" s="112">
        <v>1</v>
      </c>
      <c r="H21" s="112">
        <v>1</v>
      </c>
      <c r="I21" s="55"/>
    </row>
    <row r="22" spans="1:9" x14ac:dyDescent="0.35">
      <c r="A22" s="69" t="s">
        <v>71</v>
      </c>
      <c r="B22" s="106">
        <v>0</v>
      </c>
      <c r="C22" s="107">
        <v>2015</v>
      </c>
      <c r="D22" s="142">
        <v>2050</v>
      </c>
      <c r="F22" s="69" t="s">
        <v>71</v>
      </c>
      <c r="G22" s="111">
        <v>1</v>
      </c>
      <c r="H22" s="111">
        <v>1</v>
      </c>
      <c r="I22" s="51"/>
    </row>
    <row r="23" spans="1:9" x14ac:dyDescent="0.35">
      <c r="A23" s="69" t="s">
        <v>167</v>
      </c>
      <c r="B23" s="106">
        <v>0</v>
      </c>
      <c r="C23" s="107">
        <v>2015</v>
      </c>
      <c r="D23" s="142">
        <v>2050</v>
      </c>
      <c r="F23" s="69" t="s">
        <v>167</v>
      </c>
      <c r="G23" s="112">
        <v>1</v>
      </c>
      <c r="H23" s="112">
        <v>1</v>
      </c>
      <c r="I23" s="51"/>
    </row>
    <row r="24" spans="1:9" x14ac:dyDescent="0.35">
      <c r="A24" s="69" t="s">
        <v>73</v>
      </c>
      <c r="B24" s="106">
        <v>0</v>
      </c>
      <c r="C24" s="107">
        <v>2015</v>
      </c>
      <c r="D24" s="142">
        <v>2050</v>
      </c>
      <c r="F24" s="69" t="s">
        <v>73</v>
      </c>
      <c r="G24" s="111">
        <v>1</v>
      </c>
      <c r="H24" s="111">
        <v>1</v>
      </c>
      <c r="I24" s="51"/>
    </row>
    <row r="25" spans="1:9" x14ac:dyDescent="0.35">
      <c r="A25" s="69" t="s">
        <v>74</v>
      </c>
      <c r="B25" s="106">
        <v>0</v>
      </c>
      <c r="C25" s="107">
        <v>2015</v>
      </c>
      <c r="D25" s="142">
        <v>2050</v>
      </c>
      <c r="F25" s="69" t="s">
        <v>74</v>
      </c>
      <c r="G25" s="112">
        <v>1</v>
      </c>
      <c r="H25" s="112">
        <v>1</v>
      </c>
      <c r="I25" s="51"/>
    </row>
    <row r="26" spans="1:9" x14ac:dyDescent="0.35">
      <c r="A26" s="69" t="s">
        <v>75</v>
      </c>
      <c r="B26" s="106">
        <v>0</v>
      </c>
      <c r="C26" s="107">
        <v>2015</v>
      </c>
      <c r="D26" s="142">
        <v>2050</v>
      </c>
      <c r="F26" s="69" t="s">
        <v>75</v>
      </c>
      <c r="G26" s="111">
        <v>1</v>
      </c>
      <c r="H26" s="111">
        <v>1</v>
      </c>
      <c r="I26" s="51"/>
    </row>
    <row r="27" spans="1:9" x14ac:dyDescent="0.35">
      <c r="A27" s="69" t="s">
        <v>76</v>
      </c>
      <c r="B27" s="106">
        <v>0</v>
      </c>
      <c r="C27" s="107">
        <v>2015</v>
      </c>
      <c r="D27" s="142">
        <v>2050</v>
      </c>
      <c r="F27" s="69" t="s">
        <v>76</v>
      </c>
      <c r="G27" s="112">
        <v>1</v>
      </c>
      <c r="H27" s="112">
        <v>1</v>
      </c>
      <c r="I27" s="51"/>
    </row>
    <row r="28" spans="1:9" x14ac:dyDescent="0.35">
      <c r="A28" s="69" t="s">
        <v>77</v>
      </c>
      <c r="B28" s="106">
        <v>0</v>
      </c>
      <c r="C28" s="107">
        <v>2015</v>
      </c>
      <c r="D28" s="142">
        <v>2050</v>
      </c>
      <c r="F28" s="69" t="s">
        <v>77</v>
      </c>
      <c r="G28" s="111">
        <v>1</v>
      </c>
      <c r="H28" s="111">
        <v>1</v>
      </c>
      <c r="I28" s="51"/>
    </row>
    <row r="29" spans="1:9" x14ac:dyDescent="0.35">
      <c r="A29" s="69" t="s">
        <v>78</v>
      </c>
      <c r="B29" s="106">
        <v>0</v>
      </c>
      <c r="C29" s="107">
        <v>2015</v>
      </c>
      <c r="D29" s="142">
        <v>2050</v>
      </c>
      <c r="F29" s="69" t="s">
        <v>78</v>
      </c>
      <c r="G29" s="112">
        <v>1</v>
      </c>
      <c r="H29" s="112">
        <v>1</v>
      </c>
      <c r="I29" s="51"/>
    </row>
    <row r="30" spans="1:9" x14ac:dyDescent="0.35">
      <c r="A30" s="69" t="s">
        <v>79</v>
      </c>
      <c r="B30" s="106">
        <v>0</v>
      </c>
      <c r="C30" s="107">
        <v>2015</v>
      </c>
      <c r="D30" s="142">
        <v>2050</v>
      </c>
      <c r="F30" s="69" t="s">
        <v>79</v>
      </c>
      <c r="G30" s="111">
        <v>1</v>
      </c>
      <c r="H30" s="111">
        <v>1</v>
      </c>
      <c r="I30" s="51"/>
    </row>
    <row r="31" spans="1:9" x14ac:dyDescent="0.35">
      <c r="A31" s="69" t="s">
        <v>80</v>
      </c>
      <c r="B31" s="106">
        <v>0</v>
      </c>
      <c r="C31" s="107">
        <v>2015</v>
      </c>
      <c r="D31" s="142">
        <v>2050</v>
      </c>
      <c r="F31" s="69" t="s">
        <v>80</v>
      </c>
      <c r="G31" s="112">
        <v>1</v>
      </c>
      <c r="H31" s="112">
        <v>1</v>
      </c>
    </row>
    <row r="32" spans="1:9" x14ac:dyDescent="0.35">
      <c r="A32" s="69" t="s">
        <v>81</v>
      </c>
      <c r="B32" s="106">
        <v>0</v>
      </c>
      <c r="C32" s="107">
        <v>2015</v>
      </c>
      <c r="D32" s="142">
        <v>2050</v>
      </c>
      <c r="F32" s="69" t="s">
        <v>81</v>
      </c>
      <c r="G32" s="111">
        <v>1</v>
      </c>
      <c r="H32" s="111">
        <v>1</v>
      </c>
    </row>
    <row r="33" spans="1:8" x14ac:dyDescent="0.35">
      <c r="A33" s="69" t="s">
        <v>82</v>
      </c>
      <c r="B33" s="106">
        <v>0</v>
      </c>
      <c r="C33" s="107">
        <v>2015</v>
      </c>
      <c r="D33" s="142">
        <v>2050</v>
      </c>
      <c r="F33" s="69" t="s">
        <v>82</v>
      </c>
      <c r="G33" s="112">
        <v>1</v>
      </c>
      <c r="H33" s="112">
        <v>1</v>
      </c>
    </row>
    <row r="34" spans="1:8" x14ac:dyDescent="0.35">
      <c r="A34" s="69" t="s">
        <v>83</v>
      </c>
      <c r="B34" s="106">
        <v>0</v>
      </c>
      <c r="C34" s="107">
        <v>2015</v>
      </c>
      <c r="D34" s="142">
        <v>2050</v>
      </c>
      <c r="F34" s="69" t="s">
        <v>83</v>
      </c>
      <c r="G34" s="111">
        <v>1</v>
      </c>
      <c r="H34" s="111">
        <v>1</v>
      </c>
    </row>
    <row r="35" spans="1:8" x14ac:dyDescent="0.35">
      <c r="A35" s="69" t="s">
        <v>144</v>
      </c>
      <c r="B35" s="106">
        <v>0</v>
      </c>
      <c r="C35" s="107">
        <v>2015</v>
      </c>
      <c r="D35" s="142">
        <v>2050</v>
      </c>
      <c r="F35" s="69" t="s">
        <v>144</v>
      </c>
      <c r="G35" s="112">
        <v>1</v>
      </c>
      <c r="H35" s="112">
        <v>1</v>
      </c>
    </row>
    <row r="36" spans="1:8" x14ac:dyDescent="0.35">
      <c r="A36" s="69" t="s">
        <v>164</v>
      </c>
      <c r="B36" s="106">
        <v>0</v>
      </c>
      <c r="C36" s="107">
        <v>2015</v>
      </c>
      <c r="D36" s="142">
        <v>2050</v>
      </c>
      <c r="F36" s="69" t="s">
        <v>164</v>
      </c>
      <c r="G36" s="111">
        <v>1</v>
      </c>
      <c r="H36" s="111">
        <v>1</v>
      </c>
    </row>
    <row r="37" spans="1:8" x14ac:dyDescent="0.35">
      <c r="A37" s="69" t="s">
        <v>145</v>
      </c>
      <c r="B37" s="106">
        <v>0</v>
      </c>
      <c r="C37" s="107">
        <v>2015</v>
      </c>
      <c r="D37" s="142">
        <v>2050</v>
      </c>
      <c r="F37" s="69" t="s">
        <v>145</v>
      </c>
      <c r="G37" s="112">
        <v>1</v>
      </c>
      <c r="H37" s="112">
        <v>1</v>
      </c>
    </row>
    <row r="38" spans="1:8" x14ac:dyDescent="0.35">
      <c r="A38" s="69" t="s">
        <v>87</v>
      </c>
      <c r="B38" s="106">
        <v>0</v>
      </c>
      <c r="C38" s="107">
        <v>2015</v>
      </c>
      <c r="D38" s="142">
        <v>2050</v>
      </c>
      <c r="F38" s="69" t="s">
        <v>87</v>
      </c>
      <c r="G38" s="111">
        <v>1</v>
      </c>
      <c r="H38" s="111">
        <v>1</v>
      </c>
    </row>
    <row r="39" spans="1:8" x14ac:dyDescent="0.35">
      <c r="A39" s="69" t="s">
        <v>146</v>
      </c>
      <c r="B39" s="106">
        <v>0</v>
      </c>
      <c r="C39" s="107">
        <v>2015</v>
      </c>
      <c r="D39" s="142">
        <v>2050</v>
      </c>
      <c r="F39" s="69" t="s">
        <v>146</v>
      </c>
      <c r="G39" s="112">
        <v>1</v>
      </c>
      <c r="H39" s="112">
        <v>1</v>
      </c>
    </row>
    <row r="40" spans="1:8" x14ac:dyDescent="0.35">
      <c r="A40" s="69" t="s">
        <v>89</v>
      </c>
      <c r="B40" s="106">
        <v>0</v>
      </c>
      <c r="C40" s="107">
        <v>2015</v>
      </c>
      <c r="D40" s="142">
        <v>2050</v>
      </c>
      <c r="F40" s="69" t="s">
        <v>89</v>
      </c>
      <c r="G40" s="111">
        <v>1</v>
      </c>
      <c r="H40" s="111">
        <v>1</v>
      </c>
    </row>
    <row r="41" spans="1:8" ht="15" thickBot="1" x14ac:dyDescent="0.4">
      <c r="A41" s="69" t="s">
        <v>90</v>
      </c>
      <c r="B41" s="106">
        <v>0</v>
      </c>
      <c r="C41" s="107">
        <v>2015</v>
      </c>
      <c r="D41" s="142">
        <v>2050</v>
      </c>
      <c r="F41" s="69" t="s">
        <v>90</v>
      </c>
      <c r="G41" s="113">
        <v>1</v>
      </c>
      <c r="H41" s="113">
        <v>1</v>
      </c>
    </row>
  </sheetData>
  <mergeCells count="2">
    <mergeCell ref="G5:H5"/>
    <mergeCell ref="A1:C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19DBA-8413-4829-AD66-85CA19E44038}">
  <sheetPr>
    <tabColor rgb="FFFF0000"/>
  </sheetPr>
  <dimension ref="A1:CS1260"/>
  <sheetViews>
    <sheetView zoomScale="85" zoomScaleNormal="85" workbookViewId="0">
      <pane xSplit="1" ySplit="1" topLeftCell="B895" activePane="bottomRight" state="frozen"/>
      <selection pane="topRight" activeCell="B1" sqref="B1"/>
      <selection pane="bottomLeft" activeCell="A2" sqref="A2"/>
      <selection pane="bottomRight" activeCell="B916" sqref="B916:CI951"/>
    </sheetView>
  </sheetViews>
  <sheetFormatPr baseColWidth="10" defaultColWidth="20.453125" defaultRowHeight="14.25" customHeight="1" x14ac:dyDescent="0.35"/>
  <cols>
    <col min="1" max="1" width="100" customWidth="1"/>
    <col min="2" max="2" width="12" customWidth="1"/>
    <col min="3" max="9" width="9.1796875" customWidth="1"/>
    <col min="10" max="10" width="11.81640625" customWidth="1"/>
    <col min="11" max="36" width="9.1796875" customWidth="1"/>
    <col min="37" max="73" width="12" customWidth="1"/>
  </cols>
  <sheetData>
    <row r="1" spans="1:63" s="88" customFormat="1" ht="30.75" customHeight="1" x14ac:dyDescent="0.35">
      <c r="A1" s="603" t="s">
        <v>593</v>
      </c>
      <c r="B1" s="603"/>
      <c r="C1" s="603"/>
    </row>
    <row r="3" spans="1:63" ht="14.25" customHeight="1" x14ac:dyDescent="0.35">
      <c r="A3" s="143" t="s">
        <v>917</v>
      </c>
    </row>
    <row r="4" spans="1:63" ht="14.25" customHeight="1" x14ac:dyDescent="0.35">
      <c r="A4" s="34" t="s">
        <v>1210</v>
      </c>
      <c r="B4" s="2"/>
    </row>
    <row r="5" spans="1:63" ht="14.25" customHeight="1" x14ac:dyDescent="0.35">
      <c r="A5" s="38" t="s">
        <v>1211</v>
      </c>
      <c r="B5" s="9" t="s">
        <v>169</v>
      </c>
    </row>
    <row r="6" spans="1:63" ht="14.25" customHeight="1" x14ac:dyDescent="0.35">
      <c r="A6" s="271">
        <v>0</v>
      </c>
      <c r="B6" s="272" t="s">
        <v>1285</v>
      </c>
    </row>
    <row r="7" spans="1:63" ht="14.25" customHeight="1" x14ac:dyDescent="0.35">
      <c r="A7" s="271">
        <v>1</v>
      </c>
      <c r="B7" s="272" t="s">
        <v>1287</v>
      </c>
    </row>
    <row r="8" spans="1:63" ht="14.25" customHeight="1" x14ac:dyDescent="0.35">
      <c r="A8" s="39" t="s">
        <v>170</v>
      </c>
      <c r="B8" s="40">
        <v>1</v>
      </c>
    </row>
    <row r="10" spans="1:63" ht="14.25" customHeight="1" x14ac:dyDescent="0.35">
      <c r="A10" s="14" t="s">
        <v>649</v>
      </c>
      <c r="B10" s="34" t="s">
        <v>1213</v>
      </c>
    </row>
    <row r="11" spans="1:63" ht="14.25" customHeight="1" x14ac:dyDescent="0.35">
      <c r="A11" s="74" t="s">
        <v>380</v>
      </c>
      <c r="B11" s="273" t="s">
        <v>12</v>
      </c>
    </row>
    <row r="12" spans="1:63" ht="14.25" customHeight="1" x14ac:dyDescent="0.35">
      <c r="A12" s="74" t="s">
        <v>127</v>
      </c>
      <c r="B12" s="93">
        <v>2015</v>
      </c>
    </row>
    <row r="13" spans="1:63" ht="14.25" customHeight="1" x14ac:dyDescent="0.35">
      <c r="A13" s="118"/>
    </row>
    <row r="14" spans="1:63" ht="14.25" customHeight="1" x14ac:dyDescent="0.35">
      <c r="A14" s="34" t="s">
        <v>1214</v>
      </c>
      <c r="B14" t="s">
        <v>1291</v>
      </c>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row>
    <row r="15" spans="1:63" ht="14.25" customHeight="1" x14ac:dyDescent="0.35">
      <c r="A15" s="39" t="s">
        <v>407</v>
      </c>
      <c r="B15" s="274" t="s">
        <v>175</v>
      </c>
      <c r="C15" s="274" t="s">
        <v>176</v>
      </c>
      <c r="D15" s="274" t="s">
        <v>177</v>
      </c>
      <c r="E15" s="274" t="s">
        <v>178</v>
      </c>
      <c r="F15" s="274" t="s">
        <v>179</v>
      </c>
      <c r="G15" s="274" t="s">
        <v>180</v>
      </c>
      <c r="H15" s="274" t="s">
        <v>181</v>
      </c>
      <c r="I15" s="274" t="s">
        <v>182</v>
      </c>
      <c r="J15" s="274" t="s">
        <v>1671</v>
      </c>
      <c r="K15" s="274" t="s">
        <v>1672</v>
      </c>
      <c r="L15" s="274" t="s">
        <v>1673</v>
      </c>
      <c r="M15" s="274" t="s">
        <v>1674</v>
      </c>
      <c r="N15" s="274" t="s">
        <v>1675</v>
      </c>
      <c r="O15" s="274" t="s">
        <v>1676</v>
      </c>
      <c r="P15" s="274" t="s">
        <v>1677</v>
      </c>
      <c r="Q15" s="274" t="s">
        <v>1678</v>
      </c>
      <c r="R15" s="274" t="s">
        <v>183</v>
      </c>
      <c r="S15" s="274" t="s">
        <v>184</v>
      </c>
      <c r="T15" s="274" t="s">
        <v>185</v>
      </c>
      <c r="U15" s="274" t="s">
        <v>186</v>
      </c>
      <c r="V15" s="274" t="s">
        <v>187</v>
      </c>
      <c r="W15" s="274" t="s">
        <v>188</v>
      </c>
      <c r="X15" s="274" t="s">
        <v>189</v>
      </c>
      <c r="Y15" s="274" t="s">
        <v>190</v>
      </c>
      <c r="Z15" s="274" t="s">
        <v>1679</v>
      </c>
      <c r="AA15" s="274" t="s">
        <v>191</v>
      </c>
      <c r="AB15" s="274" t="s">
        <v>192</v>
      </c>
      <c r="AC15" s="274" t="s">
        <v>193</v>
      </c>
      <c r="AD15" s="274" t="s">
        <v>194</v>
      </c>
      <c r="AE15" s="274" t="s">
        <v>195</v>
      </c>
      <c r="AF15" s="274" t="s">
        <v>196</v>
      </c>
      <c r="AG15" s="274" t="s">
        <v>197</v>
      </c>
      <c r="AH15" s="274" t="s">
        <v>198</v>
      </c>
      <c r="AI15" s="274" t="s">
        <v>199</v>
      </c>
      <c r="AJ15" s="274" t="s">
        <v>200</v>
      </c>
      <c r="AK15" s="274" t="s">
        <v>201</v>
      </c>
      <c r="AL15" s="274" t="s">
        <v>202</v>
      </c>
      <c r="AM15" s="274" t="s">
        <v>203</v>
      </c>
      <c r="AN15" s="274" t="s">
        <v>204</v>
      </c>
      <c r="AO15" s="274" t="s">
        <v>205</v>
      </c>
      <c r="AP15" s="274" t="s">
        <v>206</v>
      </c>
      <c r="AQ15" s="274" t="s">
        <v>207</v>
      </c>
      <c r="AR15" s="274" t="s">
        <v>208</v>
      </c>
      <c r="AS15" s="274" t="s">
        <v>209</v>
      </c>
      <c r="AT15" s="274" t="s">
        <v>210</v>
      </c>
      <c r="AU15" s="274" t="s">
        <v>211</v>
      </c>
      <c r="AV15" s="274" t="s">
        <v>212</v>
      </c>
      <c r="AW15" s="274" t="s">
        <v>213</v>
      </c>
      <c r="AX15" s="274" t="s">
        <v>214</v>
      </c>
      <c r="AY15" s="274" t="s">
        <v>215</v>
      </c>
      <c r="AZ15" s="274" t="s">
        <v>216</v>
      </c>
      <c r="BA15" s="274" t="s">
        <v>217</v>
      </c>
      <c r="BB15" s="274" t="s">
        <v>218</v>
      </c>
      <c r="BC15" s="274" t="s">
        <v>219</v>
      </c>
      <c r="BD15" s="274" t="s">
        <v>220</v>
      </c>
      <c r="BE15" s="274" t="s">
        <v>221</v>
      </c>
      <c r="BF15" s="274" t="s">
        <v>222</v>
      </c>
      <c r="BG15" s="274" t="s">
        <v>223</v>
      </c>
      <c r="BH15" s="274" t="s">
        <v>224</v>
      </c>
      <c r="BI15" s="274" t="s">
        <v>225</v>
      </c>
      <c r="BJ15" s="274" t="s">
        <v>226</v>
      </c>
      <c r="BK15" s="274" t="s">
        <v>227</v>
      </c>
    </row>
    <row r="16" spans="1:63" ht="14.25" customHeight="1" x14ac:dyDescent="0.35">
      <c r="A16" s="275" t="s">
        <v>228</v>
      </c>
      <c r="B16" s="276">
        <v>5.0000000000000001E-3</v>
      </c>
      <c r="C16" s="276">
        <v>5.0000000000000001E-3</v>
      </c>
      <c r="D16" s="276">
        <v>5.0000000000000001E-3</v>
      </c>
      <c r="E16" s="276">
        <v>5.0000000000000001E-3</v>
      </c>
      <c r="F16" s="276">
        <v>5.0000000000000001E-3</v>
      </c>
      <c r="G16" s="276">
        <v>5.0000000000000001E-3</v>
      </c>
      <c r="H16" s="276">
        <v>5.0000000000000001E-3</v>
      </c>
      <c r="I16" s="276">
        <v>5.0000000000000001E-3</v>
      </c>
      <c r="J16" s="276">
        <v>5.0000000000000001E-3</v>
      </c>
      <c r="K16" s="276">
        <v>5.0000000000000001E-3</v>
      </c>
      <c r="L16" s="276">
        <v>5.0000000000000001E-3</v>
      </c>
      <c r="M16" s="276">
        <v>5.0000000000000001E-3</v>
      </c>
      <c r="N16" s="276">
        <v>5.0000000000000001E-3</v>
      </c>
      <c r="O16" s="276">
        <v>5.0000000000000001E-3</v>
      </c>
      <c r="P16" s="276">
        <v>5.0000000000000001E-3</v>
      </c>
      <c r="Q16" s="276">
        <v>5.0000000000000001E-3</v>
      </c>
      <c r="R16" s="276">
        <v>5.0000000000000001E-3</v>
      </c>
      <c r="S16" s="276">
        <v>5.0000000000000001E-3</v>
      </c>
      <c r="T16" s="276">
        <v>5.0000000000000001E-3</v>
      </c>
      <c r="U16" s="276">
        <v>5.0000000000000001E-3</v>
      </c>
      <c r="V16" s="276">
        <v>5.0000000000000001E-3</v>
      </c>
      <c r="W16" s="276">
        <v>5.0000000000000001E-3</v>
      </c>
      <c r="X16" s="276">
        <v>5.0000000000000001E-3</v>
      </c>
      <c r="Y16" s="276">
        <v>5.0000000000000001E-3</v>
      </c>
      <c r="Z16" s="276">
        <v>5.0000000000000001E-3</v>
      </c>
      <c r="AA16" s="276">
        <v>5.0000000000000001E-3</v>
      </c>
      <c r="AB16" s="276">
        <v>5.0000000000000001E-3</v>
      </c>
      <c r="AC16" s="276">
        <v>5.0000000000000001E-3</v>
      </c>
      <c r="AD16" s="276">
        <v>5.0000000000000001E-3</v>
      </c>
      <c r="AE16" s="276">
        <v>5.0000000000000001E-3</v>
      </c>
      <c r="AF16" s="276">
        <v>5.0000000000000001E-3</v>
      </c>
      <c r="AG16" s="276">
        <v>5.0000000000000001E-3</v>
      </c>
      <c r="AH16" s="276">
        <v>5.0000000000000001E-3</v>
      </c>
      <c r="AI16" s="276">
        <v>5.0000000000000001E-3</v>
      </c>
      <c r="AJ16" s="276">
        <v>5.0000000000000001E-3</v>
      </c>
      <c r="AK16" s="276">
        <v>5.0000000000000001E-3</v>
      </c>
      <c r="AL16" s="276">
        <v>5.0000000000000001E-3</v>
      </c>
      <c r="AM16" s="276">
        <v>5.0000000000000001E-3</v>
      </c>
      <c r="AN16" s="276">
        <v>5.0000000000000001E-3</v>
      </c>
      <c r="AO16" s="276">
        <v>5.0000000000000001E-3</v>
      </c>
      <c r="AP16" s="276">
        <v>5.0000000000000001E-3</v>
      </c>
      <c r="AQ16" s="276">
        <v>5.0000000000000001E-3</v>
      </c>
      <c r="AR16" s="276">
        <v>5.0000000000000001E-3</v>
      </c>
      <c r="AS16" s="276">
        <v>5.0000000000000001E-3</v>
      </c>
      <c r="AT16" s="276">
        <v>5.0000000000000001E-3</v>
      </c>
      <c r="AU16" s="276">
        <v>5.0000000000000001E-3</v>
      </c>
      <c r="AV16" s="276">
        <v>5.0000000000000001E-3</v>
      </c>
      <c r="AW16" s="276">
        <v>5.0000000000000001E-3</v>
      </c>
      <c r="AX16" s="276">
        <v>5.0000000000000001E-3</v>
      </c>
      <c r="AY16" s="276">
        <v>5.0000000000000001E-3</v>
      </c>
      <c r="AZ16" s="276">
        <v>5.0000000000000001E-3</v>
      </c>
      <c r="BA16" s="276">
        <v>5.0000000000000001E-3</v>
      </c>
      <c r="BB16" s="276">
        <v>5.0000000000000001E-3</v>
      </c>
      <c r="BC16" s="276">
        <v>5.0000000000000001E-3</v>
      </c>
      <c r="BD16" s="276">
        <v>5.0000000000000001E-3</v>
      </c>
      <c r="BE16" s="276">
        <v>5.0000000000000001E-3</v>
      </c>
      <c r="BF16" s="276">
        <v>5.0000000000000001E-3</v>
      </c>
      <c r="BG16" s="276">
        <v>5.0000000000000001E-3</v>
      </c>
      <c r="BH16" s="276">
        <v>5.0000000000000001E-3</v>
      </c>
      <c r="BI16" s="276">
        <v>5.0000000000000001E-3</v>
      </c>
      <c r="BJ16" s="276">
        <v>5.0000000000000001E-3</v>
      </c>
      <c r="BK16" s="276">
        <v>5.0000000000000001E-3</v>
      </c>
    </row>
    <row r="17" spans="1:63" ht="14.25" customHeight="1" x14ac:dyDescent="0.35">
      <c r="A17" s="277" t="s">
        <v>95</v>
      </c>
      <c r="B17" s="276">
        <v>5.0000000000000001E-3</v>
      </c>
      <c r="C17" s="276">
        <v>5.0000000000000001E-3</v>
      </c>
      <c r="D17" s="276">
        <v>5.0000000000000001E-3</v>
      </c>
      <c r="E17" s="276">
        <v>5.0000000000000001E-3</v>
      </c>
      <c r="F17" s="276">
        <v>5.0000000000000001E-3</v>
      </c>
      <c r="G17" s="276">
        <v>5.0000000000000001E-3</v>
      </c>
      <c r="H17" s="276">
        <v>5.0000000000000001E-3</v>
      </c>
      <c r="I17" s="276">
        <v>5.0000000000000001E-3</v>
      </c>
      <c r="J17" s="276">
        <v>5.0000000000000001E-3</v>
      </c>
      <c r="K17" s="276">
        <v>5.0000000000000001E-3</v>
      </c>
      <c r="L17" s="276">
        <v>5.0000000000000001E-3</v>
      </c>
      <c r="M17" s="276">
        <v>5.0000000000000001E-3</v>
      </c>
      <c r="N17" s="276">
        <v>5.0000000000000001E-3</v>
      </c>
      <c r="O17" s="276">
        <v>5.0000000000000001E-3</v>
      </c>
      <c r="P17" s="276">
        <v>5.0000000000000001E-3</v>
      </c>
      <c r="Q17" s="276">
        <v>5.0000000000000001E-3</v>
      </c>
      <c r="R17" s="276">
        <v>5.0000000000000001E-3</v>
      </c>
      <c r="S17" s="276">
        <v>5.0000000000000001E-3</v>
      </c>
      <c r="T17" s="276">
        <v>5.0000000000000001E-3</v>
      </c>
      <c r="U17" s="276">
        <v>5.0000000000000001E-3</v>
      </c>
      <c r="V17" s="276">
        <v>5.0000000000000001E-3</v>
      </c>
      <c r="W17" s="276">
        <v>5.0000000000000001E-3</v>
      </c>
      <c r="X17" s="276">
        <v>5.0000000000000001E-3</v>
      </c>
      <c r="Y17" s="276">
        <v>5.0000000000000001E-3</v>
      </c>
      <c r="Z17" s="276">
        <v>5.0000000000000001E-3</v>
      </c>
      <c r="AA17" s="276">
        <v>5.0000000000000001E-3</v>
      </c>
      <c r="AB17" s="276">
        <v>5.0000000000000001E-3</v>
      </c>
      <c r="AC17" s="276">
        <v>5.0000000000000001E-3</v>
      </c>
      <c r="AD17" s="276">
        <v>5.0000000000000001E-3</v>
      </c>
      <c r="AE17" s="276">
        <v>5.0000000000000001E-3</v>
      </c>
      <c r="AF17" s="276">
        <v>5.0000000000000001E-3</v>
      </c>
      <c r="AG17" s="276">
        <v>5.0000000000000001E-3</v>
      </c>
      <c r="AH17" s="276">
        <v>5.0000000000000001E-3</v>
      </c>
      <c r="AI17" s="276">
        <v>5.0000000000000001E-3</v>
      </c>
      <c r="AJ17" s="276">
        <v>5.0000000000000001E-3</v>
      </c>
      <c r="AK17" s="276">
        <v>5.0000000000000001E-3</v>
      </c>
      <c r="AL17" s="276">
        <v>5.0000000000000001E-3</v>
      </c>
      <c r="AM17" s="276">
        <v>5.0000000000000001E-3</v>
      </c>
      <c r="AN17" s="276">
        <v>5.0000000000000001E-3</v>
      </c>
      <c r="AO17" s="276">
        <v>5.0000000000000001E-3</v>
      </c>
      <c r="AP17" s="276">
        <v>5.0000000000000001E-3</v>
      </c>
      <c r="AQ17" s="276">
        <v>5.0000000000000001E-3</v>
      </c>
      <c r="AR17" s="276">
        <v>5.0000000000000001E-3</v>
      </c>
      <c r="AS17" s="276">
        <v>5.0000000000000001E-3</v>
      </c>
      <c r="AT17" s="276">
        <v>5.0000000000000001E-3</v>
      </c>
      <c r="AU17" s="276">
        <v>5.0000000000000001E-3</v>
      </c>
      <c r="AV17" s="276">
        <v>5.0000000000000001E-3</v>
      </c>
      <c r="AW17" s="276">
        <v>5.0000000000000001E-3</v>
      </c>
      <c r="AX17" s="276">
        <v>5.0000000000000001E-3</v>
      </c>
      <c r="AY17" s="276">
        <v>5.0000000000000001E-3</v>
      </c>
      <c r="AZ17" s="276">
        <v>5.0000000000000001E-3</v>
      </c>
      <c r="BA17" s="276">
        <v>5.0000000000000001E-3</v>
      </c>
      <c r="BB17" s="276">
        <v>5.0000000000000001E-3</v>
      </c>
      <c r="BC17" s="276">
        <v>5.0000000000000001E-3</v>
      </c>
      <c r="BD17" s="276">
        <v>5.0000000000000001E-3</v>
      </c>
      <c r="BE17" s="276">
        <v>5.0000000000000001E-3</v>
      </c>
      <c r="BF17" s="276">
        <v>5.0000000000000001E-3</v>
      </c>
      <c r="BG17" s="276">
        <v>5.0000000000000001E-3</v>
      </c>
      <c r="BH17" s="276">
        <v>5.0000000000000001E-3</v>
      </c>
      <c r="BI17" s="276">
        <v>5.0000000000000001E-3</v>
      </c>
      <c r="BJ17" s="276">
        <v>5.0000000000000001E-3</v>
      </c>
      <c r="BK17" s="276">
        <v>5.0000000000000001E-3</v>
      </c>
    </row>
    <row r="18" spans="1:63" ht="14.25" customHeight="1" x14ac:dyDescent="0.35">
      <c r="A18" s="277" t="s">
        <v>96</v>
      </c>
      <c r="B18" s="276">
        <v>5.0000000000000001E-3</v>
      </c>
      <c r="C18" s="276">
        <v>5.0000000000000001E-3</v>
      </c>
      <c r="D18" s="276">
        <v>5.0000000000000001E-3</v>
      </c>
      <c r="E18" s="276">
        <v>5.0000000000000001E-3</v>
      </c>
      <c r="F18" s="276">
        <v>5.0000000000000001E-3</v>
      </c>
      <c r="G18" s="276">
        <v>5.0000000000000001E-3</v>
      </c>
      <c r="H18" s="276">
        <v>5.0000000000000001E-3</v>
      </c>
      <c r="I18" s="276">
        <v>5.0000000000000001E-3</v>
      </c>
      <c r="J18" s="276">
        <v>5.0000000000000001E-3</v>
      </c>
      <c r="K18" s="276">
        <v>5.0000000000000001E-3</v>
      </c>
      <c r="L18" s="276">
        <v>5.0000000000000001E-3</v>
      </c>
      <c r="M18" s="276">
        <v>5.0000000000000001E-3</v>
      </c>
      <c r="N18" s="276">
        <v>5.0000000000000001E-3</v>
      </c>
      <c r="O18" s="276">
        <v>5.0000000000000001E-3</v>
      </c>
      <c r="P18" s="276">
        <v>5.0000000000000001E-3</v>
      </c>
      <c r="Q18" s="276">
        <v>5.0000000000000001E-3</v>
      </c>
      <c r="R18" s="276">
        <v>5.0000000000000001E-3</v>
      </c>
      <c r="S18" s="276">
        <v>5.0000000000000001E-3</v>
      </c>
      <c r="T18" s="276">
        <v>5.0000000000000001E-3</v>
      </c>
      <c r="U18" s="276">
        <v>5.0000000000000001E-3</v>
      </c>
      <c r="V18" s="276">
        <v>5.0000000000000001E-3</v>
      </c>
      <c r="W18" s="276">
        <v>5.0000000000000001E-3</v>
      </c>
      <c r="X18" s="276">
        <v>5.0000000000000001E-3</v>
      </c>
      <c r="Y18" s="276">
        <v>5.0000000000000001E-3</v>
      </c>
      <c r="Z18" s="276">
        <v>5.0000000000000001E-3</v>
      </c>
      <c r="AA18" s="276">
        <v>5.0000000000000001E-3</v>
      </c>
      <c r="AB18" s="276">
        <v>5.0000000000000001E-3</v>
      </c>
      <c r="AC18" s="276">
        <v>5.0000000000000001E-3</v>
      </c>
      <c r="AD18" s="276">
        <v>5.0000000000000001E-3</v>
      </c>
      <c r="AE18" s="276">
        <v>5.0000000000000001E-3</v>
      </c>
      <c r="AF18" s="276">
        <v>5.0000000000000001E-3</v>
      </c>
      <c r="AG18" s="276">
        <v>5.0000000000000001E-3</v>
      </c>
      <c r="AH18" s="276">
        <v>5.0000000000000001E-3</v>
      </c>
      <c r="AI18" s="276">
        <v>5.0000000000000001E-3</v>
      </c>
      <c r="AJ18" s="276">
        <v>5.0000000000000001E-3</v>
      </c>
      <c r="AK18" s="276">
        <v>5.0000000000000001E-3</v>
      </c>
      <c r="AL18" s="276">
        <v>5.0000000000000001E-3</v>
      </c>
      <c r="AM18" s="276">
        <v>5.0000000000000001E-3</v>
      </c>
      <c r="AN18" s="276">
        <v>5.0000000000000001E-3</v>
      </c>
      <c r="AO18" s="276">
        <v>5.0000000000000001E-3</v>
      </c>
      <c r="AP18" s="276">
        <v>5.0000000000000001E-3</v>
      </c>
      <c r="AQ18" s="276">
        <v>5.0000000000000001E-3</v>
      </c>
      <c r="AR18" s="276">
        <v>5.0000000000000001E-3</v>
      </c>
      <c r="AS18" s="276">
        <v>5.0000000000000001E-3</v>
      </c>
      <c r="AT18" s="276">
        <v>5.0000000000000001E-3</v>
      </c>
      <c r="AU18" s="276">
        <v>5.0000000000000001E-3</v>
      </c>
      <c r="AV18" s="276">
        <v>5.0000000000000001E-3</v>
      </c>
      <c r="AW18" s="276">
        <v>5.0000000000000001E-3</v>
      </c>
      <c r="AX18" s="276">
        <v>5.0000000000000001E-3</v>
      </c>
      <c r="AY18" s="276">
        <v>5.0000000000000001E-3</v>
      </c>
      <c r="AZ18" s="276">
        <v>5.0000000000000001E-3</v>
      </c>
      <c r="BA18" s="276">
        <v>5.0000000000000001E-3</v>
      </c>
      <c r="BB18" s="276">
        <v>5.0000000000000001E-3</v>
      </c>
      <c r="BC18" s="276">
        <v>5.0000000000000001E-3</v>
      </c>
      <c r="BD18" s="276">
        <v>5.0000000000000001E-3</v>
      </c>
      <c r="BE18" s="276">
        <v>5.0000000000000001E-3</v>
      </c>
      <c r="BF18" s="276">
        <v>5.0000000000000001E-3</v>
      </c>
      <c r="BG18" s="276">
        <v>5.0000000000000001E-3</v>
      </c>
      <c r="BH18" s="276">
        <v>5.0000000000000001E-3</v>
      </c>
      <c r="BI18" s="276">
        <v>5.0000000000000001E-3</v>
      </c>
      <c r="BJ18" s="276">
        <v>5.0000000000000001E-3</v>
      </c>
      <c r="BK18" s="276">
        <v>5.0000000000000001E-3</v>
      </c>
    </row>
    <row r="19" spans="1:63" ht="14.25" customHeight="1" x14ac:dyDescent="0.35">
      <c r="A19" s="277" t="s">
        <v>97</v>
      </c>
      <c r="B19" s="276">
        <v>5.0000000000000001E-3</v>
      </c>
      <c r="C19" s="276">
        <v>5.0000000000000001E-3</v>
      </c>
      <c r="D19" s="276">
        <v>5.0000000000000001E-3</v>
      </c>
      <c r="E19" s="276">
        <v>5.0000000000000001E-3</v>
      </c>
      <c r="F19" s="276">
        <v>5.0000000000000001E-3</v>
      </c>
      <c r="G19" s="276">
        <v>5.0000000000000001E-3</v>
      </c>
      <c r="H19" s="276">
        <v>5.0000000000000001E-3</v>
      </c>
      <c r="I19" s="276">
        <v>5.0000000000000001E-3</v>
      </c>
      <c r="J19" s="276">
        <v>5.0000000000000001E-3</v>
      </c>
      <c r="K19" s="276">
        <v>5.0000000000000001E-3</v>
      </c>
      <c r="L19" s="276">
        <v>5.0000000000000001E-3</v>
      </c>
      <c r="M19" s="276">
        <v>5.0000000000000001E-3</v>
      </c>
      <c r="N19" s="276">
        <v>5.0000000000000001E-3</v>
      </c>
      <c r="O19" s="276">
        <v>5.0000000000000001E-3</v>
      </c>
      <c r="P19" s="276">
        <v>5.0000000000000001E-3</v>
      </c>
      <c r="Q19" s="276">
        <v>5.0000000000000001E-3</v>
      </c>
      <c r="R19" s="276">
        <v>5.0000000000000001E-3</v>
      </c>
      <c r="S19" s="276">
        <v>5.0000000000000001E-3</v>
      </c>
      <c r="T19" s="276">
        <v>5.0000000000000001E-3</v>
      </c>
      <c r="U19" s="276">
        <v>5.0000000000000001E-3</v>
      </c>
      <c r="V19" s="276">
        <v>5.0000000000000001E-3</v>
      </c>
      <c r="W19" s="276">
        <v>5.0000000000000001E-3</v>
      </c>
      <c r="X19" s="276">
        <v>5.0000000000000001E-3</v>
      </c>
      <c r="Y19" s="276">
        <v>5.0000000000000001E-3</v>
      </c>
      <c r="Z19" s="276">
        <v>5.0000000000000001E-3</v>
      </c>
      <c r="AA19" s="276">
        <v>5.0000000000000001E-3</v>
      </c>
      <c r="AB19" s="276">
        <v>5.0000000000000001E-3</v>
      </c>
      <c r="AC19" s="276">
        <v>5.0000000000000001E-3</v>
      </c>
      <c r="AD19" s="276">
        <v>5.0000000000000001E-3</v>
      </c>
      <c r="AE19" s="276">
        <v>5.0000000000000001E-3</v>
      </c>
      <c r="AF19" s="276">
        <v>5.0000000000000001E-3</v>
      </c>
      <c r="AG19" s="276">
        <v>5.0000000000000001E-3</v>
      </c>
      <c r="AH19" s="276">
        <v>5.0000000000000001E-3</v>
      </c>
      <c r="AI19" s="276">
        <v>5.0000000000000001E-3</v>
      </c>
      <c r="AJ19" s="276">
        <v>5.0000000000000001E-3</v>
      </c>
      <c r="AK19" s="276">
        <v>5.0000000000000001E-3</v>
      </c>
      <c r="AL19" s="276">
        <v>5.0000000000000001E-3</v>
      </c>
      <c r="AM19" s="276">
        <v>5.0000000000000001E-3</v>
      </c>
      <c r="AN19" s="276">
        <v>5.0000000000000001E-3</v>
      </c>
      <c r="AO19" s="276">
        <v>5.0000000000000001E-3</v>
      </c>
      <c r="AP19" s="276">
        <v>5.0000000000000001E-3</v>
      </c>
      <c r="AQ19" s="276">
        <v>5.0000000000000001E-3</v>
      </c>
      <c r="AR19" s="276">
        <v>5.0000000000000001E-3</v>
      </c>
      <c r="AS19" s="276">
        <v>5.0000000000000001E-3</v>
      </c>
      <c r="AT19" s="276">
        <v>5.0000000000000001E-3</v>
      </c>
      <c r="AU19" s="276">
        <v>5.0000000000000001E-3</v>
      </c>
      <c r="AV19" s="276">
        <v>5.0000000000000001E-3</v>
      </c>
      <c r="AW19" s="276">
        <v>5.0000000000000001E-3</v>
      </c>
      <c r="AX19" s="276">
        <v>5.0000000000000001E-3</v>
      </c>
      <c r="AY19" s="276">
        <v>5.0000000000000001E-3</v>
      </c>
      <c r="AZ19" s="276">
        <v>5.0000000000000001E-3</v>
      </c>
      <c r="BA19" s="276">
        <v>5.0000000000000001E-3</v>
      </c>
      <c r="BB19" s="276">
        <v>5.0000000000000001E-3</v>
      </c>
      <c r="BC19" s="276">
        <v>5.0000000000000001E-3</v>
      </c>
      <c r="BD19" s="276">
        <v>5.0000000000000001E-3</v>
      </c>
      <c r="BE19" s="276">
        <v>5.0000000000000001E-3</v>
      </c>
      <c r="BF19" s="276">
        <v>5.0000000000000001E-3</v>
      </c>
      <c r="BG19" s="276">
        <v>5.0000000000000001E-3</v>
      </c>
      <c r="BH19" s="276">
        <v>5.0000000000000001E-3</v>
      </c>
      <c r="BI19" s="276">
        <v>5.0000000000000001E-3</v>
      </c>
      <c r="BJ19" s="276">
        <v>5.0000000000000001E-3</v>
      </c>
      <c r="BK19" s="276">
        <v>5.0000000000000001E-3</v>
      </c>
    </row>
    <row r="20" spans="1:63" ht="14.25" customHeight="1" x14ac:dyDescent="0.35">
      <c r="A20" s="277" t="s">
        <v>98</v>
      </c>
      <c r="B20" s="276">
        <v>5.0000000000000001E-3</v>
      </c>
      <c r="C20" s="276">
        <v>5.0000000000000001E-3</v>
      </c>
      <c r="D20" s="276">
        <v>5.0000000000000001E-3</v>
      </c>
      <c r="E20" s="276">
        <v>5.0000000000000001E-3</v>
      </c>
      <c r="F20" s="276">
        <v>5.0000000000000001E-3</v>
      </c>
      <c r="G20" s="276">
        <v>5.0000000000000001E-3</v>
      </c>
      <c r="H20" s="276">
        <v>5.0000000000000001E-3</v>
      </c>
      <c r="I20" s="276">
        <v>5.0000000000000001E-3</v>
      </c>
      <c r="J20" s="276">
        <v>5.0000000000000001E-3</v>
      </c>
      <c r="K20" s="276">
        <v>5.0000000000000001E-3</v>
      </c>
      <c r="L20" s="276">
        <v>5.0000000000000001E-3</v>
      </c>
      <c r="M20" s="276">
        <v>5.0000000000000001E-3</v>
      </c>
      <c r="N20" s="276">
        <v>5.0000000000000001E-3</v>
      </c>
      <c r="O20" s="276">
        <v>5.0000000000000001E-3</v>
      </c>
      <c r="P20" s="276">
        <v>5.0000000000000001E-3</v>
      </c>
      <c r="Q20" s="276">
        <v>5.0000000000000001E-3</v>
      </c>
      <c r="R20" s="276">
        <v>5.0000000000000001E-3</v>
      </c>
      <c r="S20" s="276">
        <v>5.0000000000000001E-3</v>
      </c>
      <c r="T20" s="276">
        <v>5.0000000000000001E-3</v>
      </c>
      <c r="U20" s="276">
        <v>5.0000000000000001E-3</v>
      </c>
      <c r="V20" s="276">
        <v>5.0000000000000001E-3</v>
      </c>
      <c r="W20" s="276">
        <v>5.0000000000000001E-3</v>
      </c>
      <c r="X20" s="276">
        <v>5.0000000000000001E-3</v>
      </c>
      <c r="Y20" s="276">
        <v>5.0000000000000001E-3</v>
      </c>
      <c r="Z20" s="276">
        <v>5.0000000000000001E-3</v>
      </c>
      <c r="AA20" s="276">
        <v>5.0000000000000001E-3</v>
      </c>
      <c r="AB20" s="276">
        <v>5.0000000000000001E-3</v>
      </c>
      <c r="AC20" s="276">
        <v>5.0000000000000001E-3</v>
      </c>
      <c r="AD20" s="276">
        <v>5.0000000000000001E-3</v>
      </c>
      <c r="AE20" s="276">
        <v>5.0000000000000001E-3</v>
      </c>
      <c r="AF20" s="276">
        <v>5.0000000000000001E-3</v>
      </c>
      <c r="AG20" s="276">
        <v>5.0000000000000001E-3</v>
      </c>
      <c r="AH20" s="276">
        <v>5.0000000000000001E-3</v>
      </c>
      <c r="AI20" s="276">
        <v>5.0000000000000001E-3</v>
      </c>
      <c r="AJ20" s="276">
        <v>5.0000000000000001E-3</v>
      </c>
      <c r="AK20" s="276">
        <v>5.0000000000000001E-3</v>
      </c>
      <c r="AL20" s="276">
        <v>5.0000000000000001E-3</v>
      </c>
      <c r="AM20" s="276">
        <v>5.0000000000000001E-3</v>
      </c>
      <c r="AN20" s="276">
        <v>5.0000000000000001E-3</v>
      </c>
      <c r="AO20" s="276">
        <v>5.0000000000000001E-3</v>
      </c>
      <c r="AP20" s="276">
        <v>5.0000000000000001E-3</v>
      </c>
      <c r="AQ20" s="276">
        <v>5.0000000000000001E-3</v>
      </c>
      <c r="AR20" s="276">
        <v>5.0000000000000001E-3</v>
      </c>
      <c r="AS20" s="276">
        <v>5.0000000000000001E-3</v>
      </c>
      <c r="AT20" s="276">
        <v>5.0000000000000001E-3</v>
      </c>
      <c r="AU20" s="276">
        <v>5.0000000000000001E-3</v>
      </c>
      <c r="AV20" s="276">
        <v>5.0000000000000001E-3</v>
      </c>
      <c r="AW20" s="276">
        <v>5.0000000000000001E-3</v>
      </c>
      <c r="AX20" s="276">
        <v>5.0000000000000001E-3</v>
      </c>
      <c r="AY20" s="276">
        <v>5.0000000000000001E-3</v>
      </c>
      <c r="AZ20" s="276">
        <v>5.0000000000000001E-3</v>
      </c>
      <c r="BA20" s="276">
        <v>5.0000000000000001E-3</v>
      </c>
      <c r="BB20" s="276">
        <v>5.0000000000000001E-3</v>
      </c>
      <c r="BC20" s="276">
        <v>5.0000000000000001E-3</v>
      </c>
      <c r="BD20" s="276">
        <v>5.0000000000000001E-3</v>
      </c>
      <c r="BE20" s="276">
        <v>5.0000000000000001E-3</v>
      </c>
      <c r="BF20" s="276">
        <v>5.0000000000000001E-3</v>
      </c>
      <c r="BG20" s="276">
        <v>5.0000000000000001E-3</v>
      </c>
      <c r="BH20" s="276">
        <v>5.0000000000000001E-3</v>
      </c>
      <c r="BI20" s="276">
        <v>5.0000000000000001E-3</v>
      </c>
      <c r="BJ20" s="276">
        <v>5.0000000000000001E-3</v>
      </c>
      <c r="BK20" s="276">
        <v>5.0000000000000001E-3</v>
      </c>
    </row>
    <row r="21" spans="1:63" ht="14.25" customHeight="1" x14ac:dyDescent="0.35">
      <c r="A21" s="277" t="s">
        <v>163</v>
      </c>
      <c r="B21" s="276">
        <v>5.0000000000000001E-3</v>
      </c>
      <c r="C21" s="276">
        <v>5.0000000000000001E-3</v>
      </c>
      <c r="D21" s="276">
        <v>5.0000000000000001E-3</v>
      </c>
      <c r="E21" s="276">
        <v>5.0000000000000001E-3</v>
      </c>
      <c r="F21" s="276">
        <v>5.0000000000000001E-3</v>
      </c>
      <c r="G21" s="276">
        <v>5.0000000000000001E-3</v>
      </c>
      <c r="H21" s="276">
        <v>5.0000000000000001E-3</v>
      </c>
      <c r="I21" s="276">
        <v>5.0000000000000001E-3</v>
      </c>
      <c r="J21" s="276">
        <v>5.0000000000000001E-3</v>
      </c>
      <c r="K21" s="276">
        <v>5.0000000000000001E-3</v>
      </c>
      <c r="L21" s="276">
        <v>5.0000000000000001E-3</v>
      </c>
      <c r="M21" s="276">
        <v>5.0000000000000001E-3</v>
      </c>
      <c r="N21" s="276">
        <v>5.0000000000000001E-3</v>
      </c>
      <c r="O21" s="276">
        <v>5.0000000000000001E-3</v>
      </c>
      <c r="P21" s="276">
        <v>5.0000000000000001E-3</v>
      </c>
      <c r="Q21" s="276">
        <v>5.0000000000000001E-3</v>
      </c>
      <c r="R21" s="276">
        <v>5.0000000000000001E-3</v>
      </c>
      <c r="S21" s="276">
        <v>5.0000000000000001E-3</v>
      </c>
      <c r="T21" s="276">
        <v>5.0000000000000001E-3</v>
      </c>
      <c r="U21" s="276">
        <v>5.0000000000000001E-3</v>
      </c>
      <c r="V21" s="276">
        <v>5.0000000000000001E-3</v>
      </c>
      <c r="W21" s="276">
        <v>5.0000000000000001E-3</v>
      </c>
      <c r="X21" s="276">
        <v>5.0000000000000001E-3</v>
      </c>
      <c r="Y21" s="276">
        <v>5.0000000000000001E-3</v>
      </c>
      <c r="Z21" s="276">
        <v>5.0000000000000001E-3</v>
      </c>
      <c r="AA21" s="276">
        <v>5.0000000000000001E-3</v>
      </c>
      <c r="AB21" s="276">
        <v>5.0000000000000001E-3</v>
      </c>
      <c r="AC21" s="276">
        <v>5.0000000000000001E-3</v>
      </c>
      <c r="AD21" s="276">
        <v>5.0000000000000001E-3</v>
      </c>
      <c r="AE21" s="276">
        <v>5.0000000000000001E-3</v>
      </c>
      <c r="AF21" s="276">
        <v>5.0000000000000001E-3</v>
      </c>
      <c r="AG21" s="276">
        <v>5.0000000000000001E-3</v>
      </c>
      <c r="AH21" s="276">
        <v>5.0000000000000001E-3</v>
      </c>
      <c r="AI21" s="276">
        <v>5.0000000000000001E-3</v>
      </c>
      <c r="AJ21" s="276">
        <v>5.0000000000000001E-3</v>
      </c>
      <c r="AK21" s="276">
        <v>5.0000000000000001E-3</v>
      </c>
      <c r="AL21" s="276">
        <v>5.0000000000000001E-3</v>
      </c>
      <c r="AM21" s="276">
        <v>5.0000000000000001E-3</v>
      </c>
      <c r="AN21" s="276">
        <v>5.0000000000000001E-3</v>
      </c>
      <c r="AO21" s="276">
        <v>5.0000000000000001E-3</v>
      </c>
      <c r="AP21" s="276">
        <v>5.0000000000000001E-3</v>
      </c>
      <c r="AQ21" s="276">
        <v>5.0000000000000001E-3</v>
      </c>
      <c r="AR21" s="276">
        <v>5.0000000000000001E-3</v>
      </c>
      <c r="AS21" s="276">
        <v>5.0000000000000001E-3</v>
      </c>
      <c r="AT21" s="276">
        <v>5.0000000000000001E-3</v>
      </c>
      <c r="AU21" s="276">
        <v>5.0000000000000001E-3</v>
      </c>
      <c r="AV21" s="276">
        <v>5.0000000000000001E-3</v>
      </c>
      <c r="AW21" s="276">
        <v>5.0000000000000001E-3</v>
      </c>
      <c r="AX21" s="276">
        <v>5.0000000000000001E-3</v>
      </c>
      <c r="AY21" s="276">
        <v>5.0000000000000001E-3</v>
      </c>
      <c r="AZ21" s="276">
        <v>5.0000000000000001E-3</v>
      </c>
      <c r="BA21" s="276">
        <v>5.0000000000000001E-3</v>
      </c>
      <c r="BB21" s="276">
        <v>5.0000000000000001E-3</v>
      </c>
      <c r="BC21" s="276">
        <v>5.0000000000000001E-3</v>
      </c>
      <c r="BD21" s="276">
        <v>5.0000000000000001E-3</v>
      </c>
      <c r="BE21" s="276">
        <v>5.0000000000000001E-3</v>
      </c>
      <c r="BF21" s="276">
        <v>5.0000000000000001E-3</v>
      </c>
      <c r="BG21" s="276">
        <v>5.0000000000000001E-3</v>
      </c>
      <c r="BH21" s="276">
        <v>5.0000000000000001E-3</v>
      </c>
      <c r="BI21" s="276">
        <v>5.0000000000000001E-3</v>
      </c>
      <c r="BJ21" s="276">
        <v>5.0000000000000001E-3</v>
      </c>
      <c r="BK21" s="276">
        <v>5.0000000000000001E-3</v>
      </c>
    </row>
    <row r="22" spans="1:63" ht="14.25" customHeight="1" x14ac:dyDescent="0.35">
      <c r="A22" s="277" t="s">
        <v>100</v>
      </c>
      <c r="B22" s="276">
        <v>5.0000000000000001E-3</v>
      </c>
      <c r="C22" s="276">
        <v>5.0000000000000001E-3</v>
      </c>
      <c r="D22" s="276">
        <v>5.0000000000000001E-3</v>
      </c>
      <c r="E22" s="276">
        <v>5.0000000000000001E-3</v>
      </c>
      <c r="F22" s="276">
        <v>5.0000000000000001E-3</v>
      </c>
      <c r="G22" s="276">
        <v>5.0000000000000001E-3</v>
      </c>
      <c r="H22" s="276">
        <v>5.0000000000000001E-3</v>
      </c>
      <c r="I22" s="276">
        <v>5.0000000000000001E-3</v>
      </c>
      <c r="J22" s="276">
        <v>5.0000000000000001E-3</v>
      </c>
      <c r="K22" s="276">
        <v>5.0000000000000001E-3</v>
      </c>
      <c r="L22" s="276">
        <v>5.0000000000000001E-3</v>
      </c>
      <c r="M22" s="276">
        <v>5.0000000000000001E-3</v>
      </c>
      <c r="N22" s="276">
        <v>5.0000000000000001E-3</v>
      </c>
      <c r="O22" s="276">
        <v>5.0000000000000001E-3</v>
      </c>
      <c r="P22" s="276">
        <v>5.0000000000000001E-3</v>
      </c>
      <c r="Q22" s="276">
        <v>5.0000000000000001E-3</v>
      </c>
      <c r="R22" s="276">
        <v>5.0000000000000001E-3</v>
      </c>
      <c r="S22" s="276">
        <v>5.0000000000000001E-3</v>
      </c>
      <c r="T22" s="276">
        <v>5.0000000000000001E-3</v>
      </c>
      <c r="U22" s="276">
        <v>5.0000000000000001E-3</v>
      </c>
      <c r="V22" s="276">
        <v>5.0000000000000001E-3</v>
      </c>
      <c r="W22" s="276">
        <v>5.0000000000000001E-3</v>
      </c>
      <c r="X22" s="276">
        <v>5.0000000000000001E-3</v>
      </c>
      <c r="Y22" s="276">
        <v>5.0000000000000001E-3</v>
      </c>
      <c r="Z22" s="276">
        <v>5.0000000000000001E-3</v>
      </c>
      <c r="AA22" s="276">
        <v>5.0000000000000001E-3</v>
      </c>
      <c r="AB22" s="276">
        <v>5.0000000000000001E-3</v>
      </c>
      <c r="AC22" s="276">
        <v>5.0000000000000001E-3</v>
      </c>
      <c r="AD22" s="276">
        <v>5.0000000000000001E-3</v>
      </c>
      <c r="AE22" s="276">
        <v>5.0000000000000001E-3</v>
      </c>
      <c r="AF22" s="276">
        <v>5.0000000000000001E-3</v>
      </c>
      <c r="AG22" s="276">
        <v>5.0000000000000001E-3</v>
      </c>
      <c r="AH22" s="276">
        <v>5.0000000000000001E-3</v>
      </c>
      <c r="AI22" s="276">
        <v>5.0000000000000001E-3</v>
      </c>
      <c r="AJ22" s="276">
        <v>5.0000000000000001E-3</v>
      </c>
      <c r="AK22" s="276">
        <v>5.0000000000000001E-3</v>
      </c>
      <c r="AL22" s="276">
        <v>5.0000000000000001E-3</v>
      </c>
      <c r="AM22" s="276">
        <v>5.0000000000000001E-3</v>
      </c>
      <c r="AN22" s="276">
        <v>5.0000000000000001E-3</v>
      </c>
      <c r="AO22" s="276">
        <v>5.0000000000000001E-3</v>
      </c>
      <c r="AP22" s="276">
        <v>5.0000000000000001E-3</v>
      </c>
      <c r="AQ22" s="276">
        <v>5.0000000000000001E-3</v>
      </c>
      <c r="AR22" s="276">
        <v>5.0000000000000001E-3</v>
      </c>
      <c r="AS22" s="276">
        <v>5.0000000000000001E-3</v>
      </c>
      <c r="AT22" s="276">
        <v>5.0000000000000001E-3</v>
      </c>
      <c r="AU22" s="276">
        <v>5.0000000000000001E-3</v>
      </c>
      <c r="AV22" s="276">
        <v>5.0000000000000001E-3</v>
      </c>
      <c r="AW22" s="276">
        <v>5.0000000000000001E-3</v>
      </c>
      <c r="AX22" s="276">
        <v>5.0000000000000001E-3</v>
      </c>
      <c r="AY22" s="276">
        <v>5.0000000000000001E-3</v>
      </c>
      <c r="AZ22" s="276">
        <v>5.0000000000000001E-3</v>
      </c>
      <c r="BA22" s="276">
        <v>5.0000000000000001E-3</v>
      </c>
      <c r="BB22" s="276">
        <v>5.0000000000000001E-3</v>
      </c>
      <c r="BC22" s="276">
        <v>5.0000000000000001E-3</v>
      </c>
      <c r="BD22" s="276">
        <v>5.0000000000000001E-3</v>
      </c>
      <c r="BE22" s="276">
        <v>5.0000000000000001E-3</v>
      </c>
      <c r="BF22" s="276">
        <v>5.0000000000000001E-3</v>
      </c>
      <c r="BG22" s="276">
        <v>5.0000000000000001E-3</v>
      </c>
      <c r="BH22" s="276">
        <v>5.0000000000000001E-3</v>
      </c>
      <c r="BI22" s="276">
        <v>5.0000000000000001E-3</v>
      </c>
      <c r="BJ22" s="276">
        <v>5.0000000000000001E-3</v>
      </c>
      <c r="BK22" s="276">
        <v>5.0000000000000001E-3</v>
      </c>
    </row>
    <row r="23" spans="1:63" ht="14.25" customHeight="1" x14ac:dyDescent="0.35">
      <c r="A23" s="277" t="s">
        <v>101</v>
      </c>
      <c r="B23" s="276">
        <v>5.0000000000000001E-3</v>
      </c>
      <c r="C23" s="276">
        <v>5.0000000000000001E-3</v>
      </c>
      <c r="D23" s="276">
        <v>5.0000000000000001E-3</v>
      </c>
      <c r="E23" s="276">
        <v>5.0000000000000001E-3</v>
      </c>
      <c r="F23" s="276">
        <v>5.0000000000000001E-3</v>
      </c>
      <c r="G23" s="276">
        <v>5.0000000000000001E-3</v>
      </c>
      <c r="H23" s="276">
        <v>5.0000000000000001E-3</v>
      </c>
      <c r="I23" s="276">
        <v>5.0000000000000001E-3</v>
      </c>
      <c r="J23" s="276">
        <v>5.0000000000000001E-3</v>
      </c>
      <c r="K23" s="276">
        <v>5.0000000000000001E-3</v>
      </c>
      <c r="L23" s="276">
        <v>5.0000000000000001E-3</v>
      </c>
      <c r="M23" s="276">
        <v>5.0000000000000001E-3</v>
      </c>
      <c r="N23" s="276">
        <v>5.0000000000000001E-3</v>
      </c>
      <c r="O23" s="276">
        <v>5.0000000000000001E-3</v>
      </c>
      <c r="P23" s="276">
        <v>5.0000000000000001E-3</v>
      </c>
      <c r="Q23" s="276">
        <v>5.0000000000000001E-3</v>
      </c>
      <c r="R23" s="276">
        <v>5.0000000000000001E-3</v>
      </c>
      <c r="S23" s="276">
        <v>5.0000000000000001E-3</v>
      </c>
      <c r="T23" s="276">
        <v>5.0000000000000001E-3</v>
      </c>
      <c r="U23" s="276">
        <v>5.0000000000000001E-3</v>
      </c>
      <c r="V23" s="276">
        <v>5.0000000000000001E-3</v>
      </c>
      <c r="W23" s="276">
        <v>5.0000000000000001E-3</v>
      </c>
      <c r="X23" s="276">
        <v>5.0000000000000001E-3</v>
      </c>
      <c r="Y23" s="276">
        <v>5.0000000000000001E-3</v>
      </c>
      <c r="Z23" s="276">
        <v>5.0000000000000001E-3</v>
      </c>
      <c r="AA23" s="276">
        <v>5.0000000000000001E-3</v>
      </c>
      <c r="AB23" s="276">
        <v>5.0000000000000001E-3</v>
      </c>
      <c r="AC23" s="276">
        <v>5.0000000000000001E-3</v>
      </c>
      <c r="AD23" s="276">
        <v>5.0000000000000001E-3</v>
      </c>
      <c r="AE23" s="276">
        <v>5.0000000000000001E-3</v>
      </c>
      <c r="AF23" s="276">
        <v>5.0000000000000001E-3</v>
      </c>
      <c r="AG23" s="276">
        <v>5.0000000000000001E-3</v>
      </c>
      <c r="AH23" s="276">
        <v>5.0000000000000001E-3</v>
      </c>
      <c r="AI23" s="276">
        <v>5.0000000000000001E-3</v>
      </c>
      <c r="AJ23" s="276">
        <v>5.0000000000000001E-3</v>
      </c>
      <c r="AK23" s="276">
        <v>5.0000000000000001E-3</v>
      </c>
      <c r="AL23" s="276">
        <v>5.0000000000000001E-3</v>
      </c>
      <c r="AM23" s="276">
        <v>5.0000000000000001E-3</v>
      </c>
      <c r="AN23" s="276">
        <v>5.0000000000000001E-3</v>
      </c>
      <c r="AO23" s="276">
        <v>5.0000000000000001E-3</v>
      </c>
      <c r="AP23" s="276">
        <v>5.0000000000000001E-3</v>
      </c>
      <c r="AQ23" s="276">
        <v>5.0000000000000001E-3</v>
      </c>
      <c r="AR23" s="276">
        <v>5.0000000000000001E-3</v>
      </c>
      <c r="AS23" s="276">
        <v>5.0000000000000001E-3</v>
      </c>
      <c r="AT23" s="276">
        <v>5.0000000000000001E-3</v>
      </c>
      <c r="AU23" s="276">
        <v>5.0000000000000001E-3</v>
      </c>
      <c r="AV23" s="276">
        <v>5.0000000000000001E-3</v>
      </c>
      <c r="AW23" s="276">
        <v>5.0000000000000001E-3</v>
      </c>
      <c r="AX23" s="276">
        <v>5.0000000000000001E-3</v>
      </c>
      <c r="AY23" s="276">
        <v>5.0000000000000001E-3</v>
      </c>
      <c r="AZ23" s="276">
        <v>5.0000000000000001E-3</v>
      </c>
      <c r="BA23" s="276">
        <v>5.0000000000000001E-3</v>
      </c>
      <c r="BB23" s="276">
        <v>5.0000000000000001E-3</v>
      </c>
      <c r="BC23" s="276">
        <v>5.0000000000000001E-3</v>
      </c>
      <c r="BD23" s="276">
        <v>5.0000000000000001E-3</v>
      </c>
      <c r="BE23" s="276">
        <v>5.0000000000000001E-3</v>
      </c>
      <c r="BF23" s="276">
        <v>5.0000000000000001E-3</v>
      </c>
      <c r="BG23" s="276">
        <v>5.0000000000000001E-3</v>
      </c>
      <c r="BH23" s="276">
        <v>5.0000000000000001E-3</v>
      </c>
      <c r="BI23" s="276">
        <v>5.0000000000000001E-3</v>
      </c>
      <c r="BJ23" s="276">
        <v>5.0000000000000001E-3</v>
      </c>
      <c r="BK23" s="276">
        <v>5.0000000000000001E-3</v>
      </c>
    </row>
    <row r="24" spans="1:63" ht="14.25" customHeight="1" x14ac:dyDescent="0.35">
      <c r="A24" s="277" t="s">
        <v>102</v>
      </c>
      <c r="B24" s="276">
        <v>5.0000000000000001E-3</v>
      </c>
      <c r="C24" s="276">
        <v>5.0000000000000001E-3</v>
      </c>
      <c r="D24" s="276">
        <v>5.0000000000000001E-3</v>
      </c>
      <c r="E24" s="276">
        <v>5.0000000000000001E-3</v>
      </c>
      <c r="F24" s="276">
        <v>5.0000000000000001E-3</v>
      </c>
      <c r="G24" s="276">
        <v>5.0000000000000001E-3</v>
      </c>
      <c r="H24" s="276">
        <v>5.0000000000000001E-3</v>
      </c>
      <c r="I24" s="276">
        <v>5.0000000000000001E-3</v>
      </c>
      <c r="J24" s="276">
        <v>5.0000000000000001E-3</v>
      </c>
      <c r="K24" s="276">
        <v>5.0000000000000001E-3</v>
      </c>
      <c r="L24" s="276">
        <v>5.0000000000000001E-3</v>
      </c>
      <c r="M24" s="276">
        <v>5.0000000000000001E-3</v>
      </c>
      <c r="N24" s="276">
        <v>5.0000000000000001E-3</v>
      </c>
      <c r="O24" s="276">
        <v>5.0000000000000001E-3</v>
      </c>
      <c r="P24" s="276">
        <v>5.0000000000000001E-3</v>
      </c>
      <c r="Q24" s="276">
        <v>5.0000000000000001E-3</v>
      </c>
      <c r="R24" s="276">
        <v>5.0000000000000001E-3</v>
      </c>
      <c r="S24" s="276">
        <v>5.0000000000000001E-3</v>
      </c>
      <c r="T24" s="276">
        <v>5.0000000000000001E-3</v>
      </c>
      <c r="U24" s="276">
        <v>5.0000000000000001E-3</v>
      </c>
      <c r="V24" s="276">
        <v>5.0000000000000001E-3</v>
      </c>
      <c r="W24" s="276">
        <v>5.0000000000000001E-3</v>
      </c>
      <c r="X24" s="276">
        <v>5.0000000000000001E-3</v>
      </c>
      <c r="Y24" s="276">
        <v>5.0000000000000001E-3</v>
      </c>
      <c r="Z24" s="276">
        <v>5.0000000000000001E-3</v>
      </c>
      <c r="AA24" s="276">
        <v>5.0000000000000001E-3</v>
      </c>
      <c r="AB24" s="276">
        <v>5.0000000000000001E-3</v>
      </c>
      <c r="AC24" s="276">
        <v>5.0000000000000001E-3</v>
      </c>
      <c r="AD24" s="276">
        <v>5.0000000000000001E-3</v>
      </c>
      <c r="AE24" s="276">
        <v>5.0000000000000001E-3</v>
      </c>
      <c r="AF24" s="276">
        <v>5.0000000000000001E-3</v>
      </c>
      <c r="AG24" s="276">
        <v>5.0000000000000001E-3</v>
      </c>
      <c r="AH24" s="276">
        <v>5.0000000000000001E-3</v>
      </c>
      <c r="AI24" s="276">
        <v>5.0000000000000001E-3</v>
      </c>
      <c r="AJ24" s="276">
        <v>5.0000000000000001E-3</v>
      </c>
      <c r="AK24" s="276">
        <v>5.0000000000000001E-3</v>
      </c>
      <c r="AL24" s="276">
        <v>5.0000000000000001E-3</v>
      </c>
      <c r="AM24" s="276">
        <v>5.0000000000000001E-3</v>
      </c>
      <c r="AN24" s="276">
        <v>5.0000000000000001E-3</v>
      </c>
      <c r="AO24" s="276">
        <v>5.0000000000000001E-3</v>
      </c>
      <c r="AP24" s="276">
        <v>5.0000000000000001E-3</v>
      </c>
      <c r="AQ24" s="276">
        <v>5.0000000000000001E-3</v>
      </c>
      <c r="AR24" s="276">
        <v>5.0000000000000001E-3</v>
      </c>
      <c r="AS24" s="276">
        <v>5.0000000000000001E-3</v>
      </c>
      <c r="AT24" s="276">
        <v>5.0000000000000001E-3</v>
      </c>
      <c r="AU24" s="276">
        <v>5.0000000000000001E-3</v>
      </c>
      <c r="AV24" s="276">
        <v>5.0000000000000001E-3</v>
      </c>
      <c r="AW24" s="276">
        <v>5.0000000000000001E-3</v>
      </c>
      <c r="AX24" s="276">
        <v>5.0000000000000001E-3</v>
      </c>
      <c r="AY24" s="276">
        <v>5.0000000000000001E-3</v>
      </c>
      <c r="AZ24" s="276">
        <v>5.0000000000000001E-3</v>
      </c>
      <c r="BA24" s="276">
        <v>5.0000000000000001E-3</v>
      </c>
      <c r="BB24" s="276">
        <v>5.0000000000000001E-3</v>
      </c>
      <c r="BC24" s="276">
        <v>5.0000000000000001E-3</v>
      </c>
      <c r="BD24" s="276">
        <v>5.0000000000000001E-3</v>
      </c>
      <c r="BE24" s="276">
        <v>5.0000000000000001E-3</v>
      </c>
      <c r="BF24" s="276">
        <v>5.0000000000000001E-3</v>
      </c>
      <c r="BG24" s="276">
        <v>5.0000000000000001E-3</v>
      </c>
      <c r="BH24" s="276">
        <v>5.0000000000000001E-3</v>
      </c>
      <c r="BI24" s="276">
        <v>5.0000000000000001E-3</v>
      </c>
      <c r="BJ24" s="276">
        <v>5.0000000000000001E-3</v>
      </c>
      <c r="BK24" s="276">
        <v>5.0000000000000001E-3</v>
      </c>
    </row>
    <row r="25" spans="1:63" ht="14.25" customHeight="1" x14ac:dyDescent="0.35">
      <c r="A25" s="277" t="s">
        <v>103</v>
      </c>
      <c r="B25" s="276">
        <v>5.0000000000000001E-3</v>
      </c>
      <c r="C25" s="276">
        <v>5.0000000000000001E-3</v>
      </c>
      <c r="D25" s="276">
        <v>5.0000000000000001E-3</v>
      </c>
      <c r="E25" s="276">
        <v>5.0000000000000001E-3</v>
      </c>
      <c r="F25" s="276">
        <v>5.0000000000000001E-3</v>
      </c>
      <c r="G25" s="276">
        <v>5.0000000000000001E-3</v>
      </c>
      <c r="H25" s="276">
        <v>5.0000000000000001E-3</v>
      </c>
      <c r="I25" s="276">
        <v>5.0000000000000001E-3</v>
      </c>
      <c r="J25" s="276">
        <v>5.0000000000000001E-3</v>
      </c>
      <c r="K25" s="276">
        <v>5.0000000000000001E-3</v>
      </c>
      <c r="L25" s="276">
        <v>5.0000000000000001E-3</v>
      </c>
      <c r="M25" s="276">
        <v>5.0000000000000001E-3</v>
      </c>
      <c r="N25" s="276">
        <v>5.0000000000000001E-3</v>
      </c>
      <c r="O25" s="276">
        <v>5.0000000000000001E-3</v>
      </c>
      <c r="P25" s="276">
        <v>5.0000000000000001E-3</v>
      </c>
      <c r="Q25" s="276">
        <v>5.0000000000000001E-3</v>
      </c>
      <c r="R25" s="276">
        <v>5.0000000000000001E-3</v>
      </c>
      <c r="S25" s="276">
        <v>5.0000000000000001E-3</v>
      </c>
      <c r="T25" s="276">
        <v>5.0000000000000001E-3</v>
      </c>
      <c r="U25" s="276">
        <v>5.0000000000000001E-3</v>
      </c>
      <c r="V25" s="276">
        <v>5.0000000000000001E-3</v>
      </c>
      <c r="W25" s="276">
        <v>5.0000000000000001E-3</v>
      </c>
      <c r="X25" s="276">
        <v>5.0000000000000001E-3</v>
      </c>
      <c r="Y25" s="276">
        <v>5.0000000000000001E-3</v>
      </c>
      <c r="Z25" s="276">
        <v>5.0000000000000001E-3</v>
      </c>
      <c r="AA25" s="276">
        <v>5.0000000000000001E-3</v>
      </c>
      <c r="AB25" s="276">
        <v>5.0000000000000001E-3</v>
      </c>
      <c r="AC25" s="276">
        <v>5.0000000000000001E-3</v>
      </c>
      <c r="AD25" s="276">
        <v>5.0000000000000001E-3</v>
      </c>
      <c r="AE25" s="276">
        <v>5.0000000000000001E-3</v>
      </c>
      <c r="AF25" s="276">
        <v>5.0000000000000001E-3</v>
      </c>
      <c r="AG25" s="276">
        <v>5.0000000000000001E-3</v>
      </c>
      <c r="AH25" s="276">
        <v>5.0000000000000001E-3</v>
      </c>
      <c r="AI25" s="276">
        <v>5.0000000000000001E-3</v>
      </c>
      <c r="AJ25" s="276">
        <v>5.0000000000000001E-3</v>
      </c>
      <c r="AK25" s="276">
        <v>5.0000000000000001E-3</v>
      </c>
      <c r="AL25" s="276">
        <v>5.0000000000000001E-3</v>
      </c>
      <c r="AM25" s="276">
        <v>5.0000000000000001E-3</v>
      </c>
      <c r="AN25" s="276">
        <v>5.0000000000000001E-3</v>
      </c>
      <c r="AO25" s="276">
        <v>5.0000000000000001E-3</v>
      </c>
      <c r="AP25" s="276">
        <v>5.0000000000000001E-3</v>
      </c>
      <c r="AQ25" s="276">
        <v>5.0000000000000001E-3</v>
      </c>
      <c r="AR25" s="276">
        <v>5.0000000000000001E-3</v>
      </c>
      <c r="AS25" s="276">
        <v>5.0000000000000001E-3</v>
      </c>
      <c r="AT25" s="276">
        <v>5.0000000000000001E-3</v>
      </c>
      <c r="AU25" s="276">
        <v>5.0000000000000001E-3</v>
      </c>
      <c r="AV25" s="276">
        <v>5.0000000000000001E-3</v>
      </c>
      <c r="AW25" s="276">
        <v>5.0000000000000001E-3</v>
      </c>
      <c r="AX25" s="276">
        <v>5.0000000000000001E-3</v>
      </c>
      <c r="AY25" s="276">
        <v>5.0000000000000001E-3</v>
      </c>
      <c r="AZ25" s="276">
        <v>5.0000000000000001E-3</v>
      </c>
      <c r="BA25" s="276">
        <v>5.0000000000000001E-3</v>
      </c>
      <c r="BB25" s="276">
        <v>5.0000000000000001E-3</v>
      </c>
      <c r="BC25" s="276">
        <v>5.0000000000000001E-3</v>
      </c>
      <c r="BD25" s="276">
        <v>5.0000000000000001E-3</v>
      </c>
      <c r="BE25" s="276">
        <v>5.0000000000000001E-3</v>
      </c>
      <c r="BF25" s="276">
        <v>5.0000000000000001E-3</v>
      </c>
      <c r="BG25" s="276">
        <v>5.0000000000000001E-3</v>
      </c>
      <c r="BH25" s="276">
        <v>5.0000000000000001E-3</v>
      </c>
      <c r="BI25" s="276">
        <v>5.0000000000000001E-3</v>
      </c>
      <c r="BJ25" s="276">
        <v>5.0000000000000001E-3</v>
      </c>
      <c r="BK25" s="276">
        <v>5.0000000000000001E-3</v>
      </c>
    </row>
    <row r="26" spans="1:63" ht="14.25" customHeight="1" x14ac:dyDescent="0.35">
      <c r="A26" s="277" t="s">
        <v>104</v>
      </c>
      <c r="B26" s="276">
        <v>5.0000000000000001E-3</v>
      </c>
      <c r="C26" s="276">
        <v>5.0000000000000001E-3</v>
      </c>
      <c r="D26" s="276">
        <v>5.0000000000000001E-3</v>
      </c>
      <c r="E26" s="276">
        <v>5.0000000000000001E-3</v>
      </c>
      <c r="F26" s="276">
        <v>5.0000000000000001E-3</v>
      </c>
      <c r="G26" s="276">
        <v>5.0000000000000001E-3</v>
      </c>
      <c r="H26" s="276">
        <v>5.0000000000000001E-3</v>
      </c>
      <c r="I26" s="276">
        <v>5.0000000000000001E-3</v>
      </c>
      <c r="J26" s="276">
        <v>5.0000000000000001E-3</v>
      </c>
      <c r="K26" s="276">
        <v>5.0000000000000001E-3</v>
      </c>
      <c r="L26" s="276">
        <v>5.0000000000000001E-3</v>
      </c>
      <c r="M26" s="276">
        <v>5.0000000000000001E-3</v>
      </c>
      <c r="N26" s="276">
        <v>5.0000000000000001E-3</v>
      </c>
      <c r="O26" s="276">
        <v>5.0000000000000001E-3</v>
      </c>
      <c r="P26" s="276">
        <v>5.0000000000000001E-3</v>
      </c>
      <c r="Q26" s="276">
        <v>5.0000000000000001E-3</v>
      </c>
      <c r="R26" s="276">
        <v>5.0000000000000001E-3</v>
      </c>
      <c r="S26" s="276">
        <v>5.0000000000000001E-3</v>
      </c>
      <c r="T26" s="276">
        <v>5.0000000000000001E-3</v>
      </c>
      <c r="U26" s="276">
        <v>5.0000000000000001E-3</v>
      </c>
      <c r="V26" s="276">
        <v>5.0000000000000001E-3</v>
      </c>
      <c r="W26" s="276">
        <v>5.0000000000000001E-3</v>
      </c>
      <c r="X26" s="276">
        <v>5.0000000000000001E-3</v>
      </c>
      <c r="Y26" s="276">
        <v>5.0000000000000001E-3</v>
      </c>
      <c r="Z26" s="276">
        <v>5.0000000000000001E-3</v>
      </c>
      <c r="AA26" s="276">
        <v>5.0000000000000001E-3</v>
      </c>
      <c r="AB26" s="276">
        <v>5.0000000000000001E-3</v>
      </c>
      <c r="AC26" s="276">
        <v>5.0000000000000001E-3</v>
      </c>
      <c r="AD26" s="276">
        <v>5.0000000000000001E-3</v>
      </c>
      <c r="AE26" s="276">
        <v>5.0000000000000001E-3</v>
      </c>
      <c r="AF26" s="276">
        <v>5.0000000000000001E-3</v>
      </c>
      <c r="AG26" s="276">
        <v>5.0000000000000001E-3</v>
      </c>
      <c r="AH26" s="276">
        <v>5.0000000000000001E-3</v>
      </c>
      <c r="AI26" s="276">
        <v>5.0000000000000001E-3</v>
      </c>
      <c r="AJ26" s="276">
        <v>5.0000000000000001E-3</v>
      </c>
      <c r="AK26" s="276">
        <v>5.0000000000000001E-3</v>
      </c>
      <c r="AL26" s="276">
        <v>5.0000000000000001E-3</v>
      </c>
      <c r="AM26" s="276">
        <v>5.0000000000000001E-3</v>
      </c>
      <c r="AN26" s="276">
        <v>5.0000000000000001E-3</v>
      </c>
      <c r="AO26" s="276">
        <v>5.0000000000000001E-3</v>
      </c>
      <c r="AP26" s="276">
        <v>5.0000000000000001E-3</v>
      </c>
      <c r="AQ26" s="276">
        <v>5.0000000000000001E-3</v>
      </c>
      <c r="AR26" s="276">
        <v>5.0000000000000001E-3</v>
      </c>
      <c r="AS26" s="276">
        <v>5.0000000000000001E-3</v>
      </c>
      <c r="AT26" s="276">
        <v>5.0000000000000001E-3</v>
      </c>
      <c r="AU26" s="276">
        <v>5.0000000000000001E-3</v>
      </c>
      <c r="AV26" s="276">
        <v>5.0000000000000001E-3</v>
      </c>
      <c r="AW26" s="276">
        <v>5.0000000000000001E-3</v>
      </c>
      <c r="AX26" s="276">
        <v>5.0000000000000001E-3</v>
      </c>
      <c r="AY26" s="276">
        <v>5.0000000000000001E-3</v>
      </c>
      <c r="AZ26" s="276">
        <v>5.0000000000000001E-3</v>
      </c>
      <c r="BA26" s="276">
        <v>5.0000000000000001E-3</v>
      </c>
      <c r="BB26" s="276">
        <v>5.0000000000000001E-3</v>
      </c>
      <c r="BC26" s="276">
        <v>5.0000000000000001E-3</v>
      </c>
      <c r="BD26" s="276">
        <v>5.0000000000000001E-3</v>
      </c>
      <c r="BE26" s="276">
        <v>5.0000000000000001E-3</v>
      </c>
      <c r="BF26" s="276">
        <v>5.0000000000000001E-3</v>
      </c>
      <c r="BG26" s="276">
        <v>5.0000000000000001E-3</v>
      </c>
      <c r="BH26" s="276">
        <v>5.0000000000000001E-3</v>
      </c>
      <c r="BI26" s="276">
        <v>5.0000000000000001E-3</v>
      </c>
      <c r="BJ26" s="276">
        <v>5.0000000000000001E-3</v>
      </c>
      <c r="BK26" s="276">
        <v>5.0000000000000001E-3</v>
      </c>
    </row>
    <row r="27" spans="1:63" ht="14.25" customHeight="1" x14ac:dyDescent="0.35">
      <c r="A27" s="277" t="s">
        <v>105</v>
      </c>
      <c r="B27" s="276">
        <v>5.0000000000000001E-3</v>
      </c>
      <c r="C27" s="276">
        <v>5.0000000000000001E-3</v>
      </c>
      <c r="D27" s="276">
        <v>5.0000000000000001E-3</v>
      </c>
      <c r="E27" s="276">
        <v>5.0000000000000001E-3</v>
      </c>
      <c r="F27" s="276">
        <v>5.0000000000000001E-3</v>
      </c>
      <c r="G27" s="276">
        <v>5.0000000000000001E-3</v>
      </c>
      <c r="H27" s="276">
        <v>5.0000000000000001E-3</v>
      </c>
      <c r="I27" s="276">
        <v>5.0000000000000001E-3</v>
      </c>
      <c r="J27" s="276">
        <v>5.0000000000000001E-3</v>
      </c>
      <c r="K27" s="276">
        <v>5.0000000000000001E-3</v>
      </c>
      <c r="L27" s="276">
        <v>5.0000000000000001E-3</v>
      </c>
      <c r="M27" s="276">
        <v>5.0000000000000001E-3</v>
      </c>
      <c r="N27" s="276">
        <v>5.0000000000000001E-3</v>
      </c>
      <c r="O27" s="276">
        <v>5.0000000000000001E-3</v>
      </c>
      <c r="P27" s="276">
        <v>5.0000000000000001E-3</v>
      </c>
      <c r="Q27" s="276">
        <v>5.0000000000000001E-3</v>
      </c>
      <c r="R27" s="276">
        <v>5.0000000000000001E-3</v>
      </c>
      <c r="S27" s="276">
        <v>5.0000000000000001E-3</v>
      </c>
      <c r="T27" s="276">
        <v>5.0000000000000001E-3</v>
      </c>
      <c r="U27" s="276">
        <v>5.0000000000000001E-3</v>
      </c>
      <c r="V27" s="276">
        <v>5.0000000000000001E-3</v>
      </c>
      <c r="W27" s="276">
        <v>5.0000000000000001E-3</v>
      </c>
      <c r="X27" s="276">
        <v>5.0000000000000001E-3</v>
      </c>
      <c r="Y27" s="276">
        <v>5.0000000000000001E-3</v>
      </c>
      <c r="Z27" s="276">
        <v>5.0000000000000001E-3</v>
      </c>
      <c r="AA27" s="276">
        <v>5.0000000000000001E-3</v>
      </c>
      <c r="AB27" s="276">
        <v>5.0000000000000001E-3</v>
      </c>
      <c r="AC27" s="276">
        <v>5.0000000000000001E-3</v>
      </c>
      <c r="AD27" s="276">
        <v>5.0000000000000001E-3</v>
      </c>
      <c r="AE27" s="276">
        <v>5.0000000000000001E-3</v>
      </c>
      <c r="AF27" s="276">
        <v>5.0000000000000001E-3</v>
      </c>
      <c r="AG27" s="276">
        <v>5.0000000000000001E-3</v>
      </c>
      <c r="AH27" s="276">
        <v>5.0000000000000001E-3</v>
      </c>
      <c r="AI27" s="276">
        <v>5.0000000000000001E-3</v>
      </c>
      <c r="AJ27" s="276">
        <v>5.0000000000000001E-3</v>
      </c>
      <c r="AK27" s="276">
        <v>5.0000000000000001E-3</v>
      </c>
      <c r="AL27" s="276">
        <v>5.0000000000000001E-3</v>
      </c>
      <c r="AM27" s="276">
        <v>5.0000000000000001E-3</v>
      </c>
      <c r="AN27" s="276">
        <v>5.0000000000000001E-3</v>
      </c>
      <c r="AO27" s="276">
        <v>5.0000000000000001E-3</v>
      </c>
      <c r="AP27" s="276">
        <v>5.0000000000000001E-3</v>
      </c>
      <c r="AQ27" s="276">
        <v>5.0000000000000001E-3</v>
      </c>
      <c r="AR27" s="276">
        <v>5.0000000000000001E-3</v>
      </c>
      <c r="AS27" s="276">
        <v>5.0000000000000001E-3</v>
      </c>
      <c r="AT27" s="276">
        <v>5.0000000000000001E-3</v>
      </c>
      <c r="AU27" s="276">
        <v>5.0000000000000001E-3</v>
      </c>
      <c r="AV27" s="276">
        <v>5.0000000000000001E-3</v>
      </c>
      <c r="AW27" s="276">
        <v>5.0000000000000001E-3</v>
      </c>
      <c r="AX27" s="276">
        <v>5.0000000000000001E-3</v>
      </c>
      <c r="AY27" s="276">
        <v>5.0000000000000001E-3</v>
      </c>
      <c r="AZ27" s="276">
        <v>5.0000000000000001E-3</v>
      </c>
      <c r="BA27" s="276">
        <v>5.0000000000000001E-3</v>
      </c>
      <c r="BB27" s="276">
        <v>5.0000000000000001E-3</v>
      </c>
      <c r="BC27" s="276">
        <v>5.0000000000000001E-3</v>
      </c>
      <c r="BD27" s="276">
        <v>5.0000000000000001E-3</v>
      </c>
      <c r="BE27" s="276">
        <v>5.0000000000000001E-3</v>
      </c>
      <c r="BF27" s="276">
        <v>5.0000000000000001E-3</v>
      </c>
      <c r="BG27" s="276">
        <v>5.0000000000000001E-3</v>
      </c>
      <c r="BH27" s="276">
        <v>5.0000000000000001E-3</v>
      </c>
      <c r="BI27" s="276">
        <v>5.0000000000000001E-3</v>
      </c>
      <c r="BJ27" s="276">
        <v>5.0000000000000001E-3</v>
      </c>
      <c r="BK27" s="276">
        <v>5.0000000000000001E-3</v>
      </c>
    </row>
    <row r="28" spans="1:63" ht="14.25" customHeight="1" x14ac:dyDescent="0.35">
      <c r="A28" s="277" t="s">
        <v>106</v>
      </c>
      <c r="B28" s="276">
        <v>5.0000000000000001E-3</v>
      </c>
      <c r="C28" s="276">
        <v>5.0000000000000001E-3</v>
      </c>
      <c r="D28" s="276">
        <v>5.0000000000000001E-3</v>
      </c>
      <c r="E28" s="276">
        <v>5.0000000000000001E-3</v>
      </c>
      <c r="F28" s="276">
        <v>5.0000000000000001E-3</v>
      </c>
      <c r="G28" s="276">
        <v>5.0000000000000001E-3</v>
      </c>
      <c r="H28" s="276">
        <v>5.0000000000000001E-3</v>
      </c>
      <c r="I28" s="276">
        <v>5.0000000000000001E-3</v>
      </c>
      <c r="J28" s="276">
        <v>5.0000000000000001E-3</v>
      </c>
      <c r="K28" s="276">
        <v>5.0000000000000001E-3</v>
      </c>
      <c r="L28" s="276">
        <v>5.0000000000000001E-3</v>
      </c>
      <c r="M28" s="276">
        <v>5.0000000000000001E-3</v>
      </c>
      <c r="N28" s="276">
        <v>5.0000000000000001E-3</v>
      </c>
      <c r="O28" s="276">
        <v>5.0000000000000001E-3</v>
      </c>
      <c r="P28" s="276">
        <v>5.0000000000000001E-3</v>
      </c>
      <c r="Q28" s="276">
        <v>5.0000000000000001E-3</v>
      </c>
      <c r="R28" s="276">
        <v>5.0000000000000001E-3</v>
      </c>
      <c r="S28" s="276">
        <v>5.0000000000000001E-3</v>
      </c>
      <c r="T28" s="276">
        <v>5.0000000000000001E-3</v>
      </c>
      <c r="U28" s="276">
        <v>5.0000000000000001E-3</v>
      </c>
      <c r="V28" s="276">
        <v>5.0000000000000001E-3</v>
      </c>
      <c r="W28" s="276">
        <v>5.0000000000000001E-3</v>
      </c>
      <c r="X28" s="276">
        <v>5.0000000000000001E-3</v>
      </c>
      <c r="Y28" s="276">
        <v>5.0000000000000001E-3</v>
      </c>
      <c r="Z28" s="276">
        <v>5.0000000000000001E-3</v>
      </c>
      <c r="AA28" s="276">
        <v>5.0000000000000001E-3</v>
      </c>
      <c r="AB28" s="276">
        <v>5.0000000000000001E-3</v>
      </c>
      <c r="AC28" s="276">
        <v>5.0000000000000001E-3</v>
      </c>
      <c r="AD28" s="276">
        <v>5.0000000000000001E-3</v>
      </c>
      <c r="AE28" s="276">
        <v>5.0000000000000001E-3</v>
      </c>
      <c r="AF28" s="276">
        <v>5.0000000000000001E-3</v>
      </c>
      <c r="AG28" s="276">
        <v>5.0000000000000001E-3</v>
      </c>
      <c r="AH28" s="276">
        <v>5.0000000000000001E-3</v>
      </c>
      <c r="AI28" s="276">
        <v>5.0000000000000001E-3</v>
      </c>
      <c r="AJ28" s="276">
        <v>5.0000000000000001E-3</v>
      </c>
      <c r="AK28" s="276">
        <v>5.0000000000000001E-3</v>
      </c>
      <c r="AL28" s="276">
        <v>5.0000000000000001E-3</v>
      </c>
      <c r="AM28" s="276">
        <v>5.0000000000000001E-3</v>
      </c>
      <c r="AN28" s="276">
        <v>5.0000000000000001E-3</v>
      </c>
      <c r="AO28" s="276">
        <v>5.0000000000000001E-3</v>
      </c>
      <c r="AP28" s="276">
        <v>5.0000000000000001E-3</v>
      </c>
      <c r="AQ28" s="276">
        <v>5.0000000000000001E-3</v>
      </c>
      <c r="AR28" s="276">
        <v>5.0000000000000001E-3</v>
      </c>
      <c r="AS28" s="276">
        <v>5.0000000000000001E-3</v>
      </c>
      <c r="AT28" s="276">
        <v>5.0000000000000001E-3</v>
      </c>
      <c r="AU28" s="276">
        <v>5.0000000000000001E-3</v>
      </c>
      <c r="AV28" s="276">
        <v>5.0000000000000001E-3</v>
      </c>
      <c r="AW28" s="276">
        <v>5.0000000000000001E-3</v>
      </c>
      <c r="AX28" s="276">
        <v>5.0000000000000001E-3</v>
      </c>
      <c r="AY28" s="276">
        <v>5.0000000000000001E-3</v>
      </c>
      <c r="AZ28" s="276">
        <v>5.0000000000000001E-3</v>
      </c>
      <c r="BA28" s="276">
        <v>5.0000000000000001E-3</v>
      </c>
      <c r="BB28" s="276">
        <v>5.0000000000000001E-3</v>
      </c>
      <c r="BC28" s="276">
        <v>5.0000000000000001E-3</v>
      </c>
      <c r="BD28" s="276">
        <v>5.0000000000000001E-3</v>
      </c>
      <c r="BE28" s="276">
        <v>5.0000000000000001E-3</v>
      </c>
      <c r="BF28" s="276">
        <v>5.0000000000000001E-3</v>
      </c>
      <c r="BG28" s="276">
        <v>5.0000000000000001E-3</v>
      </c>
      <c r="BH28" s="276">
        <v>5.0000000000000001E-3</v>
      </c>
      <c r="BI28" s="276">
        <v>5.0000000000000001E-3</v>
      </c>
      <c r="BJ28" s="276">
        <v>5.0000000000000001E-3</v>
      </c>
      <c r="BK28" s="276">
        <v>5.0000000000000001E-3</v>
      </c>
    </row>
    <row r="29" spans="1:63" ht="14.25" customHeight="1" x14ac:dyDescent="0.35">
      <c r="A29" s="277" t="s">
        <v>107</v>
      </c>
      <c r="B29" s="276">
        <v>5.0000000000000001E-3</v>
      </c>
      <c r="C29" s="276">
        <v>5.0000000000000001E-3</v>
      </c>
      <c r="D29" s="276">
        <v>5.0000000000000001E-3</v>
      </c>
      <c r="E29" s="276">
        <v>5.0000000000000001E-3</v>
      </c>
      <c r="F29" s="276">
        <v>5.0000000000000001E-3</v>
      </c>
      <c r="G29" s="276">
        <v>5.0000000000000001E-3</v>
      </c>
      <c r="H29" s="276">
        <v>5.0000000000000001E-3</v>
      </c>
      <c r="I29" s="276">
        <v>5.0000000000000001E-3</v>
      </c>
      <c r="J29" s="276">
        <v>5.0000000000000001E-3</v>
      </c>
      <c r="K29" s="276">
        <v>5.0000000000000001E-3</v>
      </c>
      <c r="L29" s="276">
        <v>5.0000000000000001E-3</v>
      </c>
      <c r="M29" s="276">
        <v>5.0000000000000001E-3</v>
      </c>
      <c r="N29" s="276">
        <v>5.0000000000000001E-3</v>
      </c>
      <c r="O29" s="276">
        <v>5.0000000000000001E-3</v>
      </c>
      <c r="P29" s="276">
        <v>5.0000000000000001E-3</v>
      </c>
      <c r="Q29" s="276">
        <v>5.0000000000000001E-3</v>
      </c>
      <c r="R29" s="276">
        <v>5.0000000000000001E-3</v>
      </c>
      <c r="S29" s="276">
        <v>5.0000000000000001E-3</v>
      </c>
      <c r="T29" s="276">
        <v>5.0000000000000001E-3</v>
      </c>
      <c r="U29" s="276">
        <v>5.0000000000000001E-3</v>
      </c>
      <c r="V29" s="276">
        <v>5.0000000000000001E-3</v>
      </c>
      <c r="W29" s="276">
        <v>5.0000000000000001E-3</v>
      </c>
      <c r="X29" s="276">
        <v>5.0000000000000001E-3</v>
      </c>
      <c r="Y29" s="276">
        <v>5.0000000000000001E-3</v>
      </c>
      <c r="Z29" s="276">
        <v>5.0000000000000001E-3</v>
      </c>
      <c r="AA29" s="276">
        <v>5.0000000000000001E-3</v>
      </c>
      <c r="AB29" s="276">
        <v>5.0000000000000001E-3</v>
      </c>
      <c r="AC29" s="276">
        <v>5.0000000000000001E-3</v>
      </c>
      <c r="AD29" s="276">
        <v>5.0000000000000001E-3</v>
      </c>
      <c r="AE29" s="276">
        <v>5.0000000000000001E-3</v>
      </c>
      <c r="AF29" s="276">
        <v>5.0000000000000001E-3</v>
      </c>
      <c r="AG29" s="276">
        <v>5.0000000000000001E-3</v>
      </c>
      <c r="AH29" s="276">
        <v>5.0000000000000001E-3</v>
      </c>
      <c r="AI29" s="276">
        <v>5.0000000000000001E-3</v>
      </c>
      <c r="AJ29" s="276">
        <v>5.0000000000000001E-3</v>
      </c>
      <c r="AK29" s="276">
        <v>5.0000000000000001E-3</v>
      </c>
      <c r="AL29" s="276">
        <v>5.0000000000000001E-3</v>
      </c>
      <c r="AM29" s="276">
        <v>5.0000000000000001E-3</v>
      </c>
      <c r="AN29" s="276">
        <v>5.0000000000000001E-3</v>
      </c>
      <c r="AO29" s="276">
        <v>5.0000000000000001E-3</v>
      </c>
      <c r="AP29" s="276">
        <v>5.0000000000000001E-3</v>
      </c>
      <c r="AQ29" s="276">
        <v>5.0000000000000001E-3</v>
      </c>
      <c r="AR29" s="276">
        <v>5.0000000000000001E-3</v>
      </c>
      <c r="AS29" s="276">
        <v>5.0000000000000001E-3</v>
      </c>
      <c r="AT29" s="276">
        <v>5.0000000000000001E-3</v>
      </c>
      <c r="AU29" s="276">
        <v>5.0000000000000001E-3</v>
      </c>
      <c r="AV29" s="276">
        <v>5.0000000000000001E-3</v>
      </c>
      <c r="AW29" s="276">
        <v>5.0000000000000001E-3</v>
      </c>
      <c r="AX29" s="276">
        <v>5.0000000000000001E-3</v>
      </c>
      <c r="AY29" s="276">
        <v>5.0000000000000001E-3</v>
      </c>
      <c r="AZ29" s="276">
        <v>5.0000000000000001E-3</v>
      </c>
      <c r="BA29" s="276">
        <v>5.0000000000000001E-3</v>
      </c>
      <c r="BB29" s="276">
        <v>5.0000000000000001E-3</v>
      </c>
      <c r="BC29" s="276">
        <v>5.0000000000000001E-3</v>
      </c>
      <c r="BD29" s="276">
        <v>5.0000000000000001E-3</v>
      </c>
      <c r="BE29" s="276">
        <v>5.0000000000000001E-3</v>
      </c>
      <c r="BF29" s="276">
        <v>5.0000000000000001E-3</v>
      </c>
      <c r="BG29" s="276">
        <v>5.0000000000000001E-3</v>
      </c>
      <c r="BH29" s="276">
        <v>5.0000000000000001E-3</v>
      </c>
      <c r="BI29" s="276">
        <v>5.0000000000000001E-3</v>
      </c>
      <c r="BJ29" s="276">
        <v>5.0000000000000001E-3</v>
      </c>
      <c r="BK29" s="276">
        <v>5.0000000000000001E-3</v>
      </c>
    </row>
    <row r="30" spans="1:63" ht="14.25" customHeight="1" x14ac:dyDescent="0.35">
      <c r="A30" s="277" t="s">
        <v>108</v>
      </c>
      <c r="B30" s="276">
        <v>5.0000000000000001E-3</v>
      </c>
      <c r="C30" s="276">
        <v>5.0000000000000001E-3</v>
      </c>
      <c r="D30" s="276">
        <v>5.0000000000000001E-3</v>
      </c>
      <c r="E30" s="276">
        <v>5.0000000000000001E-3</v>
      </c>
      <c r="F30" s="276">
        <v>5.0000000000000001E-3</v>
      </c>
      <c r="G30" s="276">
        <v>5.0000000000000001E-3</v>
      </c>
      <c r="H30" s="276">
        <v>5.0000000000000001E-3</v>
      </c>
      <c r="I30" s="276">
        <v>5.0000000000000001E-3</v>
      </c>
      <c r="J30" s="276">
        <v>5.0000000000000001E-3</v>
      </c>
      <c r="K30" s="276">
        <v>5.0000000000000001E-3</v>
      </c>
      <c r="L30" s="276">
        <v>5.0000000000000001E-3</v>
      </c>
      <c r="M30" s="276">
        <v>5.0000000000000001E-3</v>
      </c>
      <c r="N30" s="276">
        <v>5.0000000000000001E-3</v>
      </c>
      <c r="O30" s="276">
        <v>5.0000000000000001E-3</v>
      </c>
      <c r="P30" s="276">
        <v>5.0000000000000001E-3</v>
      </c>
      <c r="Q30" s="276">
        <v>5.0000000000000001E-3</v>
      </c>
      <c r="R30" s="276">
        <v>5.0000000000000001E-3</v>
      </c>
      <c r="S30" s="276">
        <v>5.0000000000000001E-3</v>
      </c>
      <c r="T30" s="276">
        <v>5.0000000000000001E-3</v>
      </c>
      <c r="U30" s="276">
        <v>5.0000000000000001E-3</v>
      </c>
      <c r="V30" s="276">
        <v>5.0000000000000001E-3</v>
      </c>
      <c r="W30" s="276">
        <v>5.0000000000000001E-3</v>
      </c>
      <c r="X30" s="276">
        <v>5.0000000000000001E-3</v>
      </c>
      <c r="Y30" s="276">
        <v>5.0000000000000001E-3</v>
      </c>
      <c r="Z30" s="276">
        <v>5.0000000000000001E-3</v>
      </c>
      <c r="AA30" s="276">
        <v>5.0000000000000001E-3</v>
      </c>
      <c r="AB30" s="276">
        <v>5.0000000000000001E-3</v>
      </c>
      <c r="AC30" s="276">
        <v>5.0000000000000001E-3</v>
      </c>
      <c r="AD30" s="276">
        <v>5.0000000000000001E-3</v>
      </c>
      <c r="AE30" s="276">
        <v>5.0000000000000001E-3</v>
      </c>
      <c r="AF30" s="276">
        <v>5.0000000000000001E-3</v>
      </c>
      <c r="AG30" s="276">
        <v>5.0000000000000001E-3</v>
      </c>
      <c r="AH30" s="276">
        <v>5.0000000000000001E-3</v>
      </c>
      <c r="AI30" s="276">
        <v>5.0000000000000001E-3</v>
      </c>
      <c r="AJ30" s="276">
        <v>5.0000000000000001E-3</v>
      </c>
      <c r="AK30" s="276">
        <v>5.0000000000000001E-3</v>
      </c>
      <c r="AL30" s="276">
        <v>5.0000000000000001E-3</v>
      </c>
      <c r="AM30" s="276">
        <v>5.0000000000000001E-3</v>
      </c>
      <c r="AN30" s="276">
        <v>5.0000000000000001E-3</v>
      </c>
      <c r="AO30" s="276">
        <v>5.0000000000000001E-3</v>
      </c>
      <c r="AP30" s="276">
        <v>5.0000000000000001E-3</v>
      </c>
      <c r="AQ30" s="276">
        <v>5.0000000000000001E-3</v>
      </c>
      <c r="AR30" s="276">
        <v>5.0000000000000001E-3</v>
      </c>
      <c r="AS30" s="276">
        <v>5.0000000000000001E-3</v>
      </c>
      <c r="AT30" s="276">
        <v>5.0000000000000001E-3</v>
      </c>
      <c r="AU30" s="276">
        <v>5.0000000000000001E-3</v>
      </c>
      <c r="AV30" s="276">
        <v>5.0000000000000001E-3</v>
      </c>
      <c r="AW30" s="276">
        <v>5.0000000000000001E-3</v>
      </c>
      <c r="AX30" s="276">
        <v>5.0000000000000001E-3</v>
      </c>
      <c r="AY30" s="276">
        <v>5.0000000000000001E-3</v>
      </c>
      <c r="AZ30" s="276">
        <v>5.0000000000000001E-3</v>
      </c>
      <c r="BA30" s="276">
        <v>5.0000000000000001E-3</v>
      </c>
      <c r="BB30" s="276">
        <v>5.0000000000000001E-3</v>
      </c>
      <c r="BC30" s="276">
        <v>5.0000000000000001E-3</v>
      </c>
      <c r="BD30" s="276">
        <v>5.0000000000000001E-3</v>
      </c>
      <c r="BE30" s="276">
        <v>5.0000000000000001E-3</v>
      </c>
      <c r="BF30" s="276">
        <v>5.0000000000000001E-3</v>
      </c>
      <c r="BG30" s="276">
        <v>5.0000000000000001E-3</v>
      </c>
      <c r="BH30" s="276">
        <v>5.0000000000000001E-3</v>
      </c>
      <c r="BI30" s="276">
        <v>5.0000000000000001E-3</v>
      </c>
      <c r="BJ30" s="276">
        <v>5.0000000000000001E-3</v>
      </c>
      <c r="BK30" s="276">
        <v>5.0000000000000001E-3</v>
      </c>
    </row>
    <row r="31" spans="1:63" ht="14.25" customHeight="1" x14ac:dyDescent="0.35">
      <c r="A31" s="277" t="s">
        <v>109</v>
      </c>
      <c r="B31" s="276">
        <v>5.0000000000000001E-3</v>
      </c>
      <c r="C31" s="276">
        <v>5.0000000000000001E-3</v>
      </c>
      <c r="D31" s="276">
        <v>5.0000000000000001E-3</v>
      </c>
      <c r="E31" s="276">
        <v>5.0000000000000001E-3</v>
      </c>
      <c r="F31" s="276">
        <v>5.0000000000000001E-3</v>
      </c>
      <c r="G31" s="276">
        <v>5.0000000000000001E-3</v>
      </c>
      <c r="H31" s="276">
        <v>5.0000000000000001E-3</v>
      </c>
      <c r="I31" s="276">
        <v>5.0000000000000001E-3</v>
      </c>
      <c r="J31" s="276">
        <v>5.0000000000000001E-3</v>
      </c>
      <c r="K31" s="276">
        <v>5.0000000000000001E-3</v>
      </c>
      <c r="L31" s="276">
        <v>5.0000000000000001E-3</v>
      </c>
      <c r="M31" s="276">
        <v>5.0000000000000001E-3</v>
      </c>
      <c r="N31" s="276">
        <v>5.0000000000000001E-3</v>
      </c>
      <c r="O31" s="276">
        <v>5.0000000000000001E-3</v>
      </c>
      <c r="P31" s="276">
        <v>5.0000000000000001E-3</v>
      </c>
      <c r="Q31" s="276">
        <v>5.0000000000000001E-3</v>
      </c>
      <c r="R31" s="276">
        <v>5.0000000000000001E-3</v>
      </c>
      <c r="S31" s="276">
        <v>5.0000000000000001E-3</v>
      </c>
      <c r="T31" s="276">
        <v>5.0000000000000001E-3</v>
      </c>
      <c r="U31" s="276">
        <v>5.0000000000000001E-3</v>
      </c>
      <c r="V31" s="276">
        <v>5.0000000000000001E-3</v>
      </c>
      <c r="W31" s="276">
        <v>5.0000000000000001E-3</v>
      </c>
      <c r="X31" s="276">
        <v>5.0000000000000001E-3</v>
      </c>
      <c r="Y31" s="276">
        <v>5.0000000000000001E-3</v>
      </c>
      <c r="Z31" s="276">
        <v>5.0000000000000001E-3</v>
      </c>
      <c r="AA31" s="276">
        <v>5.0000000000000001E-3</v>
      </c>
      <c r="AB31" s="276">
        <v>5.0000000000000001E-3</v>
      </c>
      <c r="AC31" s="276">
        <v>5.0000000000000001E-3</v>
      </c>
      <c r="AD31" s="276">
        <v>5.0000000000000001E-3</v>
      </c>
      <c r="AE31" s="276">
        <v>5.0000000000000001E-3</v>
      </c>
      <c r="AF31" s="276">
        <v>5.0000000000000001E-3</v>
      </c>
      <c r="AG31" s="276">
        <v>5.0000000000000001E-3</v>
      </c>
      <c r="AH31" s="276">
        <v>5.0000000000000001E-3</v>
      </c>
      <c r="AI31" s="276">
        <v>5.0000000000000001E-3</v>
      </c>
      <c r="AJ31" s="276">
        <v>5.0000000000000001E-3</v>
      </c>
      <c r="AK31" s="276">
        <v>5.0000000000000001E-3</v>
      </c>
      <c r="AL31" s="276">
        <v>5.0000000000000001E-3</v>
      </c>
      <c r="AM31" s="276">
        <v>5.0000000000000001E-3</v>
      </c>
      <c r="AN31" s="276">
        <v>5.0000000000000001E-3</v>
      </c>
      <c r="AO31" s="276">
        <v>5.0000000000000001E-3</v>
      </c>
      <c r="AP31" s="276">
        <v>5.0000000000000001E-3</v>
      </c>
      <c r="AQ31" s="276">
        <v>5.0000000000000001E-3</v>
      </c>
      <c r="AR31" s="276">
        <v>5.0000000000000001E-3</v>
      </c>
      <c r="AS31" s="276">
        <v>5.0000000000000001E-3</v>
      </c>
      <c r="AT31" s="276">
        <v>5.0000000000000001E-3</v>
      </c>
      <c r="AU31" s="276">
        <v>5.0000000000000001E-3</v>
      </c>
      <c r="AV31" s="276">
        <v>5.0000000000000001E-3</v>
      </c>
      <c r="AW31" s="276">
        <v>5.0000000000000001E-3</v>
      </c>
      <c r="AX31" s="276">
        <v>5.0000000000000001E-3</v>
      </c>
      <c r="AY31" s="276">
        <v>5.0000000000000001E-3</v>
      </c>
      <c r="AZ31" s="276">
        <v>5.0000000000000001E-3</v>
      </c>
      <c r="BA31" s="276">
        <v>5.0000000000000001E-3</v>
      </c>
      <c r="BB31" s="276">
        <v>5.0000000000000001E-3</v>
      </c>
      <c r="BC31" s="276">
        <v>5.0000000000000001E-3</v>
      </c>
      <c r="BD31" s="276">
        <v>5.0000000000000001E-3</v>
      </c>
      <c r="BE31" s="276">
        <v>5.0000000000000001E-3</v>
      </c>
      <c r="BF31" s="276">
        <v>5.0000000000000001E-3</v>
      </c>
      <c r="BG31" s="276">
        <v>5.0000000000000001E-3</v>
      </c>
      <c r="BH31" s="276">
        <v>5.0000000000000001E-3</v>
      </c>
      <c r="BI31" s="276">
        <v>5.0000000000000001E-3</v>
      </c>
      <c r="BJ31" s="276">
        <v>5.0000000000000001E-3</v>
      </c>
      <c r="BK31" s="276">
        <v>5.0000000000000001E-3</v>
      </c>
    </row>
    <row r="32" spans="1:63" ht="14.25" customHeight="1" x14ac:dyDescent="0.35">
      <c r="A32" s="277" t="s">
        <v>229</v>
      </c>
      <c r="B32" s="276">
        <v>5.0000000000000001E-3</v>
      </c>
      <c r="C32" s="276">
        <v>5.0000000000000001E-3</v>
      </c>
      <c r="D32" s="276">
        <v>5.0000000000000001E-3</v>
      </c>
      <c r="E32" s="276">
        <v>5.0000000000000001E-3</v>
      </c>
      <c r="F32" s="276">
        <v>5.0000000000000001E-3</v>
      </c>
      <c r="G32" s="276">
        <v>5.0000000000000001E-3</v>
      </c>
      <c r="H32" s="276">
        <v>5.0000000000000001E-3</v>
      </c>
      <c r="I32" s="276">
        <v>5.0000000000000001E-3</v>
      </c>
      <c r="J32" s="276">
        <v>5.0000000000000001E-3</v>
      </c>
      <c r="K32" s="276">
        <v>5.0000000000000001E-3</v>
      </c>
      <c r="L32" s="276">
        <v>5.0000000000000001E-3</v>
      </c>
      <c r="M32" s="276">
        <v>5.0000000000000001E-3</v>
      </c>
      <c r="N32" s="276">
        <v>5.0000000000000001E-3</v>
      </c>
      <c r="O32" s="276">
        <v>5.0000000000000001E-3</v>
      </c>
      <c r="P32" s="276">
        <v>5.0000000000000001E-3</v>
      </c>
      <c r="Q32" s="276">
        <v>5.0000000000000001E-3</v>
      </c>
      <c r="R32" s="276">
        <v>5.0000000000000001E-3</v>
      </c>
      <c r="S32" s="276">
        <v>5.0000000000000001E-3</v>
      </c>
      <c r="T32" s="276">
        <v>5.0000000000000001E-3</v>
      </c>
      <c r="U32" s="276">
        <v>5.0000000000000001E-3</v>
      </c>
      <c r="V32" s="276">
        <v>5.0000000000000001E-3</v>
      </c>
      <c r="W32" s="276">
        <v>5.0000000000000001E-3</v>
      </c>
      <c r="X32" s="276">
        <v>5.0000000000000001E-3</v>
      </c>
      <c r="Y32" s="276">
        <v>5.0000000000000001E-3</v>
      </c>
      <c r="Z32" s="276">
        <v>5.0000000000000001E-3</v>
      </c>
      <c r="AA32" s="276">
        <v>5.0000000000000001E-3</v>
      </c>
      <c r="AB32" s="276">
        <v>5.0000000000000001E-3</v>
      </c>
      <c r="AC32" s="276">
        <v>5.0000000000000001E-3</v>
      </c>
      <c r="AD32" s="276">
        <v>5.0000000000000001E-3</v>
      </c>
      <c r="AE32" s="276">
        <v>5.0000000000000001E-3</v>
      </c>
      <c r="AF32" s="276">
        <v>5.0000000000000001E-3</v>
      </c>
      <c r="AG32" s="276">
        <v>5.0000000000000001E-3</v>
      </c>
      <c r="AH32" s="276">
        <v>5.0000000000000001E-3</v>
      </c>
      <c r="AI32" s="276">
        <v>5.0000000000000001E-3</v>
      </c>
      <c r="AJ32" s="276">
        <v>5.0000000000000001E-3</v>
      </c>
      <c r="AK32" s="276">
        <v>5.0000000000000001E-3</v>
      </c>
      <c r="AL32" s="276">
        <v>5.0000000000000001E-3</v>
      </c>
      <c r="AM32" s="276">
        <v>5.0000000000000001E-3</v>
      </c>
      <c r="AN32" s="276">
        <v>5.0000000000000001E-3</v>
      </c>
      <c r="AO32" s="276">
        <v>5.0000000000000001E-3</v>
      </c>
      <c r="AP32" s="276">
        <v>5.0000000000000001E-3</v>
      </c>
      <c r="AQ32" s="276">
        <v>5.0000000000000001E-3</v>
      </c>
      <c r="AR32" s="276">
        <v>5.0000000000000001E-3</v>
      </c>
      <c r="AS32" s="276">
        <v>5.0000000000000001E-3</v>
      </c>
      <c r="AT32" s="276">
        <v>5.0000000000000001E-3</v>
      </c>
      <c r="AU32" s="276">
        <v>5.0000000000000001E-3</v>
      </c>
      <c r="AV32" s="276">
        <v>5.0000000000000001E-3</v>
      </c>
      <c r="AW32" s="276">
        <v>5.0000000000000001E-3</v>
      </c>
      <c r="AX32" s="276">
        <v>5.0000000000000001E-3</v>
      </c>
      <c r="AY32" s="276">
        <v>5.0000000000000001E-3</v>
      </c>
      <c r="AZ32" s="276">
        <v>5.0000000000000001E-3</v>
      </c>
      <c r="BA32" s="276">
        <v>5.0000000000000001E-3</v>
      </c>
      <c r="BB32" s="276">
        <v>5.0000000000000001E-3</v>
      </c>
      <c r="BC32" s="276">
        <v>5.0000000000000001E-3</v>
      </c>
      <c r="BD32" s="276">
        <v>5.0000000000000001E-3</v>
      </c>
      <c r="BE32" s="276">
        <v>5.0000000000000001E-3</v>
      </c>
      <c r="BF32" s="276">
        <v>5.0000000000000001E-3</v>
      </c>
      <c r="BG32" s="276">
        <v>5.0000000000000001E-3</v>
      </c>
      <c r="BH32" s="276">
        <v>5.0000000000000001E-3</v>
      </c>
      <c r="BI32" s="276">
        <v>5.0000000000000001E-3</v>
      </c>
      <c r="BJ32" s="276">
        <v>5.0000000000000001E-3</v>
      </c>
      <c r="BK32" s="276">
        <v>5.0000000000000001E-3</v>
      </c>
    </row>
    <row r="33" spans="1:63" ht="14.25" customHeight="1" x14ac:dyDescent="0.35">
      <c r="A33" s="277" t="s">
        <v>111</v>
      </c>
      <c r="B33" s="276">
        <v>5.0000000000000001E-3</v>
      </c>
      <c r="C33" s="276">
        <v>5.0000000000000001E-3</v>
      </c>
      <c r="D33" s="276">
        <v>5.0000000000000001E-3</v>
      </c>
      <c r="E33" s="276">
        <v>5.0000000000000001E-3</v>
      </c>
      <c r="F33" s="276">
        <v>5.0000000000000001E-3</v>
      </c>
      <c r="G33" s="276">
        <v>5.0000000000000001E-3</v>
      </c>
      <c r="H33" s="276">
        <v>5.0000000000000001E-3</v>
      </c>
      <c r="I33" s="276">
        <v>5.0000000000000001E-3</v>
      </c>
      <c r="J33" s="276">
        <v>5.0000000000000001E-3</v>
      </c>
      <c r="K33" s="276">
        <v>5.0000000000000001E-3</v>
      </c>
      <c r="L33" s="276">
        <v>5.0000000000000001E-3</v>
      </c>
      <c r="M33" s="276">
        <v>5.0000000000000001E-3</v>
      </c>
      <c r="N33" s="276">
        <v>5.0000000000000001E-3</v>
      </c>
      <c r="O33" s="276">
        <v>5.0000000000000001E-3</v>
      </c>
      <c r="P33" s="276">
        <v>5.0000000000000001E-3</v>
      </c>
      <c r="Q33" s="276">
        <v>5.0000000000000001E-3</v>
      </c>
      <c r="R33" s="276">
        <v>5.0000000000000001E-3</v>
      </c>
      <c r="S33" s="276">
        <v>5.0000000000000001E-3</v>
      </c>
      <c r="T33" s="276">
        <v>5.0000000000000001E-3</v>
      </c>
      <c r="U33" s="276">
        <v>5.0000000000000001E-3</v>
      </c>
      <c r="V33" s="276">
        <v>5.0000000000000001E-3</v>
      </c>
      <c r="W33" s="276">
        <v>5.0000000000000001E-3</v>
      </c>
      <c r="X33" s="276">
        <v>5.0000000000000001E-3</v>
      </c>
      <c r="Y33" s="276">
        <v>5.0000000000000001E-3</v>
      </c>
      <c r="Z33" s="276">
        <v>5.0000000000000001E-3</v>
      </c>
      <c r="AA33" s="276">
        <v>5.0000000000000001E-3</v>
      </c>
      <c r="AB33" s="276">
        <v>5.0000000000000001E-3</v>
      </c>
      <c r="AC33" s="276">
        <v>5.0000000000000001E-3</v>
      </c>
      <c r="AD33" s="276">
        <v>5.0000000000000001E-3</v>
      </c>
      <c r="AE33" s="276">
        <v>5.0000000000000001E-3</v>
      </c>
      <c r="AF33" s="276">
        <v>5.0000000000000001E-3</v>
      </c>
      <c r="AG33" s="276">
        <v>5.0000000000000001E-3</v>
      </c>
      <c r="AH33" s="276">
        <v>5.0000000000000001E-3</v>
      </c>
      <c r="AI33" s="276">
        <v>5.0000000000000001E-3</v>
      </c>
      <c r="AJ33" s="276">
        <v>5.0000000000000001E-3</v>
      </c>
      <c r="AK33" s="276">
        <v>5.0000000000000001E-3</v>
      </c>
      <c r="AL33" s="276">
        <v>5.0000000000000001E-3</v>
      </c>
      <c r="AM33" s="276">
        <v>5.0000000000000001E-3</v>
      </c>
      <c r="AN33" s="276">
        <v>5.0000000000000001E-3</v>
      </c>
      <c r="AO33" s="276">
        <v>5.0000000000000001E-3</v>
      </c>
      <c r="AP33" s="276">
        <v>5.0000000000000001E-3</v>
      </c>
      <c r="AQ33" s="276">
        <v>5.0000000000000001E-3</v>
      </c>
      <c r="AR33" s="276">
        <v>5.0000000000000001E-3</v>
      </c>
      <c r="AS33" s="276">
        <v>5.0000000000000001E-3</v>
      </c>
      <c r="AT33" s="276">
        <v>5.0000000000000001E-3</v>
      </c>
      <c r="AU33" s="276">
        <v>5.0000000000000001E-3</v>
      </c>
      <c r="AV33" s="276">
        <v>5.0000000000000001E-3</v>
      </c>
      <c r="AW33" s="276">
        <v>5.0000000000000001E-3</v>
      </c>
      <c r="AX33" s="276">
        <v>5.0000000000000001E-3</v>
      </c>
      <c r="AY33" s="276">
        <v>5.0000000000000001E-3</v>
      </c>
      <c r="AZ33" s="276">
        <v>5.0000000000000001E-3</v>
      </c>
      <c r="BA33" s="276">
        <v>5.0000000000000001E-3</v>
      </c>
      <c r="BB33" s="276">
        <v>5.0000000000000001E-3</v>
      </c>
      <c r="BC33" s="276">
        <v>5.0000000000000001E-3</v>
      </c>
      <c r="BD33" s="276">
        <v>5.0000000000000001E-3</v>
      </c>
      <c r="BE33" s="276">
        <v>5.0000000000000001E-3</v>
      </c>
      <c r="BF33" s="276">
        <v>5.0000000000000001E-3</v>
      </c>
      <c r="BG33" s="276">
        <v>5.0000000000000001E-3</v>
      </c>
      <c r="BH33" s="276">
        <v>5.0000000000000001E-3</v>
      </c>
      <c r="BI33" s="276">
        <v>5.0000000000000001E-3</v>
      </c>
      <c r="BJ33" s="276">
        <v>5.0000000000000001E-3</v>
      </c>
      <c r="BK33" s="276">
        <v>5.0000000000000001E-3</v>
      </c>
    </row>
    <row r="34" spans="1:63" ht="14.25" customHeight="1" x14ac:dyDescent="0.35">
      <c r="A34" s="277" t="s">
        <v>112</v>
      </c>
      <c r="B34" s="276">
        <v>5.0000000000000001E-3</v>
      </c>
      <c r="C34" s="276">
        <v>5.0000000000000001E-3</v>
      </c>
      <c r="D34" s="276">
        <v>5.0000000000000001E-3</v>
      </c>
      <c r="E34" s="276">
        <v>5.0000000000000001E-3</v>
      </c>
      <c r="F34" s="276">
        <v>5.0000000000000001E-3</v>
      </c>
      <c r="G34" s="276">
        <v>5.0000000000000001E-3</v>
      </c>
      <c r="H34" s="276">
        <v>5.0000000000000001E-3</v>
      </c>
      <c r="I34" s="276">
        <v>5.0000000000000001E-3</v>
      </c>
      <c r="J34" s="276">
        <v>5.0000000000000001E-3</v>
      </c>
      <c r="K34" s="276">
        <v>5.0000000000000001E-3</v>
      </c>
      <c r="L34" s="276">
        <v>5.0000000000000001E-3</v>
      </c>
      <c r="M34" s="276">
        <v>5.0000000000000001E-3</v>
      </c>
      <c r="N34" s="276">
        <v>5.0000000000000001E-3</v>
      </c>
      <c r="O34" s="276">
        <v>5.0000000000000001E-3</v>
      </c>
      <c r="P34" s="276">
        <v>5.0000000000000001E-3</v>
      </c>
      <c r="Q34" s="276">
        <v>5.0000000000000001E-3</v>
      </c>
      <c r="R34" s="276">
        <v>5.0000000000000001E-3</v>
      </c>
      <c r="S34" s="276">
        <v>5.0000000000000001E-3</v>
      </c>
      <c r="T34" s="276">
        <v>5.0000000000000001E-3</v>
      </c>
      <c r="U34" s="276">
        <v>5.0000000000000001E-3</v>
      </c>
      <c r="V34" s="276">
        <v>5.0000000000000001E-3</v>
      </c>
      <c r="W34" s="276">
        <v>5.0000000000000001E-3</v>
      </c>
      <c r="X34" s="276">
        <v>5.0000000000000001E-3</v>
      </c>
      <c r="Y34" s="276">
        <v>5.0000000000000001E-3</v>
      </c>
      <c r="Z34" s="276">
        <v>5.0000000000000001E-3</v>
      </c>
      <c r="AA34" s="276">
        <v>5.0000000000000001E-3</v>
      </c>
      <c r="AB34" s="276">
        <v>5.0000000000000001E-3</v>
      </c>
      <c r="AC34" s="276">
        <v>5.0000000000000001E-3</v>
      </c>
      <c r="AD34" s="276">
        <v>5.0000000000000001E-3</v>
      </c>
      <c r="AE34" s="276">
        <v>5.0000000000000001E-3</v>
      </c>
      <c r="AF34" s="276">
        <v>5.0000000000000001E-3</v>
      </c>
      <c r="AG34" s="276">
        <v>5.0000000000000001E-3</v>
      </c>
      <c r="AH34" s="276">
        <v>5.0000000000000001E-3</v>
      </c>
      <c r="AI34" s="276">
        <v>5.0000000000000001E-3</v>
      </c>
      <c r="AJ34" s="276">
        <v>5.0000000000000001E-3</v>
      </c>
      <c r="AK34" s="276">
        <v>5.0000000000000001E-3</v>
      </c>
      <c r="AL34" s="276">
        <v>5.0000000000000001E-3</v>
      </c>
      <c r="AM34" s="276">
        <v>5.0000000000000001E-3</v>
      </c>
      <c r="AN34" s="276">
        <v>5.0000000000000001E-3</v>
      </c>
      <c r="AO34" s="276">
        <v>5.0000000000000001E-3</v>
      </c>
      <c r="AP34" s="276">
        <v>5.0000000000000001E-3</v>
      </c>
      <c r="AQ34" s="276">
        <v>5.0000000000000001E-3</v>
      </c>
      <c r="AR34" s="276">
        <v>5.0000000000000001E-3</v>
      </c>
      <c r="AS34" s="276">
        <v>5.0000000000000001E-3</v>
      </c>
      <c r="AT34" s="276">
        <v>5.0000000000000001E-3</v>
      </c>
      <c r="AU34" s="276">
        <v>5.0000000000000001E-3</v>
      </c>
      <c r="AV34" s="276">
        <v>5.0000000000000001E-3</v>
      </c>
      <c r="AW34" s="276">
        <v>5.0000000000000001E-3</v>
      </c>
      <c r="AX34" s="276">
        <v>5.0000000000000001E-3</v>
      </c>
      <c r="AY34" s="276">
        <v>5.0000000000000001E-3</v>
      </c>
      <c r="AZ34" s="276">
        <v>5.0000000000000001E-3</v>
      </c>
      <c r="BA34" s="276">
        <v>5.0000000000000001E-3</v>
      </c>
      <c r="BB34" s="276">
        <v>5.0000000000000001E-3</v>
      </c>
      <c r="BC34" s="276">
        <v>5.0000000000000001E-3</v>
      </c>
      <c r="BD34" s="276">
        <v>5.0000000000000001E-3</v>
      </c>
      <c r="BE34" s="276">
        <v>5.0000000000000001E-3</v>
      </c>
      <c r="BF34" s="276">
        <v>5.0000000000000001E-3</v>
      </c>
      <c r="BG34" s="276">
        <v>5.0000000000000001E-3</v>
      </c>
      <c r="BH34" s="276">
        <v>5.0000000000000001E-3</v>
      </c>
      <c r="BI34" s="276">
        <v>5.0000000000000001E-3</v>
      </c>
      <c r="BJ34" s="276">
        <v>5.0000000000000001E-3</v>
      </c>
      <c r="BK34" s="276">
        <v>5.0000000000000001E-3</v>
      </c>
    </row>
    <row r="35" spans="1:63" ht="14.25" customHeight="1" x14ac:dyDescent="0.35">
      <c r="A35" s="277" t="s">
        <v>113</v>
      </c>
      <c r="B35" s="276">
        <v>5.0000000000000001E-3</v>
      </c>
      <c r="C35" s="276">
        <v>5.0000000000000001E-3</v>
      </c>
      <c r="D35" s="276">
        <v>5.0000000000000001E-3</v>
      </c>
      <c r="E35" s="276">
        <v>5.0000000000000001E-3</v>
      </c>
      <c r="F35" s="276">
        <v>5.0000000000000001E-3</v>
      </c>
      <c r="G35" s="276">
        <v>5.0000000000000001E-3</v>
      </c>
      <c r="H35" s="276">
        <v>5.0000000000000001E-3</v>
      </c>
      <c r="I35" s="276">
        <v>5.0000000000000001E-3</v>
      </c>
      <c r="J35" s="276">
        <v>5.0000000000000001E-3</v>
      </c>
      <c r="K35" s="276">
        <v>5.0000000000000001E-3</v>
      </c>
      <c r="L35" s="276">
        <v>5.0000000000000001E-3</v>
      </c>
      <c r="M35" s="276">
        <v>5.0000000000000001E-3</v>
      </c>
      <c r="N35" s="276">
        <v>5.0000000000000001E-3</v>
      </c>
      <c r="O35" s="276">
        <v>5.0000000000000001E-3</v>
      </c>
      <c r="P35" s="276">
        <v>5.0000000000000001E-3</v>
      </c>
      <c r="Q35" s="276">
        <v>5.0000000000000001E-3</v>
      </c>
      <c r="R35" s="276">
        <v>5.0000000000000001E-3</v>
      </c>
      <c r="S35" s="276">
        <v>5.0000000000000001E-3</v>
      </c>
      <c r="T35" s="276">
        <v>5.0000000000000001E-3</v>
      </c>
      <c r="U35" s="276">
        <v>5.0000000000000001E-3</v>
      </c>
      <c r="V35" s="276">
        <v>5.0000000000000001E-3</v>
      </c>
      <c r="W35" s="276">
        <v>5.0000000000000001E-3</v>
      </c>
      <c r="X35" s="276">
        <v>5.0000000000000001E-3</v>
      </c>
      <c r="Y35" s="276">
        <v>5.0000000000000001E-3</v>
      </c>
      <c r="Z35" s="276">
        <v>5.0000000000000001E-3</v>
      </c>
      <c r="AA35" s="276">
        <v>5.0000000000000001E-3</v>
      </c>
      <c r="AB35" s="276">
        <v>5.0000000000000001E-3</v>
      </c>
      <c r="AC35" s="276">
        <v>5.0000000000000001E-3</v>
      </c>
      <c r="AD35" s="276">
        <v>5.0000000000000001E-3</v>
      </c>
      <c r="AE35" s="276">
        <v>5.0000000000000001E-3</v>
      </c>
      <c r="AF35" s="276">
        <v>5.0000000000000001E-3</v>
      </c>
      <c r="AG35" s="276">
        <v>5.0000000000000001E-3</v>
      </c>
      <c r="AH35" s="276">
        <v>5.0000000000000001E-3</v>
      </c>
      <c r="AI35" s="276">
        <v>5.0000000000000001E-3</v>
      </c>
      <c r="AJ35" s="276">
        <v>5.0000000000000001E-3</v>
      </c>
      <c r="AK35" s="276">
        <v>5.0000000000000001E-3</v>
      </c>
      <c r="AL35" s="276">
        <v>5.0000000000000001E-3</v>
      </c>
      <c r="AM35" s="276">
        <v>5.0000000000000001E-3</v>
      </c>
      <c r="AN35" s="276">
        <v>5.0000000000000001E-3</v>
      </c>
      <c r="AO35" s="276">
        <v>5.0000000000000001E-3</v>
      </c>
      <c r="AP35" s="276">
        <v>5.0000000000000001E-3</v>
      </c>
      <c r="AQ35" s="276">
        <v>5.0000000000000001E-3</v>
      </c>
      <c r="AR35" s="276">
        <v>5.0000000000000001E-3</v>
      </c>
      <c r="AS35" s="276">
        <v>5.0000000000000001E-3</v>
      </c>
      <c r="AT35" s="276">
        <v>5.0000000000000001E-3</v>
      </c>
      <c r="AU35" s="276">
        <v>5.0000000000000001E-3</v>
      </c>
      <c r="AV35" s="276">
        <v>5.0000000000000001E-3</v>
      </c>
      <c r="AW35" s="276">
        <v>5.0000000000000001E-3</v>
      </c>
      <c r="AX35" s="276">
        <v>5.0000000000000001E-3</v>
      </c>
      <c r="AY35" s="276">
        <v>5.0000000000000001E-3</v>
      </c>
      <c r="AZ35" s="276">
        <v>5.0000000000000001E-3</v>
      </c>
      <c r="BA35" s="276">
        <v>5.0000000000000001E-3</v>
      </c>
      <c r="BB35" s="276">
        <v>5.0000000000000001E-3</v>
      </c>
      <c r="BC35" s="276">
        <v>5.0000000000000001E-3</v>
      </c>
      <c r="BD35" s="276">
        <v>5.0000000000000001E-3</v>
      </c>
      <c r="BE35" s="276">
        <v>5.0000000000000001E-3</v>
      </c>
      <c r="BF35" s="276">
        <v>5.0000000000000001E-3</v>
      </c>
      <c r="BG35" s="276">
        <v>5.0000000000000001E-3</v>
      </c>
      <c r="BH35" s="276">
        <v>5.0000000000000001E-3</v>
      </c>
      <c r="BI35" s="276">
        <v>5.0000000000000001E-3</v>
      </c>
      <c r="BJ35" s="276">
        <v>5.0000000000000001E-3</v>
      </c>
      <c r="BK35" s="276">
        <v>5.0000000000000001E-3</v>
      </c>
    </row>
    <row r="36" spans="1:63" ht="14.25" customHeight="1" x14ac:dyDescent="0.35">
      <c r="A36" s="277" t="s">
        <v>114</v>
      </c>
      <c r="B36" s="276">
        <v>5.0000000000000001E-3</v>
      </c>
      <c r="C36" s="276">
        <v>5.0000000000000001E-3</v>
      </c>
      <c r="D36" s="276">
        <v>5.0000000000000001E-3</v>
      </c>
      <c r="E36" s="276">
        <v>5.0000000000000001E-3</v>
      </c>
      <c r="F36" s="276">
        <v>5.0000000000000001E-3</v>
      </c>
      <c r="G36" s="276">
        <v>5.0000000000000001E-3</v>
      </c>
      <c r="H36" s="276">
        <v>5.0000000000000001E-3</v>
      </c>
      <c r="I36" s="276">
        <v>5.0000000000000001E-3</v>
      </c>
      <c r="J36" s="276">
        <v>5.0000000000000001E-3</v>
      </c>
      <c r="K36" s="276">
        <v>5.0000000000000001E-3</v>
      </c>
      <c r="L36" s="276">
        <v>5.0000000000000001E-3</v>
      </c>
      <c r="M36" s="276">
        <v>5.0000000000000001E-3</v>
      </c>
      <c r="N36" s="276">
        <v>5.0000000000000001E-3</v>
      </c>
      <c r="O36" s="276">
        <v>5.0000000000000001E-3</v>
      </c>
      <c r="P36" s="276">
        <v>5.0000000000000001E-3</v>
      </c>
      <c r="Q36" s="276">
        <v>5.0000000000000001E-3</v>
      </c>
      <c r="R36" s="276">
        <v>5.0000000000000001E-3</v>
      </c>
      <c r="S36" s="276">
        <v>5.0000000000000001E-3</v>
      </c>
      <c r="T36" s="276">
        <v>5.0000000000000001E-3</v>
      </c>
      <c r="U36" s="276">
        <v>5.0000000000000001E-3</v>
      </c>
      <c r="V36" s="276">
        <v>5.0000000000000001E-3</v>
      </c>
      <c r="W36" s="276">
        <v>5.0000000000000001E-3</v>
      </c>
      <c r="X36" s="276">
        <v>5.0000000000000001E-3</v>
      </c>
      <c r="Y36" s="276">
        <v>5.0000000000000001E-3</v>
      </c>
      <c r="Z36" s="276">
        <v>5.0000000000000001E-3</v>
      </c>
      <c r="AA36" s="276">
        <v>5.0000000000000001E-3</v>
      </c>
      <c r="AB36" s="276">
        <v>5.0000000000000001E-3</v>
      </c>
      <c r="AC36" s="276">
        <v>5.0000000000000001E-3</v>
      </c>
      <c r="AD36" s="276">
        <v>5.0000000000000001E-3</v>
      </c>
      <c r="AE36" s="276">
        <v>5.0000000000000001E-3</v>
      </c>
      <c r="AF36" s="276">
        <v>5.0000000000000001E-3</v>
      </c>
      <c r="AG36" s="276">
        <v>5.0000000000000001E-3</v>
      </c>
      <c r="AH36" s="276">
        <v>5.0000000000000001E-3</v>
      </c>
      <c r="AI36" s="276">
        <v>5.0000000000000001E-3</v>
      </c>
      <c r="AJ36" s="276">
        <v>5.0000000000000001E-3</v>
      </c>
      <c r="AK36" s="276">
        <v>5.0000000000000001E-3</v>
      </c>
      <c r="AL36" s="276">
        <v>5.0000000000000001E-3</v>
      </c>
      <c r="AM36" s="276">
        <v>5.0000000000000001E-3</v>
      </c>
      <c r="AN36" s="276">
        <v>5.0000000000000001E-3</v>
      </c>
      <c r="AO36" s="276">
        <v>5.0000000000000001E-3</v>
      </c>
      <c r="AP36" s="276">
        <v>5.0000000000000001E-3</v>
      </c>
      <c r="AQ36" s="276">
        <v>5.0000000000000001E-3</v>
      </c>
      <c r="AR36" s="276">
        <v>5.0000000000000001E-3</v>
      </c>
      <c r="AS36" s="276">
        <v>5.0000000000000001E-3</v>
      </c>
      <c r="AT36" s="276">
        <v>5.0000000000000001E-3</v>
      </c>
      <c r="AU36" s="276">
        <v>5.0000000000000001E-3</v>
      </c>
      <c r="AV36" s="276">
        <v>5.0000000000000001E-3</v>
      </c>
      <c r="AW36" s="276">
        <v>5.0000000000000001E-3</v>
      </c>
      <c r="AX36" s="276">
        <v>5.0000000000000001E-3</v>
      </c>
      <c r="AY36" s="276">
        <v>5.0000000000000001E-3</v>
      </c>
      <c r="AZ36" s="276">
        <v>5.0000000000000001E-3</v>
      </c>
      <c r="BA36" s="276">
        <v>5.0000000000000001E-3</v>
      </c>
      <c r="BB36" s="276">
        <v>5.0000000000000001E-3</v>
      </c>
      <c r="BC36" s="276">
        <v>5.0000000000000001E-3</v>
      </c>
      <c r="BD36" s="276">
        <v>5.0000000000000001E-3</v>
      </c>
      <c r="BE36" s="276">
        <v>5.0000000000000001E-3</v>
      </c>
      <c r="BF36" s="276">
        <v>5.0000000000000001E-3</v>
      </c>
      <c r="BG36" s="276">
        <v>5.0000000000000001E-3</v>
      </c>
      <c r="BH36" s="276">
        <v>5.0000000000000001E-3</v>
      </c>
      <c r="BI36" s="276">
        <v>5.0000000000000001E-3</v>
      </c>
      <c r="BJ36" s="276">
        <v>5.0000000000000001E-3</v>
      </c>
      <c r="BK36" s="276">
        <v>5.0000000000000001E-3</v>
      </c>
    </row>
    <row r="37" spans="1:63" ht="14.25" customHeight="1" x14ac:dyDescent="0.35">
      <c r="A37" s="277" t="s">
        <v>115</v>
      </c>
      <c r="B37" s="276">
        <v>5.0000000000000001E-3</v>
      </c>
      <c r="C37" s="276">
        <v>5.0000000000000001E-3</v>
      </c>
      <c r="D37" s="276">
        <v>5.0000000000000001E-3</v>
      </c>
      <c r="E37" s="276">
        <v>5.0000000000000001E-3</v>
      </c>
      <c r="F37" s="276">
        <v>5.0000000000000001E-3</v>
      </c>
      <c r="G37" s="276">
        <v>5.0000000000000001E-3</v>
      </c>
      <c r="H37" s="276">
        <v>5.0000000000000001E-3</v>
      </c>
      <c r="I37" s="276">
        <v>5.0000000000000001E-3</v>
      </c>
      <c r="J37" s="276">
        <v>5.0000000000000001E-3</v>
      </c>
      <c r="K37" s="276">
        <v>5.0000000000000001E-3</v>
      </c>
      <c r="L37" s="276">
        <v>5.0000000000000001E-3</v>
      </c>
      <c r="M37" s="276">
        <v>5.0000000000000001E-3</v>
      </c>
      <c r="N37" s="276">
        <v>5.0000000000000001E-3</v>
      </c>
      <c r="O37" s="276">
        <v>5.0000000000000001E-3</v>
      </c>
      <c r="P37" s="276">
        <v>5.0000000000000001E-3</v>
      </c>
      <c r="Q37" s="276">
        <v>5.0000000000000001E-3</v>
      </c>
      <c r="R37" s="276">
        <v>5.0000000000000001E-3</v>
      </c>
      <c r="S37" s="276">
        <v>5.0000000000000001E-3</v>
      </c>
      <c r="T37" s="276">
        <v>5.0000000000000001E-3</v>
      </c>
      <c r="U37" s="276">
        <v>5.0000000000000001E-3</v>
      </c>
      <c r="V37" s="276">
        <v>5.0000000000000001E-3</v>
      </c>
      <c r="W37" s="276">
        <v>5.0000000000000001E-3</v>
      </c>
      <c r="X37" s="276">
        <v>5.0000000000000001E-3</v>
      </c>
      <c r="Y37" s="276">
        <v>5.0000000000000001E-3</v>
      </c>
      <c r="Z37" s="276">
        <v>5.0000000000000001E-3</v>
      </c>
      <c r="AA37" s="276">
        <v>5.0000000000000001E-3</v>
      </c>
      <c r="AB37" s="276">
        <v>5.0000000000000001E-3</v>
      </c>
      <c r="AC37" s="276">
        <v>5.0000000000000001E-3</v>
      </c>
      <c r="AD37" s="276">
        <v>5.0000000000000001E-3</v>
      </c>
      <c r="AE37" s="276">
        <v>5.0000000000000001E-3</v>
      </c>
      <c r="AF37" s="276">
        <v>5.0000000000000001E-3</v>
      </c>
      <c r="AG37" s="276">
        <v>5.0000000000000001E-3</v>
      </c>
      <c r="AH37" s="276">
        <v>5.0000000000000001E-3</v>
      </c>
      <c r="AI37" s="276">
        <v>5.0000000000000001E-3</v>
      </c>
      <c r="AJ37" s="276">
        <v>5.0000000000000001E-3</v>
      </c>
      <c r="AK37" s="276">
        <v>5.0000000000000001E-3</v>
      </c>
      <c r="AL37" s="276">
        <v>5.0000000000000001E-3</v>
      </c>
      <c r="AM37" s="276">
        <v>5.0000000000000001E-3</v>
      </c>
      <c r="AN37" s="276">
        <v>5.0000000000000001E-3</v>
      </c>
      <c r="AO37" s="276">
        <v>5.0000000000000001E-3</v>
      </c>
      <c r="AP37" s="276">
        <v>5.0000000000000001E-3</v>
      </c>
      <c r="AQ37" s="276">
        <v>5.0000000000000001E-3</v>
      </c>
      <c r="AR37" s="276">
        <v>5.0000000000000001E-3</v>
      </c>
      <c r="AS37" s="276">
        <v>5.0000000000000001E-3</v>
      </c>
      <c r="AT37" s="276">
        <v>5.0000000000000001E-3</v>
      </c>
      <c r="AU37" s="276">
        <v>5.0000000000000001E-3</v>
      </c>
      <c r="AV37" s="276">
        <v>5.0000000000000001E-3</v>
      </c>
      <c r="AW37" s="276">
        <v>5.0000000000000001E-3</v>
      </c>
      <c r="AX37" s="276">
        <v>5.0000000000000001E-3</v>
      </c>
      <c r="AY37" s="276">
        <v>5.0000000000000001E-3</v>
      </c>
      <c r="AZ37" s="276">
        <v>5.0000000000000001E-3</v>
      </c>
      <c r="BA37" s="276">
        <v>5.0000000000000001E-3</v>
      </c>
      <c r="BB37" s="276">
        <v>5.0000000000000001E-3</v>
      </c>
      <c r="BC37" s="276">
        <v>5.0000000000000001E-3</v>
      </c>
      <c r="BD37" s="276">
        <v>5.0000000000000001E-3</v>
      </c>
      <c r="BE37" s="276">
        <v>5.0000000000000001E-3</v>
      </c>
      <c r="BF37" s="276">
        <v>5.0000000000000001E-3</v>
      </c>
      <c r="BG37" s="276">
        <v>5.0000000000000001E-3</v>
      </c>
      <c r="BH37" s="276">
        <v>5.0000000000000001E-3</v>
      </c>
      <c r="BI37" s="276">
        <v>5.0000000000000001E-3</v>
      </c>
      <c r="BJ37" s="276">
        <v>5.0000000000000001E-3</v>
      </c>
      <c r="BK37" s="276">
        <v>5.0000000000000001E-3</v>
      </c>
    </row>
    <row r="38" spans="1:63" ht="14.25" customHeight="1" x14ac:dyDescent="0.35">
      <c r="A38" s="277" t="s">
        <v>116</v>
      </c>
      <c r="B38" s="276">
        <v>5.0000000000000001E-3</v>
      </c>
      <c r="C38" s="276">
        <v>5.0000000000000001E-3</v>
      </c>
      <c r="D38" s="276">
        <v>5.0000000000000001E-3</v>
      </c>
      <c r="E38" s="276">
        <v>5.0000000000000001E-3</v>
      </c>
      <c r="F38" s="276">
        <v>5.0000000000000001E-3</v>
      </c>
      <c r="G38" s="276">
        <v>5.0000000000000001E-3</v>
      </c>
      <c r="H38" s="276">
        <v>5.0000000000000001E-3</v>
      </c>
      <c r="I38" s="276">
        <v>5.0000000000000001E-3</v>
      </c>
      <c r="J38" s="276">
        <v>5.0000000000000001E-3</v>
      </c>
      <c r="K38" s="276">
        <v>5.0000000000000001E-3</v>
      </c>
      <c r="L38" s="276">
        <v>5.0000000000000001E-3</v>
      </c>
      <c r="M38" s="276">
        <v>5.0000000000000001E-3</v>
      </c>
      <c r="N38" s="276">
        <v>5.0000000000000001E-3</v>
      </c>
      <c r="O38" s="276">
        <v>5.0000000000000001E-3</v>
      </c>
      <c r="P38" s="276">
        <v>5.0000000000000001E-3</v>
      </c>
      <c r="Q38" s="276">
        <v>5.0000000000000001E-3</v>
      </c>
      <c r="R38" s="276">
        <v>5.0000000000000001E-3</v>
      </c>
      <c r="S38" s="276">
        <v>5.0000000000000001E-3</v>
      </c>
      <c r="T38" s="276">
        <v>5.0000000000000001E-3</v>
      </c>
      <c r="U38" s="276">
        <v>5.0000000000000001E-3</v>
      </c>
      <c r="V38" s="276">
        <v>5.0000000000000001E-3</v>
      </c>
      <c r="W38" s="276">
        <v>5.0000000000000001E-3</v>
      </c>
      <c r="X38" s="276">
        <v>5.0000000000000001E-3</v>
      </c>
      <c r="Y38" s="276">
        <v>5.0000000000000001E-3</v>
      </c>
      <c r="Z38" s="276">
        <v>5.0000000000000001E-3</v>
      </c>
      <c r="AA38" s="276">
        <v>5.0000000000000001E-3</v>
      </c>
      <c r="AB38" s="276">
        <v>5.0000000000000001E-3</v>
      </c>
      <c r="AC38" s="276">
        <v>5.0000000000000001E-3</v>
      </c>
      <c r="AD38" s="276">
        <v>5.0000000000000001E-3</v>
      </c>
      <c r="AE38" s="276">
        <v>5.0000000000000001E-3</v>
      </c>
      <c r="AF38" s="276">
        <v>5.0000000000000001E-3</v>
      </c>
      <c r="AG38" s="276">
        <v>5.0000000000000001E-3</v>
      </c>
      <c r="AH38" s="276">
        <v>5.0000000000000001E-3</v>
      </c>
      <c r="AI38" s="276">
        <v>5.0000000000000001E-3</v>
      </c>
      <c r="AJ38" s="276">
        <v>5.0000000000000001E-3</v>
      </c>
      <c r="AK38" s="276">
        <v>5.0000000000000001E-3</v>
      </c>
      <c r="AL38" s="276">
        <v>5.0000000000000001E-3</v>
      </c>
      <c r="AM38" s="276">
        <v>5.0000000000000001E-3</v>
      </c>
      <c r="AN38" s="276">
        <v>5.0000000000000001E-3</v>
      </c>
      <c r="AO38" s="276">
        <v>5.0000000000000001E-3</v>
      </c>
      <c r="AP38" s="276">
        <v>5.0000000000000001E-3</v>
      </c>
      <c r="AQ38" s="276">
        <v>5.0000000000000001E-3</v>
      </c>
      <c r="AR38" s="276">
        <v>5.0000000000000001E-3</v>
      </c>
      <c r="AS38" s="276">
        <v>5.0000000000000001E-3</v>
      </c>
      <c r="AT38" s="276">
        <v>5.0000000000000001E-3</v>
      </c>
      <c r="AU38" s="276">
        <v>5.0000000000000001E-3</v>
      </c>
      <c r="AV38" s="276">
        <v>5.0000000000000001E-3</v>
      </c>
      <c r="AW38" s="276">
        <v>5.0000000000000001E-3</v>
      </c>
      <c r="AX38" s="276">
        <v>5.0000000000000001E-3</v>
      </c>
      <c r="AY38" s="276">
        <v>5.0000000000000001E-3</v>
      </c>
      <c r="AZ38" s="276">
        <v>5.0000000000000001E-3</v>
      </c>
      <c r="BA38" s="276">
        <v>5.0000000000000001E-3</v>
      </c>
      <c r="BB38" s="276">
        <v>5.0000000000000001E-3</v>
      </c>
      <c r="BC38" s="276">
        <v>5.0000000000000001E-3</v>
      </c>
      <c r="BD38" s="276">
        <v>5.0000000000000001E-3</v>
      </c>
      <c r="BE38" s="276">
        <v>5.0000000000000001E-3</v>
      </c>
      <c r="BF38" s="276">
        <v>5.0000000000000001E-3</v>
      </c>
      <c r="BG38" s="276">
        <v>5.0000000000000001E-3</v>
      </c>
      <c r="BH38" s="276">
        <v>5.0000000000000001E-3</v>
      </c>
      <c r="BI38" s="276">
        <v>5.0000000000000001E-3</v>
      </c>
      <c r="BJ38" s="276">
        <v>5.0000000000000001E-3</v>
      </c>
      <c r="BK38" s="276">
        <v>5.0000000000000001E-3</v>
      </c>
    </row>
    <row r="39" spans="1:63" ht="14.25" customHeight="1" x14ac:dyDescent="0.35">
      <c r="A39" s="277" t="s">
        <v>117</v>
      </c>
      <c r="B39" s="276">
        <v>5.0000000000000001E-3</v>
      </c>
      <c r="C39" s="276">
        <v>5.0000000000000001E-3</v>
      </c>
      <c r="D39" s="276">
        <v>5.0000000000000001E-3</v>
      </c>
      <c r="E39" s="276">
        <v>5.0000000000000001E-3</v>
      </c>
      <c r="F39" s="276">
        <v>5.0000000000000001E-3</v>
      </c>
      <c r="G39" s="276">
        <v>5.0000000000000001E-3</v>
      </c>
      <c r="H39" s="276">
        <v>5.0000000000000001E-3</v>
      </c>
      <c r="I39" s="276">
        <v>5.0000000000000001E-3</v>
      </c>
      <c r="J39" s="276">
        <v>5.0000000000000001E-3</v>
      </c>
      <c r="K39" s="276">
        <v>5.0000000000000001E-3</v>
      </c>
      <c r="L39" s="276">
        <v>5.0000000000000001E-3</v>
      </c>
      <c r="M39" s="276">
        <v>5.0000000000000001E-3</v>
      </c>
      <c r="N39" s="276">
        <v>5.0000000000000001E-3</v>
      </c>
      <c r="O39" s="276">
        <v>5.0000000000000001E-3</v>
      </c>
      <c r="P39" s="276">
        <v>5.0000000000000001E-3</v>
      </c>
      <c r="Q39" s="276">
        <v>5.0000000000000001E-3</v>
      </c>
      <c r="R39" s="276">
        <v>5.0000000000000001E-3</v>
      </c>
      <c r="S39" s="276">
        <v>5.0000000000000001E-3</v>
      </c>
      <c r="T39" s="276">
        <v>5.0000000000000001E-3</v>
      </c>
      <c r="U39" s="276">
        <v>5.0000000000000001E-3</v>
      </c>
      <c r="V39" s="276">
        <v>5.0000000000000001E-3</v>
      </c>
      <c r="W39" s="276">
        <v>5.0000000000000001E-3</v>
      </c>
      <c r="X39" s="276">
        <v>5.0000000000000001E-3</v>
      </c>
      <c r="Y39" s="276">
        <v>5.0000000000000001E-3</v>
      </c>
      <c r="Z39" s="276">
        <v>5.0000000000000001E-3</v>
      </c>
      <c r="AA39" s="276">
        <v>5.0000000000000001E-3</v>
      </c>
      <c r="AB39" s="276">
        <v>5.0000000000000001E-3</v>
      </c>
      <c r="AC39" s="276">
        <v>5.0000000000000001E-3</v>
      </c>
      <c r="AD39" s="276">
        <v>5.0000000000000001E-3</v>
      </c>
      <c r="AE39" s="276">
        <v>5.0000000000000001E-3</v>
      </c>
      <c r="AF39" s="276">
        <v>5.0000000000000001E-3</v>
      </c>
      <c r="AG39" s="276">
        <v>5.0000000000000001E-3</v>
      </c>
      <c r="AH39" s="276">
        <v>5.0000000000000001E-3</v>
      </c>
      <c r="AI39" s="276">
        <v>5.0000000000000001E-3</v>
      </c>
      <c r="AJ39" s="276">
        <v>5.0000000000000001E-3</v>
      </c>
      <c r="AK39" s="276">
        <v>5.0000000000000001E-3</v>
      </c>
      <c r="AL39" s="276">
        <v>5.0000000000000001E-3</v>
      </c>
      <c r="AM39" s="276">
        <v>5.0000000000000001E-3</v>
      </c>
      <c r="AN39" s="276">
        <v>5.0000000000000001E-3</v>
      </c>
      <c r="AO39" s="276">
        <v>5.0000000000000001E-3</v>
      </c>
      <c r="AP39" s="276">
        <v>5.0000000000000001E-3</v>
      </c>
      <c r="AQ39" s="276">
        <v>5.0000000000000001E-3</v>
      </c>
      <c r="AR39" s="276">
        <v>5.0000000000000001E-3</v>
      </c>
      <c r="AS39" s="276">
        <v>5.0000000000000001E-3</v>
      </c>
      <c r="AT39" s="276">
        <v>5.0000000000000001E-3</v>
      </c>
      <c r="AU39" s="276">
        <v>5.0000000000000001E-3</v>
      </c>
      <c r="AV39" s="276">
        <v>5.0000000000000001E-3</v>
      </c>
      <c r="AW39" s="276">
        <v>5.0000000000000001E-3</v>
      </c>
      <c r="AX39" s="276">
        <v>5.0000000000000001E-3</v>
      </c>
      <c r="AY39" s="276">
        <v>5.0000000000000001E-3</v>
      </c>
      <c r="AZ39" s="276">
        <v>5.0000000000000001E-3</v>
      </c>
      <c r="BA39" s="276">
        <v>5.0000000000000001E-3</v>
      </c>
      <c r="BB39" s="276">
        <v>5.0000000000000001E-3</v>
      </c>
      <c r="BC39" s="276">
        <v>5.0000000000000001E-3</v>
      </c>
      <c r="BD39" s="276">
        <v>5.0000000000000001E-3</v>
      </c>
      <c r="BE39" s="276">
        <v>5.0000000000000001E-3</v>
      </c>
      <c r="BF39" s="276">
        <v>5.0000000000000001E-3</v>
      </c>
      <c r="BG39" s="276">
        <v>5.0000000000000001E-3</v>
      </c>
      <c r="BH39" s="276">
        <v>5.0000000000000001E-3</v>
      </c>
      <c r="BI39" s="276">
        <v>5.0000000000000001E-3</v>
      </c>
      <c r="BJ39" s="276">
        <v>5.0000000000000001E-3</v>
      </c>
      <c r="BK39" s="276">
        <v>5.0000000000000001E-3</v>
      </c>
    </row>
    <row r="40" spans="1:63" ht="14.25" customHeight="1" x14ac:dyDescent="0.35">
      <c r="A40" s="277" t="s">
        <v>118</v>
      </c>
      <c r="B40" s="276">
        <v>5.0000000000000001E-3</v>
      </c>
      <c r="C40" s="276">
        <v>5.0000000000000001E-3</v>
      </c>
      <c r="D40" s="276">
        <v>5.0000000000000001E-3</v>
      </c>
      <c r="E40" s="276">
        <v>5.0000000000000001E-3</v>
      </c>
      <c r="F40" s="276">
        <v>5.0000000000000001E-3</v>
      </c>
      <c r="G40" s="276">
        <v>5.0000000000000001E-3</v>
      </c>
      <c r="H40" s="276">
        <v>5.0000000000000001E-3</v>
      </c>
      <c r="I40" s="276">
        <v>5.0000000000000001E-3</v>
      </c>
      <c r="J40" s="276">
        <v>5.0000000000000001E-3</v>
      </c>
      <c r="K40" s="276">
        <v>5.0000000000000001E-3</v>
      </c>
      <c r="L40" s="276">
        <v>5.0000000000000001E-3</v>
      </c>
      <c r="M40" s="276">
        <v>5.0000000000000001E-3</v>
      </c>
      <c r="N40" s="276">
        <v>5.0000000000000001E-3</v>
      </c>
      <c r="O40" s="276">
        <v>5.0000000000000001E-3</v>
      </c>
      <c r="P40" s="276">
        <v>5.0000000000000001E-3</v>
      </c>
      <c r="Q40" s="276">
        <v>5.0000000000000001E-3</v>
      </c>
      <c r="R40" s="276">
        <v>5.0000000000000001E-3</v>
      </c>
      <c r="S40" s="276">
        <v>5.0000000000000001E-3</v>
      </c>
      <c r="T40" s="276">
        <v>5.0000000000000001E-3</v>
      </c>
      <c r="U40" s="276">
        <v>5.0000000000000001E-3</v>
      </c>
      <c r="V40" s="276">
        <v>5.0000000000000001E-3</v>
      </c>
      <c r="W40" s="276">
        <v>5.0000000000000001E-3</v>
      </c>
      <c r="X40" s="276">
        <v>5.0000000000000001E-3</v>
      </c>
      <c r="Y40" s="276">
        <v>5.0000000000000001E-3</v>
      </c>
      <c r="Z40" s="276">
        <v>5.0000000000000001E-3</v>
      </c>
      <c r="AA40" s="276">
        <v>5.0000000000000001E-3</v>
      </c>
      <c r="AB40" s="276">
        <v>5.0000000000000001E-3</v>
      </c>
      <c r="AC40" s="276">
        <v>5.0000000000000001E-3</v>
      </c>
      <c r="AD40" s="276">
        <v>5.0000000000000001E-3</v>
      </c>
      <c r="AE40" s="276">
        <v>5.0000000000000001E-3</v>
      </c>
      <c r="AF40" s="276">
        <v>5.0000000000000001E-3</v>
      </c>
      <c r="AG40" s="276">
        <v>5.0000000000000001E-3</v>
      </c>
      <c r="AH40" s="276">
        <v>5.0000000000000001E-3</v>
      </c>
      <c r="AI40" s="276">
        <v>5.0000000000000001E-3</v>
      </c>
      <c r="AJ40" s="276">
        <v>5.0000000000000001E-3</v>
      </c>
      <c r="AK40" s="276">
        <v>5.0000000000000001E-3</v>
      </c>
      <c r="AL40" s="276">
        <v>5.0000000000000001E-3</v>
      </c>
      <c r="AM40" s="276">
        <v>5.0000000000000001E-3</v>
      </c>
      <c r="AN40" s="276">
        <v>5.0000000000000001E-3</v>
      </c>
      <c r="AO40" s="276">
        <v>5.0000000000000001E-3</v>
      </c>
      <c r="AP40" s="276">
        <v>5.0000000000000001E-3</v>
      </c>
      <c r="AQ40" s="276">
        <v>5.0000000000000001E-3</v>
      </c>
      <c r="AR40" s="276">
        <v>5.0000000000000001E-3</v>
      </c>
      <c r="AS40" s="276">
        <v>5.0000000000000001E-3</v>
      </c>
      <c r="AT40" s="276">
        <v>5.0000000000000001E-3</v>
      </c>
      <c r="AU40" s="276">
        <v>5.0000000000000001E-3</v>
      </c>
      <c r="AV40" s="276">
        <v>5.0000000000000001E-3</v>
      </c>
      <c r="AW40" s="276">
        <v>5.0000000000000001E-3</v>
      </c>
      <c r="AX40" s="276">
        <v>5.0000000000000001E-3</v>
      </c>
      <c r="AY40" s="276">
        <v>5.0000000000000001E-3</v>
      </c>
      <c r="AZ40" s="276">
        <v>5.0000000000000001E-3</v>
      </c>
      <c r="BA40" s="276">
        <v>5.0000000000000001E-3</v>
      </c>
      <c r="BB40" s="276">
        <v>5.0000000000000001E-3</v>
      </c>
      <c r="BC40" s="276">
        <v>5.0000000000000001E-3</v>
      </c>
      <c r="BD40" s="276">
        <v>5.0000000000000001E-3</v>
      </c>
      <c r="BE40" s="276">
        <v>5.0000000000000001E-3</v>
      </c>
      <c r="BF40" s="276">
        <v>5.0000000000000001E-3</v>
      </c>
      <c r="BG40" s="276">
        <v>5.0000000000000001E-3</v>
      </c>
      <c r="BH40" s="276">
        <v>5.0000000000000001E-3</v>
      </c>
      <c r="BI40" s="276">
        <v>5.0000000000000001E-3</v>
      </c>
      <c r="BJ40" s="276">
        <v>5.0000000000000001E-3</v>
      </c>
      <c r="BK40" s="276">
        <v>5.0000000000000001E-3</v>
      </c>
    </row>
    <row r="41" spans="1:63" ht="14.25" customHeight="1" x14ac:dyDescent="0.35">
      <c r="A41" s="277" t="s">
        <v>119</v>
      </c>
      <c r="B41" s="276">
        <v>5.0000000000000001E-3</v>
      </c>
      <c r="C41" s="276">
        <v>5.0000000000000001E-3</v>
      </c>
      <c r="D41" s="276">
        <v>5.0000000000000001E-3</v>
      </c>
      <c r="E41" s="276">
        <v>5.0000000000000001E-3</v>
      </c>
      <c r="F41" s="276">
        <v>5.0000000000000001E-3</v>
      </c>
      <c r="G41" s="276">
        <v>5.0000000000000001E-3</v>
      </c>
      <c r="H41" s="276">
        <v>5.0000000000000001E-3</v>
      </c>
      <c r="I41" s="276">
        <v>5.0000000000000001E-3</v>
      </c>
      <c r="J41" s="276">
        <v>5.0000000000000001E-3</v>
      </c>
      <c r="K41" s="276">
        <v>5.0000000000000001E-3</v>
      </c>
      <c r="L41" s="276">
        <v>5.0000000000000001E-3</v>
      </c>
      <c r="M41" s="276">
        <v>5.0000000000000001E-3</v>
      </c>
      <c r="N41" s="276">
        <v>5.0000000000000001E-3</v>
      </c>
      <c r="O41" s="276">
        <v>5.0000000000000001E-3</v>
      </c>
      <c r="P41" s="276">
        <v>5.0000000000000001E-3</v>
      </c>
      <c r="Q41" s="276">
        <v>5.0000000000000001E-3</v>
      </c>
      <c r="R41" s="276">
        <v>5.0000000000000001E-3</v>
      </c>
      <c r="S41" s="276">
        <v>5.0000000000000001E-3</v>
      </c>
      <c r="T41" s="276">
        <v>5.0000000000000001E-3</v>
      </c>
      <c r="U41" s="276">
        <v>5.0000000000000001E-3</v>
      </c>
      <c r="V41" s="276">
        <v>5.0000000000000001E-3</v>
      </c>
      <c r="W41" s="276">
        <v>5.0000000000000001E-3</v>
      </c>
      <c r="X41" s="276">
        <v>5.0000000000000001E-3</v>
      </c>
      <c r="Y41" s="276">
        <v>5.0000000000000001E-3</v>
      </c>
      <c r="Z41" s="276">
        <v>5.0000000000000001E-3</v>
      </c>
      <c r="AA41" s="276">
        <v>5.0000000000000001E-3</v>
      </c>
      <c r="AB41" s="276">
        <v>5.0000000000000001E-3</v>
      </c>
      <c r="AC41" s="276">
        <v>5.0000000000000001E-3</v>
      </c>
      <c r="AD41" s="276">
        <v>5.0000000000000001E-3</v>
      </c>
      <c r="AE41" s="276">
        <v>5.0000000000000001E-3</v>
      </c>
      <c r="AF41" s="276">
        <v>5.0000000000000001E-3</v>
      </c>
      <c r="AG41" s="276">
        <v>5.0000000000000001E-3</v>
      </c>
      <c r="AH41" s="276">
        <v>5.0000000000000001E-3</v>
      </c>
      <c r="AI41" s="276">
        <v>5.0000000000000001E-3</v>
      </c>
      <c r="AJ41" s="276">
        <v>5.0000000000000001E-3</v>
      </c>
      <c r="AK41" s="276">
        <v>5.0000000000000001E-3</v>
      </c>
      <c r="AL41" s="276">
        <v>5.0000000000000001E-3</v>
      </c>
      <c r="AM41" s="276">
        <v>5.0000000000000001E-3</v>
      </c>
      <c r="AN41" s="276">
        <v>5.0000000000000001E-3</v>
      </c>
      <c r="AO41" s="276">
        <v>5.0000000000000001E-3</v>
      </c>
      <c r="AP41" s="276">
        <v>5.0000000000000001E-3</v>
      </c>
      <c r="AQ41" s="276">
        <v>5.0000000000000001E-3</v>
      </c>
      <c r="AR41" s="276">
        <v>5.0000000000000001E-3</v>
      </c>
      <c r="AS41" s="276">
        <v>5.0000000000000001E-3</v>
      </c>
      <c r="AT41" s="276">
        <v>5.0000000000000001E-3</v>
      </c>
      <c r="AU41" s="276">
        <v>5.0000000000000001E-3</v>
      </c>
      <c r="AV41" s="276">
        <v>5.0000000000000001E-3</v>
      </c>
      <c r="AW41" s="276">
        <v>5.0000000000000001E-3</v>
      </c>
      <c r="AX41" s="276">
        <v>5.0000000000000001E-3</v>
      </c>
      <c r="AY41" s="276">
        <v>5.0000000000000001E-3</v>
      </c>
      <c r="AZ41" s="276">
        <v>5.0000000000000001E-3</v>
      </c>
      <c r="BA41" s="276">
        <v>5.0000000000000001E-3</v>
      </c>
      <c r="BB41" s="276">
        <v>5.0000000000000001E-3</v>
      </c>
      <c r="BC41" s="276">
        <v>5.0000000000000001E-3</v>
      </c>
      <c r="BD41" s="276">
        <v>5.0000000000000001E-3</v>
      </c>
      <c r="BE41" s="276">
        <v>5.0000000000000001E-3</v>
      </c>
      <c r="BF41" s="276">
        <v>5.0000000000000001E-3</v>
      </c>
      <c r="BG41" s="276">
        <v>5.0000000000000001E-3</v>
      </c>
      <c r="BH41" s="276">
        <v>5.0000000000000001E-3</v>
      </c>
      <c r="BI41" s="276">
        <v>5.0000000000000001E-3</v>
      </c>
      <c r="BJ41" s="276">
        <v>5.0000000000000001E-3</v>
      </c>
      <c r="BK41" s="276">
        <v>5.0000000000000001E-3</v>
      </c>
    </row>
    <row r="42" spans="1:63" ht="14.25" customHeight="1" x14ac:dyDescent="0.35">
      <c r="A42" s="277" t="s">
        <v>120</v>
      </c>
      <c r="B42" s="276">
        <v>5.0000000000000001E-3</v>
      </c>
      <c r="C42" s="276">
        <v>5.0000000000000001E-3</v>
      </c>
      <c r="D42" s="276">
        <v>5.0000000000000001E-3</v>
      </c>
      <c r="E42" s="276">
        <v>5.0000000000000001E-3</v>
      </c>
      <c r="F42" s="276">
        <v>5.0000000000000001E-3</v>
      </c>
      <c r="G42" s="276">
        <v>5.0000000000000001E-3</v>
      </c>
      <c r="H42" s="276">
        <v>5.0000000000000001E-3</v>
      </c>
      <c r="I42" s="276">
        <v>5.0000000000000001E-3</v>
      </c>
      <c r="J42" s="276">
        <v>5.0000000000000001E-3</v>
      </c>
      <c r="K42" s="276">
        <v>5.0000000000000001E-3</v>
      </c>
      <c r="L42" s="276">
        <v>5.0000000000000001E-3</v>
      </c>
      <c r="M42" s="276">
        <v>5.0000000000000001E-3</v>
      </c>
      <c r="N42" s="276">
        <v>5.0000000000000001E-3</v>
      </c>
      <c r="O42" s="276">
        <v>5.0000000000000001E-3</v>
      </c>
      <c r="P42" s="276">
        <v>5.0000000000000001E-3</v>
      </c>
      <c r="Q42" s="276">
        <v>5.0000000000000001E-3</v>
      </c>
      <c r="R42" s="276">
        <v>5.0000000000000001E-3</v>
      </c>
      <c r="S42" s="276">
        <v>5.0000000000000001E-3</v>
      </c>
      <c r="T42" s="276">
        <v>5.0000000000000001E-3</v>
      </c>
      <c r="U42" s="276">
        <v>5.0000000000000001E-3</v>
      </c>
      <c r="V42" s="276">
        <v>5.0000000000000001E-3</v>
      </c>
      <c r="W42" s="276">
        <v>5.0000000000000001E-3</v>
      </c>
      <c r="X42" s="276">
        <v>5.0000000000000001E-3</v>
      </c>
      <c r="Y42" s="276">
        <v>5.0000000000000001E-3</v>
      </c>
      <c r="Z42" s="276">
        <v>5.0000000000000001E-3</v>
      </c>
      <c r="AA42" s="276">
        <v>5.0000000000000001E-3</v>
      </c>
      <c r="AB42" s="276">
        <v>5.0000000000000001E-3</v>
      </c>
      <c r="AC42" s="276">
        <v>5.0000000000000001E-3</v>
      </c>
      <c r="AD42" s="276">
        <v>5.0000000000000001E-3</v>
      </c>
      <c r="AE42" s="276">
        <v>5.0000000000000001E-3</v>
      </c>
      <c r="AF42" s="276">
        <v>5.0000000000000001E-3</v>
      </c>
      <c r="AG42" s="276">
        <v>5.0000000000000001E-3</v>
      </c>
      <c r="AH42" s="276">
        <v>5.0000000000000001E-3</v>
      </c>
      <c r="AI42" s="276">
        <v>5.0000000000000001E-3</v>
      </c>
      <c r="AJ42" s="276">
        <v>5.0000000000000001E-3</v>
      </c>
      <c r="AK42" s="276">
        <v>5.0000000000000001E-3</v>
      </c>
      <c r="AL42" s="276">
        <v>5.0000000000000001E-3</v>
      </c>
      <c r="AM42" s="276">
        <v>5.0000000000000001E-3</v>
      </c>
      <c r="AN42" s="276">
        <v>5.0000000000000001E-3</v>
      </c>
      <c r="AO42" s="276">
        <v>5.0000000000000001E-3</v>
      </c>
      <c r="AP42" s="276">
        <v>5.0000000000000001E-3</v>
      </c>
      <c r="AQ42" s="276">
        <v>5.0000000000000001E-3</v>
      </c>
      <c r="AR42" s="276">
        <v>5.0000000000000001E-3</v>
      </c>
      <c r="AS42" s="276">
        <v>5.0000000000000001E-3</v>
      </c>
      <c r="AT42" s="276">
        <v>5.0000000000000001E-3</v>
      </c>
      <c r="AU42" s="276">
        <v>5.0000000000000001E-3</v>
      </c>
      <c r="AV42" s="276">
        <v>5.0000000000000001E-3</v>
      </c>
      <c r="AW42" s="276">
        <v>5.0000000000000001E-3</v>
      </c>
      <c r="AX42" s="276">
        <v>5.0000000000000001E-3</v>
      </c>
      <c r="AY42" s="276">
        <v>5.0000000000000001E-3</v>
      </c>
      <c r="AZ42" s="276">
        <v>5.0000000000000001E-3</v>
      </c>
      <c r="BA42" s="276">
        <v>5.0000000000000001E-3</v>
      </c>
      <c r="BB42" s="276">
        <v>5.0000000000000001E-3</v>
      </c>
      <c r="BC42" s="276">
        <v>5.0000000000000001E-3</v>
      </c>
      <c r="BD42" s="276">
        <v>5.0000000000000001E-3</v>
      </c>
      <c r="BE42" s="276">
        <v>5.0000000000000001E-3</v>
      </c>
      <c r="BF42" s="276">
        <v>5.0000000000000001E-3</v>
      </c>
      <c r="BG42" s="276">
        <v>5.0000000000000001E-3</v>
      </c>
      <c r="BH42" s="276">
        <v>5.0000000000000001E-3</v>
      </c>
      <c r="BI42" s="276">
        <v>5.0000000000000001E-3</v>
      </c>
      <c r="BJ42" s="276">
        <v>5.0000000000000001E-3</v>
      </c>
      <c r="BK42" s="276">
        <v>5.0000000000000001E-3</v>
      </c>
    </row>
    <row r="43" spans="1:63" ht="14.25" customHeight="1" x14ac:dyDescent="0.35">
      <c r="A43" s="278" t="s">
        <v>83</v>
      </c>
      <c r="B43" s="276">
        <v>5.0000000000000001E-3</v>
      </c>
      <c r="C43" s="276">
        <v>5.0000000000000001E-3</v>
      </c>
      <c r="D43" s="276">
        <v>5.0000000000000001E-3</v>
      </c>
      <c r="E43" s="276">
        <v>5.0000000000000001E-3</v>
      </c>
      <c r="F43" s="276">
        <v>5.0000000000000001E-3</v>
      </c>
      <c r="G43" s="276">
        <v>5.0000000000000001E-3</v>
      </c>
      <c r="H43" s="276">
        <v>5.0000000000000001E-3</v>
      </c>
      <c r="I43" s="276">
        <v>5.0000000000000001E-3</v>
      </c>
      <c r="J43" s="276">
        <v>5.0000000000000001E-3</v>
      </c>
      <c r="K43" s="276">
        <v>5.0000000000000001E-3</v>
      </c>
      <c r="L43" s="276">
        <v>5.0000000000000001E-3</v>
      </c>
      <c r="M43" s="276">
        <v>5.0000000000000001E-3</v>
      </c>
      <c r="N43" s="276">
        <v>5.0000000000000001E-3</v>
      </c>
      <c r="O43" s="276">
        <v>5.0000000000000001E-3</v>
      </c>
      <c r="P43" s="276">
        <v>5.0000000000000001E-3</v>
      </c>
      <c r="Q43" s="276">
        <v>5.0000000000000001E-3</v>
      </c>
      <c r="R43" s="276">
        <v>5.0000000000000001E-3</v>
      </c>
      <c r="S43" s="276">
        <v>5.0000000000000001E-3</v>
      </c>
      <c r="T43" s="276">
        <v>5.0000000000000001E-3</v>
      </c>
      <c r="U43" s="276">
        <v>5.0000000000000001E-3</v>
      </c>
      <c r="V43" s="276">
        <v>5.0000000000000001E-3</v>
      </c>
      <c r="W43" s="276">
        <v>5.0000000000000001E-3</v>
      </c>
      <c r="X43" s="276">
        <v>5.0000000000000001E-3</v>
      </c>
      <c r="Y43" s="276">
        <v>5.0000000000000001E-3</v>
      </c>
      <c r="Z43" s="276">
        <v>5.0000000000000001E-3</v>
      </c>
      <c r="AA43" s="276">
        <v>5.0000000000000001E-3</v>
      </c>
      <c r="AB43" s="276">
        <v>5.0000000000000001E-3</v>
      </c>
      <c r="AC43" s="276">
        <v>5.0000000000000001E-3</v>
      </c>
      <c r="AD43" s="276">
        <v>5.0000000000000001E-3</v>
      </c>
      <c r="AE43" s="276">
        <v>5.0000000000000001E-3</v>
      </c>
      <c r="AF43" s="276">
        <v>5.0000000000000001E-3</v>
      </c>
      <c r="AG43" s="276">
        <v>5.0000000000000001E-3</v>
      </c>
      <c r="AH43" s="276">
        <v>5.0000000000000001E-3</v>
      </c>
      <c r="AI43" s="276">
        <v>5.0000000000000001E-3</v>
      </c>
      <c r="AJ43" s="276">
        <v>5.0000000000000001E-3</v>
      </c>
      <c r="AK43" s="276">
        <v>5.0000000000000001E-3</v>
      </c>
      <c r="AL43" s="276">
        <v>5.0000000000000001E-3</v>
      </c>
      <c r="AM43" s="276">
        <v>5.0000000000000001E-3</v>
      </c>
      <c r="AN43" s="276">
        <v>5.0000000000000001E-3</v>
      </c>
      <c r="AO43" s="276">
        <v>5.0000000000000001E-3</v>
      </c>
      <c r="AP43" s="276">
        <v>5.0000000000000001E-3</v>
      </c>
      <c r="AQ43" s="276">
        <v>5.0000000000000001E-3</v>
      </c>
      <c r="AR43" s="276">
        <v>5.0000000000000001E-3</v>
      </c>
      <c r="AS43" s="276">
        <v>5.0000000000000001E-3</v>
      </c>
      <c r="AT43" s="276">
        <v>5.0000000000000001E-3</v>
      </c>
      <c r="AU43" s="276">
        <v>5.0000000000000001E-3</v>
      </c>
      <c r="AV43" s="276">
        <v>5.0000000000000001E-3</v>
      </c>
      <c r="AW43" s="276">
        <v>5.0000000000000001E-3</v>
      </c>
      <c r="AX43" s="276">
        <v>5.0000000000000001E-3</v>
      </c>
      <c r="AY43" s="276">
        <v>5.0000000000000001E-3</v>
      </c>
      <c r="AZ43" s="276">
        <v>5.0000000000000001E-3</v>
      </c>
      <c r="BA43" s="276">
        <v>5.0000000000000001E-3</v>
      </c>
      <c r="BB43" s="276">
        <v>5.0000000000000001E-3</v>
      </c>
      <c r="BC43" s="276">
        <v>5.0000000000000001E-3</v>
      </c>
      <c r="BD43" s="276">
        <v>5.0000000000000001E-3</v>
      </c>
      <c r="BE43" s="276">
        <v>5.0000000000000001E-3</v>
      </c>
      <c r="BF43" s="276">
        <v>5.0000000000000001E-3</v>
      </c>
      <c r="BG43" s="276">
        <v>5.0000000000000001E-3</v>
      </c>
      <c r="BH43" s="276">
        <v>5.0000000000000001E-3</v>
      </c>
      <c r="BI43" s="276">
        <v>5.0000000000000001E-3</v>
      </c>
      <c r="BJ43" s="276">
        <v>5.0000000000000001E-3</v>
      </c>
      <c r="BK43" s="276">
        <v>5.0000000000000001E-3</v>
      </c>
    </row>
    <row r="44" spans="1:63" ht="14.25" customHeight="1" x14ac:dyDescent="0.35">
      <c r="A44" s="278" t="s">
        <v>144</v>
      </c>
      <c r="B44" s="276">
        <v>5.0000000000000001E-3</v>
      </c>
      <c r="C44" s="276">
        <v>5.0000000000000001E-3</v>
      </c>
      <c r="D44" s="276">
        <v>5.0000000000000001E-3</v>
      </c>
      <c r="E44" s="276">
        <v>5.0000000000000001E-3</v>
      </c>
      <c r="F44" s="276">
        <v>5.0000000000000001E-3</v>
      </c>
      <c r="G44" s="276">
        <v>5.0000000000000001E-3</v>
      </c>
      <c r="H44" s="276">
        <v>5.0000000000000001E-3</v>
      </c>
      <c r="I44" s="276">
        <v>5.0000000000000001E-3</v>
      </c>
      <c r="J44" s="276">
        <v>5.0000000000000001E-3</v>
      </c>
      <c r="K44" s="276">
        <v>5.0000000000000001E-3</v>
      </c>
      <c r="L44" s="276">
        <v>5.0000000000000001E-3</v>
      </c>
      <c r="M44" s="276">
        <v>5.0000000000000001E-3</v>
      </c>
      <c r="N44" s="276">
        <v>5.0000000000000001E-3</v>
      </c>
      <c r="O44" s="276">
        <v>5.0000000000000001E-3</v>
      </c>
      <c r="P44" s="276">
        <v>5.0000000000000001E-3</v>
      </c>
      <c r="Q44" s="276">
        <v>5.0000000000000001E-3</v>
      </c>
      <c r="R44" s="276">
        <v>5.0000000000000001E-3</v>
      </c>
      <c r="S44" s="276">
        <v>5.0000000000000001E-3</v>
      </c>
      <c r="T44" s="276">
        <v>5.0000000000000001E-3</v>
      </c>
      <c r="U44" s="276">
        <v>5.0000000000000001E-3</v>
      </c>
      <c r="V44" s="276">
        <v>5.0000000000000001E-3</v>
      </c>
      <c r="W44" s="276">
        <v>5.0000000000000001E-3</v>
      </c>
      <c r="X44" s="276">
        <v>5.0000000000000001E-3</v>
      </c>
      <c r="Y44" s="276">
        <v>5.0000000000000001E-3</v>
      </c>
      <c r="Z44" s="276">
        <v>5.0000000000000001E-3</v>
      </c>
      <c r="AA44" s="276">
        <v>5.0000000000000001E-3</v>
      </c>
      <c r="AB44" s="276">
        <v>5.0000000000000001E-3</v>
      </c>
      <c r="AC44" s="276">
        <v>5.0000000000000001E-3</v>
      </c>
      <c r="AD44" s="276">
        <v>5.0000000000000001E-3</v>
      </c>
      <c r="AE44" s="276">
        <v>5.0000000000000001E-3</v>
      </c>
      <c r="AF44" s="276">
        <v>5.0000000000000001E-3</v>
      </c>
      <c r="AG44" s="276">
        <v>5.0000000000000001E-3</v>
      </c>
      <c r="AH44" s="276">
        <v>5.0000000000000001E-3</v>
      </c>
      <c r="AI44" s="276">
        <v>5.0000000000000001E-3</v>
      </c>
      <c r="AJ44" s="276">
        <v>5.0000000000000001E-3</v>
      </c>
      <c r="AK44" s="276">
        <v>5.0000000000000001E-3</v>
      </c>
      <c r="AL44" s="276">
        <v>5.0000000000000001E-3</v>
      </c>
      <c r="AM44" s="276">
        <v>5.0000000000000001E-3</v>
      </c>
      <c r="AN44" s="276">
        <v>5.0000000000000001E-3</v>
      </c>
      <c r="AO44" s="276">
        <v>5.0000000000000001E-3</v>
      </c>
      <c r="AP44" s="276">
        <v>5.0000000000000001E-3</v>
      </c>
      <c r="AQ44" s="276">
        <v>5.0000000000000001E-3</v>
      </c>
      <c r="AR44" s="276">
        <v>5.0000000000000001E-3</v>
      </c>
      <c r="AS44" s="276">
        <v>5.0000000000000001E-3</v>
      </c>
      <c r="AT44" s="276">
        <v>5.0000000000000001E-3</v>
      </c>
      <c r="AU44" s="276">
        <v>5.0000000000000001E-3</v>
      </c>
      <c r="AV44" s="276">
        <v>5.0000000000000001E-3</v>
      </c>
      <c r="AW44" s="276">
        <v>5.0000000000000001E-3</v>
      </c>
      <c r="AX44" s="276">
        <v>5.0000000000000001E-3</v>
      </c>
      <c r="AY44" s="276">
        <v>5.0000000000000001E-3</v>
      </c>
      <c r="AZ44" s="276">
        <v>5.0000000000000001E-3</v>
      </c>
      <c r="BA44" s="276">
        <v>5.0000000000000001E-3</v>
      </c>
      <c r="BB44" s="276">
        <v>5.0000000000000001E-3</v>
      </c>
      <c r="BC44" s="276">
        <v>5.0000000000000001E-3</v>
      </c>
      <c r="BD44" s="276">
        <v>5.0000000000000001E-3</v>
      </c>
      <c r="BE44" s="276">
        <v>5.0000000000000001E-3</v>
      </c>
      <c r="BF44" s="276">
        <v>5.0000000000000001E-3</v>
      </c>
      <c r="BG44" s="276">
        <v>5.0000000000000001E-3</v>
      </c>
      <c r="BH44" s="276">
        <v>5.0000000000000001E-3</v>
      </c>
      <c r="BI44" s="276">
        <v>5.0000000000000001E-3</v>
      </c>
      <c r="BJ44" s="276">
        <v>5.0000000000000001E-3</v>
      </c>
      <c r="BK44" s="276">
        <v>5.0000000000000001E-3</v>
      </c>
    </row>
    <row r="45" spans="1:63" ht="14.25" customHeight="1" x14ac:dyDescent="0.35">
      <c r="A45" s="278" t="s">
        <v>164</v>
      </c>
      <c r="B45" s="276">
        <v>5.0000000000000001E-3</v>
      </c>
      <c r="C45" s="276">
        <v>5.0000000000000001E-3</v>
      </c>
      <c r="D45" s="276">
        <v>5.0000000000000001E-3</v>
      </c>
      <c r="E45" s="276">
        <v>5.0000000000000001E-3</v>
      </c>
      <c r="F45" s="276">
        <v>5.0000000000000001E-3</v>
      </c>
      <c r="G45" s="276">
        <v>5.0000000000000001E-3</v>
      </c>
      <c r="H45" s="276">
        <v>5.0000000000000001E-3</v>
      </c>
      <c r="I45" s="276">
        <v>5.0000000000000001E-3</v>
      </c>
      <c r="J45" s="276">
        <v>5.0000000000000001E-3</v>
      </c>
      <c r="K45" s="276">
        <v>5.0000000000000001E-3</v>
      </c>
      <c r="L45" s="276">
        <v>5.0000000000000001E-3</v>
      </c>
      <c r="M45" s="276">
        <v>5.0000000000000001E-3</v>
      </c>
      <c r="N45" s="276">
        <v>5.0000000000000001E-3</v>
      </c>
      <c r="O45" s="276">
        <v>5.0000000000000001E-3</v>
      </c>
      <c r="P45" s="276">
        <v>5.0000000000000001E-3</v>
      </c>
      <c r="Q45" s="276">
        <v>5.0000000000000001E-3</v>
      </c>
      <c r="R45" s="276">
        <v>5.0000000000000001E-3</v>
      </c>
      <c r="S45" s="276">
        <v>5.0000000000000001E-3</v>
      </c>
      <c r="T45" s="276">
        <v>5.0000000000000001E-3</v>
      </c>
      <c r="U45" s="276">
        <v>5.0000000000000001E-3</v>
      </c>
      <c r="V45" s="276">
        <v>5.0000000000000001E-3</v>
      </c>
      <c r="W45" s="276">
        <v>5.0000000000000001E-3</v>
      </c>
      <c r="X45" s="276">
        <v>5.0000000000000001E-3</v>
      </c>
      <c r="Y45" s="276">
        <v>5.0000000000000001E-3</v>
      </c>
      <c r="Z45" s="276">
        <v>5.0000000000000001E-3</v>
      </c>
      <c r="AA45" s="276">
        <v>5.0000000000000001E-3</v>
      </c>
      <c r="AB45" s="276">
        <v>5.0000000000000001E-3</v>
      </c>
      <c r="AC45" s="276">
        <v>5.0000000000000001E-3</v>
      </c>
      <c r="AD45" s="276">
        <v>5.0000000000000001E-3</v>
      </c>
      <c r="AE45" s="276">
        <v>5.0000000000000001E-3</v>
      </c>
      <c r="AF45" s="276">
        <v>5.0000000000000001E-3</v>
      </c>
      <c r="AG45" s="276">
        <v>5.0000000000000001E-3</v>
      </c>
      <c r="AH45" s="276">
        <v>5.0000000000000001E-3</v>
      </c>
      <c r="AI45" s="276">
        <v>5.0000000000000001E-3</v>
      </c>
      <c r="AJ45" s="276">
        <v>5.0000000000000001E-3</v>
      </c>
      <c r="AK45" s="276">
        <v>5.0000000000000001E-3</v>
      </c>
      <c r="AL45" s="276">
        <v>5.0000000000000001E-3</v>
      </c>
      <c r="AM45" s="276">
        <v>5.0000000000000001E-3</v>
      </c>
      <c r="AN45" s="276">
        <v>5.0000000000000001E-3</v>
      </c>
      <c r="AO45" s="276">
        <v>5.0000000000000001E-3</v>
      </c>
      <c r="AP45" s="276">
        <v>5.0000000000000001E-3</v>
      </c>
      <c r="AQ45" s="276">
        <v>5.0000000000000001E-3</v>
      </c>
      <c r="AR45" s="276">
        <v>5.0000000000000001E-3</v>
      </c>
      <c r="AS45" s="276">
        <v>5.0000000000000001E-3</v>
      </c>
      <c r="AT45" s="276">
        <v>5.0000000000000001E-3</v>
      </c>
      <c r="AU45" s="276">
        <v>5.0000000000000001E-3</v>
      </c>
      <c r="AV45" s="276">
        <v>5.0000000000000001E-3</v>
      </c>
      <c r="AW45" s="276">
        <v>5.0000000000000001E-3</v>
      </c>
      <c r="AX45" s="276">
        <v>5.0000000000000001E-3</v>
      </c>
      <c r="AY45" s="276">
        <v>5.0000000000000001E-3</v>
      </c>
      <c r="AZ45" s="276">
        <v>5.0000000000000001E-3</v>
      </c>
      <c r="BA45" s="276">
        <v>5.0000000000000001E-3</v>
      </c>
      <c r="BB45" s="276">
        <v>5.0000000000000001E-3</v>
      </c>
      <c r="BC45" s="276">
        <v>5.0000000000000001E-3</v>
      </c>
      <c r="BD45" s="276">
        <v>5.0000000000000001E-3</v>
      </c>
      <c r="BE45" s="276">
        <v>5.0000000000000001E-3</v>
      </c>
      <c r="BF45" s="276">
        <v>5.0000000000000001E-3</v>
      </c>
      <c r="BG45" s="276">
        <v>5.0000000000000001E-3</v>
      </c>
      <c r="BH45" s="276">
        <v>5.0000000000000001E-3</v>
      </c>
      <c r="BI45" s="276">
        <v>5.0000000000000001E-3</v>
      </c>
      <c r="BJ45" s="276">
        <v>5.0000000000000001E-3</v>
      </c>
      <c r="BK45" s="276">
        <v>5.0000000000000001E-3</v>
      </c>
    </row>
    <row r="46" spans="1:63" ht="14.25" customHeight="1" x14ac:dyDescent="0.35">
      <c r="A46" s="278" t="s">
        <v>145</v>
      </c>
      <c r="B46" s="276">
        <v>5.0000000000000001E-3</v>
      </c>
      <c r="C46" s="276">
        <v>5.0000000000000001E-3</v>
      </c>
      <c r="D46" s="276">
        <v>5.0000000000000001E-3</v>
      </c>
      <c r="E46" s="276">
        <v>5.0000000000000001E-3</v>
      </c>
      <c r="F46" s="276">
        <v>5.0000000000000001E-3</v>
      </c>
      <c r="G46" s="276">
        <v>5.0000000000000001E-3</v>
      </c>
      <c r="H46" s="276">
        <v>5.0000000000000001E-3</v>
      </c>
      <c r="I46" s="276">
        <v>5.0000000000000001E-3</v>
      </c>
      <c r="J46" s="276">
        <v>5.0000000000000001E-3</v>
      </c>
      <c r="K46" s="276">
        <v>5.0000000000000001E-3</v>
      </c>
      <c r="L46" s="276">
        <v>5.0000000000000001E-3</v>
      </c>
      <c r="M46" s="276">
        <v>5.0000000000000001E-3</v>
      </c>
      <c r="N46" s="276">
        <v>5.0000000000000001E-3</v>
      </c>
      <c r="O46" s="276">
        <v>5.0000000000000001E-3</v>
      </c>
      <c r="P46" s="276">
        <v>5.0000000000000001E-3</v>
      </c>
      <c r="Q46" s="276">
        <v>5.0000000000000001E-3</v>
      </c>
      <c r="R46" s="276">
        <v>5.0000000000000001E-3</v>
      </c>
      <c r="S46" s="276">
        <v>5.0000000000000001E-3</v>
      </c>
      <c r="T46" s="276">
        <v>5.0000000000000001E-3</v>
      </c>
      <c r="U46" s="276">
        <v>5.0000000000000001E-3</v>
      </c>
      <c r="V46" s="276">
        <v>5.0000000000000001E-3</v>
      </c>
      <c r="W46" s="276">
        <v>5.0000000000000001E-3</v>
      </c>
      <c r="X46" s="276">
        <v>5.0000000000000001E-3</v>
      </c>
      <c r="Y46" s="276">
        <v>5.0000000000000001E-3</v>
      </c>
      <c r="Z46" s="276">
        <v>5.0000000000000001E-3</v>
      </c>
      <c r="AA46" s="276">
        <v>5.0000000000000001E-3</v>
      </c>
      <c r="AB46" s="276">
        <v>5.0000000000000001E-3</v>
      </c>
      <c r="AC46" s="276">
        <v>5.0000000000000001E-3</v>
      </c>
      <c r="AD46" s="276">
        <v>5.0000000000000001E-3</v>
      </c>
      <c r="AE46" s="276">
        <v>5.0000000000000001E-3</v>
      </c>
      <c r="AF46" s="276">
        <v>5.0000000000000001E-3</v>
      </c>
      <c r="AG46" s="276">
        <v>5.0000000000000001E-3</v>
      </c>
      <c r="AH46" s="276">
        <v>5.0000000000000001E-3</v>
      </c>
      <c r="AI46" s="276">
        <v>5.0000000000000001E-3</v>
      </c>
      <c r="AJ46" s="276">
        <v>5.0000000000000001E-3</v>
      </c>
      <c r="AK46" s="276">
        <v>5.0000000000000001E-3</v>
      </c>
      <c r="AL46" s="276">
        <v>5.0000000000000001E-3</v>
      </c>
      <c r="AM46" s="276">
        <v>5.0000000000000001E-3</v>
      </c>
      <c r="AN46" s="276">
        <v>5.0000000000000001E-3</v>
      </c>
      <c r="AO46" s="276">
        <v>5.0000000000000001E-3</v>
      </c>
      <c r="AP46" s="276">
        <v>5.0000000000000001E-3</v>
      </c>
      <c r="AQ46" s="276">
        <v>5.0000000000000001E-3</v>
      </c>
      <c r="AR46" s="276">
        <v>5.0000000000000001E-3</v>
      </c>
      <c r="AS46" s="276">
        <v>5.0000000000000001E-3</v>
      </c>
      <c r="AT46" s="276">
        <v>5.0000000000000001E-3</v>
      </c>
      <c r="AU46" s="276">
        <v>5.0000000000000001E-3</v>
      </c>
      <c r="AV46" s="276">
        <v>5.0000000000000001E-3</v>
      </c>
      <c r="AW46" s="276">
        <v>5.0000000000000001E-3</v>
      </c>
      <c r="AX46" s="276">
        <v>5.0000000000000001E-3</v>
      </c>
      <c r="AY46" s="276">
        <v>5.0000000000000001E-3</v>
      </c>
      <c r="AZ46" s="276">
        <v>5.0000000000000001E-3</v>
      </c>
      <c r="BA46" s="276">
        <v>5.0000000000000001E-3</v>
      </c>
      <c r="BB46" s="276">
        <v>5.0000000000000001E-3</v>
      </c>
      <c r="BC46" s="276">
        <v>5.0000000000000001E-3</v>
      </c>
      <c r="BD46" s="276">
        <v>5.0000000000000001E-3</v>
      </c>
      <c r="BE46" s="276">
        <v>5.0000000000000001E-3</v>
      </c>
      <c r="BF46" s="276">
        <v>5.0000000000000001E-3</v>
      </c>
      <c r="BG46" s="276">
        <v>5.0000000000000001E-3</v>
      </c>
      <c r="BH46" s="276">
        <v>5.0000000000000001E-3</v>
      </c>
      <c r="BI46" s="276">
        <v>5.0000000000000001E-3</v>
      </c>
      <c r="BJ46" s="276">
        <v>5.0000000000000001E-3</v>
      </c>
      <c r="BK46" s="276">
        <v>5.0000000000000001E-3</v>
      </c>
    </row>
    <row r="47" spans="1:63" ht="14.25" customHeight="1" x14ac:dyDescent="0.35">
      <c r="A47" s="278" t="s">
        <v>87</v>
      </c>
      <c r="B47" s="276">
        <v>5.0000000000000001E-3</v>
      </c>
      <c r="C47" s="276">
        <v>5.0000000000000001E-3</v>
      </c>
      <c r="D47" s="276">
        <v>5.0000000000000001E-3</v>
      </c>
      <c r="E47" s="276">
        <v>5.0000000000000001E-3</v>
      </c>
      <c r="F47" s="276">
        <v>5.0000000000000001E-3</v>
      </c>
      <c r="G47" s="276">
        <v>5.0000000000000001E-3</v>
      </c>
      <c r="H47" s="276">
        <v>5.0000000000000001E-3</v>
      </c>
      <c r="I47" s="276">
        <v>5.0000000000000001E-3</v>
      </c>
      <c r="J47" s="276">
        <v>5.0000000000000001E-3</v>
      </c>
      <c r="K47" s="276">
        <v>5.0000000000000001E-3</v>
      </c>
      <c r="L47" s="276">
        <v>5.0000000000000001E-3</v>
      </c>
      <c r="M47" s="276">
        <v>5.0000000000000001E-3</v>
      </c>
      <c r="N47" s="276">
        <v>5.0000000000000001E-3</v>
      </c>
      <c r="O47" s="276">
        <v>5.0000000000000001E-3</v>
      </c>
      <c r="P47" s="276">
        <v>5.0000000000000001E-3</v>
      </c>
      <c r="Q47" s="276">
        <v>5.0000000000000001E-3</v>
      </c>
      <c r="R47" s="276">
        <v>5.0000000000000001E-3</v>
      </c>
      <c r="S47" s="276">
        <v>5.0000000000000001E-3</v>
      </c>
      <c r="T47" s="276">
        <v>5.0000000000000001E-3</v>
      </c>
      <c r="U47" s="276">
        <v>5.0000000000000001E-3</v>
      </c>
      <c r="V47" s="276">
        <v>5.0000000000000001E-3</v>
      </c>
      <c r="W47" s="276">
        <v>5.0000000000000001E-3</v>
      </c>
      <c r="X47" s="276">
        <v>5.0000000000000001E-3</v>
      </c>
      <c r="Y47" s="276">
        <v>5.0000000000000001E-3</v>
      </c>
      <c r="Z47" s="276">
        <v>5.0000000000000001E-3</v>
      </c>
      <c r="AA47" s="276">
        <v>5.0000000000000001E-3</v>
      </c>
      <c r="AB47" s="276">
        <v>5.0000000000000001E-3</v>
      </c>
      <c r="AC47" s="276">
        <v>5.0000000000000001E-3</v>
      </c>
      <c r="AD47" s="276">
        <v>5.0000000000000001E-3</v>
      </c>
      <c r="AE47" s="276">
        <v>5.0000000000000001E-3</v>
      </c>
      <c r="AF47" s="276">
        <v>5.0000000000000001E-3</v>
      </c>
      <c r="AG47" s="276">
        <v>5.0000000000000001E-3</v>
      </c>
      <c r="AH47" s="276">
        <v>5.0000000000000001E-3</v>
      </c>
      <c r="AI47" s="276">
        <v>5.0000000000000001E-3</v>
      </c>
      <c r="AJ47" s="276">
        <v>5.0000000000000001E-3</v>
      </c>
      <c r="AK47" s="276">
        <v>5.0000000000000001E-3</v>
      </c>
      <c r="AL47" s="276">
        <v>5.0000000000000001E-3</v>
      </c>
      <c r="AM47" s="276">
        <v>5.0000000000000001E-3</v>
      </c>
      <c r="AN47" s="276">
        <v>5.0000000000000001E-3</v>
      </c>
      <c r="AO47" s="276">
        <v>5.0000000000000001E-3</v>
      </c>
      <c r="AP47" s="276">
        <v>5.0000000000000001E-3</v>
      </c>
      <c r="AQ47" s="276">
        <v>5.0000000000000001E-3</v>
      </c>
      <c r="AR47" s="276">
        <v>5.0000000000000001E-3</v>
      </c>
      <c r="AS47" s="276">
        <v>5.0000000000000001E-3</v>
      </c>
      <c r="AT47" s="276">
        <v>5.0000000000000001E-3</v>
      </c>
      <c r="AU47" s="276">
        <v>5.0000000000000001E-3</v>
      </c>
      <c r="AV47" s="276">
        <v>5.0000000000000001E-3</v>
      </c>
      <c r="AW47" s="276">
        <v>5.0000000000000001E-3</v>
      </c>
      <c r="AX47" s="276">
        <v>5.0000000000000001E-3</v>
      </c>
      <c r="AY47" s="276">
        <v>5.0000000000000001E-3</v>
      </c>
      <c r="AZ47" s="276">
        <v>5.0000000000000001E-3</v>
      </c>
      <c r="BA47" s="276">
        <v>5.0000000000000001E-3</v>
      </c>
      <c r="BB47" s="276">
        <v>5.0000000000000001E-3</v>
      </c>
      <c r="BC47" s="276">
        <v>5.0000000000000001E-3</v>
      </c>
      <c r="BD47" s="276">
        <v>5.0000000000000001E-3</v>
      </c>
      <c r="BE47" s="276">
        <v>5.0000000000000001E-3</v>
      </c>
      <c r="BF47" s="276">
        <v>5.0000000000000001E-3</v>
      </c>
      <c r="BG47" s="276">
        <v>5.0000000000000001E-3</v>
      </c>
      <c r="BH47" s="276">
        <v>5.0000000000000001E-3</v>
      </c>
      <c r="BI47" s="276">
        <v>5.0000000000000001E-3</v>
      </c>
      <c r="BJ47" s="276">
        <v>5.0000000000000001E-3</v>
      </c>
      <c r="BK47" s="276">
        <v>5.0000000000000001E-3</v>
      </c>
    </row>
    <row r="48" spans="1:63" ht="14.25" customHeight="1" x14ac:dyDescent="0.35">
      <c r="A48" s="278" t="s">
        <v>146</v>
      </c>
      <c r="B48" s="276">
        <v>5.0000000000000001E-3</v>
      </c>
      <c r="C48" s="276">
        <v>5.0000000000000001E-3</v>
      </c>
      <c r="D48" s="276">
        <v>5.0000000000000001E-3</v>
      </c>
      <c r="E48" s="276">
        <v>5.0000000000000001E-3</v>
      </c>
      <c r="F48" s="276">
        <v>5.0000000000000001E-3</v>
      </c>
      <c r="G48" s="276">
        <v>5.0000000000000001E-3</v>
      </c>
      <c r="H48" s="276">
        <v>5.0000000000000001E-3</v>
      </c>
      <c r="I48" s="276">
        <v>5.0000000000000001E-3</v>
      </c>
      <c r="J48" s="276">
        <v>5.0000000000000001E-3</v>
      </c>
      <c r="K48" s="276">
        <v>5.0000000000000001E-3</v>
      </c>
      <c r="L48" s="276">
        <v>5.0000000000000001E-3</v>
      </c>
      <c r="M48" s="276">
        <v>5.0000000000000001E-3</v>
      </c>
      <c r="N48" s="276">
        <v>5.0000000000000001E-3</v>
      </c>
      <c r="O48" s="276">
        <v>5.0000000000000001E-3</v>
      </c>
      <c r="P48" s="276">
        <v>5.0000000000000001E-3</v>
      </c>
      <c r="Q48" s="276">
        <v>5.0000000000000001E-3</v>
      </c>
      <c r="R48" s="276">
        <v>5.0000000000000001E-3</v>
      </c>
      <c r="S48" s="276">
        <v>5.0000000000000001E-3</v>
      </c>
      <c r="T48" s="276">
        <v>5.0000000000000001E-3</v>
      </c>
      <c r="U48" s="276">
        <v>5.0000000000000001E-3</v>
      </c>
      <c r="V48" s="276">
        <v>5.0000000000000001E-3</v>
      </c>
      <c r="W48" s="276">
        <v>5.0000000000000001E-3</v>
      </c>
      <c r="X48" s="276">
        <v>5.0000000000000001E-3</v>
      </c>
      <c r="Y48" s="276">
        <v>5.0000000000000001E-3</v>
      </c>
      <c r="Z48" s="276">
        <v>5.0000000000000001E-3</v>
      </c>
      <c r="AA48" s="276">
        <v>5.0000000000000001E-3</v>
      </c>
      <c r="AB48" s="276">
        <v>5.0000000000000001E-3</v>
      </c>
      <c r="AC48" s="276">
        <v>5.0000000000000001E-3</v>
      </c>
      <c r="AD48" s="276">
        <v>5.0000000000000001E-3</v>
      </c>
      <c r="AE48" s="276">
        <v>5.0000000000000001E-3</v>
      </c>
      <c r="AF48" s="276">
        <v>5.0000000000000001E-3</v>
      </c>
      <c r="AG48" s="276">
        <v>5.0000000000000001E-3</v>
      </c>
      <c r="AH48" s="276">
        <v>5.0000000000000001E-3</v>
      </c>
      <c r="AI48" s="276">
        <v>5.0000000000000001E-3</v>
      </c>
      <c r="AJ48" s="276">
        <v>5.0000000000000001E-3</v>
      </c>
      <c r="AK48" s="276">
        <v>5.0000000000000001E-3</v>
      </c>
      <c r="AL48" s="276">
        <v>5.0000000000000001E-3</v>
      </c>
      <c r="AM48" s="276">
        <v>5.0000000000000001E-3</v>
      </c>
      <c r="AN48" s="276">
        <v>5.0000000000000001E-3</v>
      </c>
      <c r="AO48" s="276">
        <v>5.0000000000000001E-3</v>
      </c>
      <c r="AP48" s="276">
        <v>5.0000000000000001E-3</v>
      </c>
      <c r="AQ48" s="276">
        <v>5.0000000000000001E-3</v>
      </c>
      <c r="AR48" s="276">
        <v>5.0000000000000001E-3</v>
      </c>
      <c r="AS48" s="276">
        <v>5.0000000000000001E-3</v>
      </c>
      <c r="AT48" s="276">
        <v>5.0000000000000001E-3</v>
      </c>
      <c r="AU48" s="276">
        <v>5.0000000000000001E-3</v>
      </c>
      <c r="AV48" s="276">
        <v>5.0000000000000001E-3</v>
      </c>
      <c r="AW48" s="276">
        <v>5.0000000000000001E-3</v>
      </c>
      <c r="AX48" s="276">
        <v>5.0000000000000001E-3</v>
      </c>
      <c r="AY48" s="276">
        <v>5.0000000000000001E-3</v>
      </c>
      <c r="AZ48" s="276">
        <v>5.0000000000000001E-3</v>
      </c>
      <c r="BA48" s="276">
        <v>5.0000000000000001E-3</v>
      </c>
      <c r="BB48" s="276">
        <v>5.0000000000000001E-3</v>
      </c>
      <c r="BC48" s="276">
        <v>5.0000000000000001E-3</v>
      </c>
      <c r="BD48" s="276">
        <v>5.0000000000000001E-3</v>
      </c>
      <c r="BE48" s="276">
        <v>5.0000000000000001E-3</v>
      </c>
      <c r="BF48" s="276">
        <v>5.0000000000000001E-3</v>
      </c>
      <c r="BG48" s="276">
        <v>5.0000000000000001E-3</v>
      </c>
      <c r="BH48" s="276">
        <v>5.0000000000000001E-3</v>
      </c>
      <c r="BI48" s="276">
        <v>5.0000000000000001E-3</v>
      </c>
      <c r="BJ48" s="276">
        <v>5.0000000000000001E-3</v>
      </c>
      <c r="BK48" s="276">
        <v>5.0000000000000001E-3</v>
      </c>
    </row>
    <row r="49" spans="1:63" ht="14.25" customHeight="1" x14ac:dyDescent="0.35">
      <c r="A49" s="278" t="s">
        <v>89</v>
      </c>
      <c r="B49" s="276">
        <v>5.0000000000000001E-3</v>
      </c>
      <c r="C49" s="276">
        <v>5.0000000000000001E-3</v>
      </c>
      <c r="D49" s="276">
        <v>5.0000000000000001E-3</v>
      </c>
      <c r="E49" s="276">
        <v>5.0000000000000001E-3</v>
      </c>
      <c r="F49" s="276">
        <v>5.0000000000000001E-3</v>
      </c>
      <c r="G49" s="276">
        <v>5.0000000000000001E-3</v>
      </c>
      <c r="H49" s="276">
        <v>5.0000000000000001E-3</v>
      </c>
      <c r="I49" s="276">
        <v>5.0000000000000001E-3</v>
      </c>
      <c r="J49" s="276">
        <v>5.0000000000000001E-3</v>
      </c>
      <c r="K49" s="276">
        <v>5.0000000000000001E-3</v>
      </c>
      <c r="L49" s="276">
        <v>5.0000000000000001E-3</v>
      </c>
      <c r="M49" s="276">
        <v>5.0000000000000001E-3</v>
      </c>
      <c r="N49" s="276">
        <v>5.0000000000000001E-3</v>
      </c>
      <c r="O49" s="276">
        <v>5.0000000000000001E-3</v>
      </c>
      <c r="P49" s="276">
        <v>5.0000000000000001E-3</v>
      </c>
      <c r="Q49" s="276">
        <v>5.0000000000000001E-3</v>
      </c>
      <c r="R49" s="276">
        <v>5.0000000000000001E-3</v>
      </c>
      <c r="S49" s="276">
        <v>5.0000000000000001E-3</v>
      </c>
      <c r="T49" s="276">
        <v>5.0000000000000001E-3</v>
      </c>
      <c r="U49" s="276">
        <v>5.0000000000000001E-3</v>
      </c>
      <c r="V49" s="276">
        <v>5.0000000000000001E-3</v>
      </c>
      <c r="W49" s="276">
        <v>5.0000000000000001E-3</v>
      </c>
      <c r="X49" s="276">
        <v>5.0000000000000001E-3</v>
      </c>
      <c r="Y49" s="276">
        <v>5.0000000000000001E-3</v>
      </c>
      <c r="Z49" s="276">
        <v>5.0000000000000001E-3</v>
      </c>
      <c r="AA49" s="276">
        <v>5.0000000000000001E-3</v>
      </c>
      <c r="AB49" s="276">
        <v>5.0000000000000001E-3</v>
      </c>
      <c r="AC49" s="276">
        <v>5.0000000000000001E-3</v>
      </c>
      <c r="AD49" s="276">
        <v>5.0000000000000001E-3</v>
      </c>
      <c r="AE49" s="276">
        <v>5.0000000000000001E-3</v>
      </c>
      <c r="AF49" s="276">
        <v>5.0000000000000001E-3</v>
      </c>
      <c r="AG49" s="276">
        <v>5.0000000000000001E-3</v>
      </c>
      <c r="AH49" s="276">
        <v>5.0000000000000001E-3</v>
      </c>
      <c r="AI49" s="276">
        <v>5.0000000000000001E-3</v>
      </c>
      <c r="AJ49" s="276">
        <v>5.0000000000000001E-3</v>
      </c>
      <c r="AK49" s="276">
        <v>5.0000000000000001E-3</v>
      </c>
      <c r="AL49" s="276">
        <v>5.0000000000000001E-3</v>
      </c>
      <c r="AM49" s="276">
        <v>5.0000000000000001E-3</v>
      </c>
      <c r="AN49" s="276">
        <v>5.0000000000000001E-3</v>
      </c>
      <c r="AO49" s="276">
        <v>5.0000000000000001E-3</v>
      </c>
      <c r="AP49" s="276">
        <v>5.0000000000000001E-3</v>
      </c>
      <c r="AQ49" s="276">
        <v>5.0000000000000001E-3</v>
      </c>
      <c r="AR49" s="276">
        <v>5.0000000000000001E-3</v>
      </c>
      <c r="AS49" s="276">
        <v>5.0000000000000001E-3</v>
      </c>
      <c r="AT49" s="276">
        <v>5.0000000000000001E-3</v>
      </c>
      <c r="AU49" s="276">
        <v>5.0000000000000001E-3</v>
      </c>
      <c r="AV49" s="276">
        <v>5.0000000000000001E-3</v>
      </c>
      <c r="AW49" s="276">
        <v>5.0000000000000001E-3</v>
      </c>
      <c r="AX49" s="276">
        <v>5.0000000000000001E-3</v>
      </c>
      <c r="AY49" s="276">
        <v>5.0000000000000001E-3</v>
      </c>
      <c r="AZ49" s="276">
        <v>5.0000000000000001E-3</v>
      </c>
      <c r="BA49" s="276">
        <v>5.0000000000000001E-3</v>
      </c>
      <c r="BB49" s="276">
        <v>5.0000000000000001E-3</v>
      </c>
      <c r="BC49" s="276">
        <v>5.0000000000000001E-3</v>
      </c>
      <c r="BD49" s="276">
        <v>5.0000000000000001E-3</v>
      </c>
      <c r="BE49" s="276">
        <v>5.0000000000000001E-3</v>
      </c>
      <c r="BF49" s="276">
        <v>5.0000000000000001E-3</v>
      </c>
      <c r="BG49" s="276">
        <v>5.0000000000000001E-3</v>
      </c>
      <c r="BH49" s="276">
        <v>5.0000000000000001E-3</v>
      </c>
      <c r="BI49" s="276">
        <v>5.0000000000000001E-3</v>
      </c>
      <c r="BJ49" s="276">
        <v>5.0000000000000001E-3</v>
      </c>
      <c r="BK49" s="276">
        <v>5.0000000000000001E-3</v>
      </c>
    </row>
    <row r="50" spans="1:63" ht="14.25" customHeight="1" x14ac:dyDescent="0.35">
      <c r="A50" s="278" t="s">
        <v>90</v>
      </c>
      <c r="B50" s="276">
        <v>5.0000000000000001E-3</v>
      </c>
      <c r="C50" s="276">
        <v>5.0000000000000001E-3</v>
      </c>
      <c r="D50" s="276">
        <v>5.0000000000000001E-3</v>
      </c>
      <c r="E50" s="276">
        <v>5.0000000000000001E-3</v>
      </c>
      <c r="F50" s="276">
        <v>5.0000000000000001E-3</v>
      </c>
      <c r="G50" s="276">
        <v>5.0000000000000001E-3</v>
      </c>
      <c r="H50" s="276">
        <v>5.0000000000000001E-3</v>
      </c>
      <c r="I50" s="276">
        <v>5.0000000000000001E-3</v>
      </c>
      <c r="J50" s="276">
        <v>5.0000000000000001E-3</v>
      </c>
      <c r="K50" s="276">
        <v>5.0000000000000001E-3</v>
      </c>
      <c r="L50" s="276">
        <v>5.0000000000000001E-3</v>
      </c>
      <c r="M50" s="276">
        <v>5.0000000000000001E-3</v>
      </c>
      <c r="N50" s="276">
        <v>5.0000000000000001E-3</v>
      </c>
      <c r="O50" s="276">
        <v>5.0000000000000001E-3</v>
      </c>
      <c r="P50" s="276">
        <v>5.0000000000000001E-3</v>
      </c>
      <c r="Q50" s="276">
        <v>5.0000000000000001E-3</v>
      </c>
      <c r="R50" s="276">
        <v>5.0000000000000001E-3</v>
      </c>
      <c r="S50" s="276">
        <v>5.0000000000000001E-3</v>
      </c>
      <c r="T50" s="276">
        <v>5.0000000000000001E-3</v>
      </c>
      <c r="U50" s="276">
        <v>5.0000000000000001E-3</v>
      </c>
      <c r="V50" s="276">
        <v>5.0000000000000001E-3</v>
      </c>
      <c r="W50" s="276">
        <v>5.0000000000000001E-3</v>
      </c>
      <c r="X50" s="276">
        <v>5.0000000000000001E-3</v>
      </c>
      <c r="Y50" s="276">
        <v>5.0000000000000001E-3</v>
      </c>
      <c r="Z50" s="276">
        <v>5.0000000000000001E-3</v>
      </c>
      <c r="AA50" s="276">
        <v>5.0000000000000001E-3</v>
      </c>
      <c r="AB50" s="276">
        <v>5.0000000000000001E-3</v>
      </c>
      <c r="AC50" s="276">
        <v>5.0000000000000001E-3</v>
      </c>
      <c r="AD50" s="276">
        <v>5.0000000000000001E-3</v>
      </c>
      <c r="AE50" s="276">
        <v>5.0000000000000001E-3</v>
      </c>
      <c r="AF50" s="276">
        <v>5.0000000000000001E-3</v>
      </c>
      <c r="AG50" s="276">
        <v>5.0000000000000001E-3</v>
      </c>
      <c r="AH50" s="276">
        <v>5.0000000000000001E-3</v>
      </c>
      <c r="AI50" s="276">
        <v>5.0000000000000001E-3</v>
      </c>
      <c r="AJ50" s="276">
        <v>5.0000000000000001E-3</v>
      </c>
      <c r="AK50" s="276">
        <v>5.0000000000000001E-3</v>
      </c>
      <c r="AL50" s="276">
        <v>5.0000000000000001E-3</v>
      </c>
      <c r="AM50" s="276">
        <v>5.0000000000000001E-3</v>
      </c>
      <c r="AN50" s="276">
        <v>5.0000000000000001E-3</v>
      </c>
      <c r="AO50" s="276">
        <v>5.0000000000000001E-3</v>
      </c>
      <c r="AP50" s="276">
        <v>5.0000000000000001E-3</v>
      </c>
      <c r="AQ50" s="276">
        <v>5.0000000000000001E-3</v>
      </c>
      <c r="AR50" s="276">
        <v>5.0000000000000001E-3</v>
      </c>
      <c r="AS50" s="276">
        <v>5.0000000000000001E-3</v>
      </c>
      <c r="AT50" s="276">
        <v>5.0000000000000001E-3</v>
      </c>
      <c r="AU50" s="276">
        <v>5.0000000000000001E-3</v>
      </c>
      <c r="AV50" s="276">
        <v>5.0000000000000001E-3</v>
      </c>
      <c r="AW50" s="276">
        <v>5.0000000000000001E-3</v>
      </c>
      <c r="AX50" s="276">
        <v>5.0000000000000001E-3</v>
      </c>
      <c r="AY50" s="276">
        <v>5.0000000000000001E-3</v>
      </c>
      <c r="AZ50" s="276">
        <v>5.0000000000000001E-3</v>
      </c>
      <c r="BA50" s="276">
        <v>5.0000000000000001E-3</v>
      </c>
      <c r="BB50" s="276">
        <v>5.0000000000000001E-3</v>
      </c>
      <c r="BC50" s="276">
        <v>5.0000000000000001E-3</v>
      </c>
      <c r="BD50" s="276">
        <v>5.0000000000000001E-3</v>
      </c>
      <c r="BE50" s="276">
        <v>5.0000000000000001E-3</v>
      </c>
      <c r="BF50" s="276">
        <v>5.0000000000000001E-3</v>
      </c>
      <c r="BG50" s="276">
        <v>5.0000000000000001E-3</v>
      </c>
      <c r="BH50" s="276">
        <v>5.0000000000000001E-3</v>
      </c>
      <c r="BI50" s="276">
        <v>5.0000000000000001E-3</v>
      </c>
      <c r="BJ50" s="276">
        <v>5.0000000000000001E-3</v>
      </c>
      <c r="BK50" s="276">
        <v>5.0000000000000001E-3</v>
      </c>
    </row>
    <row r="52" spans="1:63" ht="14.25" customHeight="1" x14ac:dyDescent="0.35">
      <c r="A52" s="143" t="s">
        <v>1215</v>
      </c>
    </row>
    <row r="53" spans="1:63" ht="14.25" customHeight="1" x14ac:dyDescent="0.35">
      <c r="A53" s="34" t="s">
        <v>1216</v>
      </c>
      <c r="B53" s="2"/>
    </row>
    <row r="54" spans="1:63" ht="14.25" customHeight="1" x14ac:dyDescent="0.35">
      <c r="A54" s="38" t="s">
        <v>1217</v>
      </c>
      <c r="B54" s="9" t="s">
        <v>169</v>
      </c>
    </row>
    <row r="55" spans="1:63" ht="14.25" customHeight="1" x14ac:dyDescent="0.35">
      <c r="A55" s="271">
        <v>0</v>
      </c>
      <c r="B55" s="272" t="s">
        <v>1218</v>
      </c>
    </row>
    <row r="56" spans="1:63" ht="14.25" customHeight="1" x14ac:dyDescent="0.35">
      <c r="A56" s="271">
        <v>1</v>
      </c>
      <c r="B56" s="272" t="s">
        <v>1287</v>
      </c>
    </row>
    <row r="57" spans="1:63" ht="14.25" customHeight="1" x14ac:dyDescent="0.35">
      <c r="A57" s="39" t="s">
        <v>170</v>
      </c>
      <c r="B57" s="40">
        <v>0</v>
      </c>
    </row>
    <row r="59" spans="1:63" ht="14.25" customHeight="1" x14ac:dyDescent="0.35">
      <c r="A59" s="14" t="s">
        <v>649</v>
      </c>
      <c r="B59" s="34" t="s">
        <v>1219</v>
      </c>
    </row>
    <row r="60" spans="1:63" ht="14.25" customHeight="1" x14ac:dyDescent="0.35">
      <c r="A60" s="74" t="s">
        <v>380</v>
      </c>
      <c r="B60" s="273" t="s">
        <v>12</v>
      </c>
    </row>
    <row r="61" spans="1:63" ht="14.25" customHeight="1" x14ac:dyDescent="0.35">
      <c r="A61" s="74" t="s">
        <v>127</v>
      </c>
      <c r="B61" s="93">
        <v>2025</v>
      </c>
    </row>
    <row r="62" spans="1:63" ht="14.25" customHeight="1" x14ac:dyDescent="0.35">
      <c r="A62" s="118"/>
    </row>
    <row r="63" spans="1:63" ht="14.25" customHeight="1" x14ac:dyDescent="0.35">
      <c r="A63" s="34" t="s">
        <v>1220</v>
      </c>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row>
    <row r="64" spans="1:63" ht="14.25" customHeight="1" x14ac:dyDescent="0.35">
      <c r="A64" s="39" t="s">
        <v>407</v>
      </c>
      <c r="B64" s="274" t="s">
        <v>175</v>
      </c>
      <c r="C64" s="274" t="s">
        <v>176</v>
      </c>
      <c r="D64" s="274" t="s">
        <v>177</v>
      </c>
      <c r="E64" s="274" t="s">
        <v>178</v>
      </c>
      <c r="F64" s="274" t="s">
        <v>179</v>
      </c>
      <c r="G64" s="274" t="s">
        <v>180</v>
      </c>
      <c r="H64" s="274" t="s">
        <v>181</v>
      </c>
      <c r="I64" s="274" t="s">
        <v>182</v>
      </c>
      <c r="J64" s="274" t="s">
        <v>1671</v>
      </c>
      <c r="K64" s="274" t="s">
        <v>1672</v>
      </c>
      <c r="L64" s="274" t="s">
        <v>1673</v>
      </c>
      <c r="M64" s="274" t="s">
        <v>1674</v>
      </c>
      <c r="N64" s="274" t="s">
        <v>1675</v>
      </c>
      <c r="O64" s="274" t="s">
        <v>1676</v>
      </c>
      <c r="P64" s="274" t="s">
        <v>1677</v>
      </c>
      <c r="Q64" s="274" t="s">
        <v>1678</v>
      </c>
      <c r="R64" s="274" t="s">
        <v>183</v>
      </c>
      <c r="S64" s="274" t="s">
        <v>184</v>
      </c>
      <c r="T64" s="274" t="s">
        <v>185</v>
      </c>
      <c r="U64" s="274" t="s">
        <v>186</v>
      </c>
      <c r="V64" s="274" t="s">
        <v>187</v>
      </c>
      <c r="W64" s="274" t="s">
        <v>188</v>
      </c>
      <c r="X64" s="274" t="s">
        <v>189</v>
      </c>
      <c r="Y64" s="274" t="s">
        <v>190</v>
      </c>
      <c r="Z64" s="274" t="s">
        <v>1679</v>
      </c>
      <c r="AA64" s="274" t="s">
        <v>191</v>
      </c>
      <c r="AB64" s="274" t="s">
        <v>192</v>
      </c>
      <c r="AC64" s="274" t="s">
        <v>193</v>
      </c>
      <c r="AD64" s="274" t="s">
        <v>194</v>
      </c>
      <c r="AE64" s="274" t="s">
        <v>195</v>
      </c>
      <c r="AF64" s="274" t="s">
        <v>196</v>
      </c>
      <c r="AG64" s="274" t="s">
        <v>197</v>
      </c>
      <c r="AH64" s="274" t="s">
        <v>198</v>
      </c>
      <c r="AI64" s="274" t="s">
        <v>199</v>
      </c>
      <c r="AJ64" s="274" t="s">
        <v>200</v>
      </c>
      <c r="AK64" s="274" t="s">
        <v>201</v>
      </c>
      <c r="AL64" s="274" t="s">
        <v>202</v>
      </c>
      <c r="AM64" s="274" t="s">
        <v>203</v>
      </c>
      <c r="AN64" s="274" t="s">
        <v>204</v>
      </c>
      <c r="AO64" s="274" t="s">
        <v>205</v>
      </c>
      <c r="AP64" s="274" t="s">
        <v>206</v>
      </c>
      <c r="AQ64" s="274" t="s">
        <v>207</v>
      </c>
      <c r="AR64" s="274" t="s">
        <v>208</v>
      </c>
      <c r="AS64" s="274" t="s">
        <v>209</v>
      </c>
      <c r="AT64" s="274" t="s">
        <v>210</v>
      </c>
      <c r="AU64" s="274" t="s">
        <v>211</v>
      </c>
      <c r="AV64" s="274" t="s">
        <v>212</v>
      </c>
      <c r="AW64" s="274" t="s">
        <v>213</v>
      </c>
      <c r="AX64" s="274" t="s">
        <v>214</v>
      </c>
      <c r="AY64" s="274" t="s">
        <v>215</v>
      </c>
      <c r="AZ64" s="274" t="s">
        <v>216</v>
      </c>
      <c r="BA64" s="274" t="s">
        <v>217</v>
      </c>
      <c r="BB64" s="274" t="s">
        <v>218</v>
      </c>
      <c r="BC64" s="274" t="s">
        <v>219</v>
      </c>
      <c r="BD64" s="274" t="s">
        <v>220</v>
      </c>
      <c r="BE64" s="274" t="s">
        <v>221</v>
      </c>
      <c r="BF64" s="274" t="s">
        <v>222</v>
      </c>
      <c r="BG64" s="274" t="s">
        <v>223</v>
      </c>
      <c r="BH64" s="274" t="s">
        <v>224</v>
      </c>
      <c r="BI64" s="274" t="s">
        <v>225</v>
      </c>
      <c r="BJ64" s="274" t="s">
        <v>226</v>
      </c>
      <c r="BK64" s="274" t="s">
        <v>227</v>
      </c>
    </row>
    <row r="65" spans="1:63" ht="14.25" customHeight="1" x14ac:dyDescent="0.35">
      <c r="A65" s="275" t="s">
        <v>228</v>
      </c>
      <c r="B65" s="276">
        <v>3.0002408903988784E-2</v>
      </c>
      <c r="C65" s="276">
        <v>3.0001992927674279E-2</v>
      </c>
      <c r="D65" s="276">
        <v>3.0003005455519483E-2</v>
      </c>
      <c r="E65" s="276">
        <v>3.0000423848162629E-2</v>
      </c>
      <c r="F65" s="276">
        <v>0.19291553280389892</v>
      </c>
      <c r="G65" s="276">
        <v>0.33870363805861453</v>
      </c>
      <c r="H65" s="276">
        <v>0.42157492028370658</v>
      </c>
      <c r="I65" s="276">
        <v>0.6592625112071846</v>
      </c>
      <c r="J65" s="276">
        <v>0</v>
      </c>
      <c r="K65" s="276">
        <v>4.5304566538010876E-2</v>
      </c>
      <c r="L65" s="276">
        <v>0.14603101335972055</v>
      </c>
      <c r="M65" s="276">
        <v>0.65738532566674035</v>
      </c>
      <c r="N65" s="276">
        <v>6.6074006940483612E-2</v>
      </c>
      <c r="O65" s="276">
        <v>3.0029333959587567E-2</v>
      </c>
      <c r="P65" s="276">
        <v>7.5251040523762209E-3</v>
      </c>
      <c r="Q65" s="276">
        <v>1.484505805157039E-2</v>
      </c>
      <c r="R65" s="276">
        <v>0.12400855172723536</v>
      </c>
      <c r="S65" s="276">
        <v>7.0925403422966049E-2</v>
      </c>
      <c r="T65" s="276">
        <v>3.7004485947002112E-2</v>
      </c>
      <c r="U65" s="276">
        <v>3.7641688253705467E-3</v>
      </c>
      <c r="V65" s="276">
        <v>1.4817829362265953E-2</v>
      </c>
      <c r="W65" s="276">
        <v>6.4018171980983751E-2</v>
      </c>
      <c r="X65" s="276">
        <v>6.2514986983559492E-2</v>
      </c>
      <c r="Y65" s="276">
        <v>2.7149158343839179E-2</v>
      </c>
      <c r="Z65" s="276">
        <v>0</v>
      </c>
      <c r="AA65" s="276">
        <v>7.4172188257012009E-2</v>
      </c>
      <c r="AB65" s="276">
        <v>5.0037045005539953E-2</v>
      </c>
      <c r="AC65" s="276">
        <v>5.1559001424289486E-2</v>
      </c>
      <c r="AD65" s="276">
        <v>6.2190725454013218E-2</v>
      </c>
      <c r="AE65" s="276">
        <v>4.4810947512881789E-2</v>
      </c>
      <c r="AF65" s="276">
        <v>4.1390488187683198E-2</v>
      </c>
      <c r="AG65" s="276">
        <v>3.0117338509280764E-2</v>
      </c>
      <c r="AH65" s="276">
        <v>3.0074128159373898E-2</v>
      </c>
      <c r="AI65" s="276">
        <v>0</v>
      </c>
      <c r="AJ65" s="276">
        <v>0.22665800061328045</v>
      </c>
      <c r="AK65" s="276">
        <v>0.14700666911530261</v>
      </c>
      <c r="AL65" s="276">
        <v>2.0770578685787321E-5</v>
      </c>
      <c r="AM65" s="276">
        <v>6.041408109796273E-2</v>
      </c>
      <c r="AN65" s="276">
        <v>0</v>
      </c>
      <c r="AO65" s="276">
        <v>3.0087438948171855E-2</v>
      </c>
      <c r="AP65" s="276">
        <v>3.0240031852070859E-2</v>
      </c>
      <c r="AQ65" s="276">
        <v>5.2252355755017608E-3</v>
      </c>
      <c r="AR65" s="276">
        <v>5.1546202197871489E-3</v>
      </c>
      <c r="AS65" s="276">
        <v>0.14327483466041774</v>
      </c>
      <c r="AT65" s="276">
        <v>7.5622311575876233E-2</v>
      </c>
      <c r="AU65" s="276">
        <v>0.12085768524235629</v>
      </c>
      <c r="AV65" s="276">
        <v>8.1332843321515996E-2</v>
      </c>
      <c r="AW65" s="276">
        <v>7.466271607055748E-2</v>
      </c>
      <c r="AX65" s="276">
        <v>7.9270620898624244E-2</v>
      </c>
      <c r="AY65" s="276">
        <v>3.0000032248693628E-2</v>
      </c>
      <c r="AZ65" s="276">
        <v>0.11876684946108469</v>
      </c>
      <c r="BA65" s="276">
        <v>0.13673885451822748</v>
      </c>
      <c r="BB65" s="276">
        <v>0.1762857566456221</v>
      </c>
      <c r="BC65" s="276">
        <v>3.0000369492681079E-2</v>
      </c>
      <c r="BD65" s="276">
        <v>5.8832027957581613E-2</v>
      </c>
      <c r="BE65" s="276">
        <v>0.36117566548026203</v>
      </c>
      <c r="BF65" s="276">
        <v>3.000194383940516E-2</v>
      </c>
      <c r="BG65" s="276">
        <v>3.0001768726635927E-2</v>
      </c>
      <c r="BH65" s="276">
        <v>3.0000392596011224E-2</v>
      </c>
      <c r="BI65" s="276">
        <v>1.4366391212335542E-2</v>
      </c>
      <c r="BJ65" s="276">
        <v>6.3248352454479372E-3</v>
      </c>
      <c r="BK65" s="276">
        <v>0.40414743137735232</v>
      </c>
    </row>
    <row r="66" spans="1:63" ht="14.25" customHeight="1" x14ac:dyDescent="0.35">
      <c r="A66" s="277" t="s">
        <v>95</v>
      </c>
      <c r="B66" s="276">
        <v>3.0009771795074892E-2</v>
      </c>
      <c r="C66" s="276">
        <v>3.0004583616709969E-2</v>
      </c>
      <c r="D66" s="276">
        <v>3.0029659138328429E-2</v>
      </c>
      <c r="E66" s="276">
        <v>3.0042099674763772E-2</v>
      </c>
      <c r="F66" s="276">
        <v>0.10869545987826165</v>
      </c>
      <c r="G66" s="276">
        <v>0.10871437981623489</v>
      </c>
      <c r="H66" s="276">
        <v>0.10871437981623587</v>
      </c>
      <c r="I66" s="276">
        <v>0.10869545987826165</v>
      </c>
      <c r="J66" s="276">
        <v>0</v>
      </c>
      <c r="K66" s="276">
        <v>1.9754656315814606E-2</v>
      </c>
      <c r="L66" s="276">
        <v>1.7522246553757344E-2</v>
      </c>
      <c r="M66" s="276">
        <v>0</v>
      </c>
      <c r="N66" s="276">
        <v>1.0460255101048213E-2</v>
      </c>
      <c r="O66" s="276">
        <v>8.7885052529056863E-3</v>
      </c>
      <c r="P66" s="276">
        <v>3.289163708321672E-2</v>
      </c>
      <c r="Q66" s="276">
        <v>1.3795784164049744E-4</v>
      </c>
      <c r="R66" s="276">
        <v>0.12692000845781931</v>
      </c>
      <c r="S66" s="276">
        <v>2.4952531542515401E-2</v>
      </c>
      <c r="T66" s="276">
        <v>3.0060832792484355E-2</v>
      </c>
      <c r="U66" s="276">
        <v>0.32542457693788968</v>
      </c>
      <c r="V66" s="276">
        <v>0.13048475362454254</v>
      </c>
      <c r="W66" s="276">
        <v>5.8855149924800662E-2</v>
      </c>
      <c r="X66" s="276">
        <v>1.7957029718380733E-2</v>
      </c>
      <c r="Y66" s="276">
        <v>3.0029038638007259E-2</v>
      </c>
      <c r="Z66" s="276">
        <v>0</v>
      </c>
      <c r="AA66" s="276">
        <v>3.0011060286391021E-2</v>
      </c>
      <c r="AB66" s="276">
        <v>3.0002769779177693E-2</v>
      </c>
      <c r="AC66" s="276">
        <v>9.9515660860983856E-3</v>
      </c>
      <c r="AD66" s="276">
        <v>6.6485325883250998E-2</v>
      </c>
      <c r="AE66" s="276">
        <v>3.0056200664433225E-2</v>
      </c>
      <c r="AF66" s="276">
        <v>1.4318933243125371E-2</v>
      </c>
      <c r="AG66" s="276">
        <v>8.087690898900253E-2</v>
      </c>
      <c r="AH66" s="276">
        <v>2.2856122127542667E-2</v>
      </c>
      <c r="AI66" s="276">
        <v>0.28424338234373647</v>
      </c>
      <c r="AJ66" s="276">
        <v>0.1643481674109469</v>
      </c>
      <c r="AK66" s="276">
        <v>0.21478219557869183</v>
      </c>
      <c r="AL66" s="276">
        <v>3.002297665576717E-2</v>
      </c>
      <c r="AM66" s="276">
        <v>0.23969964607097599</v>
      </c>
      <c r="AN66" s="276">
        <v>0</v>
      </c>
      <c r="AO66" s="276">
        <v>3.0013299878885309E-2</v>
      </c>
      <c r="AP66" s="276">
        <v>2.0955320081703789E-2</v>
      </c>
      <c r="AQ66" s="276">
        <v>3.0028137143167211E-2</v>
      </c>
      <c r="AR66" s="276">
        <v>0.25880906576050572</v>
      </c>
      <c r="AS66" s="276">
        <v>6.6508609291301923E-2</v>
      </c>
      <c r="AT66" s="276">
        <v>3.7833947778430778E-2</v>
      </c>
      <c r="AU66" s="276">
        <v>0.11012763121286487</v>
      </c>
      <c r="AV66" s="276">
        <v>3.001113296296826E-2</v>
      </c>
      <c r="AW66" s="276">
        <v>3.0011869550634739E-2</v>
      </c>
      <c r="AX66" s="276">
        <v>3.7333715128456735E-2</v>
      </c>
      <c r="AY66" s="276">
        <v>3.0011663991880513E-2</v>
      </c>
      <c r="AZ66" s="276">
        <v>8.7566940727035474E-4</v>
      </c>
      <c r="BA66" s="276">
        <v>7.2897101268112538E-6</v>
      </c>
      <c r="BB66" s="276">
        <v>1.9279588404067578E-2</v>
      </c>
      <c r="BC66" s="276">
        <v>8.951215023168943E-2</v>
      </c>
      <c r="BD66" s="276">
        <v>0.15954508915401069</v>
      </c>
      <c r="BE66" s="276">
        <v>0.50587287228189848</v>
      </c>
      <c r="BF66" s="276">
        <v>3.0001519950258359E-2</v>
      </c>
      <c r="BG66" s="276">
        <v>3.0001508531962724E-2</v>
      </c>
      <c r="BH66" s="276">
        <v>3.000129790662379E-2</v>
      </c>
      <c r="BI66" s="276">
        <v>1.0496060978966687E-2</v>
      </c>
      <c r="BJ66" s="276">
        <v>2.2104782186512326E-2</v>
      </c>
      <c r="BK66" s="276">
        <v>0.41515815945728429</v>
      </c>
    </row>
    <row r="67" spans="1:63" ht="14.25" customHeight="1" x14ac:dyDescent="0.35">
      <c r="A67" s="277" t="s">
        <v>96</v>
      </c>
      <c r="B67" s="276">
        <v>3.0011830709135767E-2</v>
      </c>
      <c r="C67" s="276">
        <v>3.0006644141186586E-2</v>
      </c>
      <c r="D67" s="276">
        <v>3.0007337629996488E-2</v>
      </c>
      <c r="E67" s="276">
        <v>3.0000552683858039E-2</v>
      </c>
      <c r="F67" s="276">
        <v>0.64539696483871822</v>
      </c>
      <c r="G67" s="276">
        <v>0.53537143388567987</v>
      </c>
      <c r="H67" s="276">
        <v>0.81508943344183205</v>
      </c>
      <c r="I67" s="276">
        <v>0.52904631836262317</v>
      </c>
      <c r="J67" s="276">
        <v>0</v>
      </c>
      <c r="K67" s="276">
        <v>7.8233447521713953E-6</v>
      </c>
      <c r="L67" s="276">
        <v>6.4288832929449799E-2</v>
      </c>
      <c r="M67" s="276">
        <v>0</v>
      </c>
      <c r="N67" s="276">
        <v>4.8336442780963836E-2</v>
      </c>
      <c r="O67" s="276">
        <v>0.62261862311494354</v>
      </c>
      <c r="P67" s="276">
        <v>0.1319659769613663</v>
      </c>
      <c r="Q67" s="276">
        <v>2.8380354320172783E-3</v>
      </c>
      <c r="R67" s="276">
        <v>1.2919982953773706E-2</v>
      </c>
      <c r="S67" s="276">
        <v>6.1537168237767358E-2</v>
      </c>
      <c r="T67" s="276">
        <v>7.6715326896754504E-2</v>
      </c>
      <c r="U67" s="276">
        <v>0</v>
      </c>
      <c r="V67" s="276">
        <v>1.6274430605134407E-2</v>
      </c>
      <c r="W67" s="276">
        <v>8.6822786736895807E-2</v>
      </c>
      <c r="X67" s="276">
        <v>4.3704161451745771E-2</v>
      </c>
      <c r="Y67" s="276">
        <v>8.9678003798641756E-2</v>
      </c>
      <c r="Z67" s="276">
        <v>0</v>
      </c>
      <c r="AA67" s="276">
        <v>2.756697114664327E-2</v>
      </c>
      <c r="AB67" s="276">
        <v>0.12588405463849722</v>
      </c>
      <c r="AC67" s="276">
        <v>5.6228916402379467E-2</v>
      </c>
      <c r="AD67" s="276">
        <v>6.7035833856148211E-2</v>
      </c>
      <c r="AE67" s="276">
        <v>7.4356329713618205E-2</v>
      </c>
      <c r="AF67" s="276">
        <v>1.0203146531271329E-2</v>
      </c>
      <c r="AG67" s="276">
        <v>3.5242774020930734E-2</v>
      </c>
      <c r="AH67" s="276">
        <v>0.23550019803232808</v>
      </c>
      <c r="AI67" s="276">
        <v>0.53884952639534434</v>
      </c>
      <c r="AJ67" s="276">
        <v>0.45231445729887593</v>
      </c>
      <c r="AK67" s="276">
        <v>0.37700856146834077</v>
      </c>
      <c r="AL67" s="276">
        <v>2.8306382438479129E-2</v>
      </c>
      <c r="AM67" s="276">
        <v>0.53968457716286955</v>
      </c>
      <c r="AN67" s="276">
        <v>0</v>
      </c>
      <c r="AO67" s="276">
        <v>4.1528838598711957E-7</v>
      </c>
      <c r="AP67" s="276">
        <v>0.14211440215261292</v>
      </c>
      <c r="AQ67" s="276">
        <v>8.2570896080380707E-2</v>
      </c>
      <c r="AR67" s="276">
        <v>3.0944103420116213E-2</v>
      </c>
      <c r="AS67" s="276">
        <v>0.13632417317068854</v>
      </c>
      <c r="AT67" s="276">
        <v>3.0078404742908332E-2</v>
      </c>
      <c r="AU67" s="276">
        <v>4.6035820924109516E-2</v>
      </c>
      <c r="AV67" s="276">
        <v>6.7933016548473169E-2</v>
      </c>
      <c r="AW67" s="276">
        <v>6.5655810205163284E-2</v>
      </c>
      <c r="AX67" s="276">
        <v>4.6237653409684533E-2</v>
      </c>
      <c r="AY67" s="276">
        <v>3.0002485292003778E-2</v>
      </c>
      <c r="AZ67" s="276">
        <v>3.0000164495597503E-2</v>
      </c>
      <c r="BA67" s="276">
        <v>5.5122079100923205E-2</v>
      </c>
      <c r="BB67" s="276">
        <v>3.0021772731382301E-2</v>
      </c>
      <c r="BC67" s="276">
        <v>7.2347969456296998E-2</v>
      </c>
      <c r="BD67" s="276">
        <v>0.266882768063677</v>
      </c>
      <c r="BE67" s="276">
        <v>0.53613666530516579</v>
      </c>
      <c r="BF67" s="276">
        <v>3.0008914303317369E-2</v>
      </c>
      <c r="BG67" s="276">
        <v>3.0002211625810057E-2</v>
      </c>
      <c r="BH67" s="276">
        <v>3.0000563512846828E-2</v>
      </c>
      <c r="BI67" s="276">
        <v>1.9332250332781409E-3</v>
      </c>
      <c r="BJ67" s="276">
        <v>2.3352047240615365E-2</v>
      </c>
      <c r="BK67" s="276">
        <v>0.9989427624848366</v>
      </c>
    </row>
    <row r="68" spans="1:63" ht="14.25" customHeight="1" x14ac:dyDescent="0.35">
      <c r="A68" s="277" t="s">
        <v>97</v>
      </c>
      <c r="B68" s="276">
        <v>3.0024063093836567E-2</v>
      </c>
      <c r="C68" s="276">
        <v>3.0008302418310914E-2</v>
      </c>
      <c r="D68" s="276">
        <v>3.0002130409989242E-2</v>
      </c>
      <c r="E68" s="276">
        <v>3.000858908339216E-2</v>
      </c>
      <c r="F68" s="276">
        <v>0.73962729194769794</v>
      </c>
      <c r="G68" s="276">
        <v>0.13010079903830837</v>
      </c>
      <c r="H68" s="276">
        <v>0.15557271378246901</v>
      </c>
      <c r="I68" s="276">
        <v>3.0012074800556902E-2</v>
      </c>
      <c r="J68" s="276">
        <v>0</v>
      </c>
      <c r="K68" s="276">
        <v>0.12294549903123891</v>
      </c>
      <c r="L68" s="276">
        <v>9.9336181499921114E-2</v>
      </c>
      <c r="M68" s="276">
        <v>0.25212899751372375</v>
      </c>
      <c r="N68" s="276">
        <v>5.2445843369358695E-2</v>
      </c>
      <c r="O68" s="276">
        <v>1.7868828383608891E-2</v>
      </c>
      <c r="P68" s="276">
        <v>0.16594165900052571</v>
      </c>
      <c r="Q68" s="276">
        <v>2.4078999295018753E-4</v>
      </c>
      <c r="R68" s="276">
        <v>6.3875272927472859E-2</v>
      </c>
      <c r="S68" s="276">
        <v>5.1735153179363932E-2</v>
      </c>
      <c r="T68" s="276">
        <v>1.9807416456475656E-4</v>
      </c>
      <c r="U68" s="276">
        <v>0</v>
      </c>
      <c r="V68" s="276">
        <v>3.0292552611163658E-2</v>
      </c>
      <c r="W68" s="276">
        <v>8.4305047303808639E-2</v>
      </c>
      <c r="X68" s="276">
        <v>3.9299390366976862E-2</v>
      </c>
      <c r="Y68" s="276">
        <v>3.0138230344812156E-2</v>
      </c>
      <c r="Z68" s="276">
        <v>0</v>
      </c>
      <c r="AA68" s="276">
        <v>1.3482630690349334E-2</v>
      </c>
      <c r="AB68" s="276">
        <v>3.0046098753814345E-2</v>
      </c>
      <c r="AC68" s="276">
        <v>1.9365396242809044E-2</v>
      </c>
      <c r="AD68" s="276">
        <v>4.7208889272076046E-2</v>
      </c>
      <c r="AE68" s="276">
        <v>1.1367179642427795E-2</v>
      </c>
      <c r="AF68" s="276">
        <v>3.0172841300072521E-2</v>
      </c>
      <c r="AG68" s="276">
        <v>9.1910238272027392E-2</v>
      </c>
      <c r="AH68" s="276">
        <v>3.0048363692048646E-2</v>
      </c>
      <c r="AI68" s="276">
        <v>0</v>
      </c>
      <c r="AJ68" s="276">
        <v>0.45174213120172202</v>
      </c>
      <c r="AK68" s="276">
        <v>0.38754128940156779</v>
      </c>
      <c r="AL68" s="276">
        <v>7.1494441951388697E-5</v>
      </c>
      <c r="AM68" s="276">
        <v>0</v>
      </c>
      <c r="AN68" s="276">
        <v>0</v>
      </c>
      <c r="AO68" s="276">
        <v>1.0296700314350032E-9</v>
      </c>
      <c r="AP68" s="276">
        <v>0.13815596367188984</v>
      </c>
      <c r="AQ68" s="276">
        <v>6.161503071199666E-6</v>
      </c>
      <c r="AR68" s="276">
        <v>6.5151465768216842E-5</v>
      </c>
      <c r="AS68" s="276">
        <v>1.7189893849708062E-2</v>
      </c>
      <c r="AT68" s="276">
        <v>3.0106396865047159E-2</v>
      </c>
      <c r="AU68" s="276">
        <v>4.4511483521420418E-2</v>
      </c>
      <c r="AV68" s="276">
        <v>3.0086408560715927E-2</v>
      </c>
      <c r="AW68" s="276">
        <v>3.0127690672856706E-2</v>
      </c>
      <c r="AX68" s="276">
        <v>3.004710164296899E-2</v>
      </c>
      <c r="AY68" s="276">
        <v>0.1042352336264407</v>
      </c>
      <c r="AZ68" s="276">
        <v>0.28621610012426962</v>
      </c>
      <c r="BA68" s="276">
        <v>2.0496389112417124E-2</v>
      </c>
      <c r="BB68" s="276">
        <v>0.17051134314123606</v>
      </c>
      <c r="BC68" s="276">
        <v>0.14820905930168168</v>
      </c>
      <c r="BD68" s="276">
        <v>0.2749871417072508</v>
      </c>
      <c r="BE68" s="276">
        <v>0.59139671141478145</v>
      </c>
      <c r="BF68" s="276">
        <v>3.0063168690564399E-2</v>
      </c>
      <c r="BG68" s="276">
        <v>3.0026134219017099E-2</v>
      </c>
      <c r="BH68" s="276">
        <v>3.0012490452275078E-2</v>
      </c>
      <c r="BI68" s="276">
        <v>2.3971380172871207E-2</v>
      </c>
      <c r="BJ68" s="276">
        <v>3.0039457951551669E-2</v>
      </c>
      <c r="BK68" s="276">
        <v>2.9768437892669666E-2</v>
      </c>
    </row>
    <row r="69" spans="1:63" ht="14.25" customHeight="1" x14ac:dyDescent="0.35">
      <c r="A69" s="277" t="s">
        <v>98</v>
      </c>
      <c r="B69" s="276">
        <v>3.030809199364453E-2</v>
      </c>
      <c r="C69" s="276">
        <v>3.0126960868672829E-2</v>
      </c>
      <c r="D69" s="276">
        <v>5.6710059877099579E-3</v>
      </c>
      <c r="E69" s="276">
        <v>3.0299679920456752E-2</v>
      </c>
      <c r="F69" s="276">
        <v>3.0301106395241185E-2</v>
      </c>
      <c r="G69" s="276">
        <v>0</v>
      </c>
      <c r="H69" s="276">
        <v>0</v>
      </c>
      <c r="I69" s="276">
        <v>3.0344123067400541E-2</v>
      </c>
      <c r="J69" s="276">
        <v>0</v>
      </c>
      <c r="K69" s="276">
        <v>8.7351945023133079E-2</v>
      </c>
      <c r="L69" s="276">
        <v>2.655424223573314E-2</v>
      </c>
      <c r="M69" s="276">
        <v>0</v>
      </c>
      <c r="N69" s="276">
        <v>2.1922971685732061E-2</v>
      </c>
      <c r="O69" s="276">
        <v>3.0049452087402451E-2</v>
      </c>
      <c r="P69" s="276">
        <v>4.8883250743439105E-2</v>
      </c>
      <c r="Q69" s="276">
        <v>9.0586082296438941E-18</v>
      </c>
      <c r="R69" s="276">
        <v>4.6750258977905336E-2</v>
      </c>
      <c r="S69" s="276">
        <v>3.000655690522163E-2</v>
      </c>
      <c r="T69" s="276">
        <v>3.0030110818875199E-2</v>
      </c>
      <c r="U69" s="276">
        <v>0</v>
      </c>
      <c r="V69" s="276">
        <v>3.1099104443918415E-2</v>
      </c>
      <c r="W69" s="276">
        <v>1.8176443629570736E-2</v>
      </c>
      <c r="X69" s="276">
        <v>3.0118593664740255E-2</v>
      </c>
      <c r="Y69" s="276">
        <v>3.0392080535159498E-2</v>
      </c>
      <c r="Z69" s="276">
        <v>0</v>
      </c>
      <c r="AA69" s="276">
        <v>3.0240430422338736E-2</v>
      </c>
      <c r="AB69" s="276">
        <v>3.0039383088598239E-2</v>
      </c>
      <c r="AC69" s="276">
        <v>1.058524904449311E-2</v>
      </c>
      <c r="AD69" s="276">
        <v>7.2267318793279411E-2</v>
      </c>
      <c r="AE69" s="276">
        <v>3.0063290922284769E-2</v>
      </c>
      <c r="AF69" s="276">
        <v>3.0232006475202636E-2</v>
      </c>
      <c r="AG69" s="276">
        <v>0</v>
      </c>
      <c r="AH69" s="276">
        <v>0</v>
      </c>
      <c r="AI69" s="276">
        <v>0</v>
      </c>
      <c r="AJ69" s="276">
        <v>0</v>
      </c>
      <c r="AK69" s="276">
        <v>0.47535711199816999</v>
      </c>
      <c r="AL69" s="276">
        <v>0.14650027620125947</v>
      </c>
      <c r="AM69" s="276">
        <v>0.46509079686001742</v>
      </c>
      <c r="AN69" s="276">
        <v>0</v>
      </c>
      <c r="AO69" s="276">
        <v>0.56983390707119363</v>
      </c>
      <c r="AP69" s="276">
        <v>3.7375404366318796E-2</v>
      </c>
      <c r="AQ69" s="276">
        <v>8.5255758018662267E-2</v>
      </c>
      <c r="AR69" s="276">
        <v>2.9999999999999954E-2</v>
      </c>
      <c r="AS69" s="276">
        <v>2.4173710413536933E-7</v>
      </c>
      <c r="AT69" s="276">
        <v>3.0224451369918918E-2</v>
      </c>
      <c r="AU69" s="276">
        <v>0.13970526713198758</v>
      </c>
      <c r="AV69" s="276">
        <v>3.5435435221610891E-2</v>
      </c>
      <c r="AW69" s="276">
        <v>3.086511116887718E-2</v>
      </c>
      <c r="AX69" s="276">
        <v>3.0299531289851515E-2</v>
      </c>
      <c r="AY69" s="276">
        <v>0.13948981248781434</v>
      </c>
      <c r="AZ69" s="276">
        <v>3.0128194952756732E-2</v>
      </c>
      <c r="BA69" s="276">
        <v>3.0172105074094697E-2</v>
      </c>
      <c r="BB69" s="276">
        <v>0.14687504540737983</v>
      </c>
      <c r="BC69" s="276">
        <v>3.0026233334534875E-2</v>
      </c>
      <c r="BD69" s="276">
        <v>8.8126269719972408E-2</v>
      </c>
      <c r="BE69" s="276">
        <v>0.55793609954047574</v>
      </c>
      <c r="BF69" s="276">
        <v>3.0312508745663415E-2</v>
      </c>
      <c r="BG69" s="276">
        <v>3.3660463162374712E-2</v>
      </c>
      <c r="BH69" s="276">
        <v>3.0021533772065071E-2</v>
      </c>
      <c r="BI69" s="276">
        <v>5.3744393112048393E-2</v>
      </c>
      <c r="BJ69" s="276">
        <v>4.2203321942921236E-2</v>
      </c>
      <c r="BK69" s="276">
        <v>1.738899327093461E-2</v>
      </c>
    </row>
    <row r="70" spans="1:63" ht="14.25" customHeight="1" x14ac:dyDescent="0.35">
      <c r="A70" s="277" t="s">
        <v>163</v>
      </c>
      <c r="B70" s="276">
        <v>3.8846133113037556E-2</v>
      </c>
      <c r="C70" s="276">
        <v>3.0000367787390372E-2</v>
      </c>
      <c r="D70" s="276">
        <v>0.14569918003154234</v>
      </c>
      <c r="E70" s="276">
        <v>7.2493113141231056E-3</v>
      </c>
      <c r="F70" s="276">
        <v>0.26537153043976103</v>
      </c>
      <c r="G70" s="276">
        <v>6.8831223102210418E-2</v>
      </c>
      <c r="H70" s="276">
        <v>0.42066143466845152</v>
      </c>
      <c r="I70" s="276">
        <v>0</v>
      </c>
      <c r="J70" s="276">
        <v>6.8643207355358685E-3</v>
      </c>
      <c r="K70" s="276">
        <v>1.9656109692935703E-2</v>
      </c>
      <c r="L70" s="276">
        <v>9.4424862028215581E-2</v>
      </c>
      <c r="M70" s="276">
        <v>0.64602001798990194</v>
      </c>
      <c r="N70" s="276">
        <v>1.6095335178722761E-2</v>
      </c>
      <c r="O70" s="276">
        <v>6.0098074798701648E-2</v>
      </c>
      <c r="P70" s="276">
        <v>4.6210363298307078E-2</v>
      </c>
      <c r="Q70" s="276">
        <v>3.0000871263316416E-2</v>
      </c>
      <c r="R70" s="276">
        <v>0.10297530178636584</v>
      </c>
      <c r="S70" s="276">
        <v>7.1411004616190016E-2</v>
      </c>
      <c r="T70" s="276">
        <v>2.0127201723185575E-2</v>
      </c>
      <c r="U70" s="276">
        <v>5.2177197844671626E-2</v>
      </c>
      <c r="V70" s="276">
        <v>2.3322502795616096E-2</v>
      </c>
      <c r="W70" s="276">
        <v>0.1110325804697392</v>
      </c>
      <c r="X70" s="276">
        <v>0.12429064510044233</v>
      </c>
      <c r="Y70" s="276">
        <v>5.8725325054843305E-2</v>
      </c>
      <c r="Z70" s="276">
        <v>0</v>
      </c>
      <c r="AA70" s="276">
        <v>6.5378414722893005E-2</v>
      </c>
      <c r="AB70" s="276">
        <v>3.9283355226781141E-2</v>
      </c>
      <c r="AC70" s="276">
        <v>8.1020725285824574E-2</v>
      </c>
      <c r="AD70" s="276">
        <v>5.6462672728345369E-2</v>
      </c>
      <c r="AE70" s="276">
        <v>6.5810234605763906E-2</v>
      </c>
      <c r="AF70" s="276">
        <v>4.1847193433660897E-2</v>
      </c>
      <c r="AG70" s="276">
        <v>0.15545997105730919</v>
      </c>
      <c r="AH70" s="276">
        <v>4.3904533831415089E-3</v>
      </c>
      <c r="AI70" s="276">
        <v>0.58595444627331561</v>
      </c>
      <c r="AJ70" s="276">
        <v>0.47080498528146575</v>
      </c>
      <c r="AK70" s="276">
        <v>0.3959371156076002</v>
      </c>
      <c r="AL70" s="276">
        <v>3.0000033464881788E-2</v>
      </c>
      <c r="AM70" s="276">
        <v>0.55653228492323603</v>
      </c>
      <c r="AN70" s="276">
        <v>0</v>
      </c>
      <c r="AO70" s="276">
        <v>0.20356244396938955</v>
      </c>
      <c r="AP70" s="276">
        <v>9.4319798663000776E-2</v>
      </c>
      <c r="AQ70" s="276">
        <v>1.0406464104294045E-3</v>
      </c>
      <c r="AR70" s="276">
        <v>9.0119004580832704E-2</v>
      </c>
      <c r="AS70" s="276">
        <v>3.1715646443019684E-2</v>
      </c>
      <c r="AT70" s="276">
        <v>3.3325372089566242E-2</v>
      </c>
      <c r="AU70" s="276">
        <v>8.2824536942405602E-2</v>
      </c>
      <c r="AV70" s="276">
        <v>5.0367771009088853E-2</v>
      </c>
      <c r="AW70" s="276">
        <v>3.8150296395453275E-2</v>
      </c>
      <c r="AX70" s="276">
        <v>3.0920431891540485E-2</v>
      </c>
      <c r="AY70" s="276">
        <v>3.000052646166285E-2</v>
      </c>
      <c r="AZ70" s="276">
        <v>3.6328082397535495E-2</v>
      </c>
      <c r="BA70" s="276">
        <v>0.11557242342955799</v>
      </c>
      <c r="BB70" s="276">
        <v>7.911539536774638E-2</v>
      </c>
      <c r="BC70" s="276">
        <v>8.4082465365543008E-2</v>
      </c>
      <c r="BD70" s="276">
        <v>0.22618137878231806</v>
      </c>
      <c r="BE70" s="276">
        <v>0.32132214141563759</v>
      </c>
      <c r="BF70" s="276">
        <v>3.0000591609098643E-2</v>
      </c>
      <c r="BG70" s="276">
        <v>5.6477809394185228E-3</v>
      </c>
      <c r="BH70" s="276">
        <v>3.0000194258598983E-2</v>
      </c>
      <c r="BI70" s="276">
        <v>2.7106056604171206E-2</v>
      </c>
      <c r="BJ70" s="276">
        <v>4.0644058514291329E-2</v>
      </c>
      <c r="BK70" s="276">
        <v>0.27136472203352457</v>
      </c>
    </row>
    <row r="71" spans="1:63" ht="14.25" customHeight="1" x14ac:dyDescent="0.35">
      <c r="A71" s="277" t="s">
        <v>100</v>
      </c>
      <c r="B71" s="276">
        <v>3.0008569745395453E-2</v>
      </c>
      <c r="C71" s="276">
        <v>3.0012386366777173E-2</v>
      </c>
      <c r="D71" s="276">
        <v>3.0046430042307205E-2</v>
      </c>
      <c r="E71" s="276">
        <v>3.0005186604962056E-2</v>
      </c>
      <c r="F71" s="276">
        <v>0.7430232352845727</v>
      </c>
      <c r="G71" s="276">
        <v>0.59184140815074737</v>
      </c>
      <c r="H71" s="276">
        <v>0.71081015896868061</v>
      </c>
      <c r="I71" s="276">
        <v>0.74292260853334857</v>
      </c>
      <c r="J71" s="276">
        <v>0.76041226418184071</v>
      </c>
      <c r="K71" s="276">
        <v>0.15213049183003827</v>
      </c>
      <c r="L71" s="276">
        <v>0.16443428163535079</v>
      </c>
      <c r="M71" s="276">
        <v>0.73133587232928998</v>
      </c>
      <c r="N71" s="276">
        <v>8.8690430707048962E-2</v>
      </c>
      <c r="O71" s="276">
        <v>1.2708340109971279E-2</v>
      </c>
      <c r="P71" s="276">
        <v>0.24855447112804216</v>
      </c>
      <c r="Q71" s="276">
        <v>0.12093873719284672</v>
      </c>
      <c r="R71" s="276">
        <v>0.17054901223112207</v>
      </c>
      <c r="S71" s="276">
        <v>3.0002390675981466E-2</v>
      </c>
      <c r="T71" s="276">
        <v>3.0003129769002278E-2</v>
      </c>
      <c r="U71" s="276">
        <v>0.94089852781063754</v>
      </c>
      <c r="V71" s="276">
        <v>1.8776053635044584E-2</v>
      </c>
      <c r="W71" s="276">
        <v>0.23523854103903014</v>
      </c>
      <c r="X71" s="276">
        <v>3.0008635330670996E-2</v>
      </c>
      <c r="Y71" s="276">
        <v>6.6459325810802779E-3</v>
      </c>
      <c r="Z71" s="276">
        <v>0</v>
      </c>
      <c r="AA71" s="276">
        <v>1.8301259485823149E-2</v>
      </c>
      <c r="AB71" s="276">
        <v>0.10989980287346147</v>
      </c>
      <c r="AC71" s="276">
        <v>3.7922703697911592E-2</v>
      </c>
      <c r="AD71" s="276">
        <v>5.1316985255885086E-2</v>
      </c>
      <c r="AE71" s="276">
        <v>3.0013191464298612E-2</v>
      </c>
      <c r="AF71" s="276">
        <v>6.784520944520421E-2</v>
      </c>
      <c r="AG71" s="276">
        <v>7.6615516866836125E-2</v>
      </c>
      <c r="AH71" s="276">
        <v>2.5727770170932633E-2</v>
      </c>
      <c r="AI71" s="276">
        <v>0.63747976182136534</v>
      </c>
      <c r="AJ71" s="276">
        <v>5.7106515683217694E-2</v>
      </c>
      <c r="AK71" s="276">
        <v>0.31962559322689815</v>
      </c>
      <c r="AL71" s="276">
        <v>3.0075168996231198E-2</v>
      </c>
      <c r="AM71" s="276">
        <v>0.24873985785503225</v>
      </c>
      <c r="AN71" s="276">
        <v>0.18392844006568076</v>
      </c>
      <c r="AO71" s="276">
        <v>1.5074183440312297E-2</v>
      </c>
      <c r="AP71" s="276">
        <v>0.10727685130865568</v>
      </c>
      <c r="AQ71" s="276">
        <v>2.510873709334731E-3</v>
      </c>
      <c r="AR71" s="276">
        <v>3.3911679984985057E-3</v>
      </c>
      <c r="AS71" s="276">
        <v>8.7898777706174408E-2</v>
      </c>
      <c r="AT71" s="276">
        <v>1.2299349729652491E-2</v>
      </c>
      <c r="AU71" s="276">
        <v>5.9940259670272861E-2</v>
      </c>
      <c r="AV71" s="276">
        <v>3.0002892348071956E-2</v>
      </c>
      <c r="AW71" s="276">
        <v>3.0007418006536887E-2</v>
      </c>
      <c r="AX71" s="276">
        <v>6.2449737850162973E-2</v>
      </c>
      <c r="AY71" s="276">
        <v>1.5579974598524226E-6</v>
      </c>
      <c r="AZ71" s="276">
        <v>3.8470296011508501E-3</v>
      </c>
      <c r="BA71" s="276">
        <v>3.3345748506202463E-2</v>
      </c>
      <c r="BB71" s="276">
        <v>1.952547530616016E-2</v>
      </c>
      <c r="BC71" s="276">
        <v>3.9594249336612373E-3</v>
      </c>
      <c r="BD71" s="276">
        <v>0.234183819322142</v>
      </c>
      <c r="BE71" s="276">
        <v>0.40143240683431958</v>
      </c>
      <c r="BF71" s="276">
        <v>3.0009725642133982E-2</v>
      </c>
      <c r="BG71" s="276">
        <v>9.9695404593306749E-3</v>
      </c>
      <c r="BH71" s="276">
        <v>3.0002740819984833E-2</v>
      </c>
      <c r="BI71" s="276">
        <v>3.0002029771786919E-2</v>
      </c>
      <c r="BJ71" s="276">
        <v>6.9245711965886816E-2</v>
      </c>
      <c r="BK71" s="276">
        <v>0.41968107173699126</v>
      </c>
    </row>
    <row r="72" spans="1:63" ht="14.25" customHeight="1" x14ac:dyDescent="0.35">
      <c r="A72" s="277" t="s">
        <v>101</v>
      </c>
      <c r="B72" s="276">
        <v>9.4526935544727117E-2</v>
      </c>
      <c r="C72" s="276">
        <v>3.1012928887938742E-2</v>
      </c>
      <c r="D72" s="276">
        <v>4.053988051280099E-2</v>
      </c>
      <c r="E72" s="276">
        <v>3.8355625403592025E-2</v>
      </c>
      <c r="F72" s="276">
        <v>0.16010202555364522</v>
      </c>
      <c r="G72" s="276">
        <v>0</v>
      </c>
      <c r="H72" s="276">
        <v>0</v>
      </c>
      <c r="I72" s="276">
        <v>0.40728590329618686</v>
      </c>
      <c r="J72" s="276">
        <v>0</v>
      </c>
      <c r="K72" s="276">
        <v>3.814623279376262E-2</v>
      </c>
      <c r="L72" s="276">
        <v>1.5584479223824121E-2</v>
      </c>
      <c r="M72" s="276">
        <v>0.19514143195459077</v>
      </c>
      <c r="N72" s="276">
        <v>3.0019342020158355E-2</v>
      </c>
      <c r="O72" s="276">
        <v>3.0888683349979847E-2</v>
      </c>
      <c r="P72" s="276">
        <v>3.1617744187291047E-2</v>
      </c>
      <c r="Q72" s="276">
        <v>3.0085759842113667E-2</v>
      </c>
      <c r="R72" s="276">
        <v>0.21702439293301459</v>
      </c>
      <c r="S72" s="276">
        <v>1.2077397538526104E-2</v>
      </c>
      <c r="T72" s="276">
        <v>5.4422889341970093E-2</v>
      </c>
      <c r="U72" s="276">
        <v>0.25367991266355211</v>
      </c>
      <c r="V72" s="276">
        <v>0.24048414586813871</v>
      </c>
      <c r="W72" s="276">
        <v>1.9538076030077151E-2</v>
      </c>
      <c r="X72" s="276">
        <v>2.8823206725763904E-2</v>
      </c>
      <c r="Y72" s="276">
        <v>1.1906249917661782E-2</v>
      </c>
      <c r="Z72" s="276">
        <v>0</v>
      </c>
      <c r="AA72" s="276">
        <v>1.9381969383887972E-2</v>
      </c>
      <c r="AB72" s="276">
        <v>1.4833461478928174E-2</v>
      </c>
      <c r="AC72" s="276">
        <v>5.6037180752824475E-2</v>
      </c>
      <c r="AD72" s="276">
        <v>5.3996611694677463E-3</v>
      </c>
      <c r="AE72" s="276">
        <v>3.2277835243344266E-2</v>
      </c>
      <c r="AF72" s="276">
        <v>1.5905046770912572E-2</v>
      </c>
      <c r="AG72" s="276">
        <v>0.17457628376619</v>
      </c>
      <c r="AH72" s="276">
        <v>5.1553767324204768E-2</v>
      </c>
      <c r="AI72" s="276">
        <v>0</v>
      </c>
      <c r="AJ72" s="276">
        <v>0.48382057394158839</v>
      </c>
      <c r="AK72" s="276">
        <v>0.44361584535237891</v>
      </c>
      <c r="AL72" s="276">
        <v>3.2990580914566969E-2</v>
      </c>
      <c r="AM72" s="276">
        <v>0</v>
      </c>
      <c r="AN72" s="276">
        <v>0</v>
      </c>
      <c r="AO72" s="276">
        <v>6.2542386558257862E-2</v>
      </c>
      <c r="AP72" s="276">
        <v>1.9086451733100647E-2</v>
      </c>
      <c r="AQ72" s="276">
        <v>9.3092319565957413E-2</v>
      </c>
      <c r="AR72" s="276">
        <v>2.0193293697453752E-2</v>
      </c>
      <c r="AS72" s="276">
        <v>0.16772785686713582</v>
      </c>
      <c r="AT72" s="276">
        <v>4.6286096438354518E-2</v>
      </c>
      <c r="AU72" s="276">
        <v>0.12163485432489005</v>
      </c>
      <c r="AV72" s="276">
        <v>0.12029359874170209</v>
      </c>
      <c r="AW72" s="276">
        <v>7.5656845241234644E-2</v>
      </c>
      <c r="AX72" s="276">
        <v>0.15203317752330081</v>
      </c>
      <c r="AY72" s="276">
        <v>1.3650143436441926E-2</v>
      </c>
      <c r="AZ72" s="276">
        <v>3.6682641249573184E-2</v>
      </c>
      <c r="BA72" s="276">
        <v>5.5006576884035702E-3</v>
      </c>
      <c r="BB72" s="276">
        <v>4.8715080379699918E-2</v>
      </c>
      <c r="BC72" s="276">
        <v>9.5134782295028253E-2</v>
      </c>
      <c r="BD72" s="276">
        <v>0.31096930255881461</v>
      </c>
      <c r="BE72" s="276">
        <v>0.49327363461659246</v>
      </c>
      <c r="BF72" s="276">
        <v>7.2303680458910072E-2</v>
      </c>
      <c r="BG72" s="276">
        <v>2.4417327257400211E-2</v>
      </c>
      <c r="BH72" s="276">
        <v>8.7382535703697493E-3</v>
      </c>
      <c r="BI72" s="276">
        <v>3.0021413720932689E-2</v>
      </c>
      <c r="BJ72" s="276">
        <v>1.2865029482119721E-2</v>
      </c>
      <c r="BK72" s="276">
        <v>0</v>
      </c>
    </row>
    <row r="73" spans="1:63" ht="14.25" customHeight="1" x14ac:dyDescent="0.35">
      <c r="A73" s="277" t="s">
        <v>102</v>
      </c>
      <c r="B73" s="276">
        <v>3.0005688201429584E-2</v>
      </c>
      <c r="C73" s="276">
        <v>3.0006162939404869E-2</v>
      </c>
      <c r="D73" s="276">
        <v>0.33886929903940333</v>
      </c>
      <c r="E73" s="276">
        <v>1.0979432910453927E-2</v>
      </c>
      <c r="F73" s="276">
        <v>0.23372517411856081</v>
      </c>
      <c r="G73" s="276">
        <v>0</v>
      </c>
      <c r="H73" s="276">
        <v>0</v>
      </c>
      <c r="I73" s="276">
        <v>2.7105054312137601E-16</v>
      </c>
      <c r="J73" s="276">
        <v>0</v>
      </c>
      <c r="K73" s="276">
        <v>8.3647993317545716E-2</v>
      </c>
      <c r="L73" s="276">
        <v>3.0030992696825718E-2</v>
      </c>
      <c r="M73" s="276">
        <v>0.27293199455182793</v>
      </c>
      <c r="N73" s="276">
        <v>3.9668427090070464E-2</v>
      </c>
      <c r="O73" s="276">
        <v>0.22073376527719593</v>
      </c>
      <c r="P73" s="276">
        <v>1.501155675851365E-2</v>
      </c>
      <c r="Q73" s="276">
        <v>3.4469174178455584E-3</v>
      </c>
      <c r="R73" s="276">
        <v>1.2695456386544738E-2</v>
      </c>
      <c r="S73" s="276">
        <v>2.5608197991952256E-2</v>
      </c>
      <c r="T73" s="276">
        <v>2.0059723716630496E-2</v>
      </c>
      <c r="U73" s="276">
        <v>0.53304313476676723</v>
      </c>
      <c r="V73" s="276">
        <v>3.9379066016612015E-2</v>
      </c>
      <c r="W73" s="276">
        <v>0.10367802326217636</v>
      </c>
      <c r="X73" s="276">
        <v>5.461614479582242E-2</v>
      </c>
      <c r="Y73" s="276">
        <v>5.2607792941108712E-2</v>
      </c>
      <c r="Z73" s="276">
        <v>0</v>
      </c>
      <c r="AA73" s="276">
        <v>3.627131071039523E-2</v>
      </c>
      <c r="AB73" s="276">
        <v>3.0001924666855216E-2</v>
      </c>
      <c r="AC73" s="276">
        <v>0.10585860076876549</v>
      </c>
      <c r="AD73" s="276">
        <v>6.7713478650522782E-2</v>
      </c>
      <c r="AE73" s="276">
        <v>8.2314317625340975E-3</v>
      </c>
      <c r="AF73" s="276">
        <v>1.6269606149767316E-3</v>
      </c>
      <c r="AG73" s="276">
        <v>3.0184690013767199E-2</v>
      </c>
      <c r="AH73" s="276">
        <v>0.17926393994381054</v>
      </c>
      <c r="AI73" s="276">
        <v>0.38790367907261042</v>
      </c>
      <c r="AJ73" s="276">
        <v>0.38451548716069306</v>
      </c>
      <c r="AK73" s="276">
        <v>0.32336194400392659</v>
      </c>
      <c r="AL73" s="276">
        <v>3.0106150531191953E-2</v>
      </c>
      <c r="AM73" s="276">
        <v>0.15831892877837847</v>
      </c>
      <c r="AN73" s="276">
        <v>0</v>
      </c>
      <c r="AO73" s="276">
        <v>0.18274047594111442</v>
      </c>
      <c r="AP73" s="276">
        <v>3.0017533232658305E-2</v>
      </c>
      <c r="AQ73" s="276">
        <v>3.0263845262007847E-2</v>
      </c>
      <c r="AR73" s="276">
        <v>5.249291320466358E-2</v>
      </c>
      <c r="AS73" s="276">
        <v>8.9918828785615759E-2</v>
      </c>
      <c r="AT73" s="276">
        <v>1.9254280379369333E-2</v>
      </c>
      <c r="AU73" s="276">
        <v>9.1361341272348656E-2</v>
      </c>
      <c r="AV73" s="276">
        <v>5.3940462755920605E-2</v>
      </c>
      <c r="AW73" s="276">
        <v>4.0718212257048532E-2</v>
      </c>
      <c r="AX73" s="276">
        <v>4.9594909365252723E-2</v>
      </c>
      <c r="AY73" s="276">
        <v>3.003463854636497E-2</v>
      </c>
      <c r="AZ73" s="276">
        <v>3.0006915600085383E-2</v>
      </c>
      <c r="BA73" s="276">
        <v>2.5290132983498078E-2</v>
      </c>
      <c r="BB73" s="276">
        <v>2.1126350716532353E-2</v>
      </c>
      <c r="BC73" s="276">
        <v>0.11026111124342666</v>
      </c>
      <c r="BD73" s="276">
        <v>0.1521680223687987</v>
      </c>
      <c r="BE73" s="276">
        <v>0.46904546625138416</v>
      </c>
      <c r="BF73" s="276">
        <v>3.0009890615245845E-2</v>
      </c>
      <c r="BG73" s="276">
        <v>3.0002583674243754E-2</v>
      </c>
      <c r="BH73" s="276">
        <v>3.0000966148915783E-2</v>
      </c>
      <c r="BI73" s="276">
        <v>6.579483368622881E-3</v>
      </c>
      <c r="BJ73" s="276">
        <v>5.219059551692439E-3</v>
      </c>
      <c r="BK73" s="276">
        <v>0.42656384676724707</v>
      </c>
    </row>
    <row r="74" spans="1:63" ht="14.25" customHeight="1" x14ac:dyDescent="0.35">
      <c r="A74" s="277" t="s">
        <v>103</v>
      </c>
      <c r="B74" s="276">
        <v>3.0002015992136793E-2</v>
      </c>
      <c r="C74" s="276">
        <v>3.0001907034149577E-2</v>
      </c>
      <c r="D74" s="276">
        <v>3.0001101809980155E-2</v>
      </c>
      <c r="E74" s="276">
        <v>1.0961731433913259E-6</v>
      </c>
      <c r="F74" s="276">
        <v>0.45254497742708455</v>
      </c>
      <c r="G74" s="276">
        <v>0.52535299060333263</v>
      </c>
      <c r="H74" s="276">
        <v>0.59823419886540596</v>
      </c>
      <c r="I74" s="276">
        <v>0</v>
      </c>
      <c r="J74" s="276">
        <v>0</v>
      </c>
      <c r="K74" s="276">
        <v>4.4938168294343876E-2</v>
      </c>
      <c r="L74" s="276">
        <v>4.0172027062963411E-2</v>
      </c>
      <c r="M74" s="276">
        <v>0</v>
      </c>
      <c r="N74" s="276">
        <v>4.4264802533848513E-4</v>
      </c>
      <c r="O74" s="276">
        <v>3.000357374648643E-2</v>
      </c>
      <c r="P74" s="276">
        <v>2.9430257393333072E-2</v>
      </c>
      <c r="Q74" s="276">
        <v>1.9489372546384925E-2</v>
      </c>
      <c r="R74" s="276">
        <v>0.15695851840206479</v>
      </c>
      <c r="S74" s="276">
        <v>7.2970387621607E-2</v>
      </c>
      <c r="T74" s="276">
        <v>3.0000635694158354E-2</v>
      </c>
      <c r="U74" s="276">
        <v>2.0552920465209058E-2</v>
      </c>
      <c r="V74" s="276">
        <v>2.0469364079275722E-2</v>
      </c>
      <c r="W74" s="276">
        <v>8.5583087535293742E-2</v>
      </c>
      <c r="X74" s="276">
        <v>2.8428176508303447E-2</v>
      </c>
      <c r="Y74" s="276">
        <v>3.7385961476063892E-2</v>
      </c>
      <c r="Z74" s="276">
        <v>0</v>
      </c>
      <c r="AA74" s="276">
        <v>1.0783096824954307E-2</v>
      </c>
      <c r="AB74" s="276">
        <v>3.000021436649886E-2</v>
      </c>
      <c r="AC74" s="276">
        <v>3.0000602520643325E-2</v>
      </c>
      <c r="AD74" s="276">
        <v>1.4978414996063671E-2</v>
      </c>
      <c r="AE74" s="276">
        <v>3.0000864423771218E-2</v>
      </c>
      <c r="AF74" s="276">
        <v>2.3704652642145541E-2</v>
      </c>
      <c r="AG74" s="276">
        <v>3.010591390571898E-2</v>
      </c>
      <c r="AH74" s="276">
        <v>8.6959477850355946E-3</v>
      </c>
      <c r="AI74" s="276">
        <v>0.22811088243998762</v>
      </c>
      <c r="AJ74" s="276">
        <v>0.22688931177334445</v>
      </c>
      <c r="AK74" s="276">
        <v>0.21066047015976161</v>
      </c>
      <c r="AL74" s="276">
        <v>1.1339514612029499E-5</v>
      </c>
      <c r="AM74" s="276">
        <v>0.21662902642610696</v>
      </c>
      <c r="AN74" s="276">
        <v>0</v>
      </c>
      <c r="AO74" s="276">
        <v>3.0027913828790845E-2</v>
      </c>
      <c r="AP74" s="276">
        <v>3.0005044244793236E-2</v>
      </c>
      <c r="AQ74" s="276">
        <v>9.8527241433906468E-2</v>
      </c>
      <c r="AR74" s="276">
        <v>6.873932308939185E-5</v>
      </c>
      <c r="AS74" s="276">
        <v>8.8140051032530947E-2</v>
      </c>
      <c r="AT74" s="276">
        <v>4.7685531425236918E-2</v>
      </c>
      <c r="AU74" s="276">
        <v>9.126025186458385E-2</v>
      </c>
      <c r="AV74" s="276">
        <v>1.9227051081250394E-2</v>
      </c>
      <c r="AW74" s="276">
        <v>5.2975169522977185E-2</v>
      </c>
      <c r="AX74" s="276">
        <v>3.0001292452044564E-2</v>
      </c>
      <c r="AY74" s="276">
        <v>2.2994236878938128E-2</v>
      </c>
      <c r="AZ74" s="276">
        <v>1.0666471443768019E-2</v>
      </c>
      <c r="BA74" s="276">
        <v>2.7243732882336415E-2</v>
      </c>
      <c r="BB74" s="276">
        <v>8.2703316892420081E-2</v>
      </c>
      <c r="BC74" s="276">
        <v>3.7579646875621153E-2</v>
      </c>
      <c r="BD74" s="276">
        <v>8.3901015108383631E-2</v>
      </c>
      <c r="BE74" s="276">
        <v>0.50841277801885976</v>
      </c>
      <c r="BF74" s="276">
        <v>5.2088017335430803E-3</v>
      </c>
      <c r="BG74" s="276">
        <v>3.4052527512221591E-2</v>
      </c>
      <c r="BH74" s="276">
        <v>2.0455453381631974E-2</v>
      </c>
      <c r="BI74" s="276">
        <v>0.10446985269044148</v>
      </c>
      <c r="BJ74" s="276">
        <v>2.7727957743886988E-2</v>
      </c>
      <c r="BK74" s="276">
        <v>1.7937439157012749E-2</v>
      </c>
    </row>
    <row r="75" spans="1:63" ht="14.25" customHeight="1" x14ac:dyDescent="0.35">
      <c r="A75" s="277" t="s">
        <v>104</v>
      </c>
      <c r="B75" s="276">
        <v>3.00044270020541E-2</v>
      </c>
      <c r="C75" s="276">
        <v>3.0002663392407671E-2</v>
      </c>
      <c r="D75" s="276">
        <v>3.0001374514574079E-2</v>
      </c>
      <c r="E75" s="276">
        <v>3.0021556575247993E-2</v>
      </c>
      <c r="F75" s="276">
        <v>0.21556675584938609</v>
      </c>
      <c r="G75" s="276">
        <v>4.2235549621611086E-2</v>
      </c>
      <c r="H75" s="276">
        <v>0.26324083010338128</v>
      </c>
      <c r="I75" s="276">
        <v>0</v>
      </c>
      <c r="J75" s="276">
        <v>3.0003531640001871E-2</v>
      </c>
      <c r="K75" s="276">
        <v>2.8711432114059247E-2</v>
      </c>
      <c r="L75" s="276">
        <v>5.3301937350242995E-2</v>
      </c>
      <c r="M75" s="276">
        <v>0</v>
      </c>
      <c r="N75" s="276">
        <v>3.8702731756009558E-2</v>
      </c>
      <c r="O75" s="276">
        <v>7.9649888123220994E-3</v>
      </c>
      <c r="P75" s="276">
        <v>9.0225370531178562E-6</v>
      </c>
      <c r="Q75" s="276">
        <v>7.9000868835833425E-3</v>
      </c>
      <c r="R75" s="276">
        <v>0.27173246845018828</v>
      </c>
      <c r="S75" s="276">
        <v>2.0663581824226073E-2</v>
      </c>
      <c r="T75" s="276">
        <v>4.4280897946494237E-2</v>
      </c>
      <c r="U75" s="276">
        <v>3.0923831249323751E-2</v>
      </c>
      <c r="V75" s="276">
        <v>5.5119852033969782E-2</v>
      </c>
      <c r="W75" s="276">
        <v>7.7896512704871329E-2</v>
      </c>
      <c r="X75" s="276">
        <v>6.2564395681557056E-2</v>
      </c>
      <c r="Y75" s="276">
        <v>6.6326962133339815E-2</v>
      </c>
      <c r="Z75" s="276">
        <v>0</v>
      </c>
      <c r="AA75" s="276">
        <v>6.8515039593816551E-2</v>
      </c>
      <c r="AB75" s="276">
        <v>2.6313190458798985E-2</v>
      </c>
      <c r="AC75" s="276">
        <v>8.0389775682768588E-2</v>
      </c>
      <c r="AD75" s="276">
        <v>5.7657558976211415E-2</v>
      </c>
      <c r="AE75" s="276">
        <v>5.5501505063234619E-2</v>
      </c>
      <c r="AF75" s="276">
        <v>3.8273150494054921E-2</v>
      </c>
      <c r="AG75" s="276">
        <v>0.12129759725454191</v>
      </c>
      <c r="AH75" s="276">
        <v>0.14186039020643088</v>
      </c>
      <c r="AI75" s="276">
        <v>0.42666791326611636</v>
      </c>
      <c r="AJ75" s="276">
        <v>0.30235192843529235</v>
      </c>
      <c r="AK75" s="276">
        <v>0.38711528128308736</v>
      </c>
      <c r="AL75" s="276">
        <v>3.0001340302807007E-2</v>
      </c>
      <c r="AM75" s="276">
        <v>0.35666617956897079</v>
      </c>
      <c r="AN75" s="276">
        <v>0</v>
      </c>
      <c r="AO75" s="276">
        <v>8.4843721336820915E-2</v>
      </c>
      <c r="AP75" s="276">
        <v>8.410079697156847E-2</v>
      </c>
      <c r="AQ75" s="276">
        <v>0.15423536127752757</v>
      </c>
      <c r="AR75" s="276">
        <v>3.0005082516496594E-2</v>
      </c>
      <c r="AS75" s="276">
        <v>0.12371270700523354</v>
      </c>
      <c r="AT75" s="276">
        <v>5.4504904652928225E-2</v>
      </c>
      <c r="AU75" s="276">
        <v>9.2629631110102681E-2</v>
      </c>
      <c r="AV75" s="276">
        <v>0.15630285013689577</v>
      </c>
      <c r="AW75" s="276">
        <v>8.2046895796771727E-2</v>
      </c>
      <c r="AX75" s="276">
        <v>0.15089842926620353</v>
      </c>
      <c r="AY75" s="276">
        <v>0.20925563142946471</v>
      </c>
      <c r="AZ75" s="276">
        <v>0.28350171030242249</v>
      </c>
      <c r="BA75" s="276">
        <v>4.8215497173653777E-3</v>
      </c>
      <c r="BB75" s="276">
        <v>2.4620563935895914E-2</v>
      </c>
      <c r="BC75" s="276">
        <v>0.10302689157595421</v>
      </c>
      <c r="BD75" s="276">
        <v>5.3551907083517224E-2</v>
      </c>
      <c r="BE75" s="276">
        <v>0.52881699832946716</v>
      </c>
      <c r="BF75" s="276">
        <v>2.2200240482232812E-2</v>
      </c>
      <c r="BG75" s="276">
        <v>3.0000428035034266E-2</v>
      </c>
      <c r="BH75" s="276">
        <v>3.0000080961332044E-2</v>
      </c>
      <c r="BI75" s="276">
        <v>3.1875980344430288E-2</v>
      </c>
      <c r="BJ75" s="276">
        <v>0.11071104214533543</v>
      </c>
      <c r="BK75" s="276">
        <v>2.6416981501158877E-2</v>
      </c>
    </row>
    <row r="76" spans="1:63" ht="14.25" customHeight="1" x14ac:dyDescent="0.35">
      <c r="A76" s="277" t="s">
        <v>105</v>
      </c>
      <c r="B76" s="276">
        <v>3.0059604012058375E-2</v>
      </c>
      <c r="C76" s="276">
        <v>3.0042767447188996E-2</v>
      </c>
      <c r="D76" s="276">
        <v>3.0380974536960311E-2</v>
      </c>
      <c r="E76" s="276">
        <v>1.1194110436351263E-2</v>
      </c>
      <c r="F76" s="276">
        <v>4.02323667533604E-2</v>
      </c>
      <c r="G76" s="276">
        <v>2.7692093673499295E-3</v>
      </c>
      <c r="H76" s="276">
        <v>4.297284148986882E-3</v>
      </c>
      <c r="I76" s="276">
        <v>0</v>
      </c>
      <c r="J76" s="276">
        <v>0</v>
      </c>
      <c r="K76" s="276">
        <v>0.24865822475942459</v>
      </c>
      <c r="L76" s="276">
        <v>0.16652421604442008</v>
      </c>
      <c r="M76" s="276">
        <v>0.50866517793533572</v>
      </c>
      <c r="N76" s="276">
        <v>0.17204385967182825</v>
      </c>
      <c r="O76" s="276">
        <v>2.4564994367501234E-2</v>
      </c>
      <c r="P76" s="276">
        <v>0.20416177885891998</v>
      </c>
      <c r="Q76" s="276">
        <v>1.428703439429045E-2</v>
      </c>
      <c r="R76" s="276">
        <v>0.23241803227431057</v>
      </c>
      <c r="S76" s="276">
        <v>0.12105567717880023</v>
      </c>
      <c r="T76" s="276">
        <v>5.3589445200459994E-3</v>
      </c>
      <c r="U76" s="276">
        <v>0</v>
      </c>
      <c r="V76" s="276">
        <v>1.0324146570913564E-2</v>
      </c>
      <c r="W76" s="276">
        <v>0.13841264222153626</v>
      </c>
      <c r="X76" s="276">
        <v>3.1120605052917992E-2</v>
      </c>
      <c r="Y76" s="276">
        <v>8.7228181044120709E-2</v>
      </c>
      <c r="Z76" s="276">
        <v>0</v>
      </c>
      <c r="AA76" s="276">
        <v>6.4001670083995293E-2</v>
      </c>
      <c r="AB76" s="276">
        <v>0.19571630235880616</v>
      </c>
      <c r="AC76" s="276">
        <v>3.7334725298375171E-2</v>
      </c>
      <c r="AD76" s="276">
        <v>9.9706314519211706E-2</v>
      </c>
      <c r="AE76" s="276">
        <v>6.9507690633789115E-2</v>
      </c>
      <c r="AF76" s="276">
        <v>0.12000114205425659</v>
      </c>
      <c r="AG76" s="276">
        <v>0.40940056638969174</v>
      </c>
      <c r="AH76" s="276">
        <v>0.42998670674578365</v>
      </c>
      <c r="AI76" s="276">
        <v>0</v>
      </c>
      <c r="AJ76" s="276">
        <v>0.55776141352243769</v>
      </c>
      <c r="AK76" s="276">
        <v>0.54859976979131542</v>
      </c>
      <c r="AL76" s="276">
        <v>0.13018341754312887</v>
      </c>
      <c r="AM76" s="276">
        <v>0.64481924377256317</v>
      </c>
      <c r="AN76" s="276">
        <v>0</v>
      </c>
      <c r="AO76" s="276">
        <v>0.18839145919456557</v>
      </c>
      <c r="AP76" s="276">
        <v>1.6328564677814832E-2</v>
      </c>
      <c r="AQ76" s="276">
        <v>0.21713547368651454</v>
      </c>
      <c r="AR76" s="276">
        <v>0.19140558651591258</v>
      </c>
      <c r="AS76" s="276">
        <v>0.22660311440610445</v>
      </c>
      <c r="AT76" s="276">
        <v>7.3632358267118128E-2</v>
      </c>
      <c r="AU76" s="276">
        <v>2.3086557567994503E-2</v>
      </c>
      <c r="AV76" s="276">
        <v>3.5943795941205822E-2</v>
      </c>
      <c r="AW76" s="276">
        <v>3.5052068875621865E-2</v>
      </c>
      <c r="AX76" s="276">
        <v>3.9661087396815009E-2</v>
      </c>
      <c r="AY76" s="276">
        <v>0.67782454664045455</v>
      </c>
      <c r="AZ76" s="276">
        <v>0.36513232268703283</v>
      </c>
      <c r="BA76" s="276">
        <v>4.8847333817320739E-2</v>
      </c>
      <c r="BB76" s="276">
        <v>0.22888710717416599</v>
      </c>
      <c r="BC76" s="276">
        <v>0.12843326292723922</v>
      </c>
      <c r="BD76" s="276">
        <v>0.22756817490616002</v>
      </c>
      <c r="BE76" s="276">
        <v>0.73340485397969235</v>
      </c>
      <c r="BF76" s="276">
        <v>7.0201458495807202E-3</v>
      </c>
      <c r="BG76" s="276">
        <v>6.7455445123932256E-2</v>
      </c>
      <c r="BH76" s="276">
        <v>0.10407639250546727</v>
      </c>
      <c r="BI76" s="276">
        <v>0.1966985523314147</v>
      </c>
      <c r="BJ76" s="276">
        <v>5.2483180385440455E-2</v>
      </c>
      <c r="BK76" s="276">
        <v>2.3241244650817606E-2</v>
      </c>
    </row>
    <row r="77" spans="1:63" ht="14.25" customHeight="1" x14ac:dyDescent="0.35">
      <c r="A77" s="277" t="s">
        <v>106</v>
      </c>
      <c r="B77" s="276">
        <v>3.000331766891624E-2</v>
      </c>
      <c r="C77" s="276">
        <v>3.0002732286525512E-2</v>
      </c>
      <c r="D77" s="276">
        <v>3.4297670603910587E-6</v>
      </c>
      <c r="E77" s="276">
        <v>3.0012842324843515E-2</v>
      </c>
      <c r="F77" s="276">
        <v>3.0001398116422662E-2</v>
      </c>
      <c r="G77" s="276">
        <v>1.299259704877484E-2</v>
      </c>
      <c r="H77" s="276">
        <v>0.25403529465364516</v>
      </c>
      <c r="I77" s="276">
        <v>5.7341236325243117E-6</v>
      </c>
      <c r="J77" s="276">
        <v>0</v>
      </c>
      <c r="K77" s="276">
        <v>9.1329258713758396E-2</v>
      </c>
      <c r="L77" s="276">
        <v>6.8258667154630581E-2</v>
      </c>
      <c r="M77" s="276">
        <v>0</v>
      </c>
      <c r="N77" s="276">
        <v>1.9796472079710588E-2</v>
      </c>
      <c r="O77" s="276">
        <v>2.9567226830095814E-2</v>
      </c>
      <c r="P77" s="276">
        <v>5.6085833534112478E-2</v>
      </c>
      <c r="Q77" s="276">
        <v>2.280075680030922E-2</v>
      </c>
      <c r="R77" s="276">
        <v>0.13294478658507228</v>
      </c>
      <c r="S77" s="276">
        <v>5.7872831061418783E-4</v>
      </c>
      <c r="T77" s="276">
        <v>4.0512316407956876E-2</v>
      </c>
      <c r="U77" s="276">
        <v>3.0297729428088338E-2</v>
      </c>
      <c r="V77" s="276">
        <v>4.6098978900353332E-2</v>
      </c>
      <c r="W77" s="276">
        <v>9.608855171967802E-2</v>
      </c>
      <c r="X77" s="276">
        <v>6.2504821927996751E-2</v>
      </c>
      <c r="Y77" s="276">
        <v>4.4470445996847741E-2</v>
      </c>
      <c r="Z77" s="276">
        <v>0</v>
      </c>
      <c r="AA77" s="276">
        <v>2.9337129574184044E-2</v>
      </c>
      <c r="AB77" s="276">
        <v>4.2244595323747233E-2</v>
      </c>
      <c r="AC77" s="276">
        <v>3.6197549612529252E-2</v>
      </c>
      <c r="AD77" s="276">
        <v>0.16391041760156647</v>
      </c>
      <c r="AE77" s="276">
        <v>5.4173958483137247E-2</v>
      </c>
      <c r="AF77" s="276">
        <v>3.9220611734747765E-2</v>
      </c>
      <c r="AG77" s="276">
        <v>0.14976424834581265</v>
      </c>
      <c r="AH77" s="276">
        <v>9.6685356997781427E-2</v>
      </c>
      <c r="AI77" s="276">
        <v>0.35009548352217096</v>
      </c>
      <c r="AJ77" s="276">
        <v>0.25863352211186896</v>
      </c>
      <c r="AK77" s="276">
        <v>0.26967076462902939</v>
      </c>
      <c r="AL77" s="276">
        <v>3.000360081038482E-2</v>
      </c>
      <c r="AM77" s="276">
        <v>3.8510618956996645E-2</v>
      </c>
      <c r="AN77" s="276">
        <v>0</v>
      </c>
      <c r="AO77" s="276">
        <v>6.3630112952801021E-2</v>
      </c>
      <c r="AP77" s="276">
        <v>3.1464367039818787E-2</v>
      </c>
      <c r="AQ77" s="276">
        <v>3.01154957019244E-2</v>
      </c>
      <c r="AR77" s="276">
        <v>5.5535187914235742E-2</v>
      </c>
      <c r="AS77" s="276">
        <v>3.0009499551427506E-2</v>
      </c>
      <c r="AT77" s="276">
        <v>0.11718265250720952</v>
      </c>
      <c r="AU77" s="276">
        <v>8.2272759077782268E-2</v>
      </c>
      <c r="AV77" s="276">
        <v>3.1613796476857858E-2</v>
      </c>
      <c r="AW77" s="276">
        <v>3.0002977637542092E-2</v>
      </c>
      <c r="AX77" s="276">
        <v>3.0003876502535429E-2</v>
      </c>
      <c r="AY77" s="276">
        <v>1.0902214852246763E-2</v>
      </c>
      <c r="AZ77" s="276">
        <v>1.9461218954287499E-2</v>
      </c>
      <c r="BA77" s="276">
        <v>1.9745555848590764E-6</v>
      </c>
      <c r="BB77" s="276">
        <v>4.0709880012596115E-2</v>
      </c>
      <c r="BC77" s="276">
        <v>7.3850434043226582E-2</v>
      </c>
      <c r="BD77" s="276">
        <v>0.11007908770909358</v>
      </c>
      <c r="BE77" s="276">
        <v>0.47084034101260397</v>
      </c>
      <c r="BF77" s="276">
        <v>6.893473298618101E-2</v>
      </c>
      <c r="BG77" s="276">
        <v>3.0001097102854892E-2</v>
      </c>
      <c r="BH77" s="276">
        <v>9.3832637509294853E-2</v>
      </c>
      <c r="BI77" s="276">
        <v>3.3699300746698267E-2</v>
      </c>
      <c r="BJ77" s="276">
        <v>7.8196317975994134E-2</v>
      </c>
      <c r="BK77" s="276">
        <v>2.4144072986171099E-2</v>
      </c>
    </row>
    <row r="78" spans="1:63" ht="14.25" customHeight="1" x14ac:dyDescent="0.35">
      <c r="A78" s="277" t="s">
        <v>107</v>
      </c>
      <c r="B78" s="276">
        <v>3.0018420686395725E-2</v>
      </c>
      <c r="C78" s="276">
        <v>3.000685613777011E-2</v>
      </c>
      <c r="D78" s="276">
        <v>3.0003536628151826E-2</v>
      </c>
      <c r="E78" s="276">
        <v>0.14219059566826148</v>
      </c>
      <c r="F78" s="276">
        <v>8.7320143310010548E-2</v>
      </c>
      <c r="G78" s="276">
        <v>0</v>
      </c>
      <c r="H78" s="276">
        <v>0.3159978705751218</v>
      </c>
      <c r="I78" s="276">
        <v>0.61784657545594224</v>
      </c>
      <c r="J78" s="276">
        <v>0.67072304837293395</v>
      </c>
      <c r="K78" s="276">
        <v>0.15277668222116522</v>
      </c>
      <c r="L78" s="276">
        <v>0.10083110277155542</v>
      </c>
      <c r="M78" s="276">
        <v>0.67473827696172994</v>
      </c>
      <c r="N78" s="276">
        <v>0.11365293205395489</v>
      </c>
      <c r="O78" s="276">
        <v>0.11038167056114963</v>
      </c>
      <c r="P78" s="276">
        <v>0.41491300361219535</v>
      </c>
      <c r="Q78" s="276">
        <v>1.397718573626695E-2</v>
      </c>
      <c r="R78" s="276">
        <v>0.11086794839213193</v>
      </c>
      <c r="S78" s="276">
        <v>0.30147042030092702</v>
      </c>
      <c r="T78" s="276">
        <v>5.3903401465373132E-2</v>
      </c>
      <c r="U78" s="276">
        <v>0.77202010318807901</v>
      </c>
      <c r="V78" s="276">
        <v>7.7959965355696589E-2</v>
      </c>
      <c r="W78" s="276">
        <v>0.3589670073173713</v>
      </c>
      <c r="X78" s="276">
        <v>6.593432899357228E-2</v>
      </c>
      <c r="Y78" s="276">
        <v>1.7521026158116584E-2</v>
      </c>
      <c r="Z78" s="276">
        <v>0</v>
      </c>
      <c r="AA78" s="276">
        <v>7.8706041793339454E-2</v>
      </c>
      <c r="AB78" s="276">
        <v>0.20580452080302628</v>
      </c>
      <c r="AC78" s="276">
        <v>0.1212416944207214</v>
      </c>
      <c r="AD78" s="276">
        <v>0.25846982193676921</v>
      </c>
      <c r="AE78" s="276">
        <v>2.5603627535715278E-2</v>
      </c>
      <c r="AF78" s="276">
        <v>8.3884331202073073E-2</v>
      </c>
      <c r="AG78" s="276">
        <v>0.37491201484198977</v>
      </c>
      <c r="AH78" s="276">
        <v>0.26430959079205402</v>
      </c>
      <c r="AI78" s="276">
        <v>0</v>
      </c>
      <c r="AJ78" s="276">
        <v>0.49198613748389347</v>
      </c>
      <c r="AK78" s="276">
        <v>0.51239451403300484</v>
      </c>
      <c r="AL78" s="276">
        <v>0.20013324103213481</v>
      </c>
      <c r="AM78" s="276">
        <v>0</v>
      </c>
      <c r="AN78" s="276">
        <v>0</v>
      </c>
      <c r="AO78" s="276">
        <v>0.21980606430881602</v>
      </c>
      <c r="AP78" s="276">
        <v>1.6685730237254212E-2</v>
      </c>
      <c r="AQ78" s="276">
        <v>0.28757432166696706</v>
      </c>
      <c r="AR78" s="276">
        <v>0</v>
      </c>
      <c r="AS78" s="276">
        <v>3.3606009649129399E-5</v>
      </c>
      <c r="AT78" s="276">
        <v>9.2461642650595293E-3</v>
      </c>
      <c r="AU78" s="276">
        <v>0.2189273232357426</v>
      </c>
      <c r="AV78" s="276">
        <v>3.0007228005637116E-2</v>
      </c>
      <c r="AW78" s="276">
        <v>3.0006546956471859E-2</v>
      </c>
      <c r="AX78" s="276">
        <v>-0.51690676802504765</v>
      </c>
      <c r="AY78" s="276">
        <v>3.0002744011125036E-2</v>
      </c>
      <c r="AZ78" s="276">
        <v>1.1906745739001575E-2</v>
      </c>
      <c r="BA78" s="276">
        <v>0.1230893914707105</v>
      </c>
      <c r="BB78" s="276">
        <v>7.3921005320548988E-2</v>
      </c>
      <c r="BC78" s="276">
        <v>7.8881258055896478E-2</v>
      </c>
      <c r="BD78" s="276">
        <v>0.19672154010467743</v>
      </c>
      <c r="BE78" s="276">
        <v>0.66122900841403076</v>
      </c>
      <c r="BF78" s="276">
        <v>3.0000973541032601E-2</v>
      </c>
      <c r="BG78" s="276">
        <v>5.4357131685369382E-2</v>
      </c>
      <c r="BH78" s="276">
        <v>6.6098375450637861E-2</v>
      </c>
      <c r="BI78" s="276">
        <v>6.8277497226328962E-2</v>
      </c>
      <c r="BJ78" s="276">
        <v>0.2062807424824406</v>
      </c>
      <c r="BK78" s="276">
        <v>4.2484207543457773E-4</v>
      </c>
    </row>
    <row r="79" spans="1:63" ht="14.25" customHeight="1" x14ac:dyDescent="0.35">
      <c r="A79" s="277" t="s">
        <v>108</v>
      </c>
      <c r="B79" s="276">
        <v>3.0000397616047763E-2</v>
      </c>
      <c r="C79" s="276">
        <v>2.3925080725141689E-7</v>
      </c>
      <c r="D79" s="276">
        <v>3.0001059216143176E-2</v>
      </c>
      <c r="E79" s="276">
        <v>3.0000621650744602E-2</v>
      </c>
      <c r="F79" s="276">
        <v>8.3191773537202984E-3</v>
      </c>
      <c r="G79" s="276">
        <v>5.0377636990084122E-2</v>
      </c>
      <c r="H79" s="276">
        <v>0.68156412750150519</v>
      </c>
      <c r="I79" s="276">
        <v>0</v>
      </c>
      <c r="J79" s="276">
        <v>0</v>
      </c>
      <c r="K79" s="276">
        <v>3.4306485075936116E-2</v>
      </c>
      <c r="L79" s="276">
        <v>4.6734051484679059E-2</v>
      </c>
      <c r="M79" s="276">
        <v>0.63195584952676753</v>
      </c>
      <c r="N79" s="276">
        <v>3.0002300645510481E-2</v>
      </c>
      <c r="O79" s="276">
        <v>3.0001314463236013E-2</v>
      </c>
      <c r="P79" s="276">
        <v>2.3294341833482836E-3</v>
      </c>
      <c r="Q79" s="276">
        <v>1.152929071668576E-2</v>
      </c>
      <c r="R79" s="276">
        <v>0.28633842568085438</v>
      </c>
      <c r="S79" s="276">
        <v>1.0986024558648021E-2</v>
      </c>
      <c r="T79" s="276">
        <v>1.183567139549456E-2</v>
      </c>
      <c r="U79" s="276">
        <v>1.2272918106081913E-2</v>
      </c>
      <c r="V79" s="276">
        <v>1.7340405369379697E-2</v>
      </c>
      <c r="W79" s="276">
        <v>3.8762638493668157E-2</v>
      </c>
      <c r="X79" s="276">
        <v>1.7578804794034956E-2</v>
      </c>
      <c r="Y79" s="276">
        <v>3.0002871135039588E-2</v>
      </c>
      <c r="Z79" s="276">
        <v>0</v>
      </c>
      <c r="AA79" s="276">
        <v>7.2943637355006119E-4</v>
      </c>
      <c r="AB79" s="276">
        <v>3.0000274902752616E-2</v>
      </c>
      <c r="AC79" s="276">
        <v>1.8887449586624826E-2</v>
      </c>
      <c r="AD79" s="276">
        <v>4.0109010325566317E-2</v>
      </c>
      <c r="AE79" s="276">
        <v>3.0000878800336511E-2</v>
      </c>
      <c r="AF79" s="276">
        <v>2.541816553825053E-2</v>
      </c>
      <c r="AG79" s="276">
        <v>3.0001731447091073E-2</v>
      </c>
      <c r="AH79" s="276">
        <v>3.0008390044107842E-2</v>
      </c>
      <c r="AI79" s="276">
        <v>0</v>
      </c>
      <c r="AJ79" s="276">
        <v>0.23730979847607639</v>
      </c>
      <c r="AK79" s="276">
        <v>0.21335645332029016</v>
      </c>
      <c r="AL79" s="276">
        <v>2.1093182642891919E-6</v>
      </c>
      <c r="AM79" s="276">
        <v>0.24667338029615282</v>
      </c>
      <c r="AN79" s="276">
        <v>0.75007676880200136</v>
      </c>
      <c r="AO79" s="276">
        <v>5.0269040659999847E-2</v>
      </c>
      <c r="AP79" s="276">
        <v>2.8101277797758343E-2</v>
      </c>
      <c r="AQ79" s="276">
        <v>7.1514258443824294E-2</v>
      </c>
      <c r="AR79" s="276">
        <v>3.8485587537813986E-6</v>
      </c>
      <c r="AS79" s="276">
        <v>0.13260838213674631</v>
      </c>
      <c r="AT79" s="276">
        <v>3.3995178751968315E-2</v>
      </c>
      <c r="AU79" s="276">
        <v>3.7438490937154185E-2</v>
      </c>
      <c r="AV79" s="276">
        <v>2.9712820817835672E-2</v>
      </c>
      <c r="AW79" s="276">
        <v>5.7387836342060246E-2</v>
      </c>
      <c r="AX79" s="276">
        <v>3.0000937311193829E-2</v>
      </c>
      <c r="AY79" s="276">
        <v>1.634037801089968E-2</v>
      </c>
      <c r="AZ79" s="276">
        <v>3.0002741730914998E-2</v>
      </c>
      <c r="BA79" s="276">
        <v>1.8335621618619933E-2</v>
      </c>
      <c r="BB79" s="276">
        <v>5.149062316731446E-2</v>
      </c>
      <c r="BC79" s="276">
        <v>7.1564124448580027E-2</v>
      </c>
      <c r="BD79" s="276">
        <v>0.20398567301443887</v>
      </c>
      <c r="BE79" s="276">
        <v>0.60575242944528851</v>
      </c>
      <c r="BF79" s="276">
        <v>4.1684754444801233E-3</v>
      </c>
      <c r="BG79" s="276">
        <v>3.0000060200899594E-2</v>
      </c>
      <c r="BH79" s="276">
        <v>2.262470129084606E-2</v>
      </c>
      <c r="BI79" s="276">
        <v>6.6636936465516328E-2</v>
      </c>
      <c r="BJ79" s="276">
        <v>1.6690410078656452E-2</v>
      </c>
      <c r="BK79" s="276">
        <v>2.5780289515734855E-2</v>
      </c>
    </row>
    <row r="80" spans="1:63" ht="14.25" customHeight="1" x14ac:dyDescent="0.35">
      <c r="A80" s="277" t="s">
        <v>109</v>
      </c>
      <c r="B80" s="276">
        <v>4.2122069625808028E-3</v>
      </c>
      <c r="C80" s="276">
        <v>5.0438731230061714E-4</v>
      </c>
      <c r="D80" s="276">
        <v>3.0050521149157218E-2</v>
      </c>
      <c r="E80" s="276">
        <v>3.0038476935145823E-2</v>
      </c>
      <c r="F80" s="276">
        <v>0.15753460960900642</v>
      </c>
      <c r="G80" s="276">
        <v>0</v>
      </c>
      <c r="H80" s="276">
        <v>0</v>
      </c>
      <c r="I80" s="276">
        <v>0.7249116138608791</v>
      </c>
      <c r="J80" s="276">
        <v>0</v>
      </c>
      <c r="K80" s="276">
        <v>2.9222617061177764E-2</v>
      </c>
      <c r="L80" s="276">
        <v>3.0430396877038818E-2</v>
      </c>
      <c r="M80" s="276">
        <v>0.6206561549317724</v>
      </c>
      <c r="N80" s="276">
        <v>3.0262744241752116E-2</v>
      </c>
      <c r="O80" s="276">
        <v>9.8374123687398798E-2</v>
      </c>
      <c r="P80" s="276">
        <v>3.0378499057323108E-2</v>
      </c>
      <c r="Q80" s="276">
        <v>0.53434190411207361</v>
      </c>
      <c r="R80" s="276">
        <v>0.14854771167086619</v>
      </c>
      <c r="S80" s="276">
        <v>3.0043872115540403E-2</v>
      </c>
      <c r="T80" s="276">
        <v>1.8437748598765711E-3</v>
      </c>
      <c r="U80" s="276">
        <v>0</v>
      </c>
      <c r="V80" s="276">
        <v>0.19708856962087451</v>
      </c>
      <c r="W80" s="276">
        <v>9.4637962795778047E-2</v>
      </c>
      <c r="X80" s="276">
        <v>3.9254658385432822E-2</v>
      </c>
      <c r="Y80" s="276">
        <v>2.6632603890007372E-3</v>
      </c>
      <c r="Z80" s="276">
        <v>0</v>
      </c>
      <c r="AA80" s="276">
        <v>5.0381680969910629E-2</v>
      </c>
      <c r="AB80" s="276">
        <v>0.20235599980998614</v>
      </c>
      <c r="AC80" s="276">
        <v>8.7352688565505862E-2</v>
      </c>
      <c r="AD80" s="276">
        <v>3.1339517169032063E-2</v>
      </c>
      <c r="AE80" s="276">
        <v>2.0418412917418128E-2</v>
      </c>
      <c r="AF80" s="276">
        <v>4.4711111603654478E-2</v>
      </c>
      <c r="AG80" s="276">
        <v>1.1150097579333895E-2</v>
      </c>
      <c r="AH80" s="276">
        <v>3.4067510254721441E-2</v>
      </c>
      <c r="AI80" s="276">
        <v>0</v>
      </c>
      <c r="AJ80" s="276">
        <v>0.55550302224524151</v>
      </c>
      <c r="AK80" s="276">
        <v>0.31638350397814469</v>
      </c>
      <c r="AL80" s="276">
        <v>1.7833727614002765E-3</v>
      </c>
      <c r="AM80" s="276">
        <v>0</v>
      </c>
      <c r="AN80" s="276">
        <v>0</v>
      </c>
      <c r="AO80" s="276">
        <v>2.1367167431820759E-2</v>
      </c>
      <c r="AP80" s="276">
        <v>1.7973954746241562E-2</v>
      </c>
      <c r="AQ80" s="276">
        <v>3.8961472728092965E-2</v>
      </c>
      <c r="AR80" s="276">
        <v>1.2977508775354639E-3</v>
      </c>
      <c r="AS80" s="276">
        <v>4.4792922762999808E-2</v>
      </c>
      <c r="AT80" s="276">
        <v>3.0082465439599998E-2</v>
      </c>
      <c r="AU80" s="276">
        <v>0.1469566996941718</v>
      </c>
      <c r="AV80" s="276">
        <v>0.11557725646683428</v>
      </c>
      <c r="AW80" s="276">
        <v>0.2680727004325571</v>
      </c>
      <c r="AX80" s="276">
        <v>0.35669839327575686</v>
      </c>
      <c r="AY80" s="276">
        <v>3.0014203775140295E-2</v>
      </c>
      <c r="AZ80" s="276">
        <v>3.0384526206002242E-2</v>
      </c>
      <c r="BA80" s="276">
        <v>5.7128425726413207E-3</v>
      </c>
      <c r="BB80" s="276">
        <v>7.0118816522135669E-2</v>
      </c>
      <c r="BC80" s="276">
        <v>6.5793428215537006E-2</v>
      </c>
      <c r="BD80" s="276">
        <v>0.22836298303908667</v>
      </c>
      <c r="BE80" s="276">
        <v>0.55117901289416638</v>
      </c>
      <c r="BF80" s="276">
        <v>3.0071567633089158E-2</v>
      </c>
      <c r="BG80" s="276">
        <v>9.3583867210144556E-2</v>
      </c>
      <c r="BH80" s="276">
        <v>6.3298830723999375E-2</v>
      </c>
      <c r="BI80" s="276">
        <v>1.9773268636092869E-2</v>
      </c>
      <c r="BJ80" s="276">
        <v>5.7407698183771914E-2</v>
      </c>
      <c r="BK80" s="276">
        <v>3.0000000000000061E-2</v>
      </c>
    </row>
    <row r="81" spans="1:63" ht="14.25" customHeight="1" x14ac:dyDescent="0.35">
      <c r="A81" s="277" t="s">
        <v>229</v>
      </c>
      <c r="B81" s="276">
        <v>3.0025920527305166E-2</v>
      </c>
      <c r="C81" s="276">
        <v>3.000221950167441E-2</v>
      </c>
      <c r="D81" s="276">
        <v>3.0004940340780179E-2</v>
      </c>
      <c r="E81" s="276">
        <v>3.0020700727833628E-2</v>
      </c>
      <c r="F81" s="276">
        <v>0.17933592526866918</v>
      </c>
      <c r="G81" s="276">
        <v>0.17598036698656377</v>
      </c>
      <c r="H81" s="276">
        <v>0</v>
      </c>
      <c r="I81" s="276">
        <v>0.24079322935129951</v>
      </c>
      <c r="J81" s="276">
        <v>0</v>
      </c>
      <c r="K81" s="276">
        <v>7.4407419731040314E-2</v>
      </c>
      <c r="L81" s="276">
        <v>6.5505798710177573E-2</v>
      </c>
      <c r="M81" s="276">
        <v>0</v>
      </c>
      <c r="N81" s="276">
        <v>3.0042009124287252E-2</v>
      </c>
      <c r="O81" s="276">
        <v>3.0108707589102657E-2</v>
      </c>
      <c r="P81" s="276">
        <v>0.17293201972730771</v>
      </c>
      <c r="Q81" s="276">
        <v>3.0002861529601871E-2</v>
      </c>
      <c r="R81" s="276">
        <v>0.20512676044113767</v>
      </c>
      <c r="S81" s="276">
        <v>0.13913612406180323</v>
      </c>
      <c r="T81" s="276">
        <v>0.18646470743205618</v>
      </c>
      <c r="U81" s="276">
        <v>0</v>
      </c>
      <c r="V81" s="276">
        <v>4.0764846708948102E-2</v>
      </c>
      <c r="W81" s="276">
        <v>0.12731543967084077</v>
      </c>
      <c r="X81" s="276">
        <v>0.24158629407772012</v>
      </c>
      <c r="Y81" s="276">
        <v>0.11333262574602367</v>
      </c>
      <c r="Z81" s="276">
        <v>0</v>
      </c>
      <c r="AA81" s="276">
        <v>0.13413797767443478</v>
      </c>
      <c r="AB81" s="276">
        <v>0.10821309970273101</v>
      </c>
      <c r="AC81" s="276">
        <v>8.7188444866501513E-2</v>
      </c>
      <c r="AD81" s="276">
        <v>0.15054828576295848</v>
      </c>
      <c r="AE81" s="276">
        <v>0.2473096657905611</v>
      </c>
      <c r="AF81" s="276">
        <v>0.17067233490519898</v>
      </c>
      <c r="AG81" s="276">
        <v>0</v>
      </c>
      <c r="AH81" s="276">
        <v>6.9370337225439018E-6</v>
      </c>
      <c r="AI81" s="276">
        <v>0</v>
      </c>
      <c r="AJ81" s="276">
        <v>0.35971680428831798</v>
      </c>
      <c r="AK81" s="276">
        <v>0.33331378783860371</v>
      </c>
      <c r="AL81" s="276">
        <v>3.0004847267541275E-2</v>
      </c>
      <c r="AM81" s="276">
        <v>0</v>
      </c>
      <c r="AN81" s="276">
        <v>0</v>
      </c>
      <c r="AO81" s="276">
        <v>3.0013304178828037E-2</v>
      </c>
      <c r="AP81" s="276">
        <v>0.26420002227210365</v>
      </c>
      <c r="AQ81" s="276">
        <v>0.10197627651005065</v>
      </c>
      <c r="AR81" s="276">
        <v>3.0017213788206883E-2</v>
      </c>
      <c r="AS81" s="276">
        <v>0.21695067018760017</v>
      </c>
      <c r="AT81" s="276">
        <v>0.15711538490866536</v>
      </c>
      <c r="AU81" s="276">
        <v>0.28740550649334506</v>
      </c>
      <c r="AV81" s="276">
        <v>0.22907831328982697</v>
      </c>
      <c r="AW81" s="276">
        <v>0.3412930726805587</v>
      </c>
      <c r="AX81" s="276">
        <v>3.000128511038918E-2</v>
      </c>
      <c r="AY81" s="276">
        <v>0.12219984293278564</v>
      </c>
      <c r="AZ81" s="276">
        <v>3.00009252548647E-2</v>
      </c>
      <c r="BA81" s="276">
        <v>1.1615115588926623E-2</v>
      </c>
      <c r="BB81" s="276">
        <v>0.13510471989983347</v>
      </c>
      <c r="BC81" s="276">
        <v>8.206902513538232E-2</v>
      </c>
      <c r="BD81" s="276">
        <v>0.16756124772652992</v>
      </c>
      <c r="BE81" s="276">
        <v>0.43878607085235655</v>
      </c>
      <c r="BF81" s="276">
        <v>0.15151440377673231</v>
      </c>
      <c r="BG81" s="276">
        <v>3.0007263018264636E-2</v>
      </c>
      <c r="BH81" s="276">
        <v>3.0002419137141311E-2</v>
      </c>
      <c r="BI81" s="276">
        <v>3.0005175117395606E-2</v>
      </c>
      <c r="BJ81" s="276">
        <v>9.3466746393906688E-2</v>
      </c>
      <c r="BK81" s="276">
        <v>2.4690604102548402E-2</v>
      </c>
    </row>
    <row r="82" spans="1:63" ht="14.25" customHeight="1" x14ac:dyDescent="0.35">
      <c r="A82" s="277" t="s">
        <v>111</v>
      </c>
      <c r="B82" s="276">
        <v>1.2110858356988927E-3</v>
      </c>
      <c r="C82" s="276">
        <v>7.1801889980666013E-4</v>
      </c>
      <c r="D82" s="276">
        <v>3.0130656459368244E-2</v>
      </c>
      <c r="E82" s="276">
        <v>7.7089893473875079E-3</v>
      </c>
      <c r="F82" s="276">
        <v>0.11312709162190576</v>
      </c>
      <c r="G82" s="276">
        <v>0.80877830899181813</v>
      </c>
      <c r="H82" s="276">
        <v>0.19145485615807714</v>
      </c>
      <c r="I82" s="276">
        <v>0.83960918628965664</v>
      </c>
      <c r="J82" s="276">
        <v>0.30381472999466297</v>
      </c>
      <c r="K82" s="276">
        <v>3.1934576681845253E-2</v>
      </c>
      <c r="L82" s="276">
        <v>1.9115038821217602E-2</v>
      </c>
      <c r="M82" s="276">
        <v>0.29647534090265948</v>
      </c>
      <c r="N82" s="276">
        <v>1.0450919073857437E-3</v>
      </c>
      <c r="O82" s="276">
        <v>1.4164893545592945E-2</v>
      </c>
      <c r="P82" s="276">
        <v>2.0708500746716617E-2</v>
      </c>
      <c r="Q82" s="276">
        <v>1.4814171811137674E-2</v>
      </c>
      <c r="R82" s="276">
        <v>0.21788472448191801</v>
      </c>
      <c r="S82" s="276">
        <v>4.8128011437695559E-2</v>
      </c>
      <c r="T82" s="276">
        <v>3.7291483154002533E-2</v>
      </c>
      <c r="U82" s="276">
        <v>0.21572188742648185</v>
      </c>
      <c r="V82" s="276">
        <v>0.21542148604749328</v>
      </c>
      <c r="W82" s="276">
        <v>0.10245728903763922</v>
      </c>
      <c r="X82" s="276">
        <v>3.8872938835026096E-3</v>
      </c>
      <c r="Y82" s="276">
        <v>0.10429443526028521</v>
      </c>
      <c r="Z82" s="276">
        <v>0</v>
      </c>
      <c r="AA82" s="276">
        <v>3.0119244566780935E-2</v>
      </c>
      <c r="AB82" s="276">
        <v>3.171953497024807E-2</v>
      </c>
      <c r="AC82" s="276">
        <v>6.5994503596560186E-2</v>
      </c>
      <c r="AD82" s="276">
        <v>3.3351096505105988E-2</v>
      </c>
      <c r="AE82" s="276">
        <v>0.160913967440488</v>
      </c>
      <c r="AF82" s="276">
        <v>0.10072000013203598</v>
      </c>
      <c r="AG82" s="276">
        <v>0</v>
      </c>
      <c r="AH82" s="276">
        <v>0.2160310298476158</v>
      </c>
      <c r="AI82" s="276">
        <v>0</v>
      </c>
      <c r="AJ82" s="276">
        <v>1.7339870973261146E-2</v>
      </c>
      <c r="AK82" s="276">
        <v>0.28606354610401763</v>
      </c>
      <c r="AL82" s="276">
        <v>6.2946219049232156E-3</v>
      </c>
      <c r="AM82" s="276">
        <v>0.25912110537841904</v>
      </c>
      <c r="AN82" s="276">
        <v>0</v>
      </c>
      <c r="AO82" s="276">
        <v>3.0283507804654147E-2</v>
      </c>
      <c r="AP82" s="276">
        <v>3.0040876857347232E-2</v>
      </c>
      <c r="AQ82" s="276">
        <v>0.29697287891902474</v>
      </c>
      <c r="AR82" s="276">
        <v>9.7490149093411457E-2</v>
      </c>
      <c r="AS82" s="276">
        <v>0.43202155720456958</v>
      </c>
      <c r="AT82" s="276">
        <v>9.5238968289257195E-2</v>
      </c>
      <c r="AU82" s="276">
        <v>0.17712285436853634</v>
      </c>
      <c r="AV82" s="276">
        <v>3.0140692607264666E-2</v>
      </c>
      <c r="AW82" s="276">
        <v>3.0094181339765616E-2</v>
      </c>
      <c r="AX82" s="276">
        <v>3.0025440245293744E-2</v>
      </c>
      <c r="AY82" s="276">
        <v>3.000569014121009E-2</v>
      </c>
      <c r="AZ82" s="276">
        <v>3.0003299080972018E-2</v>
      </c>
      <c r="BA82" s="276">
        <v>0.16727996882515134</v>
      </c>
      <c r="BB82" s="276">
        <v>7.6289525462231417E-2</v>
      </c>
      <c r="BC82" s="276">
        <v>4.6003636222196671E-2</v>
      </c>
      <c r="BD82" s="276">
        <v>8.6827525542033254E-2</v>
      </c>
      <c r="BE82" s="276">
        <v>0.47623284010696032</v>
      </c>
      <c r="BF82" s="276">
        <v>1.7062879706753662E-2</v>
      </c>
      <c r="BG82" s="276">
        <v>4.0141737185559884E-2</v>
      </c>
      <c r="BH82" s="276">
        <v>3.0003001474485279E-2</v>
      </c>
      <c r="BI82" s="276">
        <v>1.9805451496912065E-2</v>
      </c>
      <c r="BJ82" s="276">
        <v>4.6415430349466054E-2</v>
      </c>
      <c r="BK82" s="276">
        <v>0.63854837685653476</v>
      </c>
    </row>
    <row r="83" spans="1:63" ht="14.25" customHeight="1" x14ac:dyDescent="0.35">
      <c r="A83" s="277" t="s">
        <v>112</v>
      </c>
      <c r="B83" s="276">
        <v>9.3732683093321278E-2</v>
      </c>
      <c r="C83" s="276">
        <v>3.2268654356578275E-2</v>
      </c>
      <c r="D83" s="276">
        <v>0</v>
      </c>
      <c r="E83" s="276">
        <v>9.7955146692565876E-3</v>
      </c>
      <c r="F83" s="276">
        <v>0.11599393333636443</v>
      </c>
      <c r="G83" s="276">
        <v>0.15239119725489517</v>
      </c>
      <c r="H83" s="276">
        <v>0.11487743417539718</v>
      </c>
      <c r="I83" s="276">
        <v>0.11578753899818703</v>
      </c>
      <c r="J83" s="276">
        <v>0</v>
      </c>
      <c r="K83" s="276">
        <v>0.61678000737817285</v>
      </c>
      <c r="L83" s="276">
        <v>0.37892453051162006</v>
      </c>
      <c r="M83" s="276">
        <v>0.60369052826599823</v>
      </c>
      <c r="N83" s="276">
        <v>0.39447502293145259</v>
      </c>
      <c r="O83" s="276">
        <v>0.48711975890728243</v>
      </c>
      <c r="P83" s="276">
        <v>0.48546601148342677</v>
      </c>
      <c r="Q83" s="276">
        <v>0.84273661460568527</v>
      </c>
      <c r="R83" s="276">
        <v>0.19709642929020149</v>
      </c>
      <c r="S83" s="276">
        <v>1.068817164058016E-2</v>
      </c>
      <c r="T83" s="276">
        <v>2.9985907851361633E-3</v>
      </c>
      <c r="U83" s="276">
        <v>0</v>
      </c>
      <c r="V83" s="276">
        <v>0.69375834882500231</v>
      </c>
      <c r="W83" s="276">
        <v>3.0084715788131308E-2</v>
      </c>
      <c r="X83" s="276">
        <v>3.3139518088750798E-2</v>
      </c>
      <c r="Y83" s="276">
        <v>3.0255579053733803E-2</v>
      </c>
      <c r="Z83" s="276">
        <v>0</v>
      </c>
      <c r="AA83" s="276">
        <v>3.1785415441757149E-2</v>
      </c>
      <c r="AB83" s="276">
        <v>3.1842876058207945E-2</v>
      </c>
      <c r="AC83" s="276">
        <v>0.11208324335640685</v>
      </c>
      <c r="AD83" s="276">
        <v>0.21104290537665066</v>
      </c>
      <c r="AE83" s="276">
        <v>0.11434164334485376</v>
      </c>
      <c r="AF83" s="276">
        <v>5.363442193735439E-2</v>
      </c>
      <c r="AG83" s="276">
        <v>0.7746271879942277</v>
      </c>
      <c r="AH83" s="276">
        <v>0.69604407872271534</v>
      </c>
      <c r="AI83" s="276">
        <v>0.83454621235640569</v>
      </c>
      <c r="AJ83" s="276">
        <v>0.84472335280645772</v>
      </c>
      <c r="AK83" s="276">
        <v>0.8783568922326237</v>
      </c>
      <c r="AL83" s="276">
        <v>0.52897621470660461</v>
      </c>
      <c r="AM83" s="276">
        <v>1.2871169580377503E-2</v>
      </c>
      <c r="AN83" s="276">
        <v>0</v>
      </c>
      <c r="AO83" s="276">
        <v>1.0899546459795639E-2</v>
      </c>
      <c r="AP83" s="276">
        <v>-4.5384467671956918E-2</v>
      </c>
      <c r="AQ83" s="276">
        <v>3.4851299681851883E-2</v>
      </c>
      <c r="AR83" s="276">
        <v>0.43122284530345234</v>
      </c>
      <c r="AS83" s="276">
        <v>4.0736644776806836E-6</v>
      </c>
      <c r="AT83" s="276">
        <v>1.7887731107761526E-2</v>
      </c>
      <c r="AU83" s="276">
        <v>0.12558211667058891</v>
      </c>
      <c r="AV83" s="276">
        <v>3.008411281979443E-2</v>
      </c>
      <c r="AW83" s="276">
        <v>3.0741009205092932E-2</v>
      </c>
      <c r="AX83" s="276">
        <v>4.3439551251650138E-3</v>
      </c>
      <c r="AY83" s="276">
        <v>3.1208238128303208E-2</v>
      </c>
      <c r="AZ83" s="276">
        <v>3.0057681582184286E-2</v>
      </c>
      <c r="BA83" s="276">
        <v>3.0244423680717544E-2</v>
      </c>
      <c r="BB83" s="276">
        <v>0.11822066404145069</v>
      </c>
      <c r="BC83" s="276">
        <v>0.12431607416678288</v>
      </c>
      <c r="BD83" s="276">
        <v>3.3764512593320084E-2</v>
      </c>
      <c r="BE83" s="276">
        <v>0.53152980009068695</v>
      </c>
      <c r="BF83" s="276">
        <v>5.5577986759061324E-2</v>
      </c>
      <c r="BG83" s="276">
        <v>3.0672911596328074E-2</v>
      </c>
      <c r="BH83" s="276">
        <v>4.0716723082026639E-2</v>
      </c>
      <c r="BI83" s="276">
        <v>6.1741187181023949E-2</v>
      </c>
      <c r="BJ83" s="276">
        <v>0.18660482342057694</v>
      </c>
      <c r="BK83" s="276">
        <v>0.6255744847822492</v>
      </c>
    </row>
    <row r="84" spans="1:63" ht="14.25" customHeight="1" x14ac:dyDescent="0.35">
      <c r="A84" s="277" t="s">
        <v>113</v>
      </c>
      <c r="B84" s="276">
        <v>3.0009530554566559E-2</v>
      </c>
      <c r="C84" s="276">
        <v>1.0724764914055959E-2</v>
      </c>
      <c r="D84" s="276">
        <v>3.0008375630839874E-2</v>
      </c>
      <c r="E84" s="276">
        <v>3.001578233572055E-2</v>
      </c>
      <c r="F84" s="276">
        <v>0</v>
      </c>
      <c r="G84" s="276">
        <v>3.5416531396538858E-2</v>
      </c>
      <c r="H84" s="276">
        <v>0.58831487404151184</v>
      </c>
      <c r="I84" s="276">
        <v>0</v>
      </c>
      <c r="J84" s="276">
        <v>0</v>
      </c>
      <c r="K84" s="276">
        <v>4.5777854455111358E-2</v>
      </c>
      <c r="L84" s="276">
        <v>0.31837399008404532</v>
      </c>
      <c r="M84" s="276">
        <v>0</v>
      </c>
      <c r="N84" s="276">
        <v>0.12536333310670536</v>
      </c>
      <c r="O84" s="276">
        <v>5.8532712231643011E-2</v>
      </c>
      <c r="P84" s="276">
        <v>0.48914453132425117</v>
      </c>
      <c r="Q84" s="276">
        <v>6.4360930174571673E-2</v>
      </c>
      <c r="R84" s="276">
        <v>0.22517828633468087</v>
      </c>
      <c r="S84" s="276">
        <v>6.0461675127030698E-2</v>
      </c>
      <c r="T84" s="276">
        <v>3.0006027705232492E-2</v>
      </c>
      <c r="U84" s="276">
        <v>7.1283114147790835E-3</v>
      </c>
      <c r="V84" s="276">
        <v>1.9669473507601731E-2</v>
      </c>
      <c r="W84" s="276">
        <v>4.993802894122687E-2</v>
      </c>
      <c r="X84" s="276">
        <v>3.5031302993604005E-2</v>
      </c>
      <c r="Y84" s="276">
        <v>3.0014720267612659E-2</v>
      </c>
      <c r="Z84" s="276">
        <v>0</v>
      </c>
      <c r="AA84" s="276">
        <v>5.5240570308595548E-2</v>
      </c>
      <c r="AB84" s="276">
        <v>1.2089063596411158E-3</v>
      </c>
      <c r="AC84" s="276">
        <v>2.3052423907682223E-2</v>
      </c>
      <c r="AD84" s="276">
        <v>6.1735956460419177E-2</v>
      </c>
      <c r="AE84" s="276">
        <v>3.6395190757971908E-2</v>
      </c>
      <c r="AF84" s="276">
        <v>2.3683681499058938E-2</v>
      </c>
      <c r="AG84" s="276">
        <v>5.5582232917542079E-2</v>
      </c>
      <c r="AH84" s="276">
        <v>0.10825785993595539</v>
      </c>
      <c r="AI84" s="276">
        <v>0.28908945665494301</v>
      </c>
      <c r="AJ84" s="276">
        <v>3.0026564792230075E-2</v>
      </c>
      <c r="AK84" s="276">
        <v>0.28571096713589694</v>
      </c>
      <c r="AL84" s="276">
        <v>3.0035271859824762E-2</v>
      </c>
      <c r="AM84" s="276">
        <v>3.0025376721586332E-2</v>
      </c>
      <c r="AN84" s="276">
        <v>0.5942849694980531</v>
      </c>
      <c r="AO84" s="276">
        <v>0.1383430019108218</v>
      </c>
      <c r="AP84" s="276">
        <v>3.0034706391505996E-2</v>
      </c>
      <c r="AQ84" s="276">
        <v>3.0102991272582008E-2</v>
      </c>
      <c r="AR84" s="276">
        <v>3.0026487987870217E-2</v>
      </c>
      <c r="AS84" s="276">
        <v>2.4252199269566049E-2</v>
      </c>
      <c r="AT84" s="276">
        <v>6.1877676991924941E-3</v>
      </c>
      <c r="AU84" s="276">
        <v>0.2018816799814295</v>
      </c>
      <c r="AV84" s="276">
        <v>3.1422312664828339E-2</v>
      </c>
      <c r="AW84" s="276">
        <v>7.671526288591414E-2</v>
      </c>
      <c r="AX84" s="276">
        <v>3.0002103014477574E-2</v>
      </c>
      <c r="AY84" s="276">
        <v>4.6086660133349715E-2</v>
      </c>
      <c r="AZ84" s="276">
        <v>0.13315626506001577</v>
      </c>
      <c r="BA84" s="276">
        <v>1.3289568598501089E-2</v>
      </c>
      <c r="BB84" s="276">
        <v>0.11700218277580374</v>
      </c>
      <c r="BC84" s="276">
        <v>9.9203297655928793E-2</v>
      </c>
      <c r="BD84" s="276">
        <v>0.27742373014979088</v>
      </c>
      <c r="BE84" s="276">
        <v>0.21146106069765375</v>
      </c>
      <c r="BF84" s="276">
        <v>1.9882698940602776E-3</v>
      </c>
      <c r="BG84" s="276">
        <v>1.9144635718001804E-2</v>
      </c>
      <c r="BH84" s="276">
        <v>3.0004924268447974E-2</v>
      </c>
      <c r="BI84" s="276">
        <v>3.0002967865789439E-2</v>
      </c>
      <c r="BJ84" s="276">
        <v>7.7234540381363709E-2</v>
      </c>
      <c r="BK84" s="276">
        <v>0.99535193508398256</v>
      </c>
    </row>
    <row r="85" spans="1:63" ht="14.25" customHeight="1" x14ac:dyDescent="0.35">
      <c r="A85" s="277" t="s">
        <v>114</v>
      </c>
      <c r="B85" s="276">
        <v>3.0017585140199178E-2</v>
      </c>
      <c r="C85" s="276">
        <v>3.0005568582502678E-2</v>
      </c>
      <c r="D85" s="276">
        <v>8.0276231404483728E-3</v>
      </c>
      <c r="E85" s="276">
        <v>3.0024598374803282E-2</v>
      </c>
      <c r="F85" s="276">
        <v>0.20898039652072492</v>
      </c>
      <c r="G85" s="276">
        <v>7.4088134149457386E-3</v>
      </c>
      <c r="H85" s="276">
        <v>2.8335456332531208E-3</v>
      </c>
      <c r="I85" s="276">
        <v>0.55641210205838654</v>
      </c>
      <c r="J85" s="276">
        <v>0.44218227583123271</v>
      </c>
      <c r="K85" s="276">
        <v>9.2623289831667135E-2</v>
      </c>
      <c r="L85" s="276">
        <v>0.13253926086468354</v>
      </c>
      <c r="M85" s="276">
        <v>0.463117504370537</v>
      </c>
      <c r="N85" s="276">
        <v>1.6019796032507728E-2</v>
      </c>
      <c r="O85" s="276">
        <v>0.11227514413936135</v>
      </c>
      <c r="P85" s="276">
        <v>8.6234445584459418E-2</v>
      </c>
      <c r="Q85" s="276">
        <v>1.5976813896926633E-2</v>
      </c>
      <c r="R85" s="276">
        <v>0.12016135757311532</v>
      </c>
      <c r="S85" s="276">
        <v>8.8481501454698588E-2</v>
      </c>
      <c r="T85" s="276">
        <v>0.1193135749292806</v>
      </c>
      <c r="U85" s="276">
        <v>5.3050205824025601E-2</v>
      </c>
      <c r="V85" s="276">
        <v>9.244572462871091E-2</v>
      </c>
      <c r="W85" s="276">
        <v>0.1095932223606759</v>
      </c>
      <c r="X85" s="276">
        <v>0.10514392840209304</v>
      </c>
      <c r="Y85" s="276">
        <v>0.11749290750259166</v>
      </c>
      <c r="Z85" s="276">
        <v>0</v>
      </c>
      <c r="AA85" s="276">
        <v>0.10382857674392701</v>
      </c>
      <c r="AB85" s="276">
        <v>6.3040007630313102E-2</v>
      </c>
      <c r="AC85" s="276">
        <v>8.7929336064283076E-2</v>
      </c>
      <c r="AD85" s="276">
        <v>8.7172709516396274E-2</v>
      </c>
      <c r="AE85" s="276">
        <v>6.297971681669845E-2</v>
      </c>
      <c r="AF85" s="276">
        <v>9.5352340263007845E-2</v>
      </c>
      <c r="AG85" s="276">
        <v>0.25009161184423184</v>
      </c>
      <c r="AH85" s="276">
        <v>0.30671561239110895</v>
      </c>
      <c r="AI85" s="276">
        <v>0</v>
      </c>
      <c r="AJ85" s="276">
        <v>0.40045234201664809</v>
      </c>
      <c r="AK85" s="276">
        <v>0.40201420944591715</v>
      </c>
      <c r="AL85" s="276">
        <v>0.20100130286376217</v>
      </c>
      <c r="AM85" s="276">
        <v>0</v>
      </c>
      <c r="AN85" s="276">
        <v>0</v>
      </c>
      <c r="AO85" s="276">
        <v>0.26055453151809393</v>
      </c>
      <c r="AP85" s="276">
        <v>0.19645242178919792</v>
      </c>
      <c r="AQ85" s="276">
        <v>9.2878408792975389E-2</v>
      </c>
      <c r="AR85" s="276">
        <v>0.19000217970132563</v>
      </c>
      <c r="AS85" s="276">
        <v>0.13399481635243848</v>
      </c>
      <c r="AT85" s="276">
        <v>0.12514866894588259</v>
      </c>
      <c r="AU85" s="276">
        <v>0.32555714488076659</v>
      </c>
      <c r="AV85" s="276">
        <v>8.8663282699438031E-2</v>
      </c>
      <c r="AW85" s="276">
        <v>7.3249186203316274E-2</v>
      </c>
      <c r="AX85" s="276">
        <v>0.15418575870368897</v>
      </c>
      <c r="AY85" s="276">
        <v>0</v>
      </c>
      <c r="AZ85" s="276">
        <v>0</v>
      </c>
      <c r="BA85" s="276">
        <v>0.47939933754377534</v>
      </c>
      <c r="BB85" s="276">
        <v>0.145385054433325</v>
      </c>
      <c r="BC85" s="276">
        <v>0.20490219351120867</v>
      </c>
      <c r="BD85" s="276">
        <v>0.23576296799546972</v>
      </c>
      <c r="BE85" s="276">
        <v>0.36254060865702187</v>
      </c>
      <c r="BF85" s="276">
        <v>0.13459551157640057</v>
      </c>
      <c r="BG85" s="276">
        <v>3.7293184475789574E-2</v>
      </c>
      <c r="BH85" s="276">
        <v>4.5714263779024475E-2</v>
      </c>
      <c r="BI85" s="276">
        <v>0.12754836785905427</v>
      </c>
      <c r="BJ85" s="276">
        <v>0.10556767350408194</v>
      </c>
      <c r="BK85" s="276">
        <v>0.89033617297844847</v>
      </c>
    </row>
    <row r="86" spans="1:63" ht="14.25" customHeight="1" x14ac:dyDescent="0.35">
      <c r="A86" s="277" t="s">
        <v>115</v>
      </c>
      <c r="B86" s="276">
        <v>3.0007573512259061E-2</v>
      </c>
      <c r="C86" s="276">
        <v>3.0541583080759108E-2</v>
      </c>
      <c r="D86" s="276">
        <v>0.1901621587700896</v>
      </c>
      <c r="E86" s="276">
        <v>3.0005913538626149E-2</v>
      </c>
      <c r="F86" s="276">
        <v>0.19363050708097015</v>
      </c>
      <c r="G86" s="276">
        <v>0</v>
      </c>
      <c r="H86" s="276">
        <v>0</v>
      </c>
      <c r="I86" s="276">
        <v>0</v>
      </c>
      <c r="J86" s="276">
        <v>0</v>
      </c>
      <c r="K86" s="276">
        <v>3.5057506048892982E-2</v>
      </c>
      <c r="L86" s="276">
        <v>0.11601835758913101</v>
      </c>
      <c r="M86" s="276">
        <v>0</v>
      </c>
      <c r="N86" s="276">
        <v>2.8081181400003919E-2</v>
      </c>
      <c r="O86" s="276">
        <v>6.3787318048431985E-3</v>
      </c>
      <c r="P86" s="276">
        <v>0.10605534808234048</v>
      </c>
      <c r="Q86" s="276">
        <v>4.9192335905552003E-5</v>
      </c>
      <c r="R86" s="276">
        <v>0.25487796250516648</v>
      </c>
      <c r="S86" s="276">
        <v>9.2491952665867461E-2</v>
      </c>
      <c r="T86" s="276">
        <v>0.10249801790837249</v>
      </c>
      <c r="U86" s="276">
        <v>0</v>
      </c>
      <c r="V86" s="276">
        <v>1.7145660933858567E-2</v>
      </c>
      <c r="W86" s="276">
        <v>9.795154923225774E-2</v>
      </c>
      <c r="X86" s="276">
        <v>0.1345807564939539</v>
      </c>
      <c r="Y86" s="276">
        <v>8.7559374068961193E-2</v>
      </c>
      <c r="Z86" s="276">
        <v>0</v>
      </c>
      <c r="AA86" s="276">
        <v>6.2021280209919566E-2</v>
      </c>
      <c r="AB86" s="276">
        <v>3.0004515107310028E-2</v>
      </c>
      <c r="AC86" s="276">
        <v>3.9263602981667589E-2</v>
      </c>
      <c r="AD86" s="276">
        <v>0.1051385194797272</v>
      </c>
      <c r="AE86" s="276">
        <v>4.5059969227843465E-2</v>
      </c>
      <c r="AF86" s="276">
        <v>9.4420527317152864E-2</v>
      </c>
      <c r="AG86" s="276">
        <v>0.38757589343674498</v>
      </c>
      <c r="AH86" s="276">
        <v>0.43242341177547688</v>
      </c>
      <c r="AI86" s="276">
        <v>0</v>
      </c>
      <c r="AJ86" s="276">
        <v>0.71868740594186586</v>
      </c>
      <c r="AK86" s="276">
        <v>0.71699417837576551</v>
      </c>
      <c r="AL86" s="276">
        <v>0.19097129828764767</v>
      </c>
      <c r="AM86" s="276">
        <v>0.65457150537522812</v>
      </c>
      <c r="AN86" s="276">
        <v>0</v>
      </c>
      <c r="AO86" s="276">
        <v>0.39765413476012645</v>
      </c>
      <c r="AP86" s="276">
        <v>3.8787479838777145E-2</v>
      </c>
      <c r="AQ86" s="276">
        <v>6.372308153836076E-2</v>
      </c>
      <c r="AR86" s="276">
        <v>3.6178697373482993E-3</v>
      </c>
      <c r="AS86" s="276">
        <v>0.19279809902627945</v>
      </c>
      <c r="AT86" s="276">
        <v>4.9344063671840674E-2</v>
      </c>
      <c r="AU86" s="276">
        <v>0.20160159657286089</v>
      </c>
      <c r="AV86" s="276">
        <v>3.0034582536414691E-2</v>
      </c>
      <c r="AW86" s="276">
        <v>3.0030225617645998E-2</v>
      </c>
      <c r="AX86" s="276">
        <v>2.8644163065269311E-2</v>
      </c>
      <c r="AY86" s="276">
        <v>4.7819730247306187E-2</v>
      </c>
      <c r="AZ86" s="276">
        <v>3.0018234149924286E-2</v>
      </c>
      <c r="BA86" s="276">
        <v>6.2799778859489438E-2</v>
      </c>
      <c r="BB86" s="276">
        <v>0.18995489211322117</v>
      </c>
      <c r="BC86" s="276">
        <v>0.16001241524890258</v>
      </c>
      <c r="BD86" s="276">
        <v>0.18734358357451253</v>
      </c>
      <c r="BE86" s="276">
        <v>0.68299177758537366</v>
      </c>
      <c r="BF86" s="276">
        <v>4.2013462277783825E-2</v>
      </c>
      <c r="BG86" s="276">
        <v>6.3461892981277274E-2</v>
      </c>
      <c r="BH86" s="276">
        <v>5.7633010765849063E-2</v>
      </c>
      <c r="BI86" s="276">
        <v>4.6697649970860219E-2</v>
      </c>
      <c r="BJ86" s="276">
        <v>3.0007963070792874E-2</v>
      </c>
      <c r="BK86" s="276">
        <v>6.747342552156684E-3</v>
      </c>
    </row>
    <row r="87" spans="1:63" ht="14.25" customHeight="1" x14ac:dyDescent="0.35">
      <c r="A87" s="277" t="s">
        <v>116</v>
      </c>
      <c r="B87" s="276">
        <v>3.0145438752613152E-2</v>
      </c>
      <c r="C87" s="276">
        <v>3.0087343485387101E-2</v>
      </c>
      <c r="D87" s="276">
        <v>3.6698607295051693E-2</v>
      </c>
      <c r="E87" s="276">
        <v>0.2794635290497009</v>
      </c>
      <c r="F87" s="276">
        <v>0.15153308914291061</v>
      </c>
      <c r="G87" s="276">
        <v>0.11860710653562725</v>
      </c>
      <c r="H87" s="276">
        <v>0.49656077237450613</v>
      </c>
      <c r="I87" s="276">
        <v>0.12822013647240141</v>
      </c>
      <c r="J87" s="276">
        <v>4.7953999791434856E-6</v>
      </c>
      <c r="K87" s="276">
        <v>6.1632423167722092E-2</v>
      </c>
      <c r="L87" s="276">
        <v>6.1564690060746094E-2</v>
      </c>
      <c r="M87" s="276">
        <v>0.5467029778205007</v>
      </c>
      <c r="N87" s="276">
        <v>1.671024640301161E-3</v>
      </c>
      <c r="O87" s="276">
        <v>9.737648051584237E-2</v>
      </c>
      <c r="P87" s="276">
        <v>5.9239022407672314E-4</v>
      </c>
      <c r="Q87" s="276">
        <v>4.6601668860594019E-2</v>
      </c>
      <c r="R87" s="276">
        <v>0.10181769735573681</v>
      </c>
      <c r="S87" s="276">
        <v>0.20673466503578081</v>
      </c>
      <c r="T87" s="276">
        <v>0.12190215893447259</v>
      </c>
      <c r="U87" s="276">
        <v>0</v>
      </c>
      <c r="V87" s="276">
        <v>0.27980256501824108</v>
      </c>
      <c r="W87" s="276">
        <v>8.5648471944639135E-2</v>
      </c>
      <c r="X87" s="276">
        <v>0.13202819213253109</v>
      </c>
      <c r="Y87" s="276">
        <v>0.10287546018418588</v>
      </c>
      <c r="Z87" s="276">
        <v>0</v>
      </c>
      <c r="AA87" s="276">
        <v>7.3902985671818161E-2</v>
      </c>
      <c r="AB87" s="276">
        <v>3.0463291618531819E-2</v>
      </c>
      <c r="AC87" s="276">
        <v>0.15613856433858017</v>
      </c>
      <c r="AD87" s="276">
        <v>7.6119304279026481E-2</v>
      </c>
      <c r="AE87" s="276">
        <v>1.7135641168545209E-2</v>
      </c>
      <c r="AF87" s="276">
        <v>9.847519955367541E-2</v>
      </c>
      <c r="AG87" s="276">
        <v>7.0306173974690384E-2</v>
      </c>
      <c r="AH87" s="276">
        <v>8.3848879099669468E-2</v>
      </c>
      <c r="AI87" s="276">
        <v>0.49501560636845715</v>
      </c>
      <c r="AJ87" s="276">
        <v>0.35776904214094407</v>
      </c>
      <c r="AK87" s="276">
        <v>0.35335015204132769</v>
      </c>
      <c r="AL87" s="276">
        <v>3.0454032809169654E-2</v>
      </c>
      <c r="AM87" s="276">
        <v>0.20395899254016031</v>
      </c>
      <c r="AN87" s="276">
        <v>0</v>
      </c>
      <c r="AO87" s="276">
        <v>1.3500576462351923E-4</v>
      </c>
      <c r="AP87" s="276">
        <v>0.11179830402487086</v>
      </c>
      <c r="AQ87" s="276">
        <v>0.28441636696348144</v>
      </c>
      <c r="AR87" s="276">
        <v>1.213158539693593E-3</v>
      </c>
      <c r="AS87" s="276">
        <v>3.0008738722328163E-2</v>
      </c>
      <c r="AT87" s="276">
        <v>7.3361139290240643E-2</v>
      </c>
      <c r="AU87" s="276">
        <v>3.3506966508377728E-2</v>
      </c>
      <c r="AV87" s="276">
        <v>0.65272707533976548</v>
      </c>
      <c r="AW87" s="276">
        <v>0.28868635900017192</v>
      </c>
      <c r="AX87" s="276">
        <v>0.22961165416974072</v>
      </c>
      <c r="AY87" s="276">
        <v>4.5104224498946554E-3</v>
      </c>
      <c r="AZ87" s="276">
        <v>0.38149374082473353</v>
      </c>
      <c r="BA87" s="276">
        <v>8.4648096620140681E-2</v>
      </c>
      <c r="BB87" s="276">
        <v>0.27001173230416797</v>
      </c>
      <c r="BC87" s="276">
        <v>0.28335960640333441</v>
      </c>
      <c r="BD87" s="276">
        <v>0.28872318767192851</v>
      </c>
      <c r="BE87" s="276">
        <v>0.62068674394298329</v>
      </c>
      <c r="BF87" s="276">
        <v>0.143546066621424</v>
      </c>
      <c r="BG87" s="276">
        <v>3.0084132787740928E-2</v>
      </c>
      <c r="BH87" s="276">
        <v>0.27105771111107724</v>
      </c>
      <c r="BI87" s="276">
        <v>3.0857954256463308E-3</v>
      </c>
      <c r="BJ87" s="276">
        <v>0.12828093160293599</v>
      </c>
      <c r="BK87" s="276">
        <v>0.99059026794988747</v>
      </c>
    </row>
    <row r="88" spans="1:63" ht="14.25" customHeight="1" x14ac:dyDescent="0.35">
      <c r="A88" s="277" t="s">
        <v>117</v>
      </c>
      <c r="B88" s="276">
        <v>0.24552894090133581</v>
      </c>
      <c r="C88" s="276">
        <v>0.28107780991390591</v>
      </c>
      <c r="D88" s="276">
        <v>0.19079240789960114</v>
      </c>
      <c r="E88" s="276">
        <v>0.34354062769178068</v>
      </c>
      <c r="F88" s="276">
        <v>0.4538833816174922</v>
      </c>
      <c r="G88" s="276">
        <v>1.8581168388257286E-2</v>
      </c>
      <c r="H88" s="276">
        <v>0.21860446453013033</v>
      </c>
      <c r="I88" s="276">
        <v>0.33112804430100767</v>
      </c>
      <c r="J88" s="276">
        <v>0</v>
      </c>
      <c r="K88" s="276">
        <v>3.0012772294279271E-2</v>
      </c>
      <c r="L88" s="276">
        <v>0.12946786558070364</v>
      </c>
      <c r="M88" s="276">
        <v>0</v>
      </c>
      <c r="N88" s="276">
        <v>7.963947842809696E-2</v>
      </c>
      <c r="O88" s="276">
        <v>3.2566850104627752E-2</v>
      </c>
      <c r="P88" s="276">
        <v>0.1609312783012172</v>
      </c>
      <c r="Q88" s="276">
        <v>2.0108810404372394E-2</v>
      </c>
      <c r="R88" s="276">
        <v>0.21288691336009463</v>
      </c>
      <c r="S88" s="276">
        <v>1.7429719936879785E-2</v>
      </c>
      <c r="T88" s="276">
        <v>6.6012019043705072E-2</v>
      </c>
      <c r="U88" s="276">
        <v>3.1538940493670148E-2</v>
      </c>
      <c r="V88" s="276">
        <v>1.4089320664422972E-2</v>
      </c>
      <c r="W88" s="276">
        <v>3.3583976363246865E-2</v>
      </c>
      <c r="X88" s="276">
        <v>0.10001069983035187</v>
      </c>
      <c r="Y88" s="276">
        <v>3.0004640867811991E-2</v>
      </c>
      <c r="Z88" s="276">
        <v>0</v>
      </c>
      <c r="AA88" s="276">
        <v>0.10381202712890471</v>
      </c>
      <c r="AB88" s="276">
        <v>2.7500804669836652E-2</v>
      </c>
      <c r="AC88" s="276">
        <v>3.0004606798453896E-2</v>
      </c>
      <c r="AD88" s="276">
        <v>1.0392727785559754E-2</v>
      </c>
      <c r="AE88" s="276">
        <v>7.2664354819574999E-3</v>
      </c>
      <c r="AF88" s="276">
        <v>3.4050683490735589E-2</v>
      </c>
      <c r="AG88" s="276">
        <v>1.7557887900064101E-2</v>
      </c>
      <c r="AH88" s="276">
        <v>3.0021705737394599E-2</v>
      </c>
      <c r="AI88" s="276">
        <v>0.31078591800834693</v>
      </c>
      <c r="AJ88" s="276">
        <v>0.30337279599919359</v>
      </c>
      <c r="AK88" s="276">
        <v>3.0006624348179613E-2</v>
      </c>
      <c r="AL88" s="276">
        <v>3.0016268840215528E-2</v>
      </c>
      <c r="AM88" s="276">
        <v>0.34438987216934286</v>
      </c>
      <c r="AN88" s="276">
        <v>0</v>
      </c>
      <c r="AO88" s="276">
        <v>3.0000691181038569E-2</v>
      </c>
      <c r="AP88" s="276">
        <v>2.0792007651467331E-3</v>
      </c>
      <c r="AQ88" s="276">
        <v>1.0205653310721325E-4</v>
      </c>
      <c r="AR88" s="276">
        <v>3.0022727244673343E-2</v>
      </c>
      <c r="AS88" s="276">
        <v>3.0056055127470289E-2</v>
      </c>
      <c r="AT88" s="276">
        <v>0.11751429212333697</v>
      </c>
      <c r="AU88" s="276">
        <v>0.11748915761427697</v>
      </c>
      <c r="AV88" s="276">
        <v>0.23196813476241257</v>
      </c>
      <c r="AW88" s="276">
        <v>0.13416621635522785</v>
      </c>
      <c r="AX88" s="276">
        <v>0.27699279011814892</v>
      </c>
      <c r="AY88" s="276">
        <v>3.0003795158604272E-2</v>
      </c>
      <c r="AZ88" s="276">
        <v>4.8349388843133466E-2</v>
      </c>
      <c r="BA88" s="276">
        <v>0.22825831560634668</v>
      </c>
      <c r="BB88" s="276">
        <v>8.4810795903162123E-2</v>
      </c>
      <c r="BC88" s="276">
        <v>6.5708230796074393E-2</v>
      </c>
      <c r="BD88" s="276">
        <v>0.18625626177095278</v>
      </c>
      <c r="BE88" s="276">
        <v>0.2239691112025006</v>
      </c>
      <c r="BF88" s="276">
        <v>2.7258582069236113E-2</v>
      </c>
      <c r="BG88" s="276">
        <v>3.0004849216513595E-2</v>
      </c>
      <c r="BH88" s="276">
        <v>3.0006268063601616E-2</v>
      </c>
      <c r="BI88" s="276">
        <v>4.0714704220760303E-2</v>
      </c>
      <c r="BJ88" s="276">
        <v>0.282970474718857</v>
      </c>
      <c r="BK88" s="276">
        <v>0.99448276902009125</v>
      </c>
    </row>
    <row r="89" spans="1:63" ht="14.25" customHeight="1" x14ac:dyDescent="0.35">
      <c r="A89" s="277" t="s">
        <v>118</v>
      </c>
      <c r="B89" s="276">
        <v>3.0019940996421891E-2</v>
      </c>
      <c r="C89" s="276">
        <v>3.0025608182333893E-2</v>
      </c>
      <c r="D89" s="276">
        <v>3.0033739953534342E-2</v>
      </c>
      <c r="E89" s="276">
        <v>3.0002573757566035E-2</v>
      </c>
      <c r="F89" s="276">
        <v>0.11664488709504665</v>
      </c>
      <c r="G89" s="276">
        <v>0</v>
      </c>
      <c r="H89" s="276">
        <v>0.64298916330865552</v>
      </c>
      <c r="I89" s="276">
        <v>3.6140072416183463E-16</v>
      </c>
      <c r="J89" s="276">
        <v>0</v>
      </c>
      <c r="K89" s="276">
        <v>2.4571459252046259E-2</v>
      </c>
      <c r="L89" s="276">
        <v>1.12393604900363E-2</v>
      </c>
      <c r="M89" s="276">
        <v>0.64326348696661073</v>
      </c>
      <c r="N89" s="276">
        <v>3.5160444141170435E-3</v>
      </c>
      <c r="O89" s="276">
        <v>7.0673439153177434E-2</v>
      </c>
      <c r="P89" s="276">
        <v>3.9046934767146012E-2</v>
      </c>
      <c r="Q89" s="276">
        <v>3.4626505817634379E-2</v>
      </c>
      <c r="R89" s="276">
        <v>0.12875384359650716</v>
      </c>
      <c r="S89" s="276">
        <v>5.6375557081128755E-3</v>
      </c>
      <c r="T89" s="276">
        <v>1.0634547827110343E-2</v>
      </c>
      <c r="U89" s="276">
        <v>0</v>
      </c>
      <c r="V89" s="276">
        <v>4.335611290489671E-3</v>
      </c>
      <c r="W89" s="276">
        <v>7.2186740796528703E-2</v>
      </c>
      <c r="X89" s="276">
        <v>1.409931670076417E-2</v>
      </c>
      <c r="Y89" s="276">
        <v>1.4595841765349043E-2</v>
      </c>
      <c r="Z89" s="276">
        <v>0</v>
      </c>
      <c r="AA89" s="276">
        <v>1.7266779705268038E-2</v>
      </c>
      <c r="AB89" s="276">
        <v>3.0315618859166886E-2</v>
      </c>
      <c r="AC89" s="276">
        <v>4.7616919473814974E-2</v>
      </c>
      <c r="AD89" s="276">
        <v>2.569899041813303E-2</v>
      </c>
      <c r="AE89" s="276">
        <v>1.6548367899125418E-2</v>
      </c>
      <c r="AF89" s="276">
        <v>3.0047135841316189E-2</v>
      </c>
      <c r="AG89" s="276">
        <v>3.1716234128465172E-2</v>
      </c>
      <c r="AH89" s="276">
        <v>3.0014596108345643E-2</v>
      </c>
      <c r="AI89" s="276">
        <v>0.21812649159972244</v>
      </c>
      <c r="AJ89" s="276">
        <v>0.18470612828493149</v>
      </c>
      <c r="AK89" s="276">
        <v>0</v>
      </c>
      <c r="AL89" s="276">
        <v>3.0003650618313376E-2</v>
      </c>
      <c r="AM89" s="276">
        <v>0.18338671402074924</v>
      </c>
      <c r="AN89" s="276">
        <v>0</v>
      </c>
      <c r="AO89" s="276">
        <v>3.0082439143860173E-2</v>
      </c>
      <c r="AP89" s="276">
        <v>3.0046786740717653E-2</v>
      </c>
      <c r="AQ89" s="276">
        <v>3.1070462363693672E-2</v>
      </c>
      <c r="AR89" s="276">
        <v>1.51702012718403E-2</v>
      </c>
      <c r="AS89" s="276">
        <v>3.0021672768466835E-2</v>
      </c>
      <c r="AT89" s="276">
        <v>5.4507321078245352E-2</v>
      </c>
      <c r="AU89" s="276">
        <v>4.8109740108991446E-2</v>
      </c>
      <c r="AV89" s="276">
        <v>3.7276575239506844E-2</v>
      </c>
      <c r="AW89" s="276">
        <v>4.6836751277803427E-3</v>
      </c>
      <c r="AX89" s="276">
        <v>4.5667086943684036E-2</v>
      </c>
      <c r="AY89" s="276">
        <v>5.2543940431798351E-2</v>
      </c>
      <c r="AZ89" s="276">
        <v>0.44129059043054286</v>
      </c>
      <c r="BA89" s="276">
        <v>1.7454120315717365E-2</v>
      </c>
      <c r="BB89" s="276">
        <v>3.0041541819897544E-2</v>
      </c>
      <c r="BC89" s="276">
        <v>7.7275605695950073E-2</v>
      </c>
      <c r="BD89" s="276">
        <v>0.12422016859441029</v>
      </c>
      <c r="BE89" s="276">
        <v>0.55105485554656453</v>
      </c>
      <c r="BF89" s="276">
        <v>5.2491022339878528E-3</v>
      </c>
      <c r="BG89" s="276">
        <v>2.0035680308340808E-2</v>
      </c>
      <c r="BH89" s="276">
        <v>3.000688978952747E-2</v>
      </c>
      <c r="BI89" s="276">
        <v>1.4533969612542457E-2</v>
      </c>
      <c r="BJ89" s="276">
        <v>3.0010669101508031E-2</v>
      </c>
      <c r="BK89" s="276">
        <v>0.41303810813585112</v>
      </c>
    </row>
    <row r="90" spans="1:63" ht="14.25" customHeight="1" x14ac:dyDescent="0.35">
      <c r="A90" s="277" t="s">
        <v>119</v>
      </c>
      <c r="B90" s="276">
        <v>0.28752838642030859</v>
      </c>
      <c r="C90" s="276">
        <v>3.0000469264555327E-2</v>
      </c>
      <c r="D90" s="276">
        <v>0.29734407841870414</v>
      </c>
      <c r="E90" s="276">
        <v>3.0000559278370083E-2</v>
      </c>
      <c r="F90" s="276">
        <v>0.13475363420825706</v>
      </c>
      <c r="G90" s="276">
        <v>4.1876760066706979E-2</v>
      </c>
      <c r="H90" s="276">
        <v>5.4880195024020334E-2</v>
      </c>
      <c r="I90" s="276">
        <v>0.74581288845744476</v>
      </c>
      <c r="J90" s="276">
        <v>5.3390335913398589E-9</v>
      </c>
      <c r="K90" s="276">
        <v>7.8406212335797545E-2</v>
      </c>
      <c r="L90" s="276">
        <v>5.6506652980421387E-2</v>
      </c>
      <c r="M90" s="276">
        <v>4.3282346499566365E-3</v>
      </c>
      <c r="N90" s="276">
        <v>3.4891842349270369E-2</v>
      </c>
      <c r="O90" s="276">
        <v>1.6996920833968174E-2</v>
      </c>
      <c r="P90" s="276">
        <v>3.0641282792675535E-2</v>
      </c>
      <c r="Q90" s="276">
        <v>1.1398413650570895E-2</v>
      </c>
      <c r="R90" s="276">
        <v>0.17816709257172705</v>
      </c>
      <c r="S90" s="276">
        <v>5.4784741504513672E-2</v>
      </c>
      <c r="T90" s="276">
        <v>1.6824594079465013E-2</v>
      </c>
      <c r="U90" s="276">
        <v>1.2404665699344073E-2</v>
      </c>
      <c r="V90" s="276">
        <v>2.7483153573316328E-2</v>
      </c>
      <c r="W90" s="276">
        <v>9.0088186610646187E-2</v>
      </c>
      <c r="X90" s="276">
        <v>3.2606993769209912E-2</v>
      </c>
      <c r="Y90" s="276">
        <v>3.7656545936605051E-3</v>
      </c>
      <c r="Z90" s="276">
        <v>0</v>
      </c>
      <c r="AA90" s="276">
        <v>3.0000717355730448E-2</v>
      </c>
      <c r="AB90" s="276">
        <v>6.5020334235852614E-2</v>
      </c>
      <c r="AC90" s="276">
        <v>5.3530214098708444E-2</v>
      </c>
      <c r="AD90" s="276">
        <v>0.11269474311217055</v>
      </c>
      <c r="AE90" s="276">
        <v>4.4397227634234628E-2</v>
      </c>
      <c r="AF90" s="276">
        <v>6.5752940344730157E-2</v>
      </c>
      <c r="AG90" s="276">
        <v>5.2626647243700586E-2</v>
      </c>
      <c r="AH90" s="276">
        <v>8.1031698897133075E-2</v>
      </c>
      <c r="AI90" s="276">
        <v>0.44966365137718278</v>
      </c>
      <c r="AJ90" s="276">
        <v>0.37620152921087885</v>
      </c>
      <c r="AK90" s="276">
        <v>0.41154875519213352</v>
      </c>
      <c r="AL90" s="276">
        <v>6.3084017328029329E-3</v>
      </c>
      <c r="AM90" s="276">
        <v>0.41821225162199771</v>
      </c>
      <c r="AN90" s="276">
        <v>0.29487356311146257</v>
      </c>
      <c r="AO90" s="276">
        <v>0.1055938310719543</v>
      </c>
      <c r="AP90" s="276">
        <v>0.10971840270473991</v>
      </c>
      <c r="AQ90" s="276">
        <v>1.1540229908895243E-4</v>
      </c>
      <c r="AR90" s="276">
        <v>0</v>
      </c>
      <c r="AS90" s="276">
        <v>3.1115042673959894E-2</v>
      </c>
      <c r="AT90" s="276">
        <v>3.4677005527794312E-2</v>
      </c>
      <c r="AU90" s="276">
        <v>5.9928933972370237E-2</v>
      </c>
      <c r="AV90" s="276">
        <v>1.427364337118645E-6</v>
      </c>
      <c r="AW90" s="276">
        <v>6.7405399482073514E-3</v>
      </c>
      <c r="AX90" s="276">
        <v>4.8352136080149072E-2</v>
      </c>
      <c r="AY90" s="276">
        <v>3.0000769659952051E-2</v>
      </c>
      <c r="AZ90" s="276">
        <v>3.0000382247462605E-2</v>
      </c>
      <c r="BA90" s="276">
        <v>3.8724647392428175E-3</v>
      </c>
      <c r="BB90" s="276">
        <v>0.15809441867346269</v>
      </c>
      <c r="BC90" s="276">
        <v>0.12194970933607409</v>
      </c>
      <c r="BD90" s="276">
        <v>0.17007569993265484</v>
      </c>
      <c r="BE90" s="276">
        <v>0.65523901258364448</v>
      </c>
      <c r="BF90" s="276">
        <v>3.0000754585959515E-2</v>
      </c>
      <c r="BG90" s="276">
        <v>2.0688198482673722E-2</v>
      </c>
      <c r="BH90" s="276">
        <v>3.9082531067509037E-2</v>
      </c>
      <c r="BI90" s="276">
        <v>4.35957035638211E-2</v>
      </c>
      <c r="BJ90" s="276">
        <v>3.0000389940248392E-2</v>
      </c>
      <c r="BK90" s="276">
        <v>1.1211989540776618E-3</v>
      </c>
    </row>
    <row r="91" spans="1:63" ht="14.25" customHeight="1" x14ac:dyDescent="0.35">
      <c r="A91" s="277" t="s">
        <v>120</v>
      </c>
      <c r="B91" s="276">
        <v>3.1058775377893741E-2</v>
      </c>
      <c r="C91" s="276">
        <v>3.0477391333683858E-2</v>
      </c>
      <c r="D91" s="276">
        <v>1.2149254450329406E-2</v>
      </c>
      <c r="E91" s="276">
        <v>4.9592191664989217E-2</v>
      </c>
      <c r="F91" s="276">
        <v>0.21398758588682845</v>
      </c>
      <c r="G91" s="276">
        <v>0</v>
      </c>
      <c r="H91" s="276">
        <v>0</v>
      </c>
      <c r="I91" s="276">
        <v>0.60260821978908052</v>
      </c>
      <c r="J91" s="276">
        <v>0.61016498476331149</v>
      </c>
      <c r="K91" s="276">
        <v>3.4916597968129577E-2</v>
      </c>
      <c r="L91" s="276">
        <v>8.0525778509167742E-2</v>
      </c>
      <c r="M91" s="276">
        <v>0.61075137808137669</v>
      </c>
      <c r="N91" s="276">
        <v>3.8188712646305824E-3</v>
      </c>
      <c r="O91" s="276">
        <v>0.16351864434969882</v>
      </c>
      <c r="P91" s="276">
        <v>0.16192007646616366</v>
      </c>
      <c r="Q91" s="276">
        <v>3.1960141593850987E-2</v>
      </c>
      <c r="R91" s="276">
        <v>3.0252813196442688E-2</v>
      </c>
      <c r="S91" s="276">
        <v>6.6262317292279854E-2</v>
      </c>
      <c r="T91" s="276">
        <v>1.626069598602186E-2</v>
      </c>
      <c r="U91" s="276">
        <v>0.66673939368700041</v>
      </c>
      <c r="V91" s="276">
        <v>0.14047463199656365</v>
      </c>
      <c r="W91" s="276">
        <v>0.17094375879421686</v>
      </c>
      <c r="X91" s="276">
        <v>5.2722901955269755E-2</v>
      </c>
      <c r="Y91" s="276">
        <v>4.3058245387856652E-2</v>
      </c>
      <c r="Z91" s="276">
        <v>0</v>
      </c>
      <c r="AA91" s="276">
        <v>7.190839753239002E-2</v>
      </c>
      <c r="AB91" s="276">
        <v>4.2326759201868944E-2</v>
      </c>
      <c r="AC91" s="276">
        <v>2.3061699495070323E-2</v>
      </c>
      <c r="AD91" s="276">
        <v>6.8869175769009194E-2</v>
      </c>
      <c r="AE91" s="276">
        <v>2.0911165451431665E-2</v>
      </c>
      <c r="AF91" s="276">
        <v>1.9534810872151292E-2</v>
      </c>
      <c r="AG91" s="276">
        <v>3.6833493742629952E-2</v>
      </c>
      <c r="AH91" s="276">
        <v>0.10384872601655423</v>
      </c>
      <c r="AI91" s="276">
        <v>0.27718123264531969</v>
      </c>
      <c r="AJ91" s="276">
        <v>0.26285099156719816</v>
      </c>
      <c r="AK91" s="276">
        <v>0.20751342348048896</v>
      </c>
      <c r="AL91" s="276">
        <v>3.38364568830124E-2</v>
      </c>
      <c r="AM91" s="276">
        <v>3.2341207073194649E-2</v>
      </c>
      <c r="AN91" s="276">
        <v>0</v>
      </c>
      <c r="AO91" s="276">
        <v>0.12199423792518459</v>
      </c>
      <c r="AP91" s="276">
        <v>3.0533312675146279E-2</v>
      </c>
      <c r="AQ91" s="276">
        <v>0.11101026133665028</v>
      </c>
      <c r="AR91" s="276">
        <v>3.1608941977090514E-2</v>
      </c>
      <c r="AS91" s="276">
        <v>5.4223623807809061E-2</v>
      </c>
      <c r="AT91" s="276">
        <v>6.4775430677172105E-2</v>
      </c>
      <c r="AU91" s="276">
        <v>0.10676775893552388</v>
      </c>
      <c r="AV91" s="276">
        <v>3.463491373417401E-2</v>
      </c>
      <c r="AW91" s="276">
        <v>5.731082843632461E-2</v>
      </c>
      <c r="AX91" s="276">
        <v>3.1164410825307867E-2</v>
      </c>
      <c r="AY91" s="276">
        <v>1.7378880137653551E-2</v>
      </c>
      <c r="AZ91" s="276">
        <v>8.3634437306123553E-3</v>
      </c>
      <c r="BA91" s="276">
        <v>3.1075172171699656E-2</v>
      </c>
      <c r="BB91" s="276">
        <v>3.4700032350264386E-2</v>
      </c>
      <c r="BC91" s="276">
        <v>3.0085737731319232E-2</v>
      </c>
      <c r="BD91" s="276">
        <v>0.26343729216296685</v>
      </c>
      <c r="BE91" s="276">
        <v>0.25723610464276087</v>
      </c>
      <c r="BF91" s="276">
        <v>3.0163690261510879E-2</v>
      </c>
      <c r="BG91" s="276">
        <v>3.0054722619657151E-2</v>
      </c>
      <c r="BH91" s="276">
        <v>9.1176717946919991E-2</v>
      </c>
      <c r="BI91" s="276">
        <v>8.5986448084622719E-2</v>
      </c>
      <c r="BJ91" s="276">
        <v>7.1714303743348917E-2</v>
      </c>
      <c r="BK91" s="276">
        <v>0.10098772935768759</v>
      </c>
    </row>
    <row r="92" spans="1:63" ht="14.25" customHeight="1" x14ac:dyDescent="0.35">
      <c r="A92" s="278" t="s">
        <v>83</v>
      </c>
      <c r="B92" s="276">
        <v>3.0001150740779421E-2</v>
      </c>
      <c r="C92" s="276">
        <v>4.2398425863760951E-4</v>
      </c>
      <c r="D92" s="276">
        <v>3.0000275635799583E-2</v>
      </c>
      <c r="E92" s="276">
        <v>6.2146747092235964E-3</v>
      </c>
      <c r="F92" s="276">
        <v>0.10096858354064318</v>
      </c>
      <c r="G92" s="276">
        <v>0.25323194022121531</v>
      </c>
      <c r="H92" s="276">
        <v>0.61735905516211842</v>
      </c>
      <c r="I92" s="276">
        <v>0</v>
      </c>
      <c r="J92" s="276">
        <v>0</v>
      </c>
      <c r="K92" s="276">
        <v>4.9335317539207606E-2</v>
      </c>
      <c r="L92" s="276">
        <v>0.14568604780120675</v>
      </c>
      <c r="M92" s="276">
        <v>0</v>
      </c>
      <c r="N92" s="276">
        <v>9.0592833589305463E-2</v>
      </c>
      <c r="O92" s="276">
        <v>6.727725693069524E-3</v>
      </c>
      <c r="P92" s="276">
        <v>0.13623777512493307</v>
      </c>
      <c r="Q92" s="276">
        <v>3.0000853464533028E-2</v>
      </c>
      <c r="R92" s="276">
        <v>0.22750496942925155</v>
      </c>
      <c r="S92" s="276">
        <v>4.7251073204870632E-2</v>
      </c>
      <c r="T92" s="276">
        <v>3.5105430443119534E-2</v>
      </c>
      <c r="U92" s="276">
        <v>0.47791437395590408</v>
      </c>
      <c r="V92" s="276">
        <v>9.2705656652981704E-3</v>
      </c>
      <c r="W92" s="276">
        <v>7.8992972452940916E-2</v>
      </c>
      <c r="X92" s="276">
        <v>5.5441082296961278E-2</v>
      </c>
      <c r="Y92" s="276">
        <v>3.000100409879241E-2</v>
      </c>
      <c r="Z92" s="276">
        <v>0</v>
      </c>
      <c r="AA92" s="276">
        <v>5.0298156406198266E-2</v>
      </c>
      <c r="AB92" s="276">
        <v>6.1970677149943816E-2</v>
      </c>
      <c r="AC92" s="276">
        <v>2.7610065952403059E-2</v>
      </c>
      <c r="AD92" s="276">
        <v>1.8926846185310379E-2</v>
      </c>
      <c r="AE92" s="276">
        <v>3.1272165202983395E-3</v>
      </c>
      <c r="AF92" s="276">
        <v>6.9106592020762234E-2</v>
      </c>
      <c r="AG92" s="276">
        <v>8.5103358218996755E-2</v>
      </c>
      <c r="AH92" s="276">
        <v>0.18886768546970945</v>
      </c>
      <c r="AI92" s="276">
        <v>0.40480942316298857</v>
      </c>
      <c r="AJ92" s="276">
        <v>0.32360878546626198</v>
      </c>
      <c r="AK92" s="276">
        <v>0.33949609039870626</v>
      </c>
      <c r="AL92" s="276">
        <v>3.0002200714073727E-2</v>
      </c>
      <c r="AM92" s="276">
        <v>0.1521462159064608</v>
      </c>
      <c r="AN92" s="276">
        <v>0</v>
      </c>
      <c r="AO92" s="276">
        <v>0.11619252438304639</v>
      </c>
      <c r="AP92" s="276">
        <v>9.2298198572097201E-2</v>
      </c>
      <c r="AQ92" s="276">
        <v>5.3070299167967761E-3</v>
      </c>
      <c r="AR92" s="276">
        <v>1.7523151359939893E-4</v>
      </c>
      <c r="AS92" s="276">
        <v>0.17922891052580256</v>
      </c>
      <c r="AT92" s="276">
        <v>4.1605370638253619E-7</v>
      </c>
      <c r="AU92" s="276">
        <v>0.10835624715974997</v>
      </c>
      <c r="AV92" s="276">
        <v>4.0009351398424594E-3</v>
      </c>
      <c r="AW92" s="276">
        <v>8.6066917289903972E-3</v>
      </c>
      <c r="AX92" s="276">
        <v>3.0000296515691083E-2</v>
      </c>
      <c r="AY92" s="276">
        <v>5.2107528150293007E-2</v>
      </c>
      <c r="AZ92" s="276">
        <v>5.3049285674893988E-3</v>
      </c>
      <c r="BA92" s="276">
        <v>8.4875897540679396E-2</v>
      </c>
      <c r="BB92" s="276">
        <v>9.9024526804261909E-2</v>
      </c>
      <c r="BC92" s="276">
        <v>8.8194853504801024E-2</v>
      </c>
      <c r="BD92" s="276">
        <v>0.15111262665551836</v>
      </c>
      <c r="BE92" s="276">
        <v>0.60585768998751854</v>
      </c>
      <c r="BF92" s="276">
        <v>3.0000159054651369E-2</v>
      </c>
      <c r="BG92" s="276">
        <v>7.7022735358335398E-2</v>
      </c>
      <c r="BH92" s="276">
        <v>3.0000064329116564E-2</v>
      </c>
      <c r="BI92" s="276">
        <v>3.9879637516793007E-2</v>
      </c>
      <c r="BJ92" s="276">
        <v>5.1829918662566997E-2</v>
      </c>
      <c r="BK92" s="276">
        <v>2.9999999999999988E-2</v>
      </c>
    </row>
    <row r="93" spans="1:63" ht="14.25" customHeight="1" x14ac:dyDescent="0.35">
      <c r="A93" s="278" t="s">
        <v>144</v>
      </c>
      <c r="B93" s="276">
        <v>3.1429976536934377E-3</v>
      </c>
      <c r="C93" s="276">
        <v>9.933795269802927E-3</v>
      </c>
      <c r="D93" s="276">
        <v>1.8695401439182427E-2</v>
      </c>
      <c r="E93" s="276">
        <v>3.0000000994551305E-2</v>
      </c>
      <c r="F93" s="276">
        <v>0.13056085490030073</v>
      </c>
      <c r="G93" s="276">
        <v>0.10527924212406406</v>
      </c>
      <c r="H93" s="276">
        <v>0.34495050019805268</v>
      </c>
      <c r="I93" s="276">
        <v>0.16153133071530085</v>
      </c>
      <c r="J93" s="276">
        <v>6.5500191031495084E-2</v>
      </c>
      <c r="K93" s="276">
        <v>3.5541576960017141E-2</v>
      </c>
      <c r="L93" s="276">
        <v>4.6127087738060443E-2</v>
      </c>
      <c r="M93" s="276">
        <v>0.19914006152110661</v>
      </c>
      <c r="N93" s="276">
        <v>3.0000391610681344E-2</v>
      </c>
      <c r="O93" s="276">
        <v>6.3668895076278334E-2</v>
      </c>
      <c r="P93" s="276">
        <v>1.0558165493159887E-2</v>
      </c>
      <c r="Q93" s="276">
        <v>3.0000412330104146E-2</v>
      </c>
      <c r="R93" s="276">
        <v>3.0000201116314587E-2</v>
      </c>
      <c r="S93" s="276">
        <v>3.2805131749401112E-2</v>
      </c>
      <c r="T93" s="276">
        <v>5.7006640209079952E-8</v>
      </c>
      <c r="U93" s="276">
        <v>5.5594628474467778E-2</v>
      </c>
      <c r="V93" s="276">
        <v>4.0794275716296846E-2</v>
      </c>
      <c r="W93" s="276">
        <v>3.0000068346760302E-2</v>
      </c>
      <c r="X93" s="276">
        <v>3.0000018673903298E-2</v>
      </c>
      <c r="Y93" s="276">
        <v>6.300806433457426E-2</v>
      </c>
      <c r="Z93" s="276">
        <v>0</v>
      </c>
      <c r="AA93" s="276">
        <v>3.0000047393458407E-2</v>
      </c>
      <c r="AB93" s="276">
        <v>3.0000028089276386E-2</v>
      </c>
      <c r="AC93" s="276">
        <v>3.0000061642447048E-2</v>
      </c>
      <c r="AD93" s="276">
        <v>3.0000048961850562E-2</v>
      </c>
      <c r="AE93" s="276">
        <v>8.6162601569969317E-4</v>
      </c>
      <c r="AF93" s="276">
        <v>3.0000046280521157E-2</v>
      </c>
      <c r="AG93" s="276">
        <v>0.12709033236622183</v>
      </c>
      <c r="AH93" s="276">
        <v>0.15453495410180437</v>
      </c>
      <c r="AI93" s="276">
        <v>0.51335448626193092</v>
      </c>
      <c r="AJ93" s="276">
        <v>0.50650506664243444</v>
      </c>
      <c r="AK93" s="276">
        <v>0.502568584335083</v>
      </c>
      <c r="AL93" s="276">
        <v>2.3176994050558931E-2</v>
      </c>
      <c r="AM93" s="276">
        <v>0.44657366245186969</v>
      </c>
      <c r="AN93" s="276">
        <v>3.0000082663939397E-2</v>
      </c>
      <c r="AO93" s="276">
        <v>6.6694807795037642E-2</v>
      </c>
      <c r="AP93" s="276">
        <v>8.0086862361784047E-7</v>
      </c>
      <c r="AQ93" s="276">
        <v>3.0000004128118922E-2</v>
      </c>
      <c r="AR93" s="276">
        <v>8.1198072380269382E-2</v>
      </c>
      <c r="AS93" s="276">
        <v>3.9008166905682845E-2</v>
      </c>
      <c r="AT93" s="276">
        <v>2.6340528915002524E-2</v>
      </c>
      <c r="AU93" s="276">
        <v>3.0000025495200287E-2</v>
      </c>
      <c r="AV93" s="276">
        <v>3.0000017486182452E-2</v>
      </c>
      <c r="AW93" s="276">
        <v>3.0000021236151368E-2</v>
      </c>
      <c r="AX93" s="276">
        <v>3.0000005201810453E-2</v>
      </c>
      <c r="AY93" s="276">
        <v>3.0000004727338225E-2</v>
      </c>
      <c r="AZ93" s="276">
        <v>3.0000003128211189E-2</v>
      </c>
      <c r="BA93" s="276">
        <v>3.0000024551038968E-2</v>
      </c>
      <c r="BB93" s="276">
        <v>3.0000016999989269E-2</v>
      </c>
      <c r="BC93" s="276">
        <v>2.3760619226872452E-2</v>
      </c>
      <c r="BD93" s="276">
        <v>8.9928525773468174E-2</v>
      </c>
      <c r="BE93" s="276">
        <v>0.32964583246113638</v>
      </c>
      <c r="BF93" s="276">
        <v>3.0000029194227382E-2</v>
      </c>
      <c r="BG93" s="276">
        <v>3.0000033027167479E-2</v>
      </c>
      <c r="BH93" s="276">
        <v>3.0000024902894641E-2</v>
      </c>
      <c r="BI93" s="276">
        <v>6.2776758313994709E-3</v>
      </c>
      <c r="BJ93" s="276">
        <v>3.0000017891126159E-2</v>
      </c>
      <c r="BK93" s="276">
        <v>1.0357806838689014</v>
      </c>
    </row>
    <row r="94" spans="1:63" ht="14.25" customHeight="1" x14ac:dyDescent="0.35">
      <c r="A94" s="278" t="s">
        <v>164</v>
      </c>
      <c r="B94" s="276">
        <v>3.0000790293866812E-2</v>
      </c>
      <c r="C94" s="276">
        <v>3.0000872628650796E-2</v>
      </c>
      <c r="D94" s="276">
        <v>3.0000156357897056E-2</v>
      </c>
      <c r="E94" s="276">
        <v>3.0000085860345027E-2</v>
      </c>
      <c r="F94" s="276">
        <v>0.19086646421629258</v>
      </c>
      <c r="G94" s="276">
        <v>0.22070366513381459</v>
      </c>
      <c r="H94" s="276">
        <v>0.42935646850488002</v>
      </c>
      <c r="I94" s="276">
        <v>0.24096566977459888</v>
      </c>
      <c r="J94" s="276">
        <v>0.5699004860084943</v>
      </c>
      <c r="K94" s="276">
        <v>4.905729235776253E-2</v>
      </c>
      <c r="L94" s="276">
        <v>0.11137088295478122</v>
      </c>
      <c r="M94" s="276">
        <v>0.48393020626911315</v>
      </c>
      <c r="N94" s="276">
        <v>6.1113027730973594E-2</v>
      </c>
      <c r="O94" s="276">
        <v>0.11147717465933225</v>
      </c>
      <c r="P94" s="276">
        <v>0.12580327779219724</v>
      </c>
      <c r="Q94" s="276">
        <v>2.1931451497261726E-2</v>
      </c>
      <c r="R94" s="276">
        <v>5.1442403951769917E-2</v>
      </c>
      <c r="S94" s="276">
        <v>0.10510749901711089</v>
      </c>
      <c r="T94" s="276">
        <v>5.420868575306762E-3</v>
      </c>
      <c r="U94" s="276">
        <v>1.8754421986669302E-2</v>
      </c>
      <c r="V94" s="276">
        <v>0.11235444088461752</v>
      </c>
      <c r="W94" s="276">
        <v>3.3955055376741927E-2</v>
      </c>
      <c r="X94" s="276">
        <v>3.0000855984085091E-2</v>
      </c>
      <c r="Y94" s="276">
        <v>3.0021986872726777E-2</v>
      </c>
      <c r="Z94" s="276">
        <v>0</v>
      </c>
      <c r="AA94" s="276">
        <v>3.0001239087825763E-2</v>
      </c>
      <c r="AB94" s="276">
        <v>3.0000611367350608E-2</v>
      </c>
      <c r="AC94" s="276">
        <v>3.000804983048129E-2</v>
      </c>
      <c r="AD94" s="276">
        <v>3.0007758462352065E-2</v>
      </c>
      <c r="AE94" s="276">
        <v>3.0000557400957518E-2</v>
      </c>
      <c r="AF94" s="276">
        <v>3.0004102007758823E-2</v>
      </c>
      <c r="AG94" s="276">
        <v>5.5771192913992421E-2</v>
      </c>
      <c r="AH94" s="276">
        <v>3.0001528354817546E-2</v>
      </c>
      <c r="AI94" s="276">
        <v>0.33200320137409878</v>
      </c>
      <c r="AJ94" s="276">
        <v>0.35284162031840233</v>
      </c>
      <c r="AK94" s="276">
        <v>0.21344299540784048</v>
      </c>
      <c r="AL94" s="276">
        <v>3.0000243083382346E-2</v>
      </c>
      <c r="AM94" s="276">
        <v>4.7576153603613898E-4</v>
      </c>
      <c r="AN94" s="276">
        <v>3.0000000000000093E-2</v>
      </c>
      <c r="AO94" s="276">
        <v>3.0001153658520546E-2</v>
      </c>
      <c r="AP94" s="276">
        <v>3.000055552504376E-2</v>
      </c>
      <c r="AQ94" s="276">
        <v>3.0103389915167467E-2</v>
      </c>
      <c r="AR94" s="276">
        <v>3.7415050038439188E-2</v>
      </c>
      <c r="AS94" s="276">
        <v>3.0326073374526821E-2</v>
      </c>
      <c r="AT94" s="276">
        <v>3.3312495156321204E-2</v>
      </c>
      <c r="AU94" s="276">
        <v>2.0729267860333245E-2</v>
      </c>
      <c r="AV94" s="276">
        <v>3.0000315068398328E-2</v>
      </c>
      <c r="AW94" s="276">
        <v>3.0000157129576172E-2</v>
      </c>
      <c r="AX94" s="276">
        <v>3.0000414569753917E-2</v>
      </c>
      <c r="AY94" s="276">
        <v>3.0000298704234495E-2</v>
      </c>
      <c r="AZ94" s="276">
        <v>3.0000441338011032E-2</v>
      </c>
      <c r="BA94" s="276">
        <v>4.604714548687959E-2</v>
      </c>
      <c r="BB94" s="276">
        <v>3.0000058055672369E-2</v>
      </c>
      <c r="BC94" s="276">
        <v>3.9445080090047581E-2</v>
      </c>
      <c r="BD94" s="276">
        <v>0.17253371748164897</v>
      </c>
      <c r="BE94" s="276">
        <v>0.53867151037084515</v>
      </c>
      <c r="BF94" s="276">
        <v>3.000032848626695E-2</v>
      </c>
      <c r="BG94" s="276">
        <v>8.4884837762183057E-2</v>
      </c>
      <c r="BH94" s="276">
        <v>6.4891706583105014E-3</v>
      </c>
      <c r="BI94" s="276">
        <v>1.223932163621636E-2</v>
      </c>
      <c r="BJ94" s="276">
        <v>3.0000707213356462E-2</v>
      </c>
      <c r="BK94" s="276">
        <v>3.7415135687032426E-2</v>
      </c>
    </row>
    <row r="95" spans="1:63" ht="14.25" customHeight="1" x14ac:dyDescent="0.35">
      <c r="A95" s="278" t="s">
        <v>145</v>
      </c>
      <c r="B95" s="276">
        <v>0.12924913000848903</v>
      </c>
      <c r="C95" s="276">
        <v>0.1595906003843405</v>
      </c>
      <c r="D95" s="276">
        <v>6.9848323464075032E-2</v>
      </c>
      <c r="E95" s="276">
        <v>0.13357481491785478</v>
      </c>
      <c r="F95" s="276">
        <v>0.41963445618334771</v>
      </c>
      <c r="G95" s="276">
        <v>0.3094607068741303</v>
      </c>
      <c r="H95" s="276">
        <v>0.69028179338290785</v>
      </c>
      <c r="I95" s="276">
        <v>0</v>
      </c>
      <c r="J95" s="276">
        <v>1.536502026323212E-2</v>
      </c>
      <c r="K95" s="276">
        <v>9.5416561445604148E-2</v>
      </c>
      <c r="L95" s="276">
        <v>3.0000525342008772E-2</v>
      </c>
      <c r="M95" s="276">
        <v>0</v>
      </c>
      <c r="N95" s="276">
        <v>1.3809140990653744E-2</v>
      </c>
      <c r="O95" s="276">
        <v>1.2359419020400756E-2</v>
      </c>
      <c r="P95" s="276">
        <v>5.6279732611836067E-2</v>
      </c>
      <c r="Q95" s="276">
        <v>0.16344740556454276</v>
      </c>
      <c r="R95" s="276">
        <v>0.36883749884989181</v>
      </c>
      <c r="S95" s="276">
        <v>7.4467316133057697E-3</v>
      </c>
      <c r="T95" s="276">
        <v>3.0000251185632956E-2</v>
      </c>
      <c r="U95" s="276">
        <v>0.15421924319756641</v>
      </c>
      <c r="V95" s="276">
        <v>5.2437570934788222E-2</v>
      </c>
      <c r="W95" s="276">
        <v>0.12778257421743827</v>
      </c>
      <c r="X95" s="276">
        <v>0.11610675627520876</v>
      </c>
      <c r="Y95" s="276">
        <v>5.5544552170916917E-2</v>
      </c>
      <c r="Z95" s="276">
        <v>0</v>
      </c>
      <c r="AA95" s="276">
        <v>0.1468505120698835</v>
      </c>
      <c r="AB95" s="276">
        <v>0.1021917977696972</v>
      </c>
      <c r="AC95" s="276">
        <v>0.10822320402127313</v>
      </c>
      <c r="AD95" s="276">
        <v>8.086856436890022E-2</v>
      </c>
      <c r="AE95" s="276">
        <v>0.11176615862113425</v>
      </c>
      <c r="AF95" s="276">
        <v>1.0696449229217028E-3</v>
      </c>
      <c r="AG95" s="276">
        <v>3.0000084520672182E-2</v>
      </c>
      <c r="AH95" s="276">
        <v>8.5671847622099603E-2</v>
      </c>
      <c r="AI95" s="276">
        <v>0.35907904882270414</v>
      </c>
      <c r="AJ95" s="276">
        <v>0.36113493825207982</v>
      </c>
      <c r="AK95" s="276">
        <v>0.28337304601067304</v>
      </c>
      <c r="AL95" s="276">
        <v>4.9473886136852493E-8</v>
      </c>
      <c r="AM95" s="276">
        <v>3.0000460794448017E-2</v>
      </c>
      <c r="AN95" s="276">
        <v>0</v>
      </c>
      <c r="AO95" s="276">
        <v>3.0000158064843799E-2</v>
      </c>
      <c r="AP95" s="276">
        <v>3.0000604562297039E-2</v>
      </c>
      <c r="AQ95" s="276">
        <v>3.000012619850527E-2</v>
      </c>
      <c r="AR95" s="276">
        <v>0.54924702780304424</v>
      </c>
      <c r="AS95" s="276">
        <v>3.0000092172934558E-2</v>
      </c>
      <c r="AT95" s="276">
        <v>6.0862131620768478E-2</v>
      </c>
      <c r="AU95" s="276">
        <v>4.0079159438606793E-2</v>
      </c>
      <c r="AV95" s="276">
        <v>0.30259915238289264</v>
      </c>
      <c r="AW95" s="276">
        <v>0.12722897836317504</v>
      </c>
      <c r="AX95" s="276">
        <v>3.0000133889103789E-2</v>
      </c>
      <c r="AY95" s="276">
        <v>3.0000104271968354E-2</v>
      </c>
      <c r="AZ95" s="276">
        <v>3.0000652903210644E-2</v>
      </c>
      <c r="BA95" s="276">
        <v>4.7694566143481248E-2</v>
      </c>
      <c r="BB95" s="276">
        <v>1.7591657665961425E-7</v>
      </c>
      <c r="BC95" s="276">
        <v>0.13096001851709249</v>
      </c>
      <c r="BD95" s="276">
        <v>0.41446484149057677</v>
      </c>
      <c r="BE95" s="276">
        <v>0.32292945733726514</v>
      </c>
      <c r="BF95" s="276">
        <v>0.175451147657878</v>
      </c>
      <c r="BG95" s="276">
        <v>3.0002029746498862E-2</v>
      </c>
      <c r="BH95" s="276">
        <v>0.22502343955421628</v>
      </c>
      <c r="BI95" s="276">
        <v>0.12987776567197074</v>
      </c>
      <c r="BJ95" s="276">
        <v>0.13656669546233366</v>
      </c>
      <c r="BK95" s="276">
        <v>0.98847732338210992</v>
      </c>
    </row>
    <row r="96" spans="1:63" ht="14.25" customHeight="1" x14ac:dyDescent="0.35">
      <c r="A96" s="278" t="s">
        <v>87</v>
      </c>
      <c r="B96" s="276">
        <v>3.5207487931526518E-2</v>
      </c>
      <c r="C96" s="276">
        <v>8.0187964637735455E-3</v>
      </c>
      <c r="D96" s="276">
        <v>0.26457902930502258</v>
      </c>
      <c r="E96" s="276">
        <v>0.20173294414233781</v>
      </c>
      <c r="F96" s="276">
        <v>0.12909829139098222</v>
      </c>
      <c r="G96" s="276">
        <v>0.20253509073049578</v>
      </c>
      <c r="H96" s="276">
        <v>0.33598482712437799</v>
      </c>
      <c r="I96" s="276">
        <v>3.000541858458116E-2</v>
      </c>
      <c r="J96" s="276">
        <v>0.35418285797491206</v>
      </c>
      <c r="K96" s="276">
        <v>0.13312032220506603</v>
      </c>
      <c r="L96" s="276">
        <v>0.3569561282930187</v>
      </c>
      <c r="M96" s="276">
        <v>0.30091641916862888</v>
      </c>
      <c r="N96" s="276">
        <v>4.040808776831529E-5</v>
      </c>
      <c r="O96" s="276">
        <v>0.17107405804613851</v>
      </c>
      <c r="P96" s="276">
        <v>0.27190711589212457</v>
      </c>
      <c r="Q96" s="276">
        <v>3.0000165769467402E-2</v>
      </c>
      <c r="R96" s="276">
        <v>5.6337140859029788E-8</v>
      </c>
      <c r="S96" s="276">
        <v>3.0000161540137668E-2</v>
      </c>
      <c r="T96" s="276">
        <v>3.0000154853549479E-2</v>
      </c>
      <c r="U96" s="276">
        <v>0.210482759817607</v>
      </c>
      <c r="V96" s="276">
        <v>1.2838660874056619E-2</v>
      </c>
      <c r="W96" s="276">
        <v>3.0000460700288889E-2</v>
      </c>
      <c r="X96" s="276">
        <v>3.000039019490542E-2</v>
      </c>
      <c r="Y96" s="276">
        <v>4.5597513315587319E-2</v>
      </c>
      <c r="Z96" s="276">
        <v>0</v>
      </c>
      <c r="AA96" s="276">
        <v>3.0000197739154879E-2</v>
      </c>
      <c r="AB96" s="276">
        <v>3.6994309547232811E-2</v>
      </c>
      <c r="AC96" s="276">
        <v>1.2558714228424372E-2</v>
      </c>
      <c r="AD96" s="276">
        <v>2.0509759069492969E-2</v>
      </c>
      <c r="AE96" s="276">
        <v>3.0000457096034185E-2</v>
      </c>
      <c r="AF96" s="276">
        <v>4.7542906956760729E-2</v>
      </c>
      <c r="AG96" s="276">
        <v>0.23081863700034858</v>
      </c>
      <c r="AH96" s="276">
        <v>0.16843275335700186</v>
      </c>
      <c r="AI96" s="276">
        <v>0.54752508702226643</v>
      </c>
      <c r="AJ96" s="276">
        <v>0.5253222037253289</v>
      </c>
      <c r="AK96" s="276">
        <v>0.46814091250847023</v>
      </c>
      <c r="AL96" s="276">
        <v>3.000016355298718E-2</v>
      </c>
      <c r="AM96" s="276">
        <v>4.5948001575183695E-2</v>
      </c>
      <c r="AN96" s="276">
        <v>0.34546544588078365</v>
      </c>
      <c r="AO96" s="276">
        <v>0.20655239749882903</v>
      </c>
      <c r="AP96" s="276">
        <v>8.7408394117797529E-3</v>
      </c>
      <c r="AQ96" s="276">
        <v>2.1482874499274458E-2</v>
      </c>
      <c r="AR96" s="276">
        <v>0</v>
      </c>
      <c r="AS96" s="276">
        <v>1.7809074140245564E-17</v>
      </c>
      <c r="AT96" s="276">
        <v>0.16943875010728102</v>
      </c>
      <c r="AU96" s="276">
        <v>0.20841673938516411</v>
      </c>
      <c r="AV96" s="276">
        <v>0.10531906921001918</v>
      </c>
      <c r="AW96" s="276">
        <v>4.5289401655506205E-2</v>
      </c>
      <c r="AX96" s="276">
        <v>6.5900292555388679E-2</v>
      </c>
      <c r="AY96" s="276">
        <v>3.0000092033336936E-2</v>
      </c>
      <c r="AZ96" s="276">
        <v>1.6125682008769321E-2</v>
      </c>
      <c r="BA96" s="276">
        <v>5.3913581308432899E-2</v>
      </c>
      <c r="BB96" s="276">
        <v>0.15450797567607713</v>
      </c>
      <c r="BC96" s="276">
        <v>0.24104498517956943</v>
      </c>
      <c r="BD96" s="276">
        <v>0.33374398273894251</v>
      </c>
      <c r="BE96" s="276">
        <v>0.64966295871639457</v>
      </c>
      <c r="BF96" s="276">
        <v>0.16026885821826764</v>
      </c>
      <c r="BG96" s="276">
        <v>3.0000151282772565E-2</v>
      </c>
      <c r="BH96" s="276">
        <v>9.4053194420956566E-4</v>
      </c>
      <c r="BI96" s="276">
        <v>8.0573370113933507E-2</v>
      </c>
      <c r="BJ96" s="276">
        <v>6.271092725190501E-2</v>
      </c>
      <c r="BK96" s="276">
        <v>0.41878825990814478</v>
      </c>
    </row>
    <row r="97" spans="1:63" ht="14.25" customHeight="1" x14ac:dyDescent="0.35">
      <c r="A97" s="278" t="s">
        <v>146</v>
      </c>
      <c r="B97" s="276">
        <v>2.0642279517267547E-7</v>
      </c>
      <c r="C97" s="276">
        <v>1.51203148908514E-7</v>
      </c>
      <c r="D97" s="276">
        <v>0.68106305266758216</v>
      </c>
      <c r="E97" s="276">
        <v>0.25844035999127768</v>
      </c>
      <c r="F97" s="276">
        <v>1.5695766928073667E-7</v>
      </c>
      <c r="G97" s="276">
        <v>0.41291613314219239</v>
      </c>
      <c r="H97" s="276">
        <v>0.36344407718181937</v>
      </c>
      <c r="I97" s="276">
        <v>0</v>
      </c>
      <c r="J97" s="276">
        <v>3.7011490933908634E-8</v>
      </c>
      <c r="K97" s="276">
        <v>1.9603483670849051E-2</v>
      </c>
      <c r="L97" s="276">
        <v>0.40314350905572943</v>
      </c>
      <c r="M97" s="276">
        <v>0.22188421947518983</v>
      </c>
      <c r="N97" s="276">
        <v>0.24912858671307478</v>
      </c>
      <c r="O97" s="276">
        <v>0.42915008081051093</v>
      </c>
      <c r="P97" s="276">
        <v>0.36482969365069268</v>
      </c>
      <c r="Q97" s="276">
        <v>0.24364468329031688</v>
      </c>
      <c r="R97" s="276">
        <v>3.1708259799766501E-3</v>
      </c>
      <c r="S97" s="276">
        <v>2.9317208527737382E-2</v>
      </c>
      <c r="T97" s="276">
        <v>3.0000418784175312E-2</v>
      </c>
      <c r="U97" s="276">
        <v>6.3703350551388418E-3</v>
      </c>
      <c r="V97" s="276">
        <v>0.11642349829906949</v>
      </c>
      <c r="W97" s="276">
        <v>2.0064542097965261E-4</v>
      </c>
      <c r="X97" s="276">
        <v>1.1155373110117692E-2</v>
      </c>
      <c r="Y97" s="276">
        <v>3.0003623465220369E-2</v>
      </c>
      <c r="Z97" s="276">
        <v>0</v>
      </c>
      <c r="AA97" s="276">
        <v>0.22318937041858419</v>
      </c>
      <c r="AB97" s="276">
        <v>3.0000572749195663E-2</v>
      </c>
      <c r="AC97" s="276">
        <v>0.25121059561705256</v>
      </c>
      <c r="AD97" s="276">
        <v>3.0000584084706051E-2</v>
      </c>
      <c r="AE97" s="276">
        <v>6.463984192142642E-3</v>
      </c>
      <c r="AF97" s="276">
        <v>3.0001041346170081E-2</v>
      </c>
      <c r="AG97" s="276">
        <v>3.000085719415688E-2</v>
      </c>
      <c r="AH97" s="276">
        <v>0.13008011940056144</v>
      </c>
      <c r="AI97" s="276">
        <v>0.43575304000568088</v>
      </c>
      <c r="AJ97" s="276">
        <v>0.42723073566851838</v>
      </c>
      <c r="AK97" s="276">
        <v>3.0000000000000002E-2</v>
      </c>
      <c r="AL97" s="276">
        <v>8.2615793588629964E-3</v>
      </c>
      <c r="AM97" s="276">
        <v>0</v>
      </c>
      <c r="AN97" s="276">
        <v>0</v>
      </c>
      <c r="AO97" s="276">
        <v>3.0000075275997438E-2</v>
      </c>
      <c r="AP97" s="276">
        <v>3.0010086744918243E-2</v>
      </c>
      <c r="AQ97" s="276">
        <v>1.4400194772426205E-7</v>
      </c>
      <c r="AR97" s="276">
        <v>7.1261963339343016E-8</v>
      </c>
      <c r="AS97" s="276">
        <v>1.8301969273608162E-2</v>
      </c>
      <c r="AT97" s="276">
        <v>2.6534026119573596E-2</v>
      </c>
      <c r="AU97" s="276">
        <v>0.1564220069012778</v>
      </c>
      <c r="AV97" s="276">
        <v>3.0005257454214285E-2</v>
      </c>
      <c r="AW97" s="276">
        <v>3.0000583428924511E-2</v>
      </c>
      <c r="AX97" s="276">
        <v>3.0000294392718164E-2</v>
      </c>
      <c r="AY97" s="276">
        <v>3.0000274390324235E-2</v>
      </c>
      <c r="AZ97" s="276">
        <v>3.0000378131601869E-2</v>
      </c>
      <c r="BA97" s="276">
        <v>3.0000287513932626E-2</v>
      </c>
      <c r="BB97" s="276">
        <v>5.4500451938783091E-2</v>
      </c>
      <c r="BC97" s="276">
        <v>2.8903897911114619E-2</v>
      </c>
      <c r="BD97" s="276">
        <v>0.25249818959217202</v>
      </c>
      <c r="BE97" s="276">
        <v>9.1362113775897688E-2</v>
      </c>
      <c r="BF97" s="276">
        <v>3.5473268672285558E-3</v>
      </c>
      <c r="BG97" s="276">
        <v>3.7530105085394785E-3</v>
      </c>
      <c r="BH97" s="276">
        <v>6.9518558696870878E-3</v>
      </c>
      <c r="BI97" s="276">
        <v>7.4135626537111298E-3</v>
      </c>
      <c r="BJ97" s="276">
        <v>2.6427224023006664E-7</v>
      </c>
      <c r="BK97" s="276">
        <v>0.9908666096189912</v>
      </c>
    </row>
    <row r="98" spans="1:63" ht="14.25" customHeight="1" x14ac:dyDescent="0.35">
      <c r="A98" s="278" t="s">
        <v>89</v>
      </c>
      <c r="B98" s="276">
        <v>8.8416520588009348E-2</v>
      </c>
      <c r="C98" s="276">
        <v>1.8631784167652925E-2</v>
      </c>
      <c r="D98" s="276">
        <v>0.12401569624156702</v>
      </c>
      <c r="E98" s="276">
        <v>0.13821482873262778</v>
      </c>
      <c r="F98" s="276">
        <v>0.43222105170837477</v>
      </c>
      <c r="G98" s="276">
        <v>0.43967316007469082</v>
      </c>
      <c r="H98" s="276">
        <v>0.5606649393835641</v>
      </c>
      <c r="I98" s="276">
        <v>3.0000853872364935E-2</v>
      </c>
      <c r="J98" s="276">
        <v>0.62148450436895319</v>
      </c>
      <c r="K98" s="276">
        <v>7.9422503624094087E-2</v>
      </c>
      <c r="L98" s="276">
        <v>0.25765888572912171</v>
      </c>
      <c r="M98" s="276">
        <v>0.53273012349904314</v>
      </c>
      <c r="N98" s="276">
        <v>7.7964069592786941E-2</v>
      </c>
      <c r="O98" s="276">
        <v>0.28123274767130585</v>
      </c>
      <c r="P98" s="276">
        <v>9.0137692897382202E-2</v>
      </c>
      <c r="Q98" s="276">
        <v>0.11844649116023072</v>
      </c>
      <c r="R98" s="276">
        <v>0.27362901768040382</v>
      </c>
      <c r="S98" s="276">
        <v>0.13044095804166095</v>
      </c>
      <c r="T98" s="276">
        <v>5.8117746474354318E-2</v>
      </c>
      <c r="U98" s="276">
        <v>2.0906639610432386E-2</v>
      </c>
      <c r="V98" s="276">
        <v>0.21131235847533672</v>
      </c>
      <c r="W98" s="276">
        <v>0.15493512050332978</v>
      </c>
      <c r="X98" s="276">
        <v>0.10114486753446497</v>
      </c>
      <c r="Y98" s="276">
        <v>0.1080621877171007</v>
      </c>
      <c r="Z98" s="276">
        <v>0</v>
      </c>
      <c r="AA98" s="276">
        <v>8.2874203840944821E-2</v>
      </c>
      <c r="AB98" s="276">
        <v>0.1339987723579972</v>
      </c>
      <c r="AC98" s="276">
        <v>8.3094336816145489E-2</v>
      </c>
      <c r="AD98" s="276">
        <v>7.9864157805330266E-2</v>
      </c>
      <c r="AE98" s="276">
        <v>8.3767924855068218E-2</v>
      </c>
      <c r="AF98" s="276">
        <v>4.6393410694443506E-2</v>
      </c>
      <c r="AG98" s="276">
        <v>0.29985994030328417</v>
      </c>
      <c r="AH98" s="276">
        <v>0.15263852524617666</v>
      </c>
      <c r="AI98" s="276">
        <v>0.39036259247258892</v>
      </c>
      <c r="AJ98" s="276">
        <v>0.38121809622049363</v>
      </c>
      <c r="AK98" s="276">
        <v>0.33571690490122574</v>
      </c>
      <c r="AL98" s="276">
        <v>3.0000190117820836E-2</v>
      </c>
      <c r="AM98" s="276">
        <v>0.19210536548220164</v>
      </c>
      <c r="AN98" s="276">
        <v>0.12354145783140297</v>
      </c>
      <c r="AO98" s="276">
        <v>0.23299527241137882</v>
      </c>
      <c r="AP98" s="276">
        <v>3.6548463265725757E-2</v>
      </c>
      <c r="AQ98" s="276">
        <v>3.0000106189938154E-2</v>
      </c>
      <c r="AR98" s="276">
        <v>3.0000051661341419E-2</v>
      </c>
      <c r="AS98" s="276">
        <v>0.23001844183812414</v>
      </c>
      <c r="AT98" s="276">
        <v>8.0919204441749937E-2</v>
      </c>
      <c r="AU98" s="276">
        <v>0.25962127854265221</v>
      </c>
      <c r="AV98" s="276">
        <v>0.20991304402761932</v>
      </c>
      <c r="AW98" s="276">
        <v>0.19650289591149622</v>
      </c>
      <c r="AX98" s="276">
        <v>0.14985964650704664</v>
      </c>
      <c r="AY98" s="276">
        <v>0.42729515796786349</v>
      </c>
      <c r="AZ98" s="276">
        <v>4.2238620018085725E-2</v>
      </c>
      <c r="BA98" s="276">
        <v>3.000080169137383E-2</v>
      </c>
      <c r="BB98" s="276">
        <v>0.13652982344703599</v>
      </c>
      <c r="BC98" s="276">
        <v>0.12231460965203732</v>
      </c>
      <c r="BD98" s="276">
        <v>0.16168014436935504</v>
      </c>
      <c r="BE98" s="276">
        <v>0.55894921506243467</v>
      </c>
      <c r="BF98" s="276">
        <v>0.11073745571521433</v>
      </c>
      <c r="BG98" s="276">
        <v>3.0006160308936901E-2</v>
      </c>
      <c r="BH98" s="276">
        <v>1.0435881402955201E-8</v>
      </c>
      <c r="BI98" s="276">
        <v>1.6931087403614858E-2</v>
      </c>
      <c r="BJ98" s="276">
        <v>5.5531290601535978E-2</v>
      </c>
      <c r="BK98" s="276">
        <v>2.9999999999999978E-2</v>
      </c>
    </row>
    <row r="99" spans="1:63" ht="14.25" customHeight="1" x14ac:dyDescent="0.35">
      <c r="A99" s="278" t="s">
        <v>90</v>
      </c>
      <c r="B99" s="276">
        <v>3.0000111001048269E-2</v>
      </c>
      <c r="C99" s="276">
        <v>3.0000044630297186E-2</v>
      </c>
      <c r="D99" s="276">
        <v>3.0000073060907718E-2</v>
      </c>
      <c r="E99" s="276">
        <v>3.0000024400875878E-2</v>
      </c>
      <c r="F99" s="276">
        <v>6.3511615874445732E-2</v>
      </c>
      <c r="G99" s="276">
        <v>0.19847935901772645</v>
      </c>
      <c r="H99" s="276">
        <v>0.41200008430458696</v>
      </c>
      <c r="I99" s="276">
        <v>0.19502171545351149</v>
      </c>
      <c r="J99" s="276">
        <v>3.000000000000003E-2</v>
      </c>
      <c r="K99" s="276">
        <v>6.4752316920770664E-3</v>
      </c>
      <c r="L99" s="276">
        <v>0.24182940145146109</v>
      </c>
      <c r="M99" s="276">
        <v>0.23713953864924034</v>
      </c>
      <c r="N99" s="276">
        <v>3.0002391329954109E-2</v>
      </c>
      <c r="O99" s="276">
        <v>0.23787000615450027</v>
      </c>
      <c r="P99" s="276">
        <v>1.1879341158528648E-2</v>
      </c>
      <c r="Q99" s="276">
        <v>3.0000934428717152E-2</v>
      </c>
      <c r="R99" s="276">
        <v>6.8021258730076141E-3</v>
      </c>
      <c r="S99" s="276">
        <v>1.0248441127673017E-2</v>
      </c>
      <c r="T99" s="276">
        <v>3.0000146615060522E-2</v>
      </c>
      <c r="U99" s="276">
        <v>3.4126513630308379E-2</v>
      </c>
      <c r="V99" s="276">
        <v>4.5666457346836206E-2</v>
      </c>
      <c r="W99" s="276">
        <v>3.0000219714182014E-2</v>
      </c>
      <c r="X99" s="276">
        <v>3.0000254567558598E-2</v>
      </c>
      <c r="Y99" s="276">
        <v>3.0001030070370457E-2</v>
      </c>
      <c r="Z99" s="276">
        <v>0</v>
      </c>
      <c r="AA99" s="276">
        <v>3.0000621816830813E-2</v>
      </c>
      <c r="AB99" s="276">
        <v>9.3336101737219422E-3</v>
      </c>
      <c r="AC99" s="276">
        <v>3.000035765251137E-2</v>
      </c>
      <c r="AD99" s="276">
        <v>3.0000309015854255E-2</v>
      </c>
      <c r="AE99" s="276">
        <v>3.0000210722188503E-2</v>
      </c>
      <c r="AF99" s="276">
        <v>6.9785923753525325E-3</v>
      </c>
      <c r="AG99" s="276">
        <v>0.14706044216376821</v>
      </c>
      <c r="AH99" s="276">
        <v>7.2195552578894359E-2</v>
      </c>
      <c r="AI99" s="276">
        <v>0.15650740461543297</v>
      </c>
      <c r="AJ99" s="276">
        <v>0.29538765969069208</v>
      </c>
      <c r="AK99" s="276">
        <v>0.26473904067088105</v>
      </c>
      <c r="AL99" s="276">
        <v>2.4957308811106083E-2</v>
      </c>
      <c r="AM99" s="276">
        <v>0.19292029761137686</v>
      </c>
      <c r="AN99" s="276">
        <v>0.32093583647921226</v>
      </c>
      <c r="AO99" s="276">
        <v>0.15235936494065092</v>
      </c>
      <c r="AP99" s="276">
        <v>3.0000295396308885E-2</v>
      </c>
      <c r="AQ99" s="276">
        <v>3.0000090814373624E-2</v>
      </c>
      <c r="AR99" s="276">
        <v>0.12425558481060843</v>
      </c>
      <c r="AS99" s="276">
        <v>3.0000327483734691E-2</v>
      </c>
      <c r="AT99" s="276">
        <v>3.0000696526625271E-2</v>
      </c>
      <c r="AU99" s="276">
        <v>3.0000161805858527E-2</v>
      </c>
      <c r="AV99" s="276">
        <v>3.0000273724393466E-2</v>
      </c>
      <c r="AW99" s="276">
        <v>3.000044294299746E-2</v>
      </c>
      <c r="AX99" s="276">
        <v>3.0000754547552206E-2</v>
      </c>
      <c r="AY99" s="276">
        <v>3.0000151160140032E-2</v>
      </c>
      <c r="AZ99" s="276">
        <v>1.9721227872372351E-7</v>
      </c>
      <c r="BA99" s="276">
        <v>2.0089536560616898E-2</v>
      </c>
      <c r="BB99" s="276">
        <v>7.3144761690736174E-3</v>
      </c>
      <c r="BC99" s="276">
        <v>3.000006125321145E-2</v>
      </c>
      <c r="BD99" s="276">
        <v>3.0000032023629542E-2</v>
      </c>
      <c r="BE99" s="276">
        <v>0.28503471265273589</v>
      </c>
      <c r="BF99" s="276">
        <v>3.0000143078456241E-2</v>
      </c>
      <c r="BG99" s="276">
        <v>3.0000308980569851E-2</v>
      </c>
      <c r="BH99" s="276">
        <v>3.0000190020571887E-2</v>
      </c>
      <c r="BI99" s="276">
        <v>3.0000279731404629E-2</v>
      </c>
      <c r="BJ99" s="276">
        <v>3.0000148401593894E-2</v>
      </c>
      <c r="BK99" s="276">
        <v>3.0000000000000009E-2</v>
      </c>
    </row>
    <row r="100" spans="1:63" ht="14.25" customHeight="1" x14ac:dyDescent="0.35">
      <c r="A100" s="44"/>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row>
    <row r="101" spans="1:63" ht="14.25" customHeight="1" x14ac:dyDescent="0.35">
      <c r="A101" s="143" t="s">
        <v>919</v>
      </c>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row>
    <row r="102" spans="1:63" ht="14.25" customHeight="1" x14ac:dyDescent="0.35">
      <c r="A102" s="34" t="s">
        <v>918</v>
      </c>
      <c r="B102" s="2"/>
    </row>
    <row r="103" spans="1:63" ht="14.25" customHeight="1" x14ac:dyDescent="0.35">
      <c r="A103" s="38" t="s">
        <v>1211</v>
      </c>
      <c r="B103" s="9" t="s">
        <v>169</v>
      </c>
    </row>
    <row r="104" spans="1:63" ht="14.25" customHeight="1" x14ac:dyDescent="0.35">
      <c r="A104" s="271">
        <v>0</v>
      </c>
      <c r="B104" s="272" t="s">
        <v>1286</v>
      </c>
    </row>
    <row r="105" spans="1:63" ht="14.25" customHeight="1" x14ac:dyDescent="0.35">
      <c r="A105" s="271">
        <v>1</v>
      </c>
      <c r="B105" s="272" t="s">
        <v>1287</v>
      </c>
    </row>
    <row r="106" spans="1:63" ht="14.25" customHeight="1" x14ac:dyDescent="0.35">
      <c r="A106" s="39" t="s">
        <v>170</v>
      </c>
      <c r="B106" s="40">
        <v>0</v>
      </c>
    </row>
    <row r="107" spans="1:63" ht="14.25" customHeight="1" x14ac:dyDescent="0.35">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row>
    <row r="108" spans="1:63" ht="14.25" customHeight="1" x14ac:dyDescent="0.35">
      <c r="A108" s="14" t="s">
        <v>649</v>
      </c>
      <c r="B108" s="279" t="s">
        <v>230</v>
      </c>
    </row>
    <row r="109" spans="1:63" ht="14.25" customHeight="1" x14ac:dyDescent="0.35">
      <c r="A109" s="74" t="s">
        <v>380</v>
      </c>
      <c r="B109" s="273" t="s">
        <v>12</v>
      </c>
    </row>
    <row r="110" spans="1:63" ht="14.25" customHeight="1" x14ac:dyDescent="0.35">
      <c r="A110" s="74" t="s">
        <v>127</v>
      </c>
      <c r="B110" s="93">
        <v>2025</v>
      </c>
    </row>
    <row r="111" spans="1:63" ht="14.25" customHeight="1" x14ac:dyDescent="0.35">
      <c r="A111" s="118"/>
    </row>
    <row r="112" spans="1:63" ht="14.25" customHeight="1" x14ac:dyDescent="0.35">
      <c r="A112" s="84" t="s">
        <v>1221</v>
      </c>
      <c r="B112" t="s">
        <v>1292</v>
      </c>
    </row>
    <row r="113" spans="1:63" ht="14.25" customHeight="1" x14ac:dyDescent="0.35">
      <c r="A113" s="39" t="s">
        <v>407</v>
      </c>
      <c r="B113" s="97" t="s">
        <v>175</v>
      </c>
      <c r="C113" s="97" t="s">
        <v>176</v>
      </c>
      <c r="D113" s="97" t="s">
        <v>177</v>
      </c>
      <c r="E113" s="97" t="s">
        <v>178</v>
      </c>
      <c r="F113" s="97" t="s">
        <v>179</v>
      </c>
      <c r="G113" s="97" t="s">
        <v>180</v>
      </c>
      <c r="H113" s="97" t="s">
        <v>181</v>
      </c>
      <c r="I113" s="97" t="s">
        <v>182</v>
      </c>
      <c r="J113" s="97" t="s">
        <v>1671</v>
      </c>
      <c r="K113" s="97" t="s">
        <v>1672</v>
      </c>
      <c r="L113" s="97" t="s">
        <v>1673</v>
      </c>
      <c r="M113" s="97" t="s">
        <v>1674</v>
      </c>
      <c r="N113" s="97" t="s">
        <v>1675</v>
      </c>
      <c r="O113" s="97" t="s">
        <v>1676</v>
      </c>
      <c r="P113" s="97" t="s">
        <v>1677</v>
      </c>
      <c r="Q113" s="97" t="s">
        <v>1678</v>
      </c>
      <c r="R113" s="97" t="s">
        <v>183</v>
      </c>
      <c r="S113" s="97" t="s">
        <v>184</v>
      </c>
      <c r="T113" s="97" t="s">
        <v>185</v>
      </c>
      <c r="U113" s="97" t="s">
        <v>186</v>
      </c>
      <c r="V113" s="97" t="s">
        <v>187</v>
      </c>
      <c r="W113" s="97" t="s">
        <v>188</v>
      </c>
      <c r="X113" s="97" t="s">
        <v>189</v>
      </c>
      <c r="Y113" s="97" t="s">
        <v>190</v>
      </c>
      <c r="Z113" s="97" t="s">
        <v>1679</v>
      </c>
      <c r="AA113" s="97" t="s">
        <v>191</v>
      </c>
      <c r="AB113" s="97" t="s">
        <v>192</v>
      </c>
      <c r="AC113" s="97" t="s">
        <v>193</v>
      </c>
      <c r="AD113" s="97" t="s">
        <v>194</v>
      </c>
      <c r="AE113" s="97" t="s">
        <v>195</v>
      </c>
      <c r="AF113" s="97" t="s">
        <v>196</v>
      </c>
      <c r="AG113" s="97" t="s">
        <v>197</v>
      </c>
      <c r="AH113" s="97" t="s">
        <v>198</v>
      </c>
      <c r="AI113" s="97" t="s">
        <v>199</v>
      </c>
      <c r="AJ113" s="97" t="s">
        <v>200</v>
      </c>
      <c r="AK113" s="97" t="s">
        <v>201</v>
      </c>
      <c r="AL113" s="97" t="s">
        <v>202</v>
      </c>
      <c r="AM113" s="97" t="s">
        <v>203</v>
      </c>
      <c r="AN113" s="97" t="s">
        <v>204</v>
      </c>
      <c r="AO113" s="97" t="s">
        <v>205</v>
      </c>
      <c r="AP113" s="97" t="s">
        <v>206</v>
      </c>
      <c r="AQ113" s="97" t="s">
        <v>207</v>
      </c>
      <c r="AR113" s="97" t="s">
        <v>208</v>
      </c>
      <c r="AS113" s="97" t="s">
        <v>209</v>
      </c>
      <c r="AT113" s="97" t="s">
        <v>210</v>
      </c>
      <c r="AU113" s="97" t="s">
        <v>211</v>
      </c>
      <c r="AV113" s="97" t="s">
        <v>212</v>
      </c>
      <c r="AW113" s="97" t="s">
        <v>213</v>
      </c>
      <c r="AX113" s="97" t="s">
        <v>214</v>
      </c>
      <c r="AY113" s="97" t="s">
        <v>215</v>
      </c>
      <c r="AZ113" s="97" t="s">
        <v>216</v>
      </c>
      <c r="BA113" s="97" t="s">
        <v>217</v>
      </c>
      <c r="BB113" s="97" t="s">
        <v>218</v>
      </c>
      <c r="BC113" s="97" t="s">
        <v>219</v>
      </c>
      <c r="BD113" s="97" t="s">
        <v>220</v>
      </c>
      <c r="BE113" s="97" t="s">
        <v>221</v>
      </c>
      <c r="BF113" s="97" t="s">
        <v>222</v>
      </c>
      <c r="BG113" s="97" t="s">
        <v>223</v>
      </c>
      <c r="BH113" s="97" t="s">
        <v>224</v>
      </c>
      <c r="BI113" s="97" t="s">
        <v>225</v>
      </c>
      <c r="BJ113" s="97" t="s">
        <v>226</v>
      </c>
      <c r="BK113" s="97" t="s">
        <v>227</v>
      </c>
    </row>
    <row r="114" spans="1:63" ht="14.25" customHeight="1" x14ac:dyDescent="0.35">
      <c r="A114" s="280" t="s">
        <v>228</v>
      </c>
      <c r="B114" s="281">
        <v>1.4999999999999999E-2</v>
      </c>
      <c r="C114" s="281">
        <v>1.4999999999999999E-2</v>
      </c>
      <c r="D114" s="281">
        <v>1.4999999999999999E-2</v>
      </c>
      <c r="E114" s="281">
        <v>1.4999999999999999E-2</v>
      </c>
      <c r="F114" s="281">
        <v>1.4999999999999999E-2</v>
      </c>
      <c r="G114" s="281">
        <v>1.4999999999999999E-2</v>
      </c>
      <c r="H114" s="281">
        <v>1.4999999999999999E-2</v>
      </c>
      <c r="I114" s="281">
        <v>1.4999999999999999E-2</v>
      </c>
      <c r="J114" s="281">
        <v>1.4999999999999999E-2</v>
      </c>
      <c r="K114" s="281">
        <v>1.4999999999999999E-2</v>
      </c>
      <c r="L114" s="281">
        <v>1.4999999999999999E-2</v>
      </c>
      <c r="M114" s="281">
        <v>1.4999999999999999E-2</v>
      </c>
      <c r="N114" s="281">
        <v>1.4999999999999999E-2</v>
      </c>
      <c r="O114" s="281">
        <v>1.4999999999999999E-2</v>
      </c>
      <c r="P114" s="281">
        <v>1.4999999999999999E-2</v>
      </c>
      <c r="Q114" s="281">
        <v>1.4999999999999999E-2</v>
      </c>
      <c r="R114" s="281">
        <v>1.4999999999999999E-2</v>
      </c>
      <c r="S114" s="281">
        <v>1.4999999999999999E-2</v>
      </c>
      <c r="T114" s="281">
        <v>1.4999999999999999E-2</v>
      </c>
      <c r="U114" s="281">
        <v>1.4999999999999999E-2</v>
      </c>
      <c r="V114" s="281">
        <v>1.4999999999999999E-2</v>
      </c>
      <c r="W114" s="281">
        <v>1.4999999999999999E-2</v>
      </c>
      <c r="X114" s="281">
        <v>1.4999999999999999E-2</v>
      </c>
      <c r="Y114" s="281">
        <v>1.4999999999999999E-2</v>
      </c>
      <c r="Z114" s="281">
        <v>1.4999999999999999E-2</v>
      </c>
      <c r="AA114" s="281">
        <v>1.4999999999999999E-2</v>
      </c>
      <c r="AB114" s="281">
        <v>1.4999999999999999E-2</v>
      </c>
      <c r="AC114" s="281">
        <v>1.4999999999999999E-2</v>
      </c>
      <c r="AD114" s="281">
        <v>1.4999999999999999E-2</v>
      </c>
      <c r="AE114" s="281">
        <v>1.4999999999999999E-2</v>
      </c>
      <c r="AF114" s="281">
        <v>1.4999999999999999E-2</v>
      </c>
      <c r="AG114" s="281">
        <v>1.4999999999999999E-2</v>
      </c>
      <c r="AH114" s="281">
        <v>1.4999999999999999E-2</v>
      </c>
      <c r="AI114" s="281">
        <v>1.4999999999999999E-2</v>
      </c>
      <c r="AJ114" s="281">
        <v>1.4999999999999999E-2</v>
      </c>
      <c r="AK114" s="281">
        <v>1.4999999999999999E-2</v>
      </c>
      <c r="AL114" s="281">
        <v>1.4999999999999999E-2</v>
      </c>
      <c r="AM114" s="281">
        <v>1.4999999999999999E-2</v>
      </c>
      <c r="AN114" s="281">
        <v>1.4999999999999999E-2</v>
      </c>
      <c r="AO114" s="281">
        <v>1.4999999999999999E-2</v>
      </c>
      <c r="AP114" s="281">
        <v>1.4999999999999999E-2</v>
      </c>
      <c r="AQ114" s="281">
        <v>1.4999999999999999E-2</v>
      </c>
      <c r="AR114" s="281">
        <v>1.4999999999999999E-2</v>
      </c>
      <c r="AS114" s="281">
        <v>1.4999999999999999E-2</v>
      </c>
      <c r="AT114" s="281">
        <v>1.4999999999999999E-2</v>
      </c>
      <c r="AU114" s="281">
        <v>1.4999999999999999E-2</v>
      </c>
      <c r="AV114" s="281">
        <v>1.4999999999999999E-2</v>
      </c>
      <c r="AW114" s="281">
        <v>1.4999999999999999E-2</v>
      </c>
      <c r="AX114" s="281">
        <v>1.4999999999999999E-2</v>
      </c>
      <c r="AY114" s="281">
        <v>1.4999999999999999E-2</v>
      </c>
      <c r="AZ114" s="281">
        <v>1.4999999999999999E-2</v>
      </c>
      <c r="BA114" s="281">
        <v>1.4999999999999999E-2</v>
      </c>
      <c r="BB114" s="281">
        <v>1.4999999999999999E-2</v>
      </c>
      <c r="BC114" s="281">
        <v>1.4999999999999999E-2</v>
      </c>
      <c r="BD114" s="281">
        <v>1.4999999999999999E-2</v>
      </c>
      <c r="BE114" s="281">
        <v>1.4999999999999999E-2</v>
      </c>
      <c r="BF114" s="281">
        <v>1.4999999999999999E-2</v>
      </c>
      <c r="BG114" s="281">
        <v>1.4999999999999999E-2</v>
      </c>
      <c r="BH114" s="281">
        <v>1.4999999999999999E-2</v>
      </c>
      <c r="BI114" s="281">
        <v>1.4999999999999999E-2</v>
      </c>
      <c r="BJ114" s="281">
        <v>1.4999999999999999E-2</v>
      </c>
      <c r="BK114" s="281">
        <v>1.4999999999999999E-2</v>
      </c>
    </row>
    <row r="115" spans="1:63" ht="14.25" customHeight="1" x14ac:dyDescent="0.35">
      <c r="A115" s="282" t="s">
        <v>95</v>
      </c>
      <c r="B115" s="281">
        <v>1.4999999999999999E-2</v>
      </c>
      <c r="C115" s="281">
        <v>1.4999999999999999E-2</v>
      </c>
      <c r="D115" s="281">
        <v>1.4999999999999999E-2</v>
      </c>
      <c r="E115" s="281">
        <v>1.4999999999999999E-2</v>
      </c>
      <c r="F115" s="281">
        <v>1.4999999999999999E-2</v>
      </c>
      <c r="G115" s="281">
        <v>1.4999999999999999E-2</v>
      </c>
      <c r="H115" s="281">
        <v>1.4999999999999999E-2</v>
      </c>
      <c r="I115" s="281">
        <v>1.4999999999999999E-2</v>
      </c>
      <c r="J115" s="281">
        <v>1.4999999999999999E-2</v>
      </c>
      <c r="K115" s="281">
        <v>1.4999999999999999E-2</v>
      </c>
      <c r="L115" s="281">
        <v>1.4999999999999999E-2</v>
      </c>
      <c r="M115" s="281">
        <v>1.4999999999999999E-2</v>
      </c>
      <c r="N115" s="281">
        <v>1.4999999999999999E-2</v>
      </c>
      <c r="O115" s="281">
        <v>1.4999999999999999E-2</v>
      </c>
      <c r="P115" s="281">
        <v>1.4999999999999999E-2</v>
      </c>
      <c r="Q115" s="281">
        <v>1.4999999999999999E-2</v>
      </c>
      <c r="R115" s="281">
        <v>1.4999999999999999E-2</v>
      </c>
      <c r="S115" s="281">
        <v>1.4999999999999999E-2</v>
      </c>
      <c r="T115" s="281">
        <v>1.4999999999999999E-2</v>
      </c>
      <c r="U115" s="281">
        <v>1.4999999999999999E-2</v>
      </c>
      <c r="V115" s="281">
        <v>1.4999999999999999E-2</v>
      </c>
      <c r="W115" s="281">
        <v>1.4999999999999999E-2</v>
      </c>
      <c r="X115" s="281">
        <v>1.4999999999999999E-2</v>
      </c>
      <c r="Y115" s="281">
        <v>1.4999999999999999E-2</v>
      </c>
      <c r="Z115" s="281">
        <v>1.4999999999999999E-2</v>
      </c>
      <c r="AA115" s="281">
        <v>1.4999999999999999E-2</v>
      </c>
      <c r="AB115" s="281">
        <v>1.4999999999999999E-2</v>
      </c>
      <c r="AC115" s="281">
        <v>1.4999999999999999E-2</v>
      </c>
      <c r="AD115" s="281">
        <v>1.4999999999999999E-2</v>
      </c>
      <c r="AE115" s="281">
        <v>1.4999999999999999E-2</v>
      </c>
      <c r="AF115" s="281">
        <v>1.4999999999999999E-2</v>
      </c>
      <c r="AG115" s="281">
        <v>1.4999999999999999E-2</v>
      </c>
      <c r="AH115" s="281">
        <v>1.4999999999999999E-2</v>
      </c>
      <c r="AI115" s="281">
        <v>1.4999999999999999E-2</v>
      </c>
      <c r="AJ115" s="281">
        <v>1.4999999999999999E-2</v>
      </c>
      <c r="AK115" s="281">
        <v>1.4999999999999999E-2</v>
      </c>
      <c r="AL115" s="281">
        <v>1.4999999999999999E-2</v>
      </c>
      <c r="AM115" s="281">
        <v>1.4999999999999999E-2</v>
      </c>
      <c r="AN115" s="281">
        <v>1.4999999999999999E-2</v>
      </c>
      <c r="AO115" s="281">
        <v>1.4999999999999999E-2</v>
      </c>
      <c r="AP115" s="281">
        <v>1.4999999999999999E-2</v>
      </c>
      <c r="AQ115" s="281">
        <v>1.4999999999999999E-2</v>
      </c>
      <c r="AR115" s="281">
        <v>1.4999999999999999E-2</v>
      </c>
      <c r="AS115" s="281">
        <v>1.4999999999999999E-2</v>
      </c>
      <c r="AT115" s="281">
        <v>1.4999999999999999E-2</v>
      </c>
      <c r="AU115" s="281">
        <v>1.4999999999999999E-2</v>
      </c>
      <c r="AV115" s="281">
        <v>1.4999999999999999E-2</v>
      </c>
      <c r="AW115" s="281">
        <v>1.4999999999999999E-2</v>
      </c>
      <c r="AX115" s="281">
        <v>1.4999999999999999E-2</v>
      </c>
      <c r="AY115" s="281">
        <v>1.4999999999999999E-2</v>
      </c>
      <c r="AZ115" s="281">
        <v>1.4999999999999999E-2</v>
      </c>
      <c r="BA115" s="281">
        <v>1.4999999999999999E-2</v>
      </c>
      <c r="BB115" s="281">
        <v>1.4999999999999999E-2</v>
      </c>
      <c r="BC115" s="281">
        <v>1.4999999999999999E-2</v>
      </c>
      <c r="BD115" s="281">
        <v>1.4999999999999999E-2</v>
      </c>
      <c r="BE115" s="281">
        <v>1.4999999999999999E-2</v>
      </c>
      <c r="BF115" s="281">
        <v>1.4999999999999999E-2</v>
      </c>
      <c r="BG115" s="281">
        <v>1.4999999999999999E-2</v>
      </c>
      <c r="BH115" s="281">
        <v>1.4999999999999999E-2</v>
      </c>
      <c r="BI115" s="281">
        <v>1.4999999999999999E-2</v>
      </c>
      <c r="BJ115" s="281">
        <v>1.4999999999999999E-2</v>
      </c>
      <c r="BK115" s="281">
        <v>1.4999999999999999E-2</v>
      </c>
    </row>
    <row r="116" spans="1:63" ht="14.25" customHeight="1" x14ac:dyDescent="0.35">
      <c r="A116" s="282" t="s">
        <v>96</v>
      </c>
      <c r="B116" s="281">
        <v>0.02</v>
      </c>
      <c r="C116" s="281">
        <v>0.02</v>
      </c>
      <c r="D116" s="281">
        <v>0.02</v>
      </c>
      <c r="E116" s="281">
        <v>0.02</v>
      </c>
      <c r="F116" s="281">
        <v>0.02</v>
      </c>
      <c r="G116" s="281">
        <v>0.02</v>
      </c>
      <c r="H116" s="281">
        <v>0.02</v>
      </c>
      <c r="I116" s="281">
        <v>0.02</v>
      </c>
      <c r="J116" s="281">
        <v>0.02</v>
      </c>
      <c r="K116" s="281">
        <v>0.02</v>
      </c>
      <c r="L116" s="281">
        <v>0.02</v>
      </c>
      <c r="M116" s="281">
        <v>0.02</v>
      </c>
      <c r="N116" s="281">
        <v>0.02</v>
      </c>
      <c r="O116" s="281">
        <v>0.02</v>
      </c>
      <c r="P116" s="281">
        <v>0.02</v>
      </c>
      <c r="Q116" s="281">
        <v>0.02</v>
      </c>
      <c r="R116" s="281">
        <v>0.02</v>
      </c>
      <c r="S116" s="281">
        <v>0.02</v>
      </c>
      <c r="T116" s="281">
        <v>0.02</v>
      </c>
      <c r="U116" s="281">
        <v>0.02</v>
      </c>
      <c r="V116" s="281">
        <v>0.02</v>
      </c>
      <c r="W116" s="281">
        <v>0.02</v>
      </c>
      <c r="X116" s="281">
        <v>0.02</v>
      </c>
      <c r="Y116" s="281">
        <v>0.02</v>
      </c>
      <c r="Z116" s="281">
        <v>0.02</v>
      </c>
      <c r="AA116" s="281">
        <v>0.02</v>
      </c>
      <c r="AB116" s="281">
        <v>0.02</v>
      </c>
      <c r="AC116" s="281">
        <v>0.02</v>
      </c>
      <c r="AD116" s="281">
        <v>0.02</v>
      </c>
      <c r="AE116" s="281">
        <v>0.02</v>
      </c>
      <c r="AF116" s="281">
        <v>0.02</v>
      </c>
      <c r="AG116" s="281">
        <v>0.02</v>
      </c>
      <c r="AH116" s="281">
        <v>0.02</v>
      </c>
      <c r="AI116" s="281">
        <v>0.02</v>
      </c>
      <c r="AJ116" s="281">
        <v>0.02</v>
      </c>
      <c r="AK116" s="281">
        <v>0.02</v>
      </c>
      <c r="AL116" s="281">
        <v>0.02</v>
      </c>
      <c r="AM116" s="281">
        <v>0.02</v>
      </c>
      <c r="AN116" s="281">
        <v>0.02</v>
      </c>
      <c r="AO116" s="281">
        <v>0.02</v>
      </c>
      <c r="AP116" s="281">
        <v>0.02</v>
      </c>
      <c r="AQ116" s="281">
        <v>0.02</v>
      </c>
      <c r="AR116" s="281">
        <v>0.02</v>
      </c>
      <c r="AS116" s="281">
        <v>0.02</v>
      </c>
      <c r="AT116" s="281">
        <v>0.02</v>
      </c>
      <c r="AU116" s="281">
        <v>0.02</v>
      </c>
      <c r="AV116" s="281">
        <v>0.02</v>
      </c>
      <c r="AW116" s="281">
        <v>0.02</v>
      </c>
      <c r="AX116" s="281">
        <v>0.02</v>
      </c>
      <c r="AY116" s="281">
        <v>0.02</v>
      </c>
      <c r="AZ116" s="281">
        <v>0.02</v>
      </c>
      <c r="BA116" s="281">
        <v>0.02</v>
      </c>
      <c r="BB116" s="281">
        <v>0.02</v>
      </c>
      <c r="BC116" s="281">
        <v>0.02</v>
      </c>
      <c r="BD116" s="281">
        <v>0.02</v>
      </c>
      <c r="BE116" s="281">
        <v>0.02</v>
      </c>
      <c r="BF116" s="281">
        <v>0.02</v>
      </c>
      <c r="BG116" s="281">
        <v>0.02</v>
      </c>
      <c r="BH116" s="281">
        <v>0.02</v>
      </c>
      <c r="BI116" s="281">
        <v>0.02</v>
      </c>
      <c r="BJ116" s="281">
        <v>0.02</v>
      </c>
      <c r="BK116" s="281">
        <v>0.02</v>
      </c>
    </row>
    <row r="117" spans="1:63" ht="14.25" customHeight="1" x14ac:dyDescent="0.35">
      <c r="A117" s="282" t="s">
        <v>97</v>
      </c>
      <c r="B117" s="281">
        <v>0.02</v>
      </c>
      <c r="C117" s="281">
        <v>0.02</v>
      </c>
      <c r="D117" s="281">
        <v>0.02</v>
      </c>
      <c r="E117" s="281">
        <v>0.02</v>
      </c>
      <c r="F117" s="281">
        <v>0.02</v>
      </c>
      <c r="G117" s="281">
        <v>0.02</v>
      </c>
      <c r="H117" s="281">
        <v>0.02</v>
      </c>
      <c r="I117" s="281">
        <v>0.02</v>
      </c>
      <c r="J117" s="281">
        <v>0.02</v>
      </c>
      <c r="K117" s="281">
        <v>0.02</v>
      </c>
      <c r="L117" s="281">
        <v>0.02</v>
      </c>
      <c r="M117" s="281">
        <v>0.02</v>
      </c>
      <c r="N117" s="281">
        <v>0.02</v>
      </c>
      <c r="O117" s="281">
        <v>0.02</v>
      </c>
      <c r="P117" s="281">
        <v>0.02</v>
      </c>
      <c r="Q117" s="281">
        <v>0.02</v>
      </c>
      <c r="R117" s="281">
        <v>0.02</v>
      </c>
      <c r="S117" s="281">
        <v>0.02</v>
      </c>
      <c r="T117" s="281">
        <v>0.02</v>
      </c>
      <c r="U117" s="281">
        <v>0.02</v>
      </c>
      <c r="V117" s="281">
        <v>0.02</v>
      </c>
      <c r="W117" s="281">
        <v>0.02</v>
      </c>
      <c r="X117" s="281">
        <v>0.02</v>
      </c>
      <c r="Y117" s="281">
        <v>0.02</v>
      </c>
      <c r="Z117" s="281">
        <v>0.02</v>
      </c>
      <c r="AA117" s="281">
        <v>0.02</v>
      </c>
      <c r="AB117" s="281">
        <v>0.02</v>
      </c>
      <c r="AC117" s="281">
        <v>0.02</v>
      </c>
      <c r="AD117" s="281">
        <v>0.02</v>
      </c>
      <c r="AE117" s="281">
        <v>0.02</v>
      </c>
      <c r="AF117" s="281">
        <v>0.02</v>
      </c>
      <c r="AG117" s="281">
        <v>0.02</v>
      </c>
      <c r="AH117" s="281">
        <v>0.02</v>
      </c>
      <c r="AI117" s="281">
        <v>0.02</v>
      </c>
      <c r="AJ117" s="281">
        <v>0.02</v>
      </c>
      <c r="AK117" s="281">
        <v>0.02</v>
      </c>
      <c r="AL117" s="281">
        <v>0.02</v>
      </c>
      <c r="AM117" s="281">
        <v>0.02</v>
      </c>
      <c r="AN117" s="281">
        <v>0.02</v>
      </c>
      <c r="AO117" s="281">
        <v>0.02</v>
      </c>
      <c r="AP117" s="281">
        <v>0.02</v>
      </c>
      <c r="AQ117" s="281">
        <v>0.02</v>
      </c>
      <c r="AR117" s="281">
        <v>0.02</v>
      </c>
      <c r="AS117" s="281">
        <v>0.02</v>
      </c>
      <c r="AT117" s="281">
        <v>0.02</v>
      </c>
      <c r="AU117" s="281">
        <v>0.02</v>
      </c>
      <c r="AV117" s="281">
        <v>0.02</v>
      </c>
      <c r="AW117" s="281">
        <v>0.02</v>
      </c>
      <c r="AX117" s="281">
        <v>0.02</v>
      </c>
      <c r="AY117" s="281">
        <v>0.02</v>
      </c>
      <c r="AZ117" s="281">
        <v>0.02</v>
      </c>
      <c r="BA117" s="281">
        <v>0.02</v>
      </c>
      <c r="BB117" s="281">
        <v>0.02</v>
      </c>
      <c r="BC117" s="281">
        <v>0.02</v>
      </c>
      <c r="BD117" s="281">
        <v>0.02</v>
      </c>
      <c r="BE117" s="281">
        <v>0.02</v>
      </c>
      <c r="BF117" s="281">
        <v>0.02</v>
      </c>
      <c r="BG117" s="281">
        <v>0.02</v>
      </c>
      <c r="BH117" s="281">
        <v>0.02</v>
      </c>
      <c r="BI117" s="281">
        <v>0.02</v>
      </c>
      <c r="BJ117" s="281">
        <v>0.02</v>
      </c>
      <c r="BK117" s="281">
        <v>0.02</v>
      </c>
    </row>
    <row r="118" spans="1:63" ht="14.25" customHeight="1" x14ac:dyDescent="0.35">
      <c r="A118" s="282" t="s">
        <v>98</v>
      </c>
      <c r="B118" s="281">
        <v>0.03</v>
      </c>
      <c r="C118" s="281">
        <v>0.03</v>
      </c>
      <c r="D118" s="281">
        <v>0.03</v>
      </c>
      <c r="E118" s="281">
        <v>0.03</v>
      </c>
      <c r="F118" s="281">
        <v>0.03</v>
      </c>
      <c r="G118" s="281">
        <v>0.03</v>
      </c>
      <c r="H118" s="281">
        <v>0.03</v>
      </c>
      <c r="I118" s="281">
        <v>0.03</v>
      </c>
      <c r="J118" s="281">
        <v>0.03</v>
      </c>
      <c r="K118" s="281">
        <v>0.03</v>
      </c>
      <c r="L118" s="281">
        <v>0.03</v>
      </c>
      <c r="M118" s="281">
        <v>0.03</v>
      </c>
      <c r="N118" s="281">
        <v>0.03</v>
      </c>
      <c r="O118" s="281">
        <v>0.03</v>
      </c>
      <c r="P118" s="281">
        <v>0.03</v>
      </c>
      <c r="Q118" s="281">
        <v>0.03</v>
      </c>
      <c r="R118" s="281">
        <v>0.03</v>
      </c>
      <c r="S118" s="281">
        <v>0.03</v>
      </c>
      <c r="T118" s="281">
        <v>0.03</v>
      </c>
      <c r="U118" s="281">
        <v>0.03</v>
      </c>
      <c r="V118" s="281">
        <v>0.03</v>
      </c>
      <c r="W118" s="281">
        <v>0.03</v>
      </c>
      <c r="X118" s="281">
        <v>0.03</v>
      </c>
      <c r="Y118" s="281">
        <v>0.03</v>
      </c>
      <c r="Z118" s="281">
        <v>0.03</v>
      </c>
      <c r="AA118" s="281">
        <v>0.03</v>
      </c>
      <c r="AB118" s="281">
        <v>0.03</v>
      </c>
      <c r="AC118" s="281">
        <v>0.03</v>
      </c>
      <c r="AD118" s="281">
        <v>0.03</v>
      </c>
      <c r="AE118" s="281">
        <v>0.03</v>
      </c>
      <c r="AF118" s="281">
        <v>0.03</v>
      </c>
      <c r="AG118" s="281">
        <v>0.03</v>
      </c>
      <c r="AH118" s="281">
        <v>0.03</v>
      </c>
      <c r="AI118" s="281">
        <v>0.03</v>
      </c>
      <c r="AJ118" s="281">
        <v>0.03</v>
      </c>
      <c r="AK118" s="281">
        <v>0.03</v>
      </c>
      <c r="AL118" s="281">
        <v>0.03</v>
      </c>
      <c r="AM118" s="281">
        <v>0.03</v>
      </c>
      <c r="AN118" s="281">
        <v>0.03</v>
      </c>
      <c r="AO118" s="281">
        <v>0.03</v>
      </c>
      <c r="AP118" s="281">
        <v>0.03</v>
      </c>
      <c r="AQ118" s="281">
        <v>0.03</v>
      </c>
      <c r="AR118" s="281">
        <v>0.03</v>
      </c>
      <c r="AS118" s="281">
        <v>0.03</v>
      </c>
      <c r="AT118" s="281">
        <v>0.03</v>
      </c>
      <c r="AU118" s="281">
        <v>0.03</v>
      </c>
      <c r="AV118" s="281">
        <v>0.03</v>
      </c>
      <c r="AW118" s="281">
        <v>0.03</v>
      </c>
      <c r="AX118" s="281">
        <v>0.03</v>
      </c>
      <c r="AY118" s="281">
        <v>0.03</v>
      </c>
      <c r="AZ118" s="281">
        <v>0.03</v>
      </c>
      <c r="BA118" s="281">
        <v>0.03</v>
      </c>
      <c r="BB118" s="281">
        <v>0.03</v>
      </c>
      <c r="BC118" s="281">
        <v>0.03</v>
      </c>
      <c r="BD118" s="281">
        <v>0.03</v>
      </c>
      <c r="BE118" s="281">
        <v>0.03</v>
      </c>
      <c r="BF118" s="281">
        <v>0.03</v>
      </c>
      <c r="BG118" s="281">
        <v>0.03</v>
      </c>
      <c r="BH118" s="281">
        <v>0.03</v>
      </c>
      <c r="BI118" s="281">
        <v>0.03</v>
      </c>
      <c r="BJ118" s="281">
        <v>0.03</v>
      </c>
      <c r="BK118" s="281">
        <v>0.03</v>
      </c>
    </row>
    <row r="119" spans="1:63" ht="14.25" customHeight="1" x14ac:dyDescent="0.35">
      <c r="A119" s="282" t="s">
        <v>163</v>
      </c>
      <c r="B119" s="281">
        <v>0.02</v>
      </c>
      <c r="C119" s="281">
        <v>0.02</v>
      </c>
      <c r="D119" s="281">
        <v>0.02</v>
      </c>
      <c r="E119" s="281">
        <v>0.02</v>
      </c>
      <c r="F119" s="281">
        <v>0.02</v>
      </c>
      <c r="G119" s="281">
        <v>0.02</v>
      </c>
      <c r="H119" s="281">
        <v>0.02</v>
      </c>
      <c r="I119" s="281">
        <v>0.02</v>
      </c>
      <c r="J119" s="281">
        <v>0.02</v>
      </c>
      <c r="K119" s="281">
        <v>0.02</v>
      </c>
      <c r="L119" s="281">
        <v>0.02</v>
      </c>
      <c r="M119" s="281">
        <v>0.02</v>
      </c>
      <c r="N119" s="281">
        <v>0.02</v>
      </c>
      <c r="O119" s="281">
        <v>0.02</v>
      </c>
      <c r="P119" s="281">
        <v>0.02</v>
      </c>
      <c r="Q119" s="281">
        <v>0.02</v>
      </c>
      <c r="R119" s="281">
        <v>0.02</v>
      </c>
      <c r="S119" s="281">
        <v>0.02</v>
      </c>
      <c r="T119" s="281">
        <v>0.02</v>
      </c>
      <c r="U119" s="281">
        <v>0.02</v>
      </c>
      <c r="V119" s="281">
        <v>0.02</v>
      </c>
      <c r="W119" s="281">
        <v>0.02</v>
      </c>
      <c r="X119" s="281">
        <v>0.02</v>
      </c>
      <c r="Y119" s="281">
        <v>0.02</v>
      </c>
      <c r="Z119" s="281">
        <v>0.02</v>
      </c>
      <c r="AA119" s="281">
        <v>0.02</v>
      </c>
      <c r="AB119" s="281">
        <v>0.02</v>
      </c>
      <c r="AC119" s="281">
        <v>0.02</v>
      </c>
      <c r="AD119" s="281">
        <v>0.02</v>
      </c>
      <c r="AE119" s="281">
        <v>0.02</v>
      </c>
      <c r="AF119" s="281">
        <v>0.02</v>
      </c>
      <c r="AG119" s="281">
        <v>0.02</v>
      </c>
      <c r="AH119" s="281">
        <v>0.02</v>
      </c>
      <c r="AI119" s="281">
        <v>0.02</v>
      </c>
      <c r="AJ119" s="281">
        <v>0.02</v>
      </c>
      <c r="AK119" s="281">
        <v>0.02</v>
      </c>
      <c r="AL119" s="281">
        <v>0.02</v>
      </c>
      <c r="AM119" s="281">
        <v>0.02</v>
      </c>
      <c r="AN119" s="281">
        <v>0.02</v>
      </c>
      <c r="AO119" s="281">
        <v>0.02</v>
      </c>
      <c r="AP119" s="281">
        <v>0.02</v>
      </c>
      <c r="AQ119" s="281">
        <v>0.02</v>
      </c>
      <c r="AR119" s="281">
        <v>0.02</v>
      </c>
      <c r="AS119" s="281">
        <v>0.02</v>
      </c>
      <c r="AT119" s="281">
        <v>0.02</v>
      </c>
      <c r="AU119" s="281">
        <v>0.02</v>
      </c>
      <c r="AV119" s="281">
        <v>0.02</v>
      </c>
      <c r="AW119" s="281">
        <v>0.02</v>
      </c>
      <c r="AX119" s="281">
        <v>0.02</v>
      </c>
      <c r="AY119" s="281">
        <v>0.02</v>
      </c>
      <c r="AZ119" s="281">
        <v>0.02</v>
      </c>
      <c r="BA119" s="281">
        <v>0.02</v>
      </c>
      <c r="BB119" s="281">
        <v>0.02</v>
      </c>
      <c r="BC119" s="281">
        <v>0.02</v>
      </c>
      <c r="BD119" s="281">
        <v>0.02</v>
      </c>
      <c r="BE119" s="281">
        <v>0.02</v>
      </c>
      <c r="BF119" s="281">
        <v>0.02</v>
      </c>
      <c r="BG119" s="281">
        <v>0.02</v>
      </c>
      <c r="BH119" s="281">
        <v>0.02</v>
      </c>
      <c r="BI119" s="281">
        <v>0.02</v>
      </c>
      <c r="BJ119" s="281">
        <v>0.02</v>
      </c>
      <c r="BK119" s="281">
        <v>0.02</v>
      </c>
    </row>
    <row r="120" spans="1:63" ht="14.25" customHeight="1" x14ac:dyDescent="0.35">
      <c r="A120" s="282" t="s">
        <v>100</v>
      </c>
      <c r="B120" s="281">
        <v>1.4999999999999999E-2</v>
      </c>
      <c r="C120" s="281">
        <v>1.4999999999999999E-2</v>
      </c>
      <c r="D120" s="281">
        <v>1.4999999999999999E-2</v>
      </c>
      <c r="E120" s="281">
        <v>1.4999999999999999E-2</v>
      </c>
      <c r="F120" s="281">
        <v>1.4999999999999999E-2</v>
      </c>
      <c r="G120" s="281">
        <v>1.4999999999999999E-2</v>
      </c>
      <c r="H120" s="281">
        <v>1.4999999999999999E-2</v>
      </c>
      <c r="I120" s="281">
        <v>1.4999999999999999E-2</v>
      </c>
      <c r="J120" s="281">
        <v>1.4999999999999999E-2</v>
      </c>
      <c r="K120" s="281">
        <v>1.4999999999999999E-2</v>
      </c>
      <c r="L120" s="281">
        <v>1.4999999999999999E-2</v>
      </c>
      <c r="M120" s="281">
        <v>1.4999999999999999E-2</v>
      </c>
      <c r="N120" s="281">
        <v>1.4999999999999999E-2</v>
      </c>
      <c r="O120" s="281">
        <v>1.4999999999999999E-2</v>
      </c>
      <c r="P120" s="281">
        <v>1.4999999999999999E-2</v>
      </c>
      <c r="Q120" s="281">
        <v>1.4999999999999999E-2</v>
      </c>
      <c r="R120" s="281">
        <v>1.4999999999999999E-2</v>
      </c>
      <c r="S120" s="281">
        <v>1.4999999999999999E-2</v>
      </c>
      <c r="T120" s="281">
        <v>1.4999999999999999E-2</v>
      </c>
      <c r="U120" s="281">
        <v>1.4999999999999999E-2</v>
      </c>
      <c r="V120" s="281">
        <v>1.4999999999999999E-2</v>
      </c>
      <c r="W120" s="281">
        <v>1.4999999999999999E-2</v>
      </c>
      <c r="X120" s="281">
        <v>1.4999999999999999E-2</v>
      </c>
      <c r="Y120" s="281">
        <v>1.4999999999999999E-2</v>
      </c>
      <c r="Z120" s="281">
        <v>1.4999999999999999E-2</v>
      </c>
      <c r="AA120" s="281">
        <v>1.4999999999999999E-2</v>
      </c>
      <c r="AB120" s="281">
        <v>1.4999999999999999E-2</v>
      </c>
      <c r="AC120" s="281">
        <v>1.4999999999999999E-2</v>
      </c>
      <c r="AD120" s="281">
        <v>1.4999999999999999E-2</v>
      </c>
      <c r="AE120" s="281">
        <v>1.4999999999999999E-2</v>
      </c>
      <c r="AF120" s="281">
        <v>1.4999999999999999E-2</v>
      </c>
      <c r="AG120" s="281">
        <v>1.4999999999999999E-2</v>
      </c>
      <c r="AH120" s="281">
        <v>1.4999999999999999E-2</v>
      </c>
      <c r="AI120" s="281">
        <v>1.4999999999999999E-2</v>
      </c>
      <c r="AJ120" s="281">
        <v>1.4999999999999999E-2</v>
      </c>
      <c r="AK120" s="281">
        <v>1.4999999999999999E-2</v>
      </c>
      <c r="AL120" s="281">
        <v>1.4999999999999999E-2</v>
      </c>
      <c r="AM120" s="281">
        <v>1.4999999999999999E-2</v>
      </c>
      <c r="AN120" s="281">
        <v>1.4999999999999999E-2</v>
      </c>
      <c r="AO120" s="281">
        <v>1.4999999999999999E-2</v>
      </c>
      <c r="AP120" s="281">
        <v>1.4999999999999999E-2</v>
      </c>
      <c r="AQ120" s="281">
        <v>1.4999999999999999E-2</v>
      </c>
      <c r="AR120" s="281">
        <v>1.4999999999999999E-2</v>
      </c>
      <c r="AS120" s="281">
        <v>1.4999999999999999E-2</v>
      </c>
      <c r="AT120" s="281">
        <v>1.4999999999999999E-2</v>
      </c>
      <c r="AU120" s="281">
        <v>1.4999999999999999E-2</v>
      </c>
      <c r="AV120" s="281">
        <v>1.4999999999999999E-2</v>
      </c>
      <c r="AW120" s="281">
        <v>1.4999999999999999E-2</v>
      </c>
      <c r="AX120" s="281">
        <v>1.4999999999999999E-2</v>
      </c>
      <c r="AY120" s="281">
        <v>1.4999999999999999E-2</v>
      </c>
      <c r="AZ120" s="281">
        <v>1.4999999999999999E-2</v>
      </c>
      <c r="BA120" s="281">
        <v>1.4999999999999999E-2</v>
      </c>
      <c r="BB120" s="281">
        <v>1.4999999999999999E-2</v>
      </c>
      <c r="BC120" s="281">
        <v>1.4999999999999999E-2</v>
      </c>
      <c r="BD120" s="281">
        <v>1.4999999999999999E-2</v>
      </c>
      <c r="BE120" s="281">
        <v>1.4999999999999999E-2</v>
      </c>
      <c r="BF120" s="281">
        <v>1.4999999999999999E-2</v>
      </c>
      <c r="BG120" s="281">
        <v>1.4999999999999999E-2</v>
      </c>
      <c r="BH120" s="281">
        <v>1.4999999999999999E-2</v>
      </c>
      <c r="BI120" s="281">
        <v>1.4999999999999999E-2</v>
      </c>
      <c r="BJ120" s="281">
        <v>1.4999999999999999E-2</v>
      </c>
      <c r="BK120" s="281">
        <v>1.4999999999999999E-2</v>
      </c>
    </row>
    <row r="121" spans="1:63" ht="14.25" customHeight="1" x14ac:dyDescent="0.35">
      <c r="A121" s="282" t="s">
        <v>101</v>
      </c>
      <c r="B121" s="281">
        <v>0.02</v>
      </c>
      <c r="C121" s="281">
        <v>0.02</v>
      </c>
      <c r="D121" s="281">
        <v>0.02</v>
      </c>
      <c r="E121" s="281">
        <v>0.02</v>
      </c>
      <c r="F121" s="281">
        <v>0.02</v>
      </c>
      <c r="G121" s="281">
        <v>0.02</v>
      </c>
      <c r="H121" s="281">
        <v>0.02</v>
      </c>
      <c r="I121" s="281">
        <v>0.02</v>
      </c>
      <c r="J121" s="281">
        <v>0.02</v>
      </c>
      <c r="K121" s="281">
        <v>0.02</v>
      </c>
      <c r="L121" s="281">
        <v>0.02</v>
      </c>
      <c r="M121" s="281">
        <v>0.02</v>
      </c>
      <c r="N121" s="281">
        <v>0.02</v>
      </c>
      <c r="O121" s="281">
        <v>0.02</v>
      </c>
      <c r="P121" s="281">
        <v>0.02</v>
      </c>
      <c r="Q121" s="281">
        <v>0.02</v>
      </c>
      <c r="R121" s="281">
        <v>0.02</v>
      </c>
      <c r="S121" s="281">
        <v>0.02</v>
      </c>
      <c r="T121" s="281">
        <v>0.02</v>
      </c>
      <c r="U121" s="281">
        <v>0.02</v>
      </c>
      <c r="V121" s="281">
        <v>0.02</v>
      </c>
      <c r="W121" s="281">
        <v>0.02</v>
      </c>
      <c r="X121" s="281">
        <v>0.02</v>
      </c>
      <c r="Y121" s="281">
        <v>0.02</v>
      </c>
      <c r="Z121" s="281">
        <v>0.02</v>
      </c>
      <c r="AA121" s="281">
        <v>0.02</v>
      </c>
      <c r="AB121" s="281">
        <v>0.02</v>
      </c>
      <c r="AC121" s="281">
        <v>0.02</v>
      </c>
      <c r="AD121" s="281">
        <v>0.02</v>
      </c>
      <c r="AE121" s="281">
        <v>0.02</v>
      </c>
      <c r="AF121" s="281">
        <v>0.02</v>
      </c>
      <c r="AG121" s="281">
        <v>0.02</v>
      </c>
      <c r="AH121" s="281">
        <v>0.02</v>
      </c>
      <c r="AI121" s="281">
        <v>0.02</v>
      </c>
      <c r="AJ121" s="281">
        <v>0.02</v>
      </c>
      <c r="AK121" s="281">
        <v>0.02</v>
      </c>
      <c r="AL121" s="281">
        <v>0.02</v>
      </c>
      <c r="AM121" s="281">
        <v>0.02</v>
      </c>
      <c r="AN121" s="281">
        <v>0.02</v>
      </c>
      <c r="AO121" s="281">
        <v>0.02</v>
      </c>
      <c r="AP121" s="281">
        <v>0.02</v>
      </c>
      <c r="AQ121" s="281">
        <v>0.02</v>
      </c>
      <c r="AR121" s="281">
        <v>0.02</v>
      </c>
      <c r="AS121" s="281">
        <v>0.02</v>
      </c>
      <c r="AT121" s="281">
        <v>0.02</v>
      </c>
      <c r="AU121" s="281">
        <v>0.02</v>
      </c>
      <c r="AV121" s="281">
        <v>0.02</v>
      </c>
      <c r="AW121" s="281">
        <v>0.02</v>
      </c>
      <c r="AX121" s="281">
        <v>0.02</v>
      </c>
      <c r="AY121" s="281">
        <v>0.02</v>
      </c>
      <c r="AZ121" s="281">
        <v>0.02</v>
      </c>
      <c r="BA121" s="281">
        <v>0.02</v>
      </c>
      <c r="BB121" s="281">
        <v>0.02</v>
      </c>
      <c r="BC121" s="281">
        <v>0.02</v>
      </c>
      <c r="BD121" s="281">
        <v>0.02</v>
      </c>
      <c r="BE121" s="281">
        <v>0.02</v>
      </c>
      <c r="BF121" s="281">
        <v>0.02</v>
      </c>
      <c r="BG121" s="281">
        <v>0.02</v>
      </c>
      <c r="BH121" s="281">
        <v>0.02</v>
      </c>
      <c r="BI121" s="281">
        <v>0.02</v>
      </c>
      <c r="BJ121" s="281">
        <v>0.02</v>
      </c>
      <c r="BK121" s="281">
        <v>0.02</v>
      </c>
    </row>
    <row r="122" spans="1:63" ht="14.25" customHeight="1" x14ac:dyDescent="0.35">
      <c r="A122" s="282" t="s">
        <v>102</v>
      </c>
      <c r="B122" s="281">
        <v>1.4999999999999999E-2</v>
      </c>
      <c r="C122" s="281">
        <v>1.4999999999999999E-2</v>
      </c>
      <c r="D122" s="281">
        <v>1.4999999999999999E-2</v>
      </c>
      <c r="E122" s="281">
        <v>1.4999999999999999E-2</v>
      </c>
      <c r="F122" s="281">
        <v>1.4999999999999999E-2</v>
      </c>
      <c r="G122" s="281">
        <v>1.4999999999999999E-2</v>
      </c>
      <c r="H122" s="281">
        <v>1.4999999999999999E-2</v>
      </c>
      <c r="I122" s="281">
        <v>1.4999999999999999E-2</v>
      </c>
      <c r="J122" s="281">
        <v>1.4999999999999999E-2</v>
      </c>
      <c r="K122" s="281">
        <v>1.4999999999999999E-2</v>
      </c>
      <c r="L122" s="281">
        <v>1.4999999999999999E-2</v>
      </c>
      <c r="M122" s="281">
        <v>1.4999999999999999E-2</v>
      </c>
      <c r="N122" s="281">
        <v>1.4999999999999999E-2</v>
      </c>
      <c r="O122" s="281">
        <v>1.4999999999999999E-2</v>
      </c>
      <c r="P122" s="281">
        <v>1.4999999999999999E-2</v>
      </c>
      <c r="Q122" s="281">
        <v>1.4999999999999999E-2</v>
      </c>
      <c r="R122" s="281">
        <v>1.4999999999999999E-2</v>
      </c>
      <c r="S122" s="281">
        <v>1.4999999999999999E-2</v>
      </c>
      <c r="T122" s="281">
        <v>1.4999999999999999E-2</v>
      </c>
      <c r="U122" s="281">
        <v>1.4999999999999999E-2</v>
      </c>
      <c r="V122" s="281">
        <v>1.4999999999999999E-2</v>
      </c>
      <c r="W122" s="281">
        <v>1.4999999999999999E-2</v>
      </c>
      <c r="X122" s="281">
        <v>1.4999999999999999E-2</v>
      </c>
      <c r="Y122" s="281">
        <v>1.4999999999999999E-2</v>
      </c>
      <c r="Z122" s="281">
        <v>1.4999999999999999E-2</v>
      </c>
      <c r="AA122" s="281">
        <v>1.4999999999999999E-2</v>
      </c>
      <c r="AB122" s="281">
        <v>1.4999999999999999E-2</v>
      </c>
      <c r="AC122" s="281">
        <v>1.4999999999999999E-2</v>
      </c>
      <c r="AD122" s="281">
        <v>1.4999999999999999E-2</v>
      </c>
      <c r="AE122" s="281">
        <v>1.4999999999999999E-2</v>
      </c>
      <c r="AF122" s="281">
        <v>1.4999999999999999E-2</v>
      </c>
      <c r="AG122" s="281">
        <v>1.4999999999999999E-2</v>
      </c>
      <c r="AH122" s="281">
        <v>1.4999999999999999E-2</v>
      </c>
      <c r="AI122" s="281">
        <v>1.4999999999999999E-2</v>
      </c>
      <c r="AJ122" s="281">
        <v>1.4999999999999999E-2</v>
      </c>
      <c r="AK122" s="281">
        <v>1.4999999999999999E-2</v>
      </c>
      <c r="AL122" s="281">
        <v>1.4999999999999999E-2</v>
      </c>
      <c r="AM122" s="281">
        <v>1.4999999999999999E-2</v>
      </c>
      <c r="AN122" s="281">
        <v>1.4999999999999999E-2</v>
      </c>
      <c r="AO122" s="281">
        <v>1.4999999999999999E-2</v>
      </c>
      <c r="AP122" s="281">
        <v>1.4999999999999999E-2</v>
      </c>
      <c r="AQ122" s="281">
        <v>1.4999999999999999E-2</v>
      </c>
      <c r="AR122" s="281">
        <v>1.4999999999999999E-2</v>
      </c>
      <c r="AS122" s="281">
        <v>1.4999999999999999E-2</v>
      </c>
      <c r="AT122" s="281">
        <v>1.4999999999999999E-2</v>
      </c>
      <c r="AU122" s="281">
        <v>1.4999999999999999E-2</v>
      </c>
      <c r="AV122" s="281">
        <v>1.4999999999999999E-2</v>
      </c>
      <c r="AW122" s="281">
        <v>1.4999999999999999E-2</v>
      </c>
      <c r="AX122" s="281">
        <v>1.4999999999999999E-2</v>
      </c>
      <c r="AY122" s="281">
        <v>1.4999999999999999E-2</v>
      </c>
      <c r="AZ122" s="281">
        <v>1.4999999999999999E-2</v>
      </c>
      <c r="BA122" s="281">
        <v>1.4999999999999999E-2</v>
      </c>
      <c r="BB122" s="281">
        <v>1.4999999999999999E-2</v>
      </c>
      <c r="BC122" s="281">
        <v>1.4999999999999999E-2</v>
      </c>
      <c r="BD122" s="281">
        <v>1.4999999999999999E-2</v>
      </c>
      <c r="BE122" s="281">
        <v>1.4999999999999999E-2</v>
      </c>
      <c r="BF122" s="281">
        <v>1.4999999999999999E-2</v>
      </c>
      <c r="BG122" s="281">
        <v>1.4999999999999999E-2</v>
      </c>
      <c r="BH122" s="281">
        <v>1.4999999999999999E-2</v>
      </c>
      <c r="BI122" s="281">
        <v>1.4999999999999999E-2</v>
      </c>
      <c r="BJ122" s="281">
        <v>1.4999999999999999E-2</v>
      </c>
      <c r="BK122" s="281">
        <v>1.4999999999999999E-2</v>
      </c>
    </row>
    <row r="123" spans="1:63" ht="14.25" customHeight="1" x14ac:dyDescent="0.35">
      <c r="A123" s="282" t="s">
        <v>103</v>
      </c>
      <c r="B123" s="281">
        <v>1.4999999999999999E-2</v>
      </c>
      <c r="C123" s="281">
        <v>1.4999999999999999E-2</v>
      </c>
      <c r="D123" s="281">
        <v>1.4999999999999999E-2</v>
      </c>
      <c r="E123" s="281">
        <v>1.4999999999999999E-2</v>
      </c>
      <c r="F123" s="281">
        <v>1.4999999999999999E-2</v>
      </c>
      <c r="G123" s="281">
        <v>1.4999999999999999E-2</v>
      </c>
      <c r="H123" s="281">
        <v>1.4999999999999999E-2</v>
      </c>
      <c r="I123" s="281">
        <v>1.4999999999999999E-2</v>
      </c>
      <c r="J123" s="281">
        <v>1.4999999999999999E-2</v>
      </c>
      <c r="K123" s="281">
        <v>1.4999999999999999E-2</v>
      </c>
      <c r="L123" s="281">
        <v>1.4999999999999999E-2</v>
      </c>
      <c r="M123" s="281">
        <v>1.4999999999999999E-2</v>
      </c>
      <c r="N123" s="281">
        <v>1.4999999999999999E-2</v>
      </c>
      <c r="O123" s="281">
        <v>1.4999999999999999E-2</v>
      </c>
      <c r="P123" s="281">
        <v>1.4999999999999999E-2</v>
      </c>
      <c r="Q123" s="281">
        <v>1.4999999999999999E-2</v>
      </c>
      <c r="R123" s="281">
        <v>1.4999999999999999E-2</v>
      </c>
      <c r="S123" s="281">
        <v>1.4999999999999999E-2</v>
      </c>
      <c r="T123" s="281">
        <v>1.4999999999999999E-2</v>
      </c>
      <c r="U123" s="281">
        <v>1.4999999999999999E-2</v>
      </c>
      <c r="V123" s="281">
        <v>1.4999999999999999E-2</v>
      </c>
      <c r="W123" s="281">
        <v>1.4999999999999999E-2</v>
      </c>
      <c r="X123" s="281">
        <v>1.4999999999999999E-2</v>
      </c>
      <c r="Y123" s="281">
        <v>1.4999999999999999E-2</v>
      </c>
      <c r="Z123" s="281">
        <v>1.4999999999999999E-2</v>
      </c>
      <c r="AA123" s="281">
        <v>1.4999999999999999E-2</v>
      </c>
      <c r="AB123" s="281">
        <v>1.4999999999999999E-2</v>
      </c>
      <c r="AC123" s="281">
        <v>1.4999999999999999E-2</v>
      </c>
      <c r="AD123" s="281">
        <v>1.4999999999999999E-2</v>
      </c>
      <c r="AE123" s="281">
        <v>1.4999999999999999E-2</v>
      </c>
      <c r="AF123" s="281">
        <v>1.4999999999999999E-2</v>
      </c>
      <c r="AG123" s="281">
        <v>1.4999999999999999E-2</v>
      </c>
      <c r="AH123" s="281">
        <v>1.4999999999999999E-2</v>
      </c>
      <c r="AI123" s="281">
        <v>1.4999999999999999E-2</v>
      </c>
      <c r="AJ123" s="281">
        <v>1.4999999999999999E-2</v>
      </c>
      <c r="AK123" s="281">
        <v>1.4999999999999999E-2</v>
      </c>
      <c r="AL123" s="281">
        <v>1.4999999999999999E-2</v>
      </c>
      <c r="AM123" s="281">
        <v>1.4999999999999999E-2</v>
      </c>
      <c r="AN123" s="281">
        <v>1.4999999999999999E-2</v>
      </c>
      <c r="AO123" s="281">
        <v>1.4999999999999999E-2</v>
      </c>
      <c r="AP123" s="281">
        <v>1.4999999999999999E-2</v>
      </c>
      <c r="AQ123" s="281">
        <v>1.4999999999999999E-2</v>
      </c>
      <c r="AR123" s="281">
        <v>1.4999999999999999E-2</v>
      </c>
      <c r="AS123" s="281">
        <v>1.4999999999999999E-2</v>
      </c>
      <c r="AT123" s="281">
        <v>1.4999999999999999E-2</v>
      </c>
      <c r="AU123" s="281">
        <v>1.4999999999999999E-2</v>
      </c>
      <c r="AV123" s="281">
        <v>1.4999999999999999E-2</v>
      </c>
      <c r="AW123" s="281">
        <v>1.4999999999999999E-2</v>
      </c>
      <c r="AX123" s="281">
        <v>1.4999999999999999E-2</v>
      </c>
      <c r="AY123" s="281">
        <v>1.4999999999999999E-2</v>
      </c>
      <c r="AZ123" s="281">
        <v>1.4999999999999999E-2</v>
      </c>
      <c r="BA123" s="281">
        <v>1.4999999999999999E-2</v>
      </c>
      <c r="BB123" s="281">
        <v>1.4999999999999999E-2</v>
      </c>
      <c r="BC123" s="281">
        <v>1.4999999999999999E-2</v>
      </c>
      <c r="BD123" s="281">
        <v>1.4999999999999999E-2</v>
      </c>
      <c r="BE123" s="281">
        <v>1.4999999999999999E-2</v>
      </c>
      <c r="BF123" s="281">
        <v>1.4999999999999999E-2</v>
      </c>
      <c r="BG123" s="281">
        <v>1.4999999999999999E-2</v>
      </c>
      <c r="BH123" s="281">
        <v>1.4999999999999999E-2</v>
      </c>
      <c r="BI123" s="281">
        <v>1.4999999999999999E-2</v>
      </c>
      <c r="BJ123" s="281">
        <v>1.4999999999999999E-2</v>
      </c>
      <c r="BK123" s="281">
        <v>1.4999999999999999E-2</v>
      </c>
    </row>
    <row r="124" spans="1:63" ht="14.25" customHeight="1" x14ac:dyDescent="0.35">
      <c r="A124" s="282" t="s">
        <v>104</v>
      </c>
      <c r="B124" s="281">
        <v>1.4999999999999999E-2</v>
      </c>
      <c r="C124" s="281">
        <v>1.4999999999999999E-2</v>
      </c>
      <c r="D124" s="281">
        <v>1.4999999999999999E-2</v>
      </c>
      <c r="E124" s="281">
        <v>1.4999999999999999E-2</v>
      </c>
      <c r="F124" s="281">
        <v>1.4999999999999999E-2</v>
      </c>
      <c r="G124" s="281">
        <v>1.4999999999999999E-2</v>
      </c>
      <c r="H124" s="281">
        <v>1.4999999999999999E-2</v>
      </c>
      <c r="I124" s="281">
        <v>1.4999999999999999E-2</v>
      </c>
      <c r="J124" s="281">
        <v>1.4999999999999999E-2</v>
      </c>
      <c r="K124" s="281">
        <v>1.4999999999999999E-2</v>
      </c>
      <c r="L124" s="281">
        <v>1.4999999999999999E-2</v>
      </c>
      <c r="M124" s="281">
        <v>1.4999999999999999E-2</v>
      </c>
      <c r="N124" s="281">
        <v>1.4999999999999999E-2</v>
      </c>
      <c r="O124" s="281">
        <v>1.4999999999999999E-2</v>
      </c>
      <c r="P124" s="281">
        <v>1.4999999999999999E-2</v>
      </c>
      <c r="Q124" s="281">
        <v>1.4999999999999999E-2</v>
      </c>
      <c r="R124" s="281">
        <v>1.4999999999999999E-2</v>
      </c>
      <c r="S124" s="281">
        <v>1.4999999999999999E-2</v>
      </c>
      <c r="T124" s="281">
        <v>1.4999999999999999E-2</v>
      </c>
      <c r="U124" s="281">
        <v>1.4999999999999999E-2</v>
      </c>
      <c r="V124" s="281">
        <v>1.4999999999999999E-2</v>
      </c>
      <c r="W124" s="281">
        <v>1.4999999999999999E-2</v>
      </c>
      <c r="X124" s="281">
        <v>1.4999999999999999E-2</v>
      </c>
      <c r="Y124" s="281">
        <v>1.4999999999999999E-2</v>
      </c>
      <c r="Z124" s="281">
        <v>1.4999999999999999E-2</v>
      </c>
      <c r="AA124" s="281">
        <v>1.4999999999999999E-2</v>
      </c>
      <c r="AB124" s="281">
        <v>1.4999999999999999E-2</v>
      </c>
      <c r="AC124" s="281">
        <v>1.4999999999999999E-2</v>
      </c>
      <c r="AD124" s="281">
        <v>1.4999999999999999E-2</v>
      </c>
      <c r="AE124" s="281">
        <v>1.4999999999999999E-2</v>
      </c>
      <c r="AF124" s="281">
        <v>1.4999999999999999E-2</v>
      </c>
      <c r="AG124" s="281">
        <v>1.4999999999999999E-2</v>
      </c>
      <c r="AH124" s="281">
        <v>1.4999999999999999E-2</v>
      </c>
      <c r="AI124" s="281">
        <v>1.4999999999999999E-2</v>
      </c>
      <c r="AJ124" s="281">
        <v>1.4999999999999999E-2</v>
      </c>
      <c r="AK124" s="281">
        <v>1.4999999999999999E-2</v>
      </c>
      <c r="AL124" s="281">
        <v>1.4999999999999999E-2</v>
      </c>
      <c r="AM124" s="281">
        <v>1.4999999999999999E-2</v>
      </c>
      <c r="AN124" s="281">
        <v>1.4999999999999999E-2</v>
      </c>
      <c r="AO124" s="281">
        <v>1.4999999999999999E-2</v>
      </c>
      <c r="AP124" s="281">
        <v>1.4999999999999999E-2</v>
      </c>
      <c r="AQ124" s="281">
        <v>1.4999999999999999E-2</v>
      </c>
      <c r="AR124" s="281">
        <v>1.4999999999999999E-2</v>
      </c>
      <c r="AS124" s="281">
        <v>1.4999999999999999E-2</v>
      </c>
      <c r="AT124" s="281">
        <v>1.4999999999999999E-2</v>
      </c>
      <c r="AU124" s="281">
        <v>1.4999999999999999E-2</v>
      </c>
      <c r="AV124" s="281">
        <v>1.4999999999999999E-2</v>
      </c>
      <c r="AW124" s="281">
        <v>1.4999999999999999E-2</v>
      </c>
      <c r="AX124" s="281">
        <v>1.4999999999999999E-2</v>
      </c>
      <c r="AY124" s="281">
        <v>1.4999999999999999E-2</v>
      </c>
      <c r="AZ124" s="281">
        <v>1.4999999999999999E-2</v>
      </c>
      <c r="BA124" s="281">
        <v>1.4999999999999999E-2</v>
      </c>
      <c r="BB124" s="281">
        <v>1.4999999999999999E-2</v>
      </c>
      <c r="BC124" s="281">
        <v>1.4999999999999999E-2</v>
      </c>
      <c r="BD124" s="281">
        <v>1.4999999999999999E-2</v>
      </c>
      <c r="BE124" s="281">
        <v>1.4999999999999999E-2</v>
      </c>
      <c r="BF124" s="281">
        <v>1.4999999999999999E-2</v>
      </c>
      <c r="BG124" s="281">
        <v>1.4999999999999999E-2</v>
      </c>
      <c r="BH124" s="281">
        <v>1.4999999999999999E-2</v>
      </c>
      <c r="BI124" s="281">
        <v>1.4999999999999999E-2</v>
      </c>
      <c r="BJ124" s="281">
        <v>1.4999999999999999E-2</v>
      </c>
      <c r="BK124" s="281">
        <v>1.4999999999999999E-2</v>
      </c>
    </row>
    <row r="125" spans="1:63" ht="14.25" customHeight="1" x14ac:dyDescent="0.35">
      <c r="A125" s="282" t="s">
        <v>105</v>
      </c>
      <c r="B125" s="281">
        <v>1.4999999999999999E-2</v>
      </c>
      <c r="C125" s="281">
        <v>1.4999999999999999E-2</v>
      </c>
      <c r="D125" s="281">
        <v>1.4999999999999999E-2</v>
      </c>
      <c r="E125" s="281">
        <v>1.4999999999999999E-2</v>
      </c>
      <c r="F125" s="281">
        <v>1.4999999999999999E-2</v>
      </c>
      <c r="G125" s="281">
        <v>1.4999999999999999E-2</v>
      </c>
      <c r="H125" s="281">
        <v>1.4999999999999999E-2</v>
      </c>
      <c r="I125" s="281">
        <v>1.4999999999999999E-2</v>
      </c>
      <c r="J125" s="281">
        <v>1.4999999999999999E-2</v>
      </c>
      <c r="K125" s="281">
        <v>1.4999999999999999E-2</v>
      </c>
      <c r="L125" s="281">
        <v>1.4999999999999999E-2</v>
      </c>
      <c r="M125" s="281">
        <v>1.4999999999999999E-2</v>
      </c>
      <c r="N125" s="281">
        <v>1.4999999999999999E-2</v>
      </c>
      <c r="O125" s="281">
        <v>1.4999999999999999E-2</v>
      </c>
      <c r="P125" s="281">
        <v>1.4999999999999999E-2</v>
      </c>
      <c r="Q125" s="281">
        <v>1.4999999999999999E-2</v>
      </c>
      <c r="R125" s="281">
        <v>1.4999999999999999E-2</v>
      </c>
      <c r="S125" s="281">
        <v>1.4999999999999999E-2</v>
      </c>
      <c r="T125" s="281">
        <v>1.4999999999999999E-2</v>
      </c>
      <c r="U125" s="281">
        <v>1.4999999999999999E-2</v>
      </c>
      <c r="V125" s="281">
        <v>1.4999999999999999E-2</v>
      </c>
      <c r="W125" s="281">
        <v>1.4999999999999999E-2</v>
      </c>
      <c r="X125" s="281">
        <v>1.4999999999999999E-2</v>
      </c>
      <c r="Y125" s="281">
        <v>1.4999999999999999E-2</v>
      </c>
      <c r="Z125" s="281">
        <v>1.4999999999999999E-2</v>
      </c>
      <c r="AA125" s="281">
        <v>1.4999999999999999E-2</v>
      </c>
      <c r="AB125" s="281">
        <v>1.4999999999999999E-2</v>
      </c>
      <c r="AC125" s="281">
        <v>1.4999999999999999E-2</v>
      </c>
      <c r="AD125" s="281">
        <v>1.4999999999999999E-2</v>
      </c>
      <c r="AE125" s="281">
        <v>1.4999999999999999E-2</v>
      </c>
      <c r="AF125" s="281">
        <v>1.4999999999999999E-2</v>
      </c>
      <c r="AG125" s="281">
        <v>1.4999999999999999E-2</v>
      </c>
      <c r="AH125" s="281">
        <v>1.4999999999999999E-2</v>
      </c>
      <c r="AI125" s="281">
        <v>1.4999999999999999E-2</v>
      </c>
      <c r="AJ125" s="281">
        <v>1.4999999999999999E-2</v>
      </c>
      <c r="AK125" s="281">
        <v>1.4999999999999999E-2</v>
      </c>
      <c r="AL125" s="281">
        <v>1.4999999999999999E-2</v>
      </c>
      <c r="AM125" s="281">
        <v>1.4999999999999999E-2</v>
      </c>
      <c r="AN125" s="281">
        <v>1.4999999999999999E-2</v>
      </c>
      <c r="AO125" s="281">
        <v>1.4999999999999999E-2</v>
      </c>
      <c r="AP125" s="281">
        <v>1.4999999999999999E-2</v>
      </c>
      <c r="AQ125" s="281">
        <v>1.4999999999999999E-2</v>
      </c>
      <c r="AR125" s="281">
        <v>1.4999999999999999E-2</v>
      </c>
      <c r="AS125" s="281">
        <v>1.4999999999999999E-2</v>
      </c>
      <c r="AT125" s="281">
        <v>1.4999999999999999E-2</v>
      </c>
      <c r="AU125" s="281">
        <v>1.4999999999999999E-2</v>
      </c>
      <c r="AV125" s="281">
        <v>1.4999999999999999E-2</v>
      </c>
      <c r="AW125" s="281">
        <v>1.4999999999999999E-2</v>
      </c>
      <c r="AX125" s="281">
        <v>1.4999999999999999E-2</v>
      </c>
      <c r="AY125" s="281">
        <v>1.4999999999999999E-2</v>
      </c>
      <c r="AZ125" s="281">
        <v>1.4999999999999999E-2</v>
      </c>
      <c r="BA125" s="281">
        <v>1.4999999999999999E-2</v>
      </c>
      <c r="BB125" s="281">
        <v>1.4999999999999999E-2</v>
      </c>
      <c r="BC125" s="281">
        <v>1.4999999999999999E-2</v>
      </c>
      <c r="BD125" s="281">
        <v>1.4999999999999999E-2</v>
      </c>
      <c r="BE125" s="281">
        <v>1.4999999999999999E-2</v>
      </c>
      <c r="BF125" s="281">
        <v>1.4999999999999999E-2</v>
      </c>
      <c r="BG125" s="281">
        <v>1.4999999999999999E-2</v>
      </c>
      <c r="BH125" s="281">
        <v>1.4999999999999999E-2</v>
      </c>
      <c r="BI125" s="281">
        <v>1.4999999999999999E-2</v>
      </c>
      <c r="BJ125" s="281">
        <v>1.4999999999999999E-2</v>
      </c>
      <c r="BK125" s="281">
        <v>1.4999999999999999E-2</v>
      </c>
    </row>
    <row r="126" spans="1:63" ht="14.25" customHeight="1" x14ac:dyDescent="0.35">
      <c r="A126" s="282" t="s">
        <v>106</v>
      </c>
      <c r="B126" s="281">
        <v>2.5000000000000001E-2</v>
      </c>
      <c r="C126" s="281">
        <v>2.5000000000000001E-2</v>
      </c>
      <c r="D126" s="281">
        <v>2.5000000000000001E-2</v>
      </c>
      <c r="E126" s="281">
        <v>2.5000000000000001E-2</v>
      </c>
      <c r="F126" s="281">
        <v>2.5000000000000001E-2</v>
      </c>
      <c r="G126" s="281">
        <v>2.5000000000000001E-2</v>
      </c>
      <c r="H126" s="281">
        <v>2.5000000000000001E-2</v>
      </c>
      <c r="I126" s="281">
        <v>2.5000000000000001E-2</v>
      </c>
      <c r="J126" s="281">
        <v>2.5000000000000001E-2</v>
      </c>
      <c r="K126" s="281">
        <v>2.5000000000000001E-2</v>
      </c>
      <c r="L126" s="281">
        <v>2.5000000000000001E-2</v>
      </c>
      <c r="M126" s="281">
        <v>2.5000000000000001E-2</v>
      </c>
      <c r="N126" s="281">
        <v>2.5000000000000001E-2</v>
      </c>
      <c r="O126" s="281">
        <v>2.5000000000000001E-2</v>
      </c>
      <c r="P126" s="281">
        <v>2.5000000000000001E-2</v>
      </c>
      <c r="Q126" s="281">
        <v>2.5000000000000001E-2</v>
      </c>
      <c r="R126" s="281">
        <v>2.5000000000000001E-2</v>
      </c>
      <c r="S126" s="281">
        <v>2.5000000000000001E-2</v>
      </c>
      <c r="T126" s="281">
        <v>2.5000000000000001E-2</v>
      </c>
      <c r="U126" s="281">
        <v>2.5000000000000001E-2</v>
      </c>
      <c r="V126" s="281">
        <v>2.5000000000000001E-2</v>
      </c>
      <c r="W126" s="281">
        <v>2.5000000000000001E-2</v>
      </c>
      <c r="X126" s="281">
        <v>2.5000000000000001E-2</v>
      </c>
      <c r="Y126" s="281">
        <v>2.5000000000000001E-2</v>
      </c>
      <c r="Z126" s="281">
        <v>2.5000000000000001E-2</v>
      </c>
      <c r="AA126" s="281">
        <v>2.5000000000000001E-2</v>
      </c>
      <c r="AB126" s="281">
        <v>2.5000000000000001E-2</v>
      </c>
      <c r="AC126" s="281">
        <v>2.5000000000000001E-2</v>
      </c>
      <c r="AD126" s="281">
        <v>2.5000000000000001E-2</v>
      </c>
      <c r="AE126" s="281">
        <v>2.5000000000000001E-2</v>
      </c>
      <c r="AF126" s="281">
        <v>2.5000000000000001E-2</v>
      </c>
      <c r="AG126" s="281">
        <v>2.5000000000000001E-2</v>
      </c>
      <c r="AH126" s="281">
        <v>2.5000000000000001E-2</v>
      </c>
      <c r="AI126" s="281">
        <v>2.5000000000000001E-2</v>
      </c>
      <c r="AJ126" s="281">
        <v>2.5000000000000001E-2</v>
      </c>
      <c r="AK126" s="281">
        <v>2.5000000000000001E-2</v>
      </c>
      <c r="AL126" s="281">
        <v>2.5000000000000001E-2</v>
      </c>
      <c r="AM126" s="281">
        <v>2.5000000000000001E-2</v>
      </c>
      <c r="AN126" s="281">
        <v>2.5000000000000001E-2</v>
      </c>
      <c r="AO126" s="281">
        <v>2.5000000000000001E-2</v>
      </c>
      <c r="AP126" s="281">
        <v>2.5000000000000001E-2</v>
      </c>
      <c r="AQ126" s="281">
        <v>2.5000000000000001E-2</v>
      </c>
      <c r="AR126" s="281">
        <v>2.5000000000000001E-2</v>
      </c>
      <c r="AS126" s="281">
        <v>2.5000000000000001E-2</v>
      </c>
      <c r="AT126" s="281">
        <v>2.5000000000000001E-2</v>
      </c>
      <c r="AU126" s="281">
        <v>2.5000000000000001E-2</v>
      </c>
      <c r="AV126" s="281">
        <v>2.5000000000000001E-2</v>
      </c>
      <c r="AW126" s="281">
        <v>2.5000000000000001E-2</v>
      </c>
      <c r="AX126" s="281">
        <v>2.5000000000000001E-2</v>
      </c>
      <c r="AY126" s="281">
        <v>2.5000000000000001E-2</v>
      </c>
      <c r="AZ126" s="281">
        <v>2.5000000000000001E-2</v>
      </c>
      <c r="BA126" s="281">
        <v>2.5000000000000001E-2</v>
      </c>
      <c r="BB126" s="281">
        <v>2.5000000000000001E-2</v>
      </c>
      <c r="BC126" s="281">
        <v>2.5000000000000001E-2</v>
      </c>
      <c r="BD126" s="281">
        <v>2.5000000000000001E-2</v>
      </c>
      <c r="BE126" s="281">
        <v>2.5000000000000001E-2</v>
      </c>
      <c r="BF126" s="281">
        <v>2.5000000000000001E-2</v>
      </c>
      <c r="BG126" s="281">
        <v>2.5000000000000001E-2</v>
      </c>
      <c r="BH126" s="281">
        <v>2.5000000000000001E-2</v>
      </c>
      <c r="BI126" s="281">
        <v>2.5000000000000001E-2</v>
      </c>
      <c r="BJ126" s="281">
        <v>2.5000000000000001E-2</v>
      </c>
      <c r="BK126" s="281">
        <v>2.5000000000000001E-2</v>
      </c>
    </row>
    <row r="127" spans="1:63" ht="14.25" customHeight="1" x14ac:dyDescent="0.35">
      <c r="A127" s="282" t="s">
        <v>107</v>
      </c>
      <c r="B127" s="281">
        <v>2.5000000000000001E-2</v>
      </c>
      <c r="C127" s="281">
        <v>2.5000000000000001E-2</v>
      </c>
      <c r="D127" s="281">
        <v>2.5000000000000001E-2</v>
      </c>
      <c r="E127" s="281">
        <v>2.5000000000000001E-2</v>
      </c>
      <c r="F127" s="281">
        <v>2.5000000000000001E-2</v>
      </c>
      <c r="G127" s="281">
        <v>2.5000000000000001E-2</v>
      </c>
      <c r="H127" s="281">
        <v>2.5000000000000001E-2</v>
      </c>
      <c r="I127" s="281">
        <v>2.5000000000000001E-2</v>
      </c>
      <c r="J127" s="281">
        <v>2.5000000000000001E-2</v>
      </c>
      <c r="K127" s="281">
        <v>2.5000000000000001E-2</v>
      </c>
      <c r="L127" s="281">
        <v>2.5000000000000001E-2</v>
      </c>
      <c r="M127" s="281">
        <v>2.5000000000000001E-2</v>
      </c>
      <c r="N127" s="281">
        <v>2.5000000000000001E-2</v>
      </c>
      <c r="O127" s="281">
        <v>2.5000000000000001E-2</v>
      </c>
      <c r="P127" s="281">
        <v>2.5000000000000001E-2</v>
      </c>
      <c r="Q127" s="281">
        <v>2.5000000000000001E-2</v>
      </c>
      <c r="R127" s="281">
        <v>2.5000000000000001E-2</v>
      </c>
      <c r="S127" s="281">
        <v>2.5000000000000001E-2</v>
      </c>
      <c r="T127" s="281">
        <v>2.5000000000000001E-2</v>
      </c>
      <c r="U127" s="281">
        <v>2.5000000000000001E-2</v>
      </c>
      <c r="V127" s="281">
        <v>2.5000000000000001E-2</v>
      </c>
      <c r="W127" s="281">
        <v>2.5000000000000001E-2</v>
      </c>
      <c r="X127" s="281">
        <v>2.5000000000000001E-2</v>
      </c>
      <c r="Y127" s="281">
        <v>2.5000000000000001E-2</v>
      </c>
      <c r="Z127" s="281">
        <v>2.5000000000000001E-2</v>
      </c>
      <c r="AA127" s="281">
        <v>2.5000000000000001E-2</v>
      </c>
      <c r="AB127" s="281">
        <v>2.5000000000000001E-2</v>
      </c>
      <c r="AC127" s="281">
        <v>2.5000000000000001E-2</v>
      </c>
      <c r="AD127" s="281">
        <v>2.5000000000000001E-2</v>
      </c>
      <c r="AE127" s="281">
        <v>2.5000000000000001E-2</v>
      </c>
      <c r="AF127" s="281">
        <v>2.5000000000000001E-2</v>
      </c>
      <c r="AG127" s="281">
        <v>2.5000000000000001E-2</v>
      </c>
      <c r="AH127" s="281">
        <v>2.5000000000000001E-2</v>
      </c>
      <c r="AI127" s="281">
        <v>2.5000000000000001E-2</v>
      </c>
      <c r="AJ127" s="281">
        <v>2.5000000000000001E-2</v>
      </c>
      <c r="AK127" s="281">
        <v>2.5000000000000001E-2</v>
      </c>
      <c r="AL127" s="281">
        <v>2.5000000000000001E-2</v>
      </c>
      <c r="AM127" s="281">
        <v>2.5000000000000001E-2</v>
      </c>
      <c r="AN127" s="281">
        <v>2.5000000000000001E-2</v>
      </c>
      <c r="AO127" s="281">
        <v>2.5000000000000001E-2</v>
      </c>
      <c r="AP127" s="281">
        <v>2.5000000000000001E-2</v>
      </c>
      <c r="AQ127" s="281">
        <v>2.5000000000000001E-2</v>
      </c>
      <c r="AR127" s="281">
        <v>2.5000000000000001E-2</v>
      </c>
      <c r="AS127" s="281">
        <v>2.5000000000000001E-2</v>
      </c>
      <c r="AT127" s="281">
        <v>2.5000000000000001E-2</v>
      </c>
      <c r="AU127" s="281">
        <v>2.5000000000000001E-2</v>
      </c>
      <c r="AV127" s="281">
        <v>2.5000000000000001E-2</v>
      </c>
      <c r="AW127" s="281">
        <v>2.5000000000000001E-2</v>
      </c>
      <c r="AX127" s="281">
        <v>2.5000000000000001E-2</v>
      </c>
      <c r="AY127" s="281">
        <v>2.5000000000000001E-2</v>
      </c>
      <c r="AZ127" s="281">
        <v>2.5000000000000001E-2</v>
      </c>
      <c r="BA127" s="281">
        <v>2.5000000000000001E-2</v>
      </c>
      <c r="BB127" s="281">
        <v>2.5000000000000001E-2</v>
      </c>
      <c r="BC127" s="281">
        <v>2.5000000000000001E-2</v>
      </c>
      <c r="BD127" s="281">
        <v>2.5000000000000001E-2</v>
      </c>
      <c r="BE127" s="281">
        <v>2.5000000000000001E-2</v>
      </c>
      <c r="BF127" s="281">
        <v>2.5000000000000001E-2</v>
      </c>
      <c r="BG127" s="281">
        <v>2.5000000000000001E-2</v>
      </c>
      <c r="BH127" s="281">
        <v>2.5000000000000001E-2</v>
      </c>
      <c r="BI127" s="281">
        <v>2.5000000000000001E-2</v>
      </c>
      <c r="BJ127" s="281">
        <v>2.5000000000000001E-2</v>
      </c>
      <c r="BK127" s="281">
        <v>2.5000000000000001E-2</v>
      </c>
    </row>
    <row r="128" spans="1:63" ht="14.25" customHeight="1" x14ac:dyDescent="0.35">
      <c r="A128" s="282" t="s">
        <v>108</v>
      </c>
      <c r="B128" s="281">
        <v>1.4999999999999999E-2</v>
      </c>
      <c r="C128" s="281">
        <v>1.4999999999999999E-2</v>
      </c>
      <c r="D128" s="281">
        <v>1.4999999999999999E-2</v>
      </c>
      <c r="E128" s="281">
        <v>1.4999999999999999E-2</v>
      </c>
      <c r="F128" s="281">
        <v>1.4999999999999999E-2</v>
      </c>
      <c r="G128" s="281">
        <v>1.4999999999999999E-2</v>
      </c>
      <c r="H128" s="281">
        <v>1.4999999999999999E-2</v>
      </c>
      <c r="I128" s="281">
        <v>1.4999999999999999E-2</v>
      </c>
      <c r="J128" s="281">
        <v>1.4999999999999999E-2</v>
      </c>
      <c r="K128" s="281">
        <v>1.4999999999999999E-2</v>
      </c>
      <c r="L128" s="281">
        <v>1.4999999999999999E-2</v>
      </c>
      <c r="M128" s="281">
        <v>1.4999999999999999E-2</v>
      </c>
      <c r="N128" s="281">
        <v>1.4999999999999999E-2</v>
      </c>
      <c r="O128" s="281">
        <v>1.4999999999999999E-2</v>
      </c>
      <c r="P128" s="281">
        <v>1.4999999999999999E-2</v>
      </c>
      <c r="Q128" s="281">
        <v>1.4999999999999999E-2</v>
      </c>
      <c r="R128" s="281">
        <v>1.4999999999999999E-2</v>
      </c>
      <c r="S128" s="281">
        <v>1.4999999999999999E-2</v>
      </c>
      <c r="T128" s="281">
        <v>1.4999999999999999E-2</v>
      </c>
      <c r="U128" s="281">
        <v>1.4999999999999999E-2</v>
      </c>
      <c r="V128" s="281">
        <v>1.4999999999999999E-2</v>
      </c>
      <c r="W128" s="281">
        <v>1.4999999999999999E-2</v>
      </c>
      <c r="X128" s="281">
        <v>1.4999999999999999E-2</v>
      </c>
      <c r="Y128" s="281">
        <v>1.4999999999999999E-2</v>
      </c>
      <c r="Z128" s="281">
        <v>1.4999999999999999E-2</v>
      </c>
      <c r="AA128" s="281">
        <v>1.4999999999999999E-2</v>
      </c>
      <c r="AB128" s="281">
        <v>1.4999999999999999E-2</v>
      </c>
      <c r="AC128" s="281">
        <v>1.4999999999999999E-2</v>
      </c>
      <c r="AD128" s="281">
        <v>1.4999999999999999E-2</v>
      </c>
      <c r="AE128" s="281">
        <v>1.4999999999999999E-2</v>
      </c>
      <c r="AF128" s="281">
        <v>1.4999999999999999E-2</v>
      </c>
      <c r="AG128" s="281">
        <v>1.4999999999999999E-2</v>
      </c>
      <c r="AH128" s="281">
        <v>1.4999999999999999E-2</v>
      </c>
      <c r="AI128" s="281">
        <v>1.4999999999999999E-2</v>
      </c>
      <c r="AJ128" s="281">
        <v>1.4999999999999999E-2</v>
      </c>
      <c r="AK128" s="281">
        <v>1.4999999999999999E-2</v>
      </c>
      <c r="AL128" s="281">
        <v>1.4999999999999999E-2</v>
      </c>
      <c r="AM128" s="281">
        <v>1.4999999999999999E-2</v>
      </c>
      <c r="AN128" s="281">
        <v>1.4999999999999999E-2</v>
      </c>
      <c r="AO128" s="281">
        <v>1.4999999999999999E-2</v>
      </c>
      <c r="AP128" s="281">
        <v>1.4999999999999999E-2</v>
      </c>
      <c r="AQ128" s="281">
        <v>1.4999999999999999E-2</v>
      </c>
      <c r="AR128" s="281">
        <v>1.4999999999999999E-2</v>
      </c>
      <c r="AS128" s="281">
        <v>1.4999999999999999E-2</v>
      </c>
      <c r="AT128" s="281">
        <v>1.4999999999999999E-2</v>
      </c>
      <c r="AU128" s="281">
        <v>1.4999999999999999E-2</v>
      </c>
      <c r="AV128" s="281">
        <v>1.4999999999999999E-2</v>
      </c>
      <c r="AW128" s="281">
        <v>1.4999999999999999E-2</v>
      </c>
      <c r="AX128" s="281">
        <v>1.4999999999999999E-2</v>
      </c>
      <c r="AY128" s="281">
        <v>1.4999999999999999E-2</v>
      </c>
      <c r="AZ128" s="281">
        <v>1.4999999999999999E-2</v>
      </c>
      <c r="BA128" s="281">
        <v>1.4999999999999999E-2</v>
      </c>
      <c r="BB128" s="281">
        <v>1.4999999999999999E-2</v>
      </c>
      <c r="BC128" s="281">
        <v>1.4999999999999999E-2</v>
      </c>
      <c r="BD128" s="281">
        <v>1.4999999999999999E-2</v>
      </c>
      <c r="BE128" s="281">
        <v>1.4999999999999999E-2</v>
      </c>
      <c r="BF128" s="281">
        <v>1.4999999999999999E-2</v>
      </c>
      <c r="BG128" s="281">
        <v>1.4999999999999999E-2</v>
      </c>
      <c r="BH128" s="281">
        <v>1.4999999999999999E-2</v>
      </c>
      <c r="BI128" s="281">
        <v>1.4999999999999999E-2</v>
      </c>
      <c r="BJ128" s="281">
        <v>1.4999999999999999E-2</v>
      </c>
      <c r="BK128" s="281">
        <v>1.4999999999999999E-2</v>
      </c>
    </row>
    <row r="129" spans="1:63" ht="14.25" customHeight="1" x14ac:dyDescent="0.35">
      <c r="A129" s="282" t="s">
        <v>109</v>
      </c>
      <c r="B129" s="281">
        <v>1.4999999999999999E-2</v>
      </c>
      <c r="C129" s="281">
        <v>1.4999999999999999E-2</v>
      </c>
      <c r="D129" s="281">
        <v>1.4999999999999999E-2</v>
      </c>
      <c r="E129" s="281">
        <v>1.4999999999999999E-2</v>
      </c>
      <c r="F129" s="281">
        <v>1.4999999999999999E-2</v>
      </c>
      <c r="G129" s="281">
        <v>1.4999999999999999E-2</v>
      </c>
      <c r="H129" s="281">
        <v>1.4999999999999999E-2</v>
      </c>
      <c r="I129" s="281">
        <v>1.4999999999999999E-2</v>
      </c>
      <c r="J129" s="281">
        <v>1.4999999999999999E-2</v>
      </c>
      <c r="K129" s="281">
        <v>1.4999999999999999E-2</v>
      </c>
      <c r="L129" s="281">
        <v>1.4999999999999999E-2</v>
      </c>
      <c r="M129" s="281">
        <v>1.4999999999999999E-2</v>
      </c>
      <c r="N129" s="281">
        <v>1.4999999999999999E-2</v>
      </c>
      <c r="O129" s="281">
        <v>1.4999999999999999E-2</v>
      </c>
      <c r="P129" s="281">
        <v>1.4999999999999999E-2</v>
      </c>
      <c r="Q129" s="281">
        <v>1.4999999999999999E-2</v>
      </c>
      <c r="R129" s="281">
        <v>1.4999999999999999E-2</v>
      </c>
      <c r="S129" s="281">
        <v>1.4999999999999999E-2</v>
      </c>
      <c r="T129" s="281">
        <v>1.4999999999999999E-2</v>
      </c>
      <c r="U129" s="281">
        <v>1.4999999999999999E-2</v>
      </c>
      <c r="V129" s="281">
        <v>1.4999999999999999E-2</v>
      </c>
      <c r="W129" s="281">
        <v>1.4999999999999999E-2</v>
      </c>
      <c r="X129" s="281">
        <v>1.4999999999999999E-2</v>
      </c>
      <c r="Y129" s="281">
        <v>1.4999999999999999E-2</v>
      </c>
      <c r="Z129" s="281">
        <v>1.4999999999999999E-2</v>
      </c>
      <c r="AA129" s="281">
        <v>1.4999999999999999E-2</v>
      </c>
      <c r="AB129" s="281">
        <v>1.4999999999999999E-2</v>
      </c>
      <c r="AC129" s="281">
        <v>1.4999999999999999E-2</v>
      </c>
      <c r="AD129" s="281">
        <v>1.4999999999999999E-2</v>
      </c>
      <c r="AE129" s="281">
        <v>1.4999999999999999E-2</v>
      </c>
      <c r="AF129" s="281">
        <v>1.4999999999999999E-2</v>
      </c>
      <c r="AG129" s="281">
        <v>1.4999999999999999E-2</v>
      </c>
      <c r="AH129" s="281">
        <v>1.4999999999999999E-2</v>
      </c>
      <c r="AI129" s="281">
        <v>1.4999999999999999E-2</v>
      </c>
      <c r="AJ129" s="281">
        <v>1.4999999999999999E-2</v>
      </c>
      <c r="AK129" s="281">
        <v>1.4999999999999999E-2</v>
      </c>
      <c r="AL129" s="281">
        <v>1.4999999999999999E-2</v>
      </c>
      <c r="AM129" s="281">
        <v>1.4999999999999999E-2</v>
      </c>
      <c r="AN129" s="281">
        <v>1.4999999999999999E-2</v>
      </c>
      <c r="AO129" s="281">
        <v>1.4999999999999999E-2</v>
      </c>
      <c r="AP129" s="281">
        <v>1.4999999999999999E-2</v>
      </c>
      <c r="AQ129" s="281">
        <v>1.4999999999999999E-2</v>
      </c>
      <c r="AR129" s="281">
        <v>1.4999999999999999E-2</v>
      </c>
      <c r="AS129" s="281">
        <v>1.4999999999999999E-2</v>
      </c>
      <c r="AT129" s="281">
        <v>1.4999999999999999E-2</v>
      </c>
      <c r="AU129" s="281">
        <v>1.4999999999999999E-2</v>
      </c>
      <c r="AV129" s="281">
        <v>1.4999999999999999E-2</v>
      </c>
      <c r="AW129" s="281">
        <v>1.4999999999999999E-2</v>
      </c>
      <c r="AX129" s="281">
        <v>1.4999999999999999E-2</v>
      </c>
      <c r="AY129" s="281">
        <v>1.4999999999999999E-2</v>
      </c>
      <c r="AZ129" s="281">
        <v>1.4999999999999999E-2</v>
      </c>
      <c r="BA129" s="281">
        <v>1.4999999999999999E-2</v>
      </c>
      <c r="BB129" s="281">
        <v>1.4999999999999999E-2</v>
      </c>
      <c r="BC129" s="281">
        <v>1.4999999999999999E-2</v>
      </c>
      <c r="BD129" s="281">
        <v>1.4999999999999999E-2</v>
      </c>
      <c r="BE129" s="281">
        <v>1.4999999999999999E-2</v>
      </c>
      <c r="BF129" s="281">
        <v>1.4999999999999999E-2</v>
      </c>
      <c r="BG129" s="281">
        <v>1.4999999999999999E-2</v>
      </c>
      <c r="BH129" s="281">
        <v>1.4999999999999999E-2</v>
      </c>
      <c r="BI129" s="281">
        <v>1.4999999999999999E-2</v>
      </c>
      <c r="BJ129" s="281">
        <v>1.4999999999999999E-2</v>
      </c>
      <c r="BK129" s="281">
        <v>1.4999999999999999E-2</v>
      </c>
    </row>
    <row r="130" spans="1:63" ht="14.25" customHeight="1" x14ac:dyDescent="0.35">
      <c r="A130" s="282" t="s">
        <v>229</v>
      </c>
      <c r="B130" s="281">
        <v>0.02</v>
      </c>
      <c r="C130" s="281">
        <v>0.02</v>
      </c>
      <c r="D130" s="281">
        <v>0.02</v>
      </c>
      <c r="E130" s="281">
        <v>0.02</v>
      </c>
      <c r="F130" s="281">
        <v>0.02</v>
      </c>
      <c r="G130" s="281">
        <v>0.02</v>
      </c>
      <c r="H130" s="281">
        <v>0.02</v>
      </c>
      <c r="I130" s="281">
        <v>0.02</v>
      </c>
      <c r="J130" s="281">
        <v>0.02</v>
      </c>
      <c r="K130" s="281">
        <v>0.02</v>
      </c>
      <c r="L130" s="281">
        <v>0.02</v>
      </c>
      <c r="M130" s="281">
        <v>0.02</v>
      </c>
      <c r="N130" s="281">
        <v>0.02</v>
      </c>
      <c r="O130" s="281">
        <v>0.02</v>
      </c>
      <c r="P130" s="281">
        <v>0.02</v>
      </c>
      <c r="Q130" s="281">
        <v>0.02</v>
      </c>
      <c r="R130" s="281">
        <v>0.02</v>
      </c>
      <c r="S130" s="281">
        <v>0.02</v>
      </c>
      <c r="T130" s="281">
        <v>0.02</v>
      </c>
      <c r="U130" s="281">
        <v>0.02</v>
      </c>
      <c r="V130" s="281">
        <v>0.02</v>
      </c>
      <c r="W130" s="281">
        <v>0.02</v>
      </c>
      <c r="X130" s="281">
        <v>0.02</v>
      </c>
      <c r="Y130" s="281">
        <v>0.02</v>
      </c>
      <c r="Z130" s="281">
        <v>0.02</v>
      </c>
      <c r="AA130" s="281">
        <v>0.02</v>
      </c>
      <c r="AB130" s="281">
        <v>0.02</v>
      </c>
      <c r="AC130" s="281">
        <v>0.02</v>
      </c>
      <c r="AD130" s="281">
        <v>0.02</v>
      </c>
      <c r="AE130" s="281">
        <v>0.02</v>
      </c>
      <c r="AF130" s="281">
        <v>0.02</v>
      </c>
      <c r="AG130" s="281">
        <v>0.02</v>
      </c>
      <c r="AH130" s="281">
        <v>0.02</v>
      </c>
      <c r="AI130" s="281">
        <v>0.02</v>
      </c>
      <c r="AJ130" s="281">
        <v>0.02</v>
      </c>
      <c r="AK130" s="281">
        <v>0.02</v>
      </c>
      <c r="AL130" s="281">
        <v>0.02</v>
      </c>
      <c r="AM130" s="281">
        <v>0.02</v>
      </c>
      <c r="AN130" s="281">
        <v>0.02</v>
      </c>
      <c r="AO130" s="281">
        <v>0.02</v>
      </c>
      <c r="AP130" s="281">
        <v>0.02</v>
      </c>
      <c r="AQ130" s="281">
        <v>0.02</v>
      </c>
      <c r="AR130" s="281">
        <v>0.02</v>
      </c>
      <c r="AS130" s="281">
        <v>0.02</v>
      </c>
      <c r="AT130" s="281">
        <v>0.02</v>
      </c>
      <c r="AU130" s="281">
        <v>0.02</v>
      </c>
      <c r="AV130" s="281">
        <v>0.02</v>
      </c>
      <c r="AW130" s="281">
        <v>0.02</v>
      </c>
      <c r="AX130" s="281">
        <v>0.02</v>
      </c>
      <c r="AY130" s="281">
        <v>0.02</v>
      </c>
      <c r="AZ130" s="281">
        <v>0.02</v>
      </c>
      <c r="BA130" s="281">
        <v>0.02</v>
      </c>
      <c r="BB130" s="281">
        <v>0.02</v>
      </c>
      <c r="BC130" s="281">
        <v>0.02</v>
      </c>
      <c r="BD130" s="281">
        <v>0.02</v>
      </c>
      <c r="BE130" s="281">
        <v>0.02</v>
      </c>
      <c r="BF130" s="281">
        <v>0.02</v>
      </c>
      <c r="BG130" s="281">
        <v>0.02</v>
      </c>
      <c r="BH130" s="281">
        <v>0.02</v>
      </c>
      <c r="BI130" s="281">
        <v>0.02</v>
      </c>
      <c r="BJ130" s="281">
        <v>0.02</v>
      </c>
      <c r="BK130" s="281">
        <v>0.02</v>
      </c>
    </row>
    <row r="131" spans="1:63" ht="14.25" customHeight="1" x14ac:dyDescent="0.35">
      <c r="A131" s="282" t="s">
        <v>111</v>
      </c>
      <c r="B131" s="281">
        <v>1.4999999999999999E-2</v>
      </c>
      <c r="C131" s="281">
        <v>1.4999999999999999E-2</v>
      </c>
      <c r="D131" s="281">
        <v>1.4999999999999999E-2</v>
      </c>
      <c r="E131" s="281">
        <v>1.4999999999999999E-2</v>
      </c>
      <c r="F131" s="281">
        <v>1.4999999999999999E-2</v>
      </c>
      <c r="G131" s="281">
        <v>1.4999999999999999E-2</v>
      </c>
      <c r="H131" s="281">
        <v>1.4999999999999999E-2</v>
      </c>
      <c r="I131" s="281">
        <v>1.4999999999999999E-2</v>
      </c>
      <c r="J131" s="281">
        <v>1.4999999999999999E-2</v>
      </c>
      <c r="K131" s="281">
        <v>1.4999999999999999E-2</v>
      </c>
      <c r="L131" s="281">
        <v>1.4999999999999999E-2</v>
      </c>
      <c r="M131" s="281">
        <v>1.4999999999999999E-2</v>
      </c>
      <c r="N131" s="281">
        <v>1.4999999999999999E-2</v>
      </c>
      <c r="O131" s="281">
        <v>1.4999999999999999E-2</v>
      </c>
      <c r="P131" s="281">
        <v>1.4999999999999999E-2</v>
      </c>
      <c r="Q131" s="281">
        <v>1.4999999999999999E-2</v>
      </c>
      <c r="R131" s="281">
        <v>1.4999999999999999E-2</v>
      </c>
      <c r="S131" s="281">
        <v>1.4999999999999999E-2</v>
      </c>
      <c r="T131" s="281">
        <v>1.4999999999999999E-2</v>
      </c>
      <c r="U131" s="281">
        <v>1.4999999999999999E-2</v>
      </c>
      <c r="V131" s="281">
        <v>1.4999999999999999E-2</v>
      </c>
      <c r="W131" s="281">
        <v>1.4999999999999999E-2</v>
      </c>
      <c r="X131" s="281">
        <v>1.4999999999999999E-2</v>
      </c>
      <c r="Y131" s="281">
        <v>1.4999999999999999E-2</v>
      </c>
      <c r="Z131" s="281">
        <v>1.4999999999999999E-2</v>
      </c>
      <c r="AA131" s="281">
        <v>1.4999999999999999E-2</v>
      </c>
      <c r="AB131" s="281">
        <v>1.4999999999999999E-2</v>
      </c>
      <c r="AC131" s="281">
        <v>1.4999999999999999E-2</v>
      </c>
      <c r="AD131" s="281">
        <v>1.4999999999999999E-2</v>
      </c>
      <c r="AE131" s="281">
        <v>1.4999999999999999E-2</v>
      </c>
      <c r="AF131" s="281">
        <v>1.4999999999999999E-2</v>
      </c>
      <c r="AG131" s="281">
        <v>1.4999999999999999E-2</v>
      </c>
      <c r="AH131" s="281">
        <v>1.4999999999999999E-2</v>
      </c>
      <c r="AI131" s="281">
        <v>1.4999999999999999E-2</v>
      </c>
      <c r="AJ131" s="281">
        <v>1.4999999999999999E-2</v>
      </c>
      <c r="AK131" s="281">
        <v>1.4999999999999999E-2</v>
      </c>
      <c r="AL131" s="281">
        <v>1.4999999999999999E-2</v>
      </c>
      <c r="AM131" s="281">
        <v>1.4999999999999999E-2</v>
      </c>
      <c r="AN131" s="281">
        <v>1.4999999999999999E-2</v>
      </c>
      <c r="AO131" s="281">
        <v>1.4999999999999999E-2</v>
      </c>
      <c r="AP131" s="281">
        <v>1.4999999999999999E-2</v>
      </c>
      <c r="AQ131" s="281">
        <v>1.4999999999999999E-2</v>
      </c>
      <c r="AR131" s="281">
        <v>1.4999999999999999E-2</v>
      </c>
      <c r="AS131" s="281">
        <v>1.4999999999999999E-2</v>
      </c>
      <c r="AT131" s="281">
        <v>1.4999999999999999E-2</v>
      </c>
      <c r="AU131" s="281">
        <v>1.4999999999999999E-2</v>
      </c>
      <c r="AV131" s="281">
        <v>1.4999999999999999E-2</v>
      </c>
      <c r="AW131" s="281">
        <v>1.4999999999999999E-2</v>
      </c>
      <c r="AX131" s="281">
        <v>1.4999999999999999E-2</v>
      </c>
      <c r="AY131" s="281">
        <v>1.4999999999999999E-2</v>
      </c>
      <c r="AZ131" s="281">
        <v>1.4999999999999999E-2</v>
      </c>
      <c r="BA131" s="281">
        <v>1.4999999999999999E-2</v>
      </c>
      <c r="BB131" s="281">
        <v>1.4999999999999999E-2</v>
      </c>
      <c r="BC131" s="281">
        <v>1.4999999999999999E-2</v>
      </c>
      <c r="BD131" s="281">
        <v>1.4999999999999999E-2</v>
      </c>
      <c r="BE131" s="281">
        <v>1.4999999999999999E-2</v>
      </c>
      <c r="BF131" s="281">
        <v>1.4999999999999999E-2</v>
      </c>
      <c r="BG131" s="281">
        <v>1.4999999999999999E-2</v>
      </c>
      <c r="BH131" s="281">
        <v>1.4999999999999999E-2</v>
      </c>
      <c r="BI131" s="281">
        <v>1.4999999999999999E-2</v>
      </c>
      <c r="BJ131" s="281">
        <v>1.4999999999999999E-2</v>
      </c>
      <c r="BK131" s="281">
        <v>1.4999999999999999E-2</v>
      </c>
    </row>
    <row r="132" spans="1:63" ht="14.25" customHeight="1" x14ac:dyDescent="0.35">
      <c r="A132" s="282" t="s">
        <v>112</v>
      </c>
      <c r="B132" s="281">
        <v>2.5000000000000001E-2</v>
      </c>
      <c r="C132" s="281">
        <v>2.5000000000000001E-2</v>
      </c>
      <c r="D132" s="281">
        <v>2.5000000000000001E-2</v>
      </c>
      <c r="E132" s="281">
        <v>2.5000000000000001E-2</v>
      </c>
      <c r="F132" s="281">
        <v>2.5000000000000001E-2</v>
      </c>
      <c r="G132" s="281">
        <v>2.5000000000000001E-2</v>
      </c>
      <c r="H132" s="281">
        <v>2.5000000000000001E-2</v>
      </c>
      <c r="I132" s="281">
        <v>2.5000000000000001E-2</v>
      </c>
      <c r="J132" s="281">
        <v>2.5000000000000001E-2</v>
      </c>
      <c r="K132" s="281">
        <v>2.5000000000000001E-2</v>
      </c>
      <c r="L132" s="281">
        <v>2.5000000000000001E-2</v>
      </c>
      <c r="M132" s="281">
        <v>2.5000000000000001E-2</v>
      </c>
      <c r="N132" s="281">
        <v>2.5000000000000001E-2</v>
      </c>
      <c r="O132" s="281">
        <v>2.5000000000000001E-2</v>
      </c>
      <c r="P132" s="281">
        <v>2.5000000000000001E-2</v>
      </c>
      <c r="Q132" s="281">
        <v>2.5000000000000001E-2</v>
      </c>
      <c r="R132" s="281">
        <v>2.5000000000000001E-2</v>
      </c>
      <c r="S132" s="281">
        <v>2.5000000000000001E-2</v>
      </c>
      <c r="T132" s="281">
        <v>2.5000000000000001E-2</v>
      </c>
      <c r="U132" s="281">
        <v>2.5000000000000001E-2</v>
      </c>
      <c r="V132" s="281">
        <v>2.5000000000000001E-2</v>
      </c>
      <c r="W132" s="281">
        <v>2.5000000000000001E-2</v>
      </c>
      <c r="X132" s="281">
        <v>2.5000000000000001E-2</v>
      </c>
      <c r="Y132" s="281">
        <v>2.5000000000000001E-2</v>
      </c>
      <c r="Z132" s="281">
        <v>2.5000000000000001E-2</v>
      </c>
      <c r="AA132" s="281">
        <v>2.5000000000000001E-2</v>
      </c>
      <c r="AB132" s="281">
        <v>2.5000000000000001E-2</v>
      </c>
      <c r="AC132" s="281">
        <v>2.5000000000000001E-2</v>
      </c>
      <c r="AD132" s="281">
        <v>2.5000000000000001E-2</v>
      </c>
      <c r="AE132" s="281">
        <v>2.5000000000000001E-2</v>
      </c>
      <c r="AF132" s="281">
        <v>2.5000000000000001E-2</v>
      </c>
      <c r="AG132" s="281">
        <v>2.5000000000000001E-2</v>
      </c>
      <c r="AH132" s="281">
        <v>2.5000000000000001E-2</v>
      </c>
      <c r="AI132" s="281">
        <v>2.5000000000000001E-2</v>
      </c>
      <c r="AJ132" s="281">
        <v>2.5000000000000001E-2</v>
      </c>
      <c r="AK132" s="281">
        <v>2.5000000000000001E-2</v>
      </c>
      <c r="AL132" s="281">
        <v>2.5000000000000001E-2</v>
      </c>
      <c r="AM132" s="281">
        <v>2.5000000000000001E-2</v>
      </c>
      <c r="AN132" s="281">
        <v>2.5000000000000001E-2</v>
      </c>
      <c r="AO132" s="281">
        <v>2.5000000000000001E-2</v>
      </c>
      <c r="AP132" s="281">
        <v>2.5000000000000001E-2</v>
      </c>
      <c r="AQ132" s="281">
        <v>2.5000000000000001E-2</v>
      </c>
      <c r="AR132" s="281">
        <v>2.5000000000000001E-2</v>
      </c>
      <c r="AS132" s="281">
        <v>2.5000000000000001E-2</v>
      </c>
      <c r="AT132" s="281">
        <v>2.5000000000000001E-2</v>
      </c>
      <c r="AU132" s="281">
        <v>2.5000000000000001E-2</v>
      </c>
      <c r="AV132" s="281">
        <v>2.5000000000000001E-2</v>
      </c>
      <c r="AW132" s="281">
        <v>2.5000000000000001E-2</v>
      </c>
      <c r="AX132" s="281">
        <v>2.5000000000000001E-2</v>
      </c>
      <c r="AY132" s="281">
        <v>2.5000000000000001E-2</v>
      </c>
      <c r="AZ132" s="281">
        <v>2.5000000000000001E-2</v>
      </c>
      <c r="BA132" s="281">
        <v>2.5000000000000001E-2</v>
      </c>
      <c r="BB132" s="281">
        <v>2.5000000000000001E-2</v>
      </c>
      <c r="BC132" s="281">
        <v>2.5000000000000001E-2</v>
      </c>
      <c r="BD132" s="281">
        <v>2.5000000000000001E-2</v>
      </c>
      <c r="BE132" s="281">
        <v>2.5000000000000001E-2</v>
      </c>
      <c r="BF132" s="281">
        <v>2.5000000000000001E-2</v>
      </c>
      <c r="BG132" s="281">
        <v>2.5000000000000001E-2</v>
      </c>
      <c r="BH132" s="281">
        <v>2.5000000000000001E-2</v>
      </c>
      <c r="BI132" s="281">
        <v>2.5000000000000001E-2</v>
      </c>
      <c r="BJ132" s="281">
        <v>2.5000000000000001E-2</v>
      </c>
      <c r="BK132" s="281">
        <v>2.5000000000000001E-2</v>
      </c>
    </row>
    <row r="133" spans="1:63" ht="14.25" customHeight="1" x14ac:dyDescent="0.35">
      <c r="A133" s="282" t="s">
        <v>113</v>
      </c>
      <c r="B133" s="281">
        <v>0.02</v>
      </c>
      <c r="C133" s="281">
        <v>0.02</v>
      </c>
      <c r="D133" s="281">
        <v>0.02</v>
      </c>
      <c r="E133" s="281">
        <v>0.02</v>
      </c>
      <c r="F133" s="281">
        <v>0.02</v>
      </c>
      <c r="G133" s="281">
        <v>0.02</v>
      </c>
      <c r="H133" s="281">
        <v>0.02</v>
      </c>
      <c r="I133" s="281">
        <v>0.02</v>
      </c>
      <c r="J133" s="281">
        <v>0.02</v>
      </c>
      <c r="K133" s="281">
        <v>0.02</v>
      </c>
      <c r="L133" s="281">
        <v>0.02</v>
      </c>
      <c r="M133" s="281">
        <v>0.02</v>
      </c>
      <c r="N133" s="281">
        <v>0.02</v>
      </c>
      <c r="O133" s="281">
        <v>0.02</v>
      </c>
      <c r="P133" s="281">
        <v>0.02</v>
      </c>
      <c r="Q133" s="281">
        <v>0.02</v>
      </c>
      <c r="R133" s="281">
        <v>0.02</v>
      </c>
      <c r="S133" s="281">
        <v>0.02</v>
      </c>
      <c r="T133" s="281">
        <v>0.02</v>
      </c>
      <c r="U133" s="281">
        <v>0.02</v>
      </c>
      <c r="V133" s="281">
        <v>0.02</v>
      </c>
      <c r="W133" s="281">
        <v>0.02</v>
      </c>
      <c r="X133" s="281">
        <v>0.02</v>
      </c>
      <c r="Y133" s="281">
        <v>0.02</v>
      </c>
      <c r="Z133" s="281">
        <v>0.02</v>
      </c>
      <c r="AA133" s="281">
        <v>0.02</v>
      </c>
      <c r="AB133" s="281">
        <v>0.02</v>
      </c>
      <c r="AC133" s="281">
        <v>0.02</v>
      </c>
      <c r="AD133" s="281">
        <v>0.02</v>
      </c>
      <c r="AE133" s="281">
        <v>0.02</v>
      </c>
      <c r="AF133" s="281">
        <v>0.02</v>
      </c>
      <c r="AG133" s="281">
        <v>0.02</v>
      </c>
      <c r="AH133" s="281">
        <v>0.02</v>
      </c>
      <c r="AI133" s="281">
        <v>0.02</v>
      </c>
      <c r="AJ133" s="281">
        <v>0.02</v>
      </c>
      <c r="AK133" s="281">
        <v>0.02</v>
      </c>
      <c r="AL133" s="281">
        <v>0.02</v>
      </c>
      <c r="AM133" s="281">
        <v>0.02</v>
      </c>
      <c r="AN133" s="281">
        <v>0.02</v>
      </c>
      <c r="AO133" s="281">
        <v>0.02</v>
      </c>
      <c r="AP133" s="281">
        <v>0.02</v>
      </c>
      <c r="AQ133" s="281">
        <v>0.02</v>
      </c>
      <c r="AR133" s="281">
        <v>0.02</v>
      </c>
      <c r="AS133" s="281">
        <v>0.02</v>
      </c>
      <c r="AT133" s="281">
        <v>0.02</v>
      </c>
      <c r="AU133" s="281">
        <v>0.02</v>
      </c>
      <c r="AV133" s="281">
        <v>0.02</v>
      </c>
      <c r="AW133" s="281">
        <v>0.02</v>
      </c>
      <c r="AX133" s="281">
        <v>0.02</v>
      </c>
      <c r="AY133" s="281">
        <v>0.02</v>
      </c>
      <c r="AZ133" s="281">
        <v>0.02</v>
      </c>
      <c r="BA133" s="281">
        <v>0.02</v>
      </c>
      <c r="BB133" s="281">
        <v>0.02</v>
      </c>
      <c r="BC133" s="281">
        <v>0.02</v>
      </c>
      <c r="BD133" s="281">
        <v>0.02</v>
      </c>
      <c r="BE133" s="281">
        <v>0.02</v>
      </c>
      <c r="BF133" s="281">
        <v>0.02</v>
      </c>
      <c r="BG133" s="281">
        <v>0.02</v>
      </c>
      <c r="BH133" s="281">
        <v>0.02</v>
      </c>
      <c r="BI133" s="281">
        <v>0.02</v>
      </c>
      <c r="BJ133" s="281">
        <v>0.02</v>
      </c>
      <c r="BK133" s="281">
        <v>0.02</v>
      </c>
    </row>
    <row r="134" spans="1:63" ht="14.25" customHeight="1" x14ac:dyDescent="0.35">
      <c r="A134" s="282" t="s">
        <v>114</v>
      </c>
      <c r="B134" s="281">
        <v>0.02</v>
      </c>
      <c r="C134" s="281">
        <v>0.02</v>
      </c>
      <c r="D134" s="281">
        <v>0.02</v>
      </c>
      <c r="E134" s="281">
        <v>0.02</v>
      </c>
      <c r="F134" s="281">
        <v>0.02</v>
      </c>
      <c r="G134" s="281">
        <v>0.02</v>
      </c>
      <c r="H134" s="281">
        <v>0.02</v>
      </c>
      <c r="I134" s="281">
        <v>0.02</v>
      </c>
      <c r="J134" s="281">
        <v>0.02</v>
      </c>
      <c r="K134" s="281">
        <v>0.02</v>
      </c>
      <c r="L134" s="281">
        <v>0.02</v>
      </c>
      <c r="M134" s="281">
        <v>0.02</v>
      </c>
      <c r="N134" s="281">
        <v>0.02</v>
      </c>
      <c r="O134" s="281">
        <v>0.02</v>
      </c>
      <c r="P134" s="281">
        <v>0.02</v>
      </c>
      <c r="Q134" s="281">
        <v>0.02</v>
      </c>
      <c r="R134" s="281">
        <v>0.02</v>
      </c>
      <c r="S134" s="281">
        <v>0.02</v>
      </c>
      <c r="T134" s="281">
        <v>0.02</v>
      </c>
      <c r="U134" s="281">
        <v>0.02</v>
      </c>
      <c r="V134" s="281">
        <v>0.02</v>
      </c>
      <c r="W134" s="281">
        <v>0.02</v>
      </c>
      <c r="X134" s="281">
        <v>0.02</v>
      </c>
      <c r="Y134" s="281">
        <v>0.02</v>
      </c>
      <c r="Z134" s="281">
        <v>0.02</v>
      </c>
      <c r="AA134" s="281">
        <v>0.02</v>
      </c>
      <c r="AB134" s="281">
        <v>0.02</v>
      </c>
      <c r="AC134" s="281">
        <v>0.02</v>
      </c>
      <c r="AD134" s="281">
        <v>0.02</v>
      </c>
      <c r="AE134" s="281">
        <v>0.02</v>
      </c>
      <c r="AF134" s="281">
        <v>0.02</v>
      </c>
      <c r="AG134" s="281">
        <v>0.02</v>
      </c>
      <c r="AH134" s="281">
        <v>0.02</v>
      </c>
      <c r="AI134" s="281">
        <v>0.02</v>
      </c>
      <c r="AJ134" s="281">
        <v>0.02</v>
      </c>
      <c r="AK134" s="281">
        <v>0.02</v>
      </c>
      <c r="AL134" s="281">
        <v>0.02</v>
      </c>
      <c r="AM134" s="281">
        <v>0.02</v>
      </c>
      <c r="AN134" s="281">
        <v>0.02</v>
      </c>
      <c r="AO134" s="281">
        <v>0.02</v>
      </c>
      <c r="AP134" s="281">
        <v>0.02</v>
      </c>
      <c r="AQ134" s="281">
        <v>0.02</v>
      </c>
      <c r="AR134" s="281">
        <v>0.02</v>
      </c>
      <c r="AS134" s="281">
        <v>0.02</v>
      </c>
      <c r="AT134" s="281">
        <v>0.02</v>
      </c>
      <c r="AU134" s="281">
        <v>0.02</v>
      </c>
      <c r="AV134" s="281">
        <v>0.02</v>
      </c>
      <c r="AW134" s="281">
        <v>0.02</v>
      </c>
      <c r="AX134" s="281">
        <v>0.02</v>
      </c>
      <c r="AY134" s="281">
        <v>0.02</v>
      </c>
      <c r="AZ134" s="281">
        <v>0.02</v>
      </c>
      <c r="BA134" s="281">
        <v>0.02</v>
      </c>
      <c r="BB134" s="281">
        <v>0.02</v>
      </c>
      <c r="BC134" s="281">
        <v>0.02</v>
      </c>
      <c r="BD134" s="281">
        <v>0.02</v>
      </c>
      <c r="BE134" s="281">
        <v>0.02</v>
      </c>
      <c r="BF134" s="281">
        <v>0.02</v>
      </c>
      <c r="BG134" s="281">
        <v>0.02</v>
      </c>
      <c r="BH134" s="281">
        <v>0.02</v>
      </c>
      <c r="BI134" s="281">
        <v>0.02</v>
      </c>
      <c r="BJ134" s="281">
        <v>0.02</v>
      </c>
      <c r="BK134" s="281">
        <v>0.02</v>
      </c>
    </row>
    <row r="135" spans="1:63" ht="14.25" customHeight="1" x14ac:dyDescent="0.35">
      <c r="A135" s="282" t="s">
        <v>115</v>
      </c>
      <c r="B135" s="281">
        <v>1.4999999999999999E-2</v>
      </c>
      <c r="C135" s="281">
        <v>1.4999999999999999E-2</v>
      </c>
      <c r="D135" s="281">
        <v>1.4999999999999999E-2</v>
      </c>
      <c r="E135" s="281">
        <v>1.4999999999999999E-2</v>
      </c>
      <c r="F135" s="281">
        <v>1.4999999999999999E-2</v>
      </c>
      <c r="G135" s="281">
        <v>1.4999999999999999E-2</v>
      </c>
      <c r="H135" s="281">
        <v>1.4999999999999999E-2</v>
      </c>
      <c r="I135" s="281">
        <v>1.4999999999999999E-2</v>
      </c>
      <c r="J135" s="281">
        <v>1.4999999999999999E-2</v>
      </c>
      <c r="K135" s="281">
        <v>1.4999999999999999E-2</v>
      </c>
      <c r="L135" s="281">
        <v>1.4999999999999999E-2</v>
      </c>
      <c r="M135" s="281">
        <v>1.4999999999999999E-2</v>
      </c>
      <c r="N135" s="281">
        <v>1.4999999999999999E-2</v>
      </c>
      <c r="O135" s="281">
        <v>1.4999999999999999E-2</v>
      </c>
      <c r="P135" s="281">
        <v>1.4999999999999999E-2</v>
      </c>
      <c r="Q135" s="281">
        <v>1.4999999999999999E-2</v>
      </c>
      <c r="R135" s="281">
        <v>1.4999999999999999E-2</v>
      </c>
      <c r="S135" s="281">
        <v>1.4999999999999999E-2</v>
      </c>
      <c r="T135" s="281">
        <v>1.4999999999999999E-2</v>
      </c>
      <c r="U135" s="281">
        <v>1.4999999999999999E-2</v>
      </c>
      <c r="V135" s="281">
        <v>1.4999999999999999E-2</v>
      </c>
      <c r="W135" s="281">
        <v>1.4999999999999999E-2</v>
      </c>
      <c r="X135" s="281">
        <v>1.4999999999999999E-2</v>
      </c>
      <c r="Y135" s="281">
        <v>1.4999999999999999E-2</v>
      </c>
      <c r="Z135" s="281">
        <v>1.4999999999999999E-2</v>
      </c>
      <c r="AA135" s="281">
        <v>1.4999999999999999E-2</v>
      </c>
      <c r="AB135" s="281">
        <v>1.4999999999999999E-2</v>
      </c>
      <c r="AC135" s="281">
        <v>1.4999999999999999E-2</v>
      </c>
      <c r="AD135" s="281">
        <v>1.4999999999999999E-2</v>
      </c>
      <c r="AE135" s="281">
        <v>1.4999999999999999E-2</v>
      </c>
      <c r="AF135" s="281">
        <v>1.4999999999999999E-2</v>
      </c>
      <c r="AG135" s="281">
        <v>1.4999999999999999E-2</v>
      </c>
      <c r="AH135" s="281">
        <v>1.4999999999999999E-2</v>
      </c>
      <c r="AI135" s="281">
        <v>1.4999999999999999E-2</v>
      </c>
      <c r="AJ135" s="281">
        <v>1.4999999999999999E-2</v>
      </c>
      <c r="AK135" s="281">
        <v>1.4999999999999999E-2</v>
      </c>
      <c r="AL135" s="281">
        <v>1.4999999999999999E-2</v>
      </c>
      <c r="AM135" s="281">
        <v>1.4999999999999999E-2</v>
      </c>
      <c r="AN135" s="281">
        <v>1.4999999999999999E-2</v>
      </c>
      <c r="AO135" s="281">
        <v>1.4999999999999999E-2</v>
      </c>
      <c r="AP135" s="281">
        <v>1.4999999999999999E-2</v>
      </c>
      <c r="AQ135" s="281">
        <v>1.4999999999999999E-2</v>
      </c>
      <c r="AR135" s="281">
        <v>1.4999999999999999E-2</v>
      </c>
      <c r="AS135" s="281">
        <v>1.4999999999999999E-2</v>
      </c>
      <c r="AT135" s="281">
        <v>1.4999999999999999E-2</v>
      </c>
      <c r="AU135" s="281">
        <v>1.4999999999999999E-2</v>
      </c>
      <c r="AV135" s="281">
        <v>1.4999999999999999E-2</v>
      </c>
      <c r="AW135" s="281">
        <v>1.4999999999999999E-2</v>
      </c>
      <c r="AX135" s="281">
        <v>1.4999999999999999E-2</v>
      </c>
      <c r="AY135" s="281">
        <v>1.4999999999999999E-2</v>
      </c>
      <c r="AZ135" s="281">
        <v>1.4999999999999999E-2</v>
      </c>
      <c r="BA135" s="281">
        <v>1.4999999999999999E-2</v>
      </c>
      <c r="BB135" s="281">
        <v>1.4999999999999999E-2</v>
      </c>
      <c r="BC135" s="281">
        <v>1.4999999999999999E-2</v>
      </c>
      <c r="BD135" s="281">
        <v>1.4999999999999999E-2</v>
      </c>
      <c r="BE135" s="281">
        <v>1.4999999999999999E-2</v>
      </c>
      <c r="BF135" s="281">
        <v>1.4999999999999999E-2</v>
      </c>
      <c r="BG135" s="281">
        <v>1.4999999999999999E-2</v>
      </c>
      <c r="BH135" s="281">
        <v>1.4999999999999999E-2</v>
      </c>
      <c r="BI135" s="281">
        <v>1.4999999999999999E-2</v>
      </c>
      <c r="BJ135" s="281">
        <v>1.4999999999999999E-2</v>
      </c>
      <c r="BK135" s="281">
        <v>1.4999999999999999E-2</v>
      </c>
    </row>
    <row r="136" spans="1:63" ht="14.25" customHeight="1" x14ac:dyDescent="0.35">
      <c r="A136" s="282" t="s">
        <v>116</v>
      </c>
      <c r="B136" s="281">
        <v>0.02</v>
      </c>
      <c r="C136" s="281">
        <v>0.02</v>
      </c>
      <c r="D136" s="281">
        <v>0.02</v>
      </c>
      <c r="E136" s="281">
        <v>0.02</v>
      </c>
      <c r="F136" s="281">
        <v>0.02</v>
      </c>
      <c r="G136" s="281">
        <v>0.02</v>
      </c>
      <c r="H136" s="281">
        <v>0.02</v>
      </c>
      <c r="I136" s="281">
        <v>0.02</v>
      </c>
      <c r="J136" s="281">
        <v>0.02</v>
      </c>
      <c r="K136" s="281">
        <v>0.02</v>
      </c>
      <c r="L136" s="281">
        <v>0.02</v>
      </c>
      <c r="M136" s="281">
        <v>0.02</v>
      </c>
      <c r="N136" s="281">
        <v>0.02</v>
      </c>
      <c r="O136" s="281">
        <v>0.02</v>
      </c>
      <c r="P136" s="281">
        <v>0.02</v>
      </c>
      <c r="Q136" s="281">
        <v>0.02</v>
      </c>
      <c r="R136" s="281">
        <v>0.02</v>
      </c>
      <c r="S136" s="281">
        <v>0.02</v>
      </c>
      <c r="T136" s="281">
        <v>0.02</v>
      </c>
      <c r="U136" s="281">
        <v>0.02</v>
      </c>
      <c r="V136" s="281">
        <v>0.02</v>
      </c>
      <c r="W136" s="281">
        <v>0.02</v>
      </c>
      <c r="X136" s="281">
        <v>0.02</v>
      </c>
      <c r="Y136" s="281">
        <v>0.02</v>
      </c>
      <c r="Z136" s="281">
        <v>0.02</v>
      </c>
      <c r="AA136" s="281">
        <v>0.02</v>
      </c>
      <c r="AB136" s="281">
        <v>0.02</v>
      </c>
      <c r="AC136" s="281">
        <v>0.02</v>
      </c>
      <c r="AD136" s="281">
        <v>0.02</v>
      </c>
      <c r="AE136" s="281">
        <v>0.02</v>
      </c>
      <c r="AF136" s="281">
        <v>0.02</v>
      </c>
      <c r="AG136" s="281">
        <v>0.02</v>
      </c>
      <c r="AH136" s="281">
        <v>0.02</v>
      </c>
      <c r="AI136" s="281">
        <v>0.02</v>
      </c>
      <c r="AJ136" s="281">
        <v>0.02</v>
      </c>
      <c r="AK136" s="281">
        <v>0.02</v>
      </c>
      <c r="AL136" s="281">
        <v>0.02</v>
      </c>
      <c r="AM136" s="281">
        <v>0.02</v>
      </c>
      <c r="AN136" s="281">
        <v>0.02</v>
      </c>
      <c r="AO136" s="281">
        <v>0.02</v>
      </c>
      <c r="AP136" s="281">
        <v>0.02</v>
      </c>
      <c r="AQ136" s="281">
        <v>0.02</v>
      </c>
      <c r="AR136" s="281">
        <v>0.02</v>
      </c>
      <c r="AS136" s="281">
        <v>0.02</v>
      </c>
      <c r="AT136" s="281">
        <v>0.02</v>
      </c>
      <c r="AU136" s="281">
        <v>0.02</v>
      </c>
      <c r="AV136" s="281">
        <v>0.02</v>
      </c>
      <c r="AW136" s="281">
        <v>0.02</v>
      </c>
      <c r="AX136" s="281">
        <v>0.02</v>
      </c>
      <c r="AY136" s="281">
        <v>0.02</v>
      </c>
      <c r="AZ136" s="281">
        <v>0.02</v>
      </c>
      <c r="BA136" s="281">
        <v>0.02</v>
      </c>
      <c r="BB136" s="281">
        <v>0.02</v>
      </c>
      <c r="BC136" s="281">
        <v>0.02</v>
      </c>
      <c r="BD136" s="281">
        <v>0.02</v>
      </c>
      <c r="BE136" s="281">
        <v>0.02</v>
      </c>
      <c r="BF136" s="281">
        <v>0.02</v>
      </c>
      <c r="BG136" s="281">
        <v>0.02</v>
      </c>
      <c r="BH136" s="281">
        <v>0.02</v>
      </c>
      <c r="BI136" s="281">
        <v>0.02</v>
      </c>
      <c r="BJ136" s="281">
        <v>0.02</v>
      </c>
      <c r="BK136" s="281">
        <v>0.02</v>
      </c>
    </row>
    <row r="137" spans="1:63" ht="14.25" customHeight="1" x14ac:dyDescent="0.35">
      <c r="A137" s="282" t="s">
        <v>117</v>
      </c>
      <c r="B137" s="281">
        <v>0.02</v>
      </c>
      <c r="C137" s="281">
        <v>0.02</v>
      </c>
      <c r="D137" s="281">
        <v>0.02</v>
      </c>
      <c r="E137" s="281">
        <v>0.02</v>
      </c>
      <c r="F137" s="281">
        <v>0.02</v>
      </c>
      <c r="G137" s="281">
        <v>0.02</v>
      </c>
      <c r="H137" s="281">
        <v>0.02</v>
      </c>
      <c r="I137" s="281">
        <v>0.02</v>
      </c>
      <c r="J137" s="281">
        <v>0.02</v>
      </c>
      <c r="K137" s="281">
        <v>0.02</v>
      </c>
      <c r="L137" s="281">
        <v>0.02</v>
      </c>
      <c r="M137" s="281">
        <v>0.02</v>
      </c>
      <c r="N137" s="281">
        <v>0.02</v>
      </c>
      <c r="O137" s="281">
        <v>0.02</v>
      </c>
      <c r="P137" s="281">
        <v>0.02</v>
      </c>
      <c r="Q137" s="281">
        <v>0.02</v>
      </c>
      <c r="R137" s="281">
        <v>0.02</v>
      </c>
      <c r="S137" s="281">
        <v>0.02</v>
      </c>
      <c r="T137" s="281">
        <v>0.02</v>
      </c>
      <c r="U137" s="281">
        <v>0.02</v>
      </c>
      <c r="V137" s="281">
        <v>0.02</v>
      </c>
      <c r="W137" s="281">
        <v>0.02</v>
      </c>
      <c r="X137" s="281">
        <v>0.02</v>
      </c>
      <c r="Y137" s="281">
        <v>0.02</v>
      </c>
      <c r="Z137" s="281">
        <v>0.02</v>
      </c>
      <c r="AA137" s="281">
        <v>0.02</v>
      </c>
      <c r="AB137" s="281">
        <v>0.02</v>
      </c>
      <c r="AC137" s="281">
        <v>0.02</v>
      </c>
      <c r="AD137" s="281">
        <v>0.02</v>
      </c>
      <c r="AE137" s="281">
        <v>0.02</v>
      </c>
      <c r="AF137" s="281">
        <v>0.02</v>
      </c>
      <c r="AG137" s="281">
        <v>0.02</v>
      </c>
      <c r="AH137" s="281">
        <v>0.02</v>
      </c>
      <c r="AI137" s="281">
        <v>0.02</v>
      </c>
      <c r="AJ137" s="281">
        <v>0.02</v>
      </c>
      <c r="AK137" s="281">
        <v>0.02</v>
      </c>
      <c r="AL137" s="281">
        <v>0.02</v>
      </c>
      <c r="AM137" s="281">
        <v>0.02</v>
      </c>
      <c r="AN137" s="281">
        <v>0.02</v>
      </c>
      <c r="AO137" s="281">
        <v>0.02</v>
      </c>
      <c r="AP137" s="281">
        <v>0.02</v>
      </c>
      <c r="AQ137" s="281">
        <v>0.02</v>
      </c>
      <c r="AR137" s="281">
        <v>0.02</v>
      </c>
      <c r="AS137" s="281">
        <v>0.02</v>
      </c>
      <c r="AT137" s="281">
        <v>0.02</v>
      </c>
      <c r="AU137" s="281">
        <v>0.02</v>
      </c>
      <c r="AV137" s="281">
        <v>0.02</v>
      </c>
      <c r="AW137" s="281">
        <v>0.02</v>
      </c>
      <c r="AX137" s="281">
        <v>0.02</v>
      </c>
      <c r="AY137" s="281">
        <v>0.02</v>
      </c>
      <c r="AZ137" s="281">
        <v>0.02</v>
      </c>
      <c r="BA137" s="281">
        <v>0.02</v>
      </c>
      <c r="BB137" s="281">
        <v>0.02</v>
      </c>
      <c r="BC137" s="281">
        <v>0.02</v>
      </c>
      <c r="BD137" s="281">
        <v>0.02</v>
      </c>
      <c r="BE137" s="281">
        <v>0.02</v>
      </c>
      <c r="BF137" s="281">
        <v>0.02</v>
      </c>
      <c r="BG137" s="281">
        <v>0.02</v>
      </c>
      <c r="BH137" s="281">
        <v>0.02</v>
      </c>
      <c r="BI137" s="281">
        <v>0.02</v>
      </c>
      <c r="BJ137" s="281">
        <v>0.02</v>
      </c>
      <c r="BK137" s="281">
        <v>0.02</v>
      </c>
    </row>
    <row r="138" spans="1:63" ht="14.25" customHeight="1" x14ac:dyDescent="0.35">
      <c r="A138" s="282" t="s">
        <v>118</v>
      </c>
      <c r="B138" s="281">
        <v>1.4999999999999999E-2</v>
      </c>
      <c r="C138" s="281">
        <v>1.4999999999999999E-2</v>
      </c>
      <c r="D138" s="281">
        <v>1.4999999999999999E-2</v>
      </c>
      <c r="E138" s="281">
        <v>1.4999999999999999E-2</v>
      </c>
      <c r="F138" s="281">
        <v>1.4999999999999999E-2</v>
      </c>
      <c r="G138" s="281">
        <v>1.4999999999999999E-2</v>
      </c>
      <c r="H138" s="281">
        <v>1.4999999999999999E-2</v>
      </c>
      <c r="I138" s="281">
        <v>1.4999999999999999E-2</v>
      </c>
      <c r="J138" s="281">
        <v>1.4999999999999999E-2</v>
      </c>
      <c r="K138" s="281">
        <v>1.4999999999999999E-2</v>
      </c>
      <c r="L138" s="281">
        <v>1.4999999999999999E-2</v>
      </c>
      <c r="M138" s="281">
        <v>1.4999999999999999E-2</v>
      </c>
      <c r="N138" s="281">
        <v>1.4999999999999999E-2</v>
      </c>
      <c r="O138" s="281">
        <v>1.4999999999999999E-2</v>
      </c>
      <c r="P138" s="281">
        <v>1.4999999999999999E-2</v>
      </c>
      <c r="Q138" s="281">
        <v>1.4999999999999999E-2</v>
      </c>
      <c r="R138" s="281">
        <v>1.4999999999999999E-2</v>
      </c>
      <c r="S138" s="281">
        <v>1.4999999999999999E-2</v>
      </c>
      <c r="T138" s="281">
        <v>1.4999999999999999E-2</v>
      </c>
      <c r="U138" s="281">
        <v>1.4999999999999999E-2</v>
      </c>
      <c r="V138" s="281">
        <v>1.4999999999999999E-2</v>
      </c>
      <c r="W138" s="281">
        <v>1.4999999999999999E-2</v>
      </c>
      <c r="X138" s="281">
        <v>1.4999999999999999E-2</v>
      </c>
      <c r="Y138" s="281">
        <v>1.4999999999999999E-2</v>
      </c>
      <c r="Z138" s="281">
        <v>1.4999999999999999E-2</v>
      </c>
      <c r="AA138" s="281">
        <v>1.4999999999999999E-2</v>
      </c>
      <c r="AB138" s="281">
        <v>1.4999999999999999E-2</v>
      </c>
      <c r="AC138" s="281">
        <v>1.4999999999999999E-2</v>
      </c>
      <c r="AD138" s="281">
        <v>1.4999999999999999E-2</v>
      </c>
      <c r="AE138" s="281">
        <v>1.4999999999999999E-2</v>
      </c>
      <c r="AF138" s="281">
        <v>1.4999999999999999E-2</v>
      </c>
      <c r="AG138" s="281">
        <v>1.4999999999999999E-2</v>
      </c>
      <c r="AH138" s="281">
        <v>1.4999999999999999E-2</v>
      </c>
      <c r="AI138" s="281">
        <v>1.4999999999999999E-2</v>
      </c>
      <c r="AJ138" s="281">
        <v>1.4999999999999999E-2</v>
      </c>
      <c r="AK138" s="281">
        <v>1.4999999999999999E-2</v>
      </c>
      <c r="AL138" s="281">
        <v>1.4999999999999999E-2</v>
      </c>
      <c r="AM138" s="281">
        <v>1.4999999999999999E-2</v>
      </c>
      <c r="AN138" s="281">
        <v>1.4999999999999999E-2</v>
      </c>
      <c r="AO138" s="281">
        <v>1.4999999999999999E-2</v>
      </c>
      <c r="AP138" s="281">
        <v>1.4999999999999999E-2</v>
      </c>
      <c r="AQ138" s="281">
        <v>1.4999999999999999E-2</v>
      </c>
      <c r="AR138" s="281">
        <v>1.4999999999999999E-2</v>
      </c>
      <c r="AS138" s="281">
        <v>1.4999999999999999E-2</v>
      </c>
      <c r="AT138" s="281">
        <v>1.4999999999999999E-2</v>
      </c>
      <c r="AU138" s="281">
        <v>1.4999999999999999E-2</v>
      </c>
      <c r="AV138" s="281">
        <v>1.4999999999999999E-2</v>
      </c>
      <c r="AW138" s="281">
        <v>1.4999999999999999E-2</v>
      </c>
      <c r="AX138" s="281">
        <v>1.4999999999999999E-2</v>
      </c>
      <c r="AY138" s="281">
        <v>1.4999999999999999E-2</v>
      </c>
      <c r="AZ138" s="281">
        <v>1.4999999999999999E-2</v>
      </c>
      <c r="BA138" s="281">
        <v>1.4999999999999999E-2</v>
      </c>
      <c r="BB138" s="281">
        <v>1.4999999999999999E-2</v>
      </c>
      <c r="BC138" s="281">
        <v>1.4999999999999999E-2</v>
      </c>
      <c r="BD138" s="281">
        <v>1.4999999999999999E-2</v>
      </c>
      <c r="BE138" s="281">
        <v>1.4999999999999999E-2</v>
      </c>
      <c r="BF138" s="281">
        <v>1.4999999999999999E-2</v>
      </c>
      <c r="BG138" s="281">
        <v>1.4999999999999999E-2</v>
      </c>
      <c r="BH138" s="281">
        <v>1.4999999999999999E-2</v>
      </c>
      <c r="BI138" s="281">
        <v>1.4999999999999999E-2</v>
      </c>
      <c r="BJ138" s="281">
        <v>1.4999999999999999E-2</v>
      </c>
      <c r="BK138" s="281">
        <v>1.4999999999999999E-2</v>
      </c>
    </row>
    <row r="139" spans="1:63" ht="14.25" customHeight="1" x14ac:dyDescent="0.35">
      <c r="A139" s="282" t="s">
        <v>119</v>
      </c>
      <c r="B139" s="281">
        <v>1.4999999999999999E-2</v>
      </c>
      <c r="C139" s="281">
        <v>1.4999999999999999E-2</v>
      </c>
      <c r="D139" s="281">
        <v>1.4999999999999999E-2</v>
      </c>
      <c r="E139" s="281">
        <v>1.4999999999999999E-2</v>
      </c>
      <c r="F139" s="281">
        <v>1.4999999999999999E-2</v>
      </c>
      <c r="G139" s="281">
        <v>1.4999999999999999E-2</v>
      </c>
      <c r="H139" s="281">
        <v>1.4999999999999999E-2</v>
      </c>
      <c r="I139" s="281">
        <v>1.4999999999999999E-2</v>
      </c>
      <c r="J139" s="281">
        <v>1.4999999999999999E-2</v>
      </c>
      <c r="K139" s="281">
        <v>1.4999999999999999E-2</v>
      </c>
      <c r="L139" s="281">
        <v>1.4999999999999999E-2</v>
      </c>
      <c r="M139" s="281">
        <v>1.4999999999999999E-2</v>
      </c>
      <c r="N139" s="281">
        <v>1.4999999999999999E-2</v>
      </c>
      <c r="O139" s="281">
        <v>1.4999999999999999E-2</v>
      </c>
      <c r="P139" s="281">
        <v>1.4999999999999999E-2</v>
      </c>
      <c r="Q139" s="281">
        <v>1.4999999999999999E-2</v>
      </c>
      <c r="R139" s="281">
        <v>1.4999999999999999E-2</v>
      </c>
      <c r="S139" s="281">
        <v>1.4999999999999999E-2</v>
      </c>
      <c r="T139" s="281">
        <v>1.4999999999999999E-2</v>
      </c>
      <c r="U139" s="281">
        <v>1.4999999999999999E-2</v>
      </c>
      <c r="V139" s="281">
        <v>1.4999999999999999E-2</v>
      </c>
      <c r="W139" s="281">
        <v>1.4999999999999999E-2</v>
      </c>
      <c r="X139" s="281">
        <v>1.4999999999999999E-2</v>
      </c>
      <c r="Y139" s="281">
        <v>1.4999999999999999E-2</v>
      </c>
      <c r="Z139" s="281">
        <v>1.4999999999999999E-2</v>
      </c>
      <c r="AA139" s="281">
        <v>1.4999999999999999E-2</v>
      </c>
      <c r="AB139" s="281">
        <v>1.4999999999999999E-2</v>
      </c>
      <c r="AC139" s="281">
        <v>1.4999999999999999E-2</v>
      </c>
      <c r="AD139" s="281">
        <v>1.4999999999999999E-2</v>
      </c>
      <c r="AE139" s="281">
        <v>1.4999999999999999E-2</v>
      </c>
      <c r="AF139" s="281">
        <v>1.4999999999999999E-2</v>
      </c>
      <c r="AG139" s="281">
        <v>1.4999999999999999E-2</v>
      </c>
      <c r="AH139" s="281">
        <v>1.4999999999999999E-2</v>
      </c>
      <c r="AI139" s="281">
        <v>1.4999999999999999E-2</v>
      </c>
      <c r="AJ139" s="281">
        <v>1.4999999999999999E-2</v>
      </c>
      <c r="AK139" s="281">
        <v>1.4999999999999999E-2</v>
      </c>
      <c r="AL139" s="281">
        <v>1.4999999999999999E-2</v>
      </c>
      <c r="AM139" s="281">
        <v>1.4999999999999999E-2</v>
      </c>
      <c r="AN139" s="281">
        <v>1.4999999999999999E-2</v>
      </c>
      <c r="AO139" s="281">
        <v>1.4999999999999999E-2</v>
      </c>
      <c r="AP139" s="281">
        <v>1.4999999999999999E-2</v>
      </c>
      <c r="AQ139" s="281">
        <v>1.4999999999999999E-2</v>
      </c>
      <c r="AR139" s="281">
        <v>1.4999999999999999E-2</v>
      </c>
      <c r="AS139" s="281">
        <v>1.4999999999999999E-2</v>
      </c>
      <c r="AT139" s="281">
        <v>1.4999999999999999E-2</v>
      </c>
      <c r="AU139" s="281">
        <v>1.4999999999999999E-2</v>
      </c>
      <c r="AV139" s="281">
        <v>1.4999999999999999E-2</v>
      </c>
      <c r="AW139" s="281">
        <v>1.4999999999999999E-2</v>
      </c>
      <c r="AX139" s="281">
        <v>1.4999999999999999E-2</v>
      </c>
      <c r="AY139" s="281">
        <v>1.4999999999999999E-2</v>
      </c>
      <c r="AZ139" s="281">
        <v>1.4999999999999999E-2</v>
      </c>
      <c r="BA139" s="281">
        <v>1.4999999999999999E-2</v>
      </c>
      <c r="BB139" s="281">
        <v>1.4999999999999999E-2</v>
      </c>
      <c r="BC139" s="281">
        <v>1.4999999999999999E-2</v>
      </c>
      <c r="BD139" s="281">
        <v>1.4999999999999999E-2</v>
      </c>
      <c r="BE139" s="281">
        <v>1.4999999999999999E-2</v>
      </c>
      <c r="BF139" s="281">
        <v>1.4999999999999999E-2</v>
      </c>
      <c r="BG139" s="281">
        <v>1.4999999999999999E-2</v>
      </c>
      <c r="BH139" s="281">
        <v>1.4999999999999999E-2</v>
      </c>
      <c r="BI139" s="281">
        <v>1.4999999999999999E-2</v>
      </c>
      <c r="BJ139" s="281">
        <v>1.4999999999999999E-2</v>
      </c>
      <c r="BK139" s="281">
        <v>1.4999999999999999E-2</v>
      </c>
    </row>
    <row r="140" spans="1:63" ht="14.25" customHeight="1" x14ac:dyDescent="0.35">
      <c r="A140" s="282" t="s">
        <v>120</v>
      </c>
      <c r="B140" s="281">
        <v>1.4999999999999999E-2</v>
      </c>
      <c r="C140" s="281">
        <v>1.4999999999999999E-2</v>
      </c>
      <c r="D140" s="281">
        <v>1.4999999999999999E-2</v>
      </c>
      <c r="E140" s="281">
        <v>1.4999999999999999E-2</v>
      </c>
      <c r="F140" s="281">
        <v>1.4999999999999999E-2</v>
      </c>
      <c r="G140" s="281">
        <v>1.4999999999999999E-2</v>
      </c>
      <c r="H140" s="281">
        <v>1.4999999999999999E-2</v>
      </c>
      <c r="I140" s="281">
        <v>1.4999999999999999E-2</v>
      </c>
      <c r="J140" s="281">
        <v>1.4999999999999999E-2</v>
      </c>
      <c r="K140" s="281">
        <v>1.4999999999999999E-2</v>
      </c>
      <c r="L140" s="281">
        <v>1.4999999999999999E-2</v>
      </c>
      <c r="M140" s="281">
        <v>1.4999999999999999E-2</v>
      </c>
      <c r="N140" s="281">
        <v>1.4999999999999999E-2</v>
      </c>
      <c r="O140" s="281">
        <v>1.4999999999999999E-2</v>
      </c>
      <c r="P140" s="281">
        <v>1.4999999999999999E-2</v>
      </c>
      <c r="Q140" s="281">
        <v>1.4999999999999999E-2</v>
      </c>
      <c r="R140" s="281">
        <v>1.4999999999999999E-2</v>
      </c>
      <c r="S140" s="281">
        <v>1.4999999999999999E-2</v>
      </c>
      <c r="T140" s="281">
        <v>1.4999999999999999E-2</v>
      </c>
      <c r="U140" s="281">
        <v>1.4999999999999999E-2</v>
      </c>
      <c r="V140" s="281">
        <v>1.4999999999999999E-2</v>
      </c>
      <c r="W140" s="281">
        <v>1.4999999999999999E-2</v>
      </c>
      <c r="X140" s="281">
        <v>1.4999999999999999E-2</v>
      </c>
      <c r="Y140" s="281">
        <v>1.4999999999999999E-2</v>
      </c>
      <c r="Z140" s="281">
        <v>1.4999999999999999E-2</v>
      </c>
      <c r="AA140" s="281">
        <v>1.4999999999999999E-2</v>
      </c>
      <c r="AB140" s="281">
        <v>1.4999999999999999E-2</v>
      </c>
      <c r="AC140" s="281">
        <v>1.4999999999999999E-2</v>
      </c>
      <c r="AD140" s="281">
        <v>1.4999999999999999E-2</v>
      </c>
      <c r="AE140" s="281">
        <v>1.4999999999999999E-2</v>
      </c>
      <c r="AF140" s="281">
        <v>1.4999999999999999E-2</v>
      </c>
      <c r="AG140" s="281">
        <v>1.4999999999999999E-2</v>
      </c>
      <c r="AH140" s="281">
        <v>1.4999999999999999E-2</v>
      </c>
      <c r="AI140" s="281">
        <v>1.4999999999999999E-2</v>
      </c>
      <c r="AJ140" s="281">
        <v>1.4999999999999999E-2</v>
      </c>
      <c r="AK140" s="281">
        <v>1.4999999999999999E-2</v>
      </c>
      <c r="AL140" s="281">
        <v>1.4999999999999999E-2</v>
      </c>
      <c r="AM140" s="281">
        <v>1.4999999999999999E-2</v>
      </c>
      <c r="AN140" s="281">
        <v>1.4999999999999999E-2</v>
      </c>
      <c r="AO140" s="281">
        <v>1.4999999999999999E-2</v>
      </c>
      <c r="AP140" s="281">
        <v>1.4999999999999999E-2</v>
      </c>
      <c r="AQ140" s="281">
        <v>1.4999999999999999E-2</v>
      </c>
      <c r="AR140" s="281">
        <v>1.4999999999999999E-2</v>
      </c>
      <c r="AS140" s="281">
        <v>1.4999999999999999E-2</v>
      </c>
      <c r="AT140" s="281">
        <v>1.4999999999999999E-2</v>
      </c>
      <c r="AU140" s="281">
        <v>1.4999999999999999E-2</v>
      </c>
      <c r="AV140" s="281">
        <v>1.4999999999999999E-2</v>
      </c>
      <c r="AW140" s="281">
        <v>1.4999999999999999E-2</v>
      </c>
      <c r="AX140" s="281">
        <v>1.4999999999999999E-2</v>
      </c>
      <c r="AY140" s="281">
        <v>1.4999999999999999E-2</v>
      </c>
      <c r="AZ140" s="281">
        <v>1.4999999999999999E-2</v>
      </c>
      <c r="BA140" s="281">
        <v>1.4999999999999999E-2</v>
      </c>
      <c r="BB140" s="281">
        <v>1.4999999999999999E-2</v>
      </c>
      <c r="BC140" s="281">
        <v>1.4999999999999999E-2</v>
      </c>
      <c r="BD140" s="281">
        <v>1.4999999999999999E-2</v>
      </c>
      <c r="BE140" s="281">
        <v>1.4999999999999999E-2</v>
      </c>
      <c r="BF140" s="281">
        <v>1.4999999999999999E-2</v>
      </c>
      <c r="BG140" s="281">
        <v>1.4999999999999999E-2</v>
      </c>
      <c r="BH140" s="281">
        <v>1.4999999999999999E-2</v>
      </c>
      <c r="BI140" s="281">
        <v>1.4999999999999999E-2</v>
      </c>
      <c r="BJ140" s="281">
        <v>1.4999999999999999E-2</v>
      </c>
      <c r="BK140" s="281">
        <v>1.4999999999999999E-2</v>
      </c>
    </row>
    <row r="141" spans="1:63" ht="14.25" customHeight="1" x14ac:dyDescent="0.35">
      <c r="A141" s="278" t="s">
        <v>83</v>
      </c>
      <c r="B141" s="281">
        <v>1.4999999999999999E-2</v>
      </c>
      <c r="C141" s="281">
        <v>1.4999999999999999E-2</v>
      </c>
      <c r="D141" s="281">
        <v>1.4999999999999999E-2</v>
      </c>
      <c r="E141" s="281">
        <v>1.4999999999999999E-2</v>
      </c>
      <c r="F141" s="281">
        <v>1.4999999999999999E-2</v>
      </c>
      <c r="G141" s="281">
        <v>1.4999999999999999E-2</v>
      </c>
      <c r="H141" s="281">
        <v>1.4999999999999999E-2</v>
      </c>
      <c r="I141" s="281">
        <v>1.4999999999999999E-2</v>
      </c>
      <c r="J141" s="281">
        <v>1.4999999999999999E-2</v>
      </c>
      <c r="K141" s="281">
        <v>1.4999999999999999E-2</v>
      </c>
      <c r="L141" s="281">
        <v>1.4999999999999999E-2</v>
      </c>
      <c r="M141" s="281">
        <v>1.4999999999999999E-2</v>
      </c>
      <c r="N141" s="281">
        <v>1.4999999999999999E-2</v>
      </c>
      <c r="O141" s="281">
        <v>1.4999999999999999E-2</v>
      </c>
      <c r="P141" s="281">
        <v>1.4999999999999999E-2</v>
      </c>
      <c r="Q141" s="281">
        <v>1.4999999999999999E-2</v>
      </c>
      <c r="R141" s="281">
        <v>1.4999999999999999E-2</v>
      </c>
      <c r="S141" s="281">
        <v>1.4999999999999999E-2</v>
      </c>
      <c r="T141" s="281">
        <v>1.4999999999999999E-2</v>
      </c>
      <c r="U141" s="281">
        <v>1.4999999999999999E-2</v>
      </c>
      <c r="V141" s="281">
        <v>1.4999999999999999E-2</v>
      </c>
      <c r="W141" s="281">
        <v>1.4999999999999999E-2</v>
      </c>
      <c r="X141" s="281">
        <v>1.4999999999999999E-2</v>
      </c>
      <c r="Y141" s="281">
        <v>1.4999999999999999E-2</v>
      </c>
      <c r="Z141" s="281">
        <v>1.4999999999999999E-2</v>
      </c>
      <c r="AA141" s="281">
        <v>1.4999999999999999E-2</v>
      </c>
      <c r="AB141" s="281">
        <v>1.4999999999999999E-2</v>
      </c>
      <c r="AC141" s="281">
        <v>1.4999999999999999E-2</v>
      </c>
      <c r="AD141" s="281">
        <v>1.4999999999999999E-2</v>
      </c>
      <c r="AE141" s="281">
        <v>1.4999999999999999E-2</v>
      </c>
      <c r="AF141" s="281">
        <v>1.4999999999999999E-2</v>
      </c>
      <c r="AG141" s="281">
        <v>1.4999999999999999E-2</v>
      </c>
      <c r="AH141" s="281">
        <v>1.4999999999999999E-2</v>
      </c>
      <c r="AI141" s="281">
        <v>1.4999999999999999E-2</v>
      </c>
      <c r="AJ141" s="281">
        <v>1.4999999999999999E-2</v>
      </c>
      <c r="AK141" s="281">
        <v>1.4999999999999999E-2</v>
      </c>
      <c r="AL141" s="281">
        <v>1.4999999999999999E-2</v>
      </c>
      <c r="AM141" s="281">
        <v>1.4999999999999999E-2</v>
      </c>
      <c r="AN141" s="281">
        <v>1.4999999999999999E-2</v>
      </c>
      <c r="AO141" s="281">
        <v>1.4999999999999999E-2</v>
      </c>
      <c r="AP141" s="281">
        <v>1.4999999999999999E-2</v>
      </c>
      <c r="AQ141" s="281">
        <v>1.4999999999999999E-2</v>
      </c>
      <c r="AR141" s="281">
        <v>1.4999999999999999E-2</v>
      </c>
      <c r="AS141" s="281">
        <v>1.4999999999999999E-2</v>
      </c>
      <c r="AT141" s="281">
        <v>1.4999999999999999E-2</v>
      </c>
      <c r="AU141" s="281">
        <v>1.4999999999999999E-2</v>
      </c>
      <c r="AV141" s="281">
        <v>1.4999999999999999E-2</v>
      </c>
      <c r="AW141" s="281">
        <v>1.4999999999999999E-2</v>
      </c>
      <c r="AX141" s="281">
        <v>1.4999999999999999E-2</v>
      </c>
      <c r="AY141" s="281">
        <v>1.4999999999999999E-2</v>
      </c>
      <c r="AZ141" s="281">
        <v>1.4999999999999999E-2</v>
      </c>
      <c r="BA141" s="281">
        <v>1.4999999999999999E-2</v>
      </c>
      <c r="BB141" s="281">
        <v>1.4999999999999999E-2</v>
      </c>
      <c r="BC141" s="281">
        <v>1.4999999999999999E-2</v>
      </c>
      <c r="BD141" s="281">
        <v>1.4999999999999999E-2</v>
      </c>
      <c r="BE141" s="281">
        <v>1.4999999999999999E-2</v>
      </c>
      <c r="BF141" s="281">
        <v>1.4999999999999999E-2</v>
      </c>
      <c r="BG141" s="281">
        <v>1.4999999999999999E-2</v>
      </c>
      <c r="BH141" s="281">
        <v>1.4999999999999999E-2</v>
      </c>
      <c r="BI141" s="281">
        <v>1.4999999999999999E-2</v>
      </c>
      <c r="BJ141" s="281">
        <v>1.4999999999999999E-2</v>
      </c>
      <c r="BK141" s="281">
        <v>1.4999999999999999E-2</v>
      </c>
    </row>
    <row r="142" spans="1:63" ht="14.25" customHeight="1" x14ac:dyDescent="0.35">
      <c r="A142" s="278" t="s">
        <v>144</v>
      </c>
      <c r="B142" s="281">
        <v>0.04</v>
      </c>
      <c r="C142" s="281">
        <v>0.04</v>
      </c>
      <c r="D142" s="281">
        <v>0.04</v>
      </c>
      <c r="E142" s="281">
        <v>0.04</v>
      </c>
      <c r="F142" s="281">
        <v>0.04</v>
      </c>
      <c r="G142" s="281">
        <v>0.04</v>
      </c>
      <c r="H142" s="281">
        <v>0.04</v>
      </c>
      <c r="I142" s="281">
        <v>0.04</v>
      </c>
      <c r="J142" s="281">
        <v>0.04</v>
      </c>
      <c r="K142" s="281">
        <v>0.04</v>
      </c>
      <c r="L142" s="281">
        <v>0.04</v>
      </c>
      <c r="M142" s="281">
        <v>0.04</v>
      </c>
      <c r="N142" s="281">
        <v>0.04</v>
      </c>
      <c r="O142" s="281">
        <v>0.04</v>
      </c>
      <c r="P142" s="281">
        <v>0.04</v>
      </c>
      <c r="Q142" s="281">
        <v>0.04</v>
      </c>
      <c r="R142" s="281">
        <v>0.04</v>
      </c>
      <c r="S142" s="281">
        <v>0.04</v>
      </c>
      <c r="T142" s="281">
        <v>0.04</v>
      </c>
      <c r="U142" s="281">
        <v>0.04</v>
      </c>
      <c r="V142" s="281">
        <v>0.04</v>
      </c>
      <c r="W142" s="281">
        <v>0.04</v>
      </c>
      <c r="X142" s="281">
        <v>0.04</v>
      </c>
      <c r="Y142" s="281">
        <v>0.04</v>
      </c>
      <c r="Z142" s="281">
        <v>0.04</v>
      </c>
      <c r="AA142" s="281">
        <v>0.04</v>
      </c>
      <c r="AB142" s="281">
        <v>0.04</v>
      </c>
      <c r="AC142" s="281">
        <v>0.04</v>
      </c>
      <c r="AD142" s="281">
        <v>0.04</v>
      </c>
      <c r="AE142" s="281">
        <v>0.04</v>
      </c>
      <c r="AF142" s="281">
        <v>0.04</v>
      </c>
      <c r="AG142" s="281">
        <v>0.04</v>
      </c>
      <c r="AH142" s="281">
        <v>0.04</v>
      </c>
      <c r="AI142" s="281">
        <v>0.04</v>
      </c>
      <c r="AJ142" s="281">
        <v>0.04</v>
      </c>
      <c r="AK142" s="281">
        <v>0.04</v>
      </c>
      <c r="AL142" s="281">
        <v>0.04</v>
      </c>
      <c r="AM142" s="281">
        <v>0.04</v>
      </c>
      <c r="AN142" s="281">
        <v>0.04</v>
      </c>
      <c r="AO142" s="281">
        <v>0.04</v>
      </c>
      <c r="AP142" s="281">
        <v>0.04</v>
      </c>
      <c r="AQ142" s="281">
        <v>0.04</v>
      </c>
      <c r="AR142" s="281">
        <v>0.04</v>
      </c>
      <c r="AS142" s="281">
        <v>0.04</v>
      </c>
      <c r="AT142" s="281">
        <v>0.04</v>
      </c>
      <c r="AU142" s="281">
        <v>0.04</v>
      </c>
      <c r="AV142" s="281">
        <v>0.04</v>
      </c>
      <c r="AW142" s="281">
        <v>0.04</v>
      </c>
      <c r="AX142" s="281">
        <v>0.04</v>
      </c>
      <c r="AY142" s="281">
        <v>0.04</v>
      </c>
      <c r="AZ142" s="281">
        <v>0.04</v>
      </c>
      <c r="BA142" s="281">
        <v>0.04</v>
      </c>
      <c r="BB142" s="281">
        <v>0.04</v>
      </c>
      <c r="BC142" s="281">
        <v>0.04</v>
      </c>
      <c r="BD142" s="281">
        <v>0.04</v>
      </c>
      <c r="BE142" s="281">
        <v>0.04</v>
      </c>
      <c r="BF142" s="281">
        <v>0.04</v>
      </c>
      <c r="BG142" s="281">
        <v>0.04</v>
      </c>
      <c r="BH142" s="281">
        <v>0.04</v>
      </c>
      <c r="BI142" s="281">
        <v>0.04</v>
      </c>
      <c r="BJ142" s="281">
        <v>0.04</v>
      </c>
      <c r="BK142" s="281">
        <v>0.04</v>
      </c>
    </row>
    <row r="143" spans="1:63" ht="14.25" customHeight="1" x14ac:dyDescent="0.35">
      <c r="A143" s="278" t="s">
        <v>164</v>
      </c>
      <c r="B143" s="281">
        <v>0.02</v>
      </c>
      <c r="C143" s="281">
        <v>0.02</v>
      </c>
      <c r="D143" s="281">
        <v>0.02</v>
      </c>
      <c r="E143" s="281">
        <v>0.02</v>
      </c>
      <c r="F143" s="281">
        <v>0.02</v>
      </c>
      <c r="G143" s="281">
        <v>0.02</v>
      </c>
      <c r="H143" s="281">
        <v>0.02</v>
      </c>
      <c r="I143" s="281">
        <v>0.02</v>
      </c>
      <c r="J143" s="281">
        <v>0.02</v>
      </c>
      <c r="K143" s="281">
        <v>0.02</v>
      </c>
      <c r="L143" s="281">
        <v>0.02</v>
      </c>
      <c r="M143" s="281">
        <v>0.02</v>
      </c>
      <c r="N143" s="281">
        <v>0.02</v>
      </c>
      <c r="O143" s="281">
        <v>0.02</v>
      </c>
      <c r="P143" s="281">
        <v>0.02</v>
      </c>
      <c r="Q143" s="281">
        <v>0.02</v>
      </c>
      <c r="R143" s="281">
        <v>0.02</v>
      </c>
      <c r="S143" s="281">
        <v>0.02</v>
      </c>
      <c r="T143" s="281">
        <v>0.02</v>
      </c>
      <c r="U143" s="281">
        <v>0.02</v>
      </c>
      <c r="V143" s="281">
        <v>0.02</v>
      </c>
      <c r="W143" s="281">
        <v>0.02</v>
      </c>
      <c r="X143" s="281">
        <v>0.02</v>
      </c>
      <c r="Y143" s="281">
        <v>0.02</v>
      </c>
      <c r="Z143" s="281">
        <v>0.02</v>
      </c>
      <c r="AA143" s="281">
        <v>0.02</v>
      </c>
      <c r="AB143" s="281">
        <v>0.02</v>
      </c>
      <c r="AC143" s="281">
        <v>0.02</v>
      </c>
      <c r="AD143" s="281">
        <v>0.02</v>
      </c>
      <c r="AE143" s="281">
        <v>0.02</v>
      </c>
      <c r="AF143" s="281">
        <v>0.02</v>
      </c>
      <c r="AG143" s="281">
        <v>0.02</v>
      </c>
      <c r="AH143" s="281">
        <v>0.02</v>
      </c>
      <c r="AI143" s="281">
        <v>0.02</v>
      </c>
      <c r="AJ143" s="281">
        <v>0.02</v>
      </c>
      <c r="AK143" s="281">
        <v>0.02</v>
      </c>
      <c r="AL143" s="281">
        <v>0.02</v>
      </c>
      <c r="AM143" s="281">
        <v>0.02</v>
      </c>
      <c r="AN143" s="281">
        <v>0.02</v>
      </c>
      <c r="AO143" s="281">
        <v>0.02</v>
      </c>
      <c r="AP143" s="281">
        <v>0.02</v>
      </c>
      <c r="AQ143" s="281">
        <v>0.02</v>
      </c>
      <c r="AR143" s="281">
        <v>0.02</v>
      </c>
      <c r="AS143" s="281">
        <v>0.02</v>
      </c>
      <c r="AT143" s="281">
        <v>0.02</v>
      </c>
      <c r="AU143" s="281">
        <v>0.02</v>
      </c>
      <c r="AV143" s="281">
        <v>0.02</v>
      </c>
      <c r="AW143" s="281">
        <v>0.02</v>
      </c>
      <c r="AX143" s="281">
        <v>0.02</v>
      </c>
      <c r="AY143" s="281">
        <v>0.02</v>
      </c>
      <c r="AZ143" s="281">
        <v>0.02</v>
      </c>
      <c r="BA143" s="281">
        <v>0.02</v>
      </c>
      <c r="BB143" s="281">
        <v>0.02</v>
      </c>
      <c r="BC143" s="281">
        <v>0.02</v>
      </c>
      <c r="BD143" s="281">
        <v>0.02</v>
      </c>
      <c r="BE143" s="281">
        <v>0.02</v>
      </c>
      <c r="BF143" s="281">
        <v>0.02</v>
      </c>
      <c r="BG143" s="281">
        <v>0.02</v>
      </c>
      <c r="BH143" s="281">
        <v>0.02</v>
      </c>
      <c r="BI143" s="281">
        <v>0.02</v>
      </c>
      <c r="BJ143" s="281">
        <v>0.02</v>
      </c>
      <c r="BK143" s="281">
        <v>0.02</v>
      </c>
    </row>
    <row r="144" spans="1:63" ht="14.25" customHeight="1" x14ac:dyDescent="0.35">
      <c r="A144" s="278" t="s">
        <v>145</v>
      </c>
      <c r="B144" s="281">
        <v>2.5000000000000001E-2</v>
      </c>
      <c r="C144" s="281">
        <v>2.5000000000000001E-2</v>
      </c>
      <c r="D144" s="281">
        <v>2.5000000000000001E-2</v>
      </c>
      <c r="E144" s="281">
        <v>2.5000000000000001E-2</v>
      </c>
      <c r="F144" s="281">
        <v>2.5000000000000001E-2</v>
      </c>
      <c r="G144" s="281">
        <v>2.5000000000000001E-2</v>
      </c>
      <c r="H144" s="281">
        <v>2.5000000000000001E-2</v>
      </c>
      <c r="I144" s="281">
        <v>2.5000000000000001E-2</v>
      </c>
      <c r="J144" s="281">
        <v>2.5000000000000001E-2</v>
      </c>
      <c r="K144" s="281">
        <v>2.5000000000000001E-2</v>
      </c>
      <c r="L144" s="281">
        <v>2.5000000000000001E-2</v>
      </c>
      <c r="M144" s="281">
        <v>2.5000000000000001E-2</v>
      </c>
      <c r="N144" s="281">
        <v>2.5000000000000001E-2</v>
      </c>
      <c r="O144" s="281">
        <v>2.5000000000000001E-2</v>
      </c>
      <c r="P144" s="281">
        <v>2.5000000000000001E-2</v>
      </c>
      <c r="Q144" s="281">
        <v>2.5000000000000001E-2</v>
      </c>
      <c r="R144" s="281">
        <v>2.5000000000000001E-2</v>
      </c>
      <c r="S144" s="281">
        <v>2.5000000000000001E-2</v>
      </c>
      <c r="T144" s="281">
        <v>2.5000000000000001E-2</v>
      </c>
      <c r="U144" s="281">
        <v>2.5000000000000001E-2</v>
      </c>
      <c r="V144" s="281">
        <v>2.5000000000000001E-2</v>
      </c>
      <c r="W144" s="281">
        <v>2.5000000000000001E-2</v>
      </c>
      <c r="X144" s="281">
        <v>2.5000000000000001E-2</v>
      </c>
      <c r="Y144" s="281">
        <v>2.5000000000000001E-2</v>
      </c>
      <c r="Z144" s="281">
        <v>2.5000000000000001E-2</v>
      </c>
      <c r="AA144" s="281">
        <v>2.5000000000000001E-2</v>
      </c>
      <c r="AB144" s="281">
        <v>2.5000000000000001E-2</v>
      </c>
      <c r="AC144" s="281">
        <v>2.5000000000000001E-2</v>
      </c>
      <c r="AD144" s="281">
        <v>2.5000000000000001E-2</v>
      </c>
      <c r="AE144" s="281">
        <v>2.5000000000000001E-2</v>
      </c>
      <c r="AF144" s="281">
        <v>2.5000000000000001E-2</v>
      </c>
      <c r="AG144" s="281">
        <v>2.5000000000000001E-2</v>
      </c>
      <c r="AH144" s="281">
        <v>2.5000000000000001E-2</v>
      </c>
      <c r="AI144" s="281">
        <v>2.5000000000000001E-2</v>
      </c>
      <c r="AJ144" s="281">
        <v>2.5000000000000001E-2</v>
      </c>
      <c r="AK144" s="281">
        <v>2.5000000000000001E-2</v>
      </c>
      <c r="AL144" s="281">
        <v>2.5000000000000001E-2</v>
      </c>
      <c r="AM144" s="281">
        <v>2.5000000000000001E-2</v>
      </c>
      <c r="AN144" s="281">
        <v>2.5000000000000001E-2</v>
      </c>
      <c r="AO144" s="281">
        <v>2.5000000000000001E-2</v>
      </c>
      <c r="AP144" s="281">
        <v>2.5000000000000001E-2</v>
      </c>
      <c r="AQ144" s="281">
        <v>2.5000000000000001E-2</v>
      </c>
      <c r="AR144" s="281">
        <v>2.5000000000000001E-2</v>
      </c>
      <c r="AS144" s="281">
        <v>2.5000000000000001E-2</v>
      </c>
      <c r="AT144" s="281">
        <v>2.5000000000000001E-2</v>
      </c>
      <c r="AU144" s="281">
        <v>2.5000000000000001E-2</v>
      </c>
      <c r="AV144" s="281">
        <v>2.5000000000000001E-2</v>
      </c>
      <c r="AW144" s="281">
        <v>2.5000000000000001E-2</v>
      </c>
      <c r="AX144" s="281">
        <v>2.5000000000000001E-2</v>
      </c>
      <c r="AY144" s="281">
        <v>2.5000000000000001E-2</v>
      </c>
      <c r="AZ144" s="281">
        <v>2.5000000000000001E-2</v>
      </c>
      <c r="BA144" s="281">
        <v>2.5000000000000001E-2</v>
      </c>
      <c r="BB144" s="281">
        <v>2.5000000000000001E-2</v>
      </c>
      <c r="BC144" s="281">
        <v>2.5000000000000001E-2</v>
      </c>
      <c r="BD144" s="281">
        <v>2.5000000000000001E-2</v>
      </c>
      <c r="BE144" s="281">
        <v>2.5000000000000001E-2</v>
      </c>
      <c r="BF144" s="281">
        <v>2.5000000000000001E-2</v>
      </c>
      <c r="BG144" s="281">
        <v>2.5000000000000001E-2</v>
      </c>
      <c r="BH144" s="281">
        <v>2.5000000000000001E-2</v>
      </c>
      <c r="BI144" s="281">
        <v>2.5000000000000001E-2</v>
      </c>
      <c r="BJ144" s="281">
        <v>2.5000000000000001E-2</v>
      </c>
      <c r="BK144" s="281">
        <v>2.5000000000000001E-2</v>
      </c>
    </row>
    <row r="145" spans="1:63" ht="14.25" customHeight="1" x14ac:dyDescent="0.35">
      <c r="A145" s="278" t="s">
        <v>87</v>
      </c>
      <c r="B145" s="281">
        <v>1.7999999999999999E-2</v>
      </c>
      <c r="C145" s="281">
        <v>1.7999999999999999E-2</v>
      </c>
      <c r="D145" s="281">
        <v>1.7999999999999999E-2</v>
      </c>
      <c r="E145" s="281">
        <v>1.7999999999999999E-2</v>
      </c>
      <c r="F145" s="281">
        <v>1.7999999999999999E-2</v>
      </c>
      <c r="G145" s="281">
        <v>1.7999999999999999E-2</v>
      </c>
      <c r="H145" s="281">
        <v>1.7999999999999999E-2</v>
      </c>
      <c r="I145" s="281">
        <v>1.7999999999999999E-2</v>
      </c>
      <c r="J145" s="281">
        <v>1.7999999999999999E-2</v>
      </c>
      <c r="K145" s="281">
        <v>1.7999999999999999E-2</v>
      </c>
      <c r="L145" s="281">
        <v>1.7999999999999999E-2</v>
      </c>
      <c r="M145" s="281">
        <v>1.7999999999999999E-2</v>
      </c>
      <c r="N145" s="281">
        <v>1.7999999999999999E-2</v>
      </c>
      <c r="O145" s="281">
        <v>1.7999999999999999E-2</v>
      </c>
      <c r="P145" s="281">
        <v>1.7999999999999999E-2</v>
      </c>
      <c r="Q145" s="281">
        <v>1.7999999999999999E-2</v>
      </c>
      <c r="R145" s="281">
        <v>1.7999999999999999E-2</v>
      </c>
      <c r="S145" s="281">
        <v>1.7999999999999999E-2</v>
      </c>
      <c r="T145" s="281">
        <v>1.7999999999999999E-2</v>
      </c>
      <c r="U145" s="281">
        <v>1.7999999999999999E-2</v>
      </c>
      <c r="V145" s="281">
        <v>1.7999999999999999E-2</v>
      </c>
      <c r="W145" s="281">
        <v>1.7999999999999999E-2</v>
      </c>
      <c r="X145" s="281">
        <v>1.7999999999999999E-2</v>
      </c>
      <c r="Y145" s="281">
        <v>1.7999999999999999E-2</v>
      </c>
      <c r="Z145" s="281">
        <v>1.7999999999999999E-2</v>
      </c>
      <c r="AA145" s="281">
        <v>1.7999999999999999E-2</v>
      </c>
      <c r="AB145" s="281">
        <v>1.7999999999999999E-2</v>
      </c>
      <c r="AC145" s="281">
        <v>1.7999999999999999E-2</v>
      </c>
      <c r="AD145" s="281">
        <v>1.7999999999999999E-2</v>
      </c>
      <c r="AE145" s="281">
        <v>1.7999999999999999E-2</v>
      </c>
      <c r="AF145" s="281">
        <v>1.7999999999999999E-2</v>
      </c>
      <c r="AG145" s="281">
        <v>1.7999999999999999E-2</v>
      </c>
      <c r="AH145" s="281">
        <v>1.7999999999999999E-2</v>
      </c>
      <c r="AI145" s="281">
        <v>1.7999999999999999E-2</v>
      </c>
      <c r="AJ145" s="281">
        <v>1.7999999999999999E-2</v>
      </c>
      <c r="AK145" s="281">
        <v>1.7999999999999999E-2</v>
      </c>
      <c r="AL145" s="281">
        <v>1.7999999999999999E-2</v>
      </c>
      <c r="AM145" s="281">
        <v>1.7999999999999999E-2</v>
      </c>
      <c r="AN145" s="281">
        <v>1.7999999999999999E-2</v>
      </c>
      <c r="AO145" s="281">
        <v>1.7999999999999999E-2</v>
      </c>
      <c r="AP145" s="281">
        <v>1.7999999999999999E-2</v>
      </c>
      <c r="AQ145" s="281">
        <v>1.7999999999999999E-2</v>
      </c>
      <c r="AR145" s="281">
        <v>1.7999999999999999E-2</v>
      </c>
      <c r="AS145" s="281">
        <v>1.7999999999999999E-2</v>
      </c>
      <c r="AT145" s="281">
        <v>1.7999999999999999E-2</v>
      </c>
      <c r="AU145" s="281">
        <v>1.7999999999999999E-2</v>
      </c>
      <c r="AV145" s="281">
        <v>1.7999999999999999E-2</v>
      </c>
      <c r="AW145" s="281">
        <v>1.7999999999999999E-2</v>
      </c>
      <c r="AX145" s="281">
        <v>1.7999999999999999E-2</v>
      </c>
      <c r="AY145" s="281">
        <v>1.7999999999999999E-2</v>
      </c>
      <c r="AZ145" s="281">
        <v>1.7999999999999999E-2</v>
      </c>
      <c r="BA145" s="281">
        <v>1.7999999999999999E-2</v>
      </c>
      <c r="BB145" s="281">
        <v>1.7999999999999999E-2</v>
      </c>
      <c r="BC145" s="281">
        <v>1.7999999999999999E-2</v>
      </c>
      <c r="BD145" s="281">
        <v>1.7999999999999999E-2</v>
      </c>
      <c r="BE145" s="281">
        <v>1.7999999999999999E-2</v>
      </c>
      <c r="BF145" s="281">
        <v>1.7999999999999999E-2</v>
      </c>
      <c r="BG145" s="281">
        <v>1.7999999999999999E-2</v>
      </c>
      <c r="BH145" s="281">
        <v>1.7999999999999999E-2</v>
      </c>
      <c r="BI145" s="281">
        <v>1.7999999999999999E-2</v>
      </c>
      <c r="BJ145" s="281">
        <v>1.7999999999999999E-2</v>
      </c>
      <c r="BK145" s="281">
        <v>1.7999999999999999E-2</v>
      </c>
    </row>
    <row r="146" spans="1:63" ht="14.25" customHeight="1" x14ac:dyDescent="0.35">
      <c r="A146" s="278" t="s">
        <v>146</v>
      </c>
      <c r="B146" s="281">
        <v>0.02</v>
      </c>
      <c r="C146" s="281">
        <v>0.02</v>
      </c>
      <c r="D146" s="281">
        <v>0.02</v>
      </c>
      <c r="E146" s="281">
        <v>0.02</v>
      </c>
      <c r="F146" s="281">
        <v>0.02</v>
      </c>
      <c r="G146" s="281">
        <v>0.02</v>
      </c>
      <c r="H146" s="281">
        <v>0.02</v>
      </c>
      <c r="I146" s="281">
        <v>0.02</v>
      </c>
      <c r="J146" s="281">
        <v>0.02</v>
      </c>
      <c r="K146" s="281">
        <v>0.02</v>
      </c>
      <c r="L146" s="281">
        <v>0.02</v>
      </c>
      <c r="M146" s="281">
        <v>0.02</v>
      </c>
      <c r="N146" s="281">
        <v>0.02</v>
      </c>
      <c r="O146" s="281">
        <v>0.02</v>
      </c>
      <c r="P146" s="281">
        <v>0.02</v>
      </c>
      <c r="Q146" s="281">
        <v>0.02</v>
      </c>
      <c r="R146" s="281">
        <v>0.02</v>
      </c>
      <c r="S146" s="281">
        <v>0.02</v>
      </c>
      <c r="T146" s="281">
        <v>0.02</v>
      </c>
      <c r="U146" s="281">
        <v>0.02</v>
      </c>
      <c r="V146" s="281">
        <v>0.02</v>
      </c>
      <c r="W146" s="281">
        <v>0.02</v>
      </c>
      <c r="X146" s="281">
        <v>0.02</v>
      </c>
      <c r="Y146" s="281">
        <v>0.02</v>
      </c>
      <c r="Z146" s="281">
        <v>0.02</v>
      </c>
      <c r="AA146" s="281">
        <v>0.02</v>
      </c>
      <c r="AB146" s="281">
        <v>0.02</v>
      </c>
      <c r="AC146" s="281">
        <v>0.02</v>
      </c>
      <c r="AD146" s="281">
        <v>0.02</v>
      </c>
      <c r="AE146" s="281">
        <v>0.02</v>
      </c>
      <c r="AF146" s="281">
        <v>0.02</v>
      </c>
      <c r="AG146" s="281">
        <v>0.02</v>
      </c>
      <c r="AH146" s="281">
        <v>0.02</v>
      </c>
      <c r="AI146" s="281">
        <v>0.02</v>
      </c>
      <c r="AJ146" s="281">
        <v>0.02</v>
      </c>
      <c r="AK146" s="281">
        <v>0.02</v>
      </c>
      <c r="AL146" s="281">
        <v>0.02</v>
      </c>
      <c r="AM146" s="281">
        <v>0.02</v>
      </c>
      <c r="AN146" s="281">
        <v>0.02</v>
      </c>
      <c r="AO146" s="281">
        <v>0.02</v>
      </c>
      <c r="AP146" s="281">
        <v>0.02</v>
      </c>
      <c r="AQ146" s="281">
        <v>0.02</v>
      </c>
      <c r="AR146" s="281">
        <v>0.02</v>
      </c>
      <c r="AS146" s="281">
        <v>0.02</v>
      </c>
      <c r="AT146" s="281">
        <v>0.02</v>
      </c>
      <c r="AU146" s="281">
        <v>0.02</v>
      </c>
      <c r="AV146" s="281">
        <v>0.02</v>
      </c>
      <c r="AW146" s="281">
        <v>0.02</v>
      </c>
      <c r="AX146" s="281">
        <v>0.02</v>
      </c>
      <c r="AY146" s="281">
        <v>0.02</v>
      </c>
      <c r="AZ146" s="281">
        <v>0.02</v>
      </c>
      <c r="BA146" s="281">
        <v>0.02</v>
      </c>
      <c r="BB146" s="281">
        <v>0.02</v>
      </c>
      <c r="BC146" s="281">
        <v>0.02</v>
      </c>
      <c r="BD146" s="281">
        <v>0.02</v>
      </c>
      <c r="BE146" s="281">
        <v>0.02</v>
      </c>
      <c r="BF146" s="281">
        <v>0.02</v>
      </c>
      <c r="BG146" s="281">
        <v>0.02</v>
      </c>
      <c r="BH146" s="281">
        <v>0.02</v>
      </c>
      <c r="BI146" s="281">
        <v>0.02</v>
      </c>
      <c r="BJ146" s="281">
        <v>0.02</v>
      </c>
      <c r="BK146" s="281">
        <v>0.02</v>
      </c>
    </row>
    <row r="147" spans="1:63" ht="14.25" customHeight="1" x14ac:dyDescent="0.35">
      <c r="A147" s="278" t="s">
        <v>89</v>
      </c>
      <c r="B147" s="281">
        <v>1.4999999999999999E-2</v>
      </c>
      <c r="C147" s="281">
        <v>1.4999999999999999E-2</v>
      </c>
      <c r="D147" s="281">
        <v>1.4999999999999999E-2</v>
      </c>
      <c r="E147" s="281">
        <v>1.4999999999999999E-2</v>
      </c>
      <c r="F147" s="281">
        <v>1.4999999999999999E-2</v>
      </c>
      <c r="G147" s="281">
        <v>1.4999999999999999E-2</v>
      </c>
      <c r="H147" s="281">
        <v>1.4999999999999999E-2</v>
      </c>
      <c r="I147" s="281">
        <v>1.4999999999999999E-2</v>
      </c>
      <c r="J147" s="281">
        <v>1.4999999999999999E-2</v>
      </c>
      <c r="K147" s="281">
        <v>1.4999999999999999E-2</v>
      </c>
      <c r="L147" s="281">
        <v>1.4999999999999999E-2</v>
      </c>
      <c r="M147" s="281">
        <v>1.4999999999999999E-2</v>
      </c>
      <c r="N147" s="281">
        <v>1.4999999999999999E-2</v>
      </c>
      <c r="O147" s="281">
        <v>1.4999999999999999E-2</v>
      </c>
      <c r="P147" s="281">
        <v>1.4999999999999999E-2</v>
      </c>
      <c r="Q147" s="281">
        <v>1.4999999999999999E-2</v>
      </c>
      <c r="R147" s="281">
        <v>1.4999999999999999E-2</v>
      </c>
      <c r="S147" s="281">
        <v>1.4999999999999999E-2</v>
      </c>
      <c r="T147" s="281">
        <v>1.4999999999999999E-2</v>
      </c>
      <c r="U147" s="281">
        <v>1.4999999999999999E-2</v>
      </c>
      <c r="V147" s="281">
        <v>1.4999999999999999E-2</v>
      </c>
      <c r="W147" s="281">
        <v>1.4999999999999999E-2</v>
      </c>
      <c r="X147" s="281">
        <v>1.4999999999999999E-2</v>
      </c>
      <c r="Y147" s="281">
        <v>1.4999999999999999E-2</v>
      </c>
      <c r="Z147" s="281">
        <v>1.4999999999999999E-2</v>
      </c>
      <c r="AA147" s="281">
        <v>1.4999999999999999E-2</v>
      </c>
      <c r="AB147" s="281">
        <v>1.4999999999999999E-2</v>
      </c>
      <c r="AC147" s="281">
        <v>1.4999999999999999E-2</v>
      </c>
      <c r="AD147" s="281">
        <v>1.4999999999999999E-2</v>
      </c>
      <c r="AE147" s="281">
        <v>1.4999999999999999E-2</v>
      </c>
      <c r="AF147" s="281">
        <v>1.4999999999999999E-2</v>
      </c>
      <c r="AG147" s="281">
        <v>1.4999999999999999E-2</v>
      </c>
      <c r="AH147" s="281">
        <v>1.4999999999999999E-2</v>
      </c>
      <c r="AI147" s="281">
        <v>1.4999999999999999E-2</v>
      </c>
      <c r="AJ147" s="281">
        <v>1.4999999999999999E-2</v>
      </c>
      <c r="AK147" s="281">
        <v>1.4999999999999999E-2</v>
      </c>
      <c r="AL147" s="281">
        <v>1.4999999999999999E-2</v>
      </c>
      <c r="AM147" s="281">
        <v>1.4999999999999999E-2</v>
      </c>
      <c r="AN147" s="281">
        <v>1.4999999999999999E-2</v>
      </c>
      <c r="AO147" s="281">
        <v>1.4999999999999999E-2</v>
      </c>
      <c r="AP147" s="281">
        <v>1.4999999999999999E-2</v>
      </c>
      <c r="AQ147" s="281">
        <v>1.4999999999999999E-2</v>
      </c>
      <c r="AR147" s="281">
        <v>1.4999999999999999E-2</v>
      </c>
      <c r="AS147" s="281">
        <v>1.4999999999999999E-2</v>
      </c>
      <c r="AT147" s="281">
        <v>1.4999999999999999E-2</v>
      </c>
      <c r="AU147" s="281">
        <v>1.4999999999999999E-2</v>
      </c>
      <c r="AV147" s="281">
        <v>1.4999999999999999E-2</v>
      </c>
      <c r="AW147" s="281">
        <v>1.4999999999999999E-2</v>
      </c>
      <c r="AX147" s="281">
        <v>1.4999999999999999E-2</v>
      </c>
      <c r="AY147" s="281">
        <v>1.4999999999999999E-2</v>
      </c>
      <c r="AZ147" s="281">
        <v>1.4999999999999999E-2</v>
      </c>
      <c r="BA147" s="281">
        <v>1.4999999999999999E-2</v>
      </c>
      <c r="BB147" s="281">
        <v>1.4999999999999999E-2</v>
      </c>
      <c r="BC147" s="281">
        <v>1.4999999999999999E-2</v>
      </c>
      <c r="BD147" s="281">
        <v>1.4999999999999999E-2</v>
      </c>
      <c r="BE147" s="281">
        <v>1.4999999999999999E-2</v>
      </c>
      <c r="BF147" s="281">
        <v>1.4999999999999999E-2</v>
      </c>
      <c r="BG147" s="281">
        <v>1.4999999999999999E-2</v>
      </c>
      <c r="BH147" s="281">
        <v>1.4999999999999999E-2</v>
      </c>
      <c r="BI147" s="281">
        <v>1.4999999999999999E-2</v>
      </c>
      <c r="BJ147" s="281">
        <v>1.4999999999999999E-2</v>
      </c>
      <c r="BK147" s="281">
        <v>1.4999999999999999E-2</v>
      </c>
    </row>
    <row r="148" spans="1:63" ht="14.25" customHeight="1" x14ac:dyDescent="0.35">
      <c r="A148" s="278" t="s">
        <v>90</v>
      </c>
      <c r="B148" s="281">
        <v>1.4999999999999999E-2</v>
      </c>
      <c r="C148" s="281">
        <v>1.4999999999999999E-2</v>
      </c>
      <c r="D148" s="281">
        <v>1.4999999999999999E-2</v>
      </c>
      <c r="E148" s="281">
        <v>1.4999999999999999E-2</v>
      </c>
      <c r="F148" s="281">
        <v>1.4999999999999999E-2</v>
      </c>
      <c r="G148" s="281">
        <v>1.4999999999999999E-2</v>
      </c>
      <c r="H148" s="281">
        <v>1.4999999999999999E-2</v>
      </c>
      <c r="I148" s="281">
        <v>1.4999999999999999E-2</v>
      </c>
      <c r="J148" s="281">
        <v>1.4999999999999999E-2</v>
      </c>
      <c r="K148" s="281">
        <v>1.4999999999999999E-2</v>
      </c>
      <c r="L148" s="281">
        <v>1.4999999999999999E-2</v>
      </c>
      <c r="M148" s="281">
        <v>1.4999999999999999E-2</v>
      </c>
      <c r="N148" s="281">
        <v>1.4999999999999999E-2</v>
      </c>
      <c r="O148" s="281">
        <v>1.4999999999999999E-2</v>
      </c>
      <c r="P148" s="281">
        <v>1.4999999999999999E-2</v>
      </c>
      <c r="Q148" s="281">
        <v>1.4999999999999999E-2</v>
      </c>
      <c r="R148" s="281">
        <v>1.4999999999999999E-2</v>
      </c>
      <c r="S148" s="281">
        <v>1.4999999999999999E-2</v>
      </c>
      <c r="T148" s="281">
        <v>1.4999999999999999E-2</v>
      </c>
      <c r="U148" s="281">
        <v>1.4999999999999999E-2</v>
      </c>
      <c r="V148" s="281">
        <v>1.4999999999999999E-2</v>
      </c>
      <c r="W148" s="281">
        <v>1.4999999999999999E-2</v>
      </c>
      <c r="X148" s="281">
        <v>1.4999999999999999E-2</v>
      </c>
      <c r="Y148" s="281">
        <v>1.4999999999999999E-2</v>
      </c>
      <c r="Z148" s="281">
        <v>1.4999999999999999E-2</v>
      </c>
      <c r="AA148" s="281">
        <v>1.4999999999999999E-2</v>
      </c>
      <c r="AB148" s="281">
        <v>1.4999999999999999E-2</v>
      </c>
      <c r="AC148" s="281">
        <v>1.4999999999999999E-2</v>
      </c>
      <c r="AD148" s="281">
        <v>1.4999999999999999E-2</v>
      </c>
      <c r="AE148" s="281">
        <v>1.4999999999999999E-2</v>
      </c>
      <c r="AF148" s="281">
        <v>1.4999999999999999E-2</v>
      </c>
      <c r="AG148" s="281">
        <v>1.4999999999999999E-2</v>
      </c>
      <c r="AH148" s="281">
        <v>1.4999999999999999E-2</v>
      </c>
      <c r="AI148" s="281">
        <v>1.4999999999999999E-2</v>
      </c>
      <c r="AJ148" s="281">
        <v>1.4999999999999999E-2</v>
      </c>
      <c r="AK148" s="281">
        <v>1.4999999999999999E-2</v>
      </c>
      <c r="AL148" s="281">
        <v>1.4999999999999999E-2</v>
      </c>
      <c r="AM148" s="281">
        <v>1.4999999999999999E-2</v>
      </c>
      <c r="AN148" s="281">
        <v>1.4999999999999999E-2</v>
      </c>
      <c r="AO148" s="281">
        <v>1.4999999999999999E-2</v>
      </c>
      <c r="AP148" s="281">
        <v>1.4999999999999999E-2</v>
      </c>
      <c r="AQ148" s="281">
        <v>1.4999999999999999E-2</v>
      </c>
      <c r="AR148" s="281">
        <v>1.4999999999999999E-2</v>
      </c>
      <c r="AS148" s="281">
        <v>1.4999999999999999E-2</v>
      </c>
      <c r="AT148" s="281">
        <v>1.4999999999999999E-2</v>
      </c>
      <c r="AU148" s="281">
        <v>1.4999999999999999E-2</v>
      </c>
      <c r="AV148" s="281">
        <v>1.4999999999999999E-2</v>
      </c>
      <c r="AW148" s="281">
        <v>1.4999999999999999E-2</v>
      </c>
      <c r="AX148" s="281">
        <v>1.4999999999999999E-2</v>
      </c>
      <c r="AY148" s="281">
        <v>1.4999999999999999E-2</v>
      </c>
      <c r="AZ148" s="281">
        <v>1.4999999999999999E-2</v>
      </c>
      <c r="BA148" s="281">
        <v>1.4999999999999999E-2</v>
      </c>
      <c r="BB148" s="281">
        <v>1.4999999999999999E-2</v>
      </c>
      <c r="BC148" s="281">
        <v>1.4999999999999999E-2</v>
      </c>
      <c r="BD148" s="281">
        <v>1.4999999999999999E-2</v>
      </c>
      <c r="BE148" s="281">
        <v>1.4999999999999999E-2</v>
      </c>
      <c r="BF148" s="281">
        <v>1.4999999999999999E-2</v>
      </c>
      <c r="BG148" s="281">
        <v>1.4999999999999999E-2</v>
      </c>
      <c r="BH148" s="281">
        <v>1.4999999999999999E-2</v>
      </c>
      <c r="BI148" s="281">
        <v>1.4999999999999999E-2</v>
      </c>
      <c r="BJ148" s="281">
        <v>1.4999999999999999E-2</v>
      </c>
      <c r="BK148" s="281">
        <v>1.4999999999999999E-2</v>
      </c>
    </row>
    <row r="150" spans="1:63" ht="14.25" customHeight="1" x14ac:dyDescent="0.35">
      <c r="A150" s="143" t="s">
        <v>1460</v>
      </c>
      <c r="B150" s="2"/>
    </row>
    <row r="151" spans="1:63" ht="14.25" customHeight="1" x14ac:dyDescent="0.35">
      <c r="A151" s="34" t="s">
        <v>1462</v>
      </c>
      <c r="B151" s="2"/>
    </row>
    <row r="152" spans="1:63" ht="14.25" customHeight="1" x14ac:dyDescent="0.35">
      <c r="B152" s="34" t="s">
        <v>1462</v>
      </c>
      <c r="C152" s="52" t="s">
        <v>1463</v>
      </c>
      <c r="D152" s="52" t="s">
        <v>1464</v>
      </c>
      <c r="E152" s="52" t="s">
        <v>1465</v>
      </c>
    </row>
    <row r="153" spans="1:63" ht="14.25" customHeight="1" x14ac:dyDescent="0.35">
      <c r="A153" s="5" t="s">
        <v>671</v>
      </c>
      <c r="B153" s="66" t="s">
        <v>128</v>
      </c>
      <c r="C153" s="66" t="s">
        <v>322</v>
      </c>
      <c r="D153" s="66" t="s">
        <v>13</v>
      </c>
      <c r="E153" s="66" t="s">
        <v>13</v>
      </c>
    </row>
    <row r="154" spans="1:63" ht="14.25" customHeight="1" x14ac:dyDescent="0.35">
      <c r="A154" s="42" t="s">
        <v>228</v>
      </c>
      <c r="B154" s="40">
        <v>1</v>
      </c>
      <c r="C154" s="54">
        <v>2015</v>
      </c>
      <c r="D154" s="283">
        <v>-0.1</v>
      </c>
      <c r="E154" s="283">
        <v>0.1</v>
      </c>
    </row>
    <row r="155" spans="1:63" ht="14.25" customHeight="1" x14ac:dyDescent="0.35">
      <c r="A155" s="42" t="s">
        <v>95</v>
      </c>
      <c r="B155" s="40">
        <v>1</v>
      </c>
      <c r="C155" s="54">
        <v>2015</v>
      </c>
      <c r="D155" s="283">
        <v>-0.1</v>
      </c>
      <c r="E155" s="283">
        <v>0.1</v>
      </c>
    </row>
    <row r="156" spans="1:63" ht="14.25" customHeight="1" x14ac:dyDescent="0.35">
      <c r="A156" s="42" t="s">
        <v>96</v>
      </c>
      <c r="B156" s="40">
        <v>1</v>
      </c>
      <c r="C156" s="54">
        <v>2015</v>
      </c>
      <c r="D156" s="283">
        <v>-0.1</v>
      </c>
      <c r="E156" s="283">
        <v>0.1</v>
      </c>
    </row>
    <row r="157" spans="1:63" ht="14.25" customHeight="1" x14ac:dyDescent="0.35">
      <c r="A157" s="42" t="s">
        <v>97</v>
      </c>
      <c r="B157" s="40">
        <v>1</v>
      </c>
      <c r="C157" s="54">
        <v>2015</v>
      </c>
      <c r="D157" s="283">
        <v>-0.1</v>
      </c>
      <c r="E157" s="283">
        <v>0.1</v>
      </c>
    </row>
    <row r="158" spans="1:63" ht="14.25" customHeight="1" x14ac:dyDescent="0.35">
      <c r="A158" s="42" t="s">
        <v>98</v>
      </c>
      <c r="B158" s="40">
        <v>1</v>
      </c>
      <c r="C158" s="54">
        <v>2015</v>
      </c>
      <c r="D158" s="283">
        <v>-0.1</v>
      </c>
      <c r="E158" s="283">
        <v>0.1</v>
      </c>
    </row>
    <row r="159" spans="1:63" ht="14.25" customHeight="1" x14ac:dyDescent="0.35">
      <c r="A159" s="42" t="s">
        <v>163</v>
      </c>
      <c r="B159" s="40">
        <v>1</v>
      </c>
      <c r="C159" s="54">
        <v>2015</v>
      </c>
      <c r="D159" s="283">
        <v>-0.1</v>
      </c>
      <c r="E159" s="283">
        <v>0.1</v>
      </c>
    </row>
    <row r="160" spans="1:63" ht="14.25" customHeight="1" x14ac:dyDescent="0.35">
      <c r="A160" s="42" t="s">
        <v>100</v>
      </c>
      <c r="B160" s="40">
        <v>1</v>
      </c>
      <c r="C160" s="54">
        <v>2015</v>
      </c>
      <c r="D160" s="283">
        <v>-0.1</v>
      </c>
      <c r="E160" s="283">
        <v>0.1</v>
      </c>
    </row>
    <row r="161" spans="1:5" ht="14.25" customHeight="1" x14ac:dyDescent="0.35">
      <c r="A161" s="42" t="s">
        <v>101</v>
      </c>
      <c r="B161" s="40">
        <v>1</v>
      </c>
      <c r="C161" s="54">
        <v>2015</v>
      </c>
      <c r="D161" s="283">
        <v>-0.1</v>
      </c>
      <c r="E161" s="283">
        <v>0.1</v>
      </c>
    </row>
    <row r="162" spans="1:5" ht="14.25" customHeight="1" x14ac:dyDescent="0.35">
      <c r="A162" s="42" t="s">
        <v>102</v>
      </c>
      <c r="B162" s="40">
        <v>1</v>
      </c>
      <c r="C162" s="54">
        <v>2015</v>
      </c>
      <c r="D162" s="283">
        <v>-0.1</v>
      </c>
      <c r="E162" s="283">
        <v>0.1</v>
      </c>
    </row>
    <row r="163" spans="1:5" ht="14.25" customHeight="1" x14ac:dyDescent="0.35">
      <c r="A163" s="42" t="s">
        <v>103</v>
      </c>
      <c r="B163" s="40">
        <v>1</v>
      </c>
      <c r="C163" s="54">
        <v>2015</v>
      </c>
      <c r="D163" s="283">
        <v>-0.1</v>
      </c>
      <c r="E163" s="283">
        <v>0.1</v>
      </c>
    </row>
    <row r="164" spans="1:5" ht="14.25" customHeight="1" x14ac:dyDescent="0.35">
      <c r="A164" s="42" t="s">
        <v>104</v>
      </c>
      <c r="B164" s="40">
        <v>1</v>
      </c>
      <c r="C164" s="54">
        <v>2015</v>
      </c>
      <c r="D164" s="283">
        <v>-0.1</v>
      </c>
      <c r="E164" s="283">
        <v>0.1</v>
      </c>
    </row>
    <row r="165" spans="1:5" ht="14.25" customHeight="1" x14ac:dyDescent="0.35">
      <c r="A165" s="42" t="s">
        <v>105</v>
      </c>
      <c r="B165" s="40">
        <v>1</v>
      </c>
      <c r="C165" s="54">
        <v>2015</v>
      </c>
      <c r="D165" s="283">
        <v>-0.1</v>
      </c>
      <c r="E165" s="283">
        <v>0.1</v>
      </c>
    </row>
    <row r="166" spans="1:5" ht="14.25" customHeight="1" x14ac:dyDescent="0.35">
      <c r="A166" s="42" t="s">
        <v>106</v>
      </c>
      <c r="B166" s="40">
        <v>1</v>
      </c>
      <c r="C166" s="54">
        <v>2015</v>
      </c>
      <c r="D166" s="283">
        <v>-0.1</v>
      </c>
      <c r="E166" s="283">
        <v>0.1</v>
      </c>
    </row>
    <row r="167" spans="1:5" ht="14.25" customHeight="1" x14ac:dyDescent="0.35">
      <c r="A167" s="42" t="s">
        <v>107</v>
      </c>
      <c r="B167" s="40">
        <v>1</v>
      </c>
      <c r="C167" s="54">
        <v>2015</v>
      </c>
      <c r="D167" s="283">
        <v>-0.1</v>
      </c>
      <c r="E167" s="283">
        <v>0.1</v>
      </c>
    </row>
    <row r="168" spans="1:5" ht="14.25" customHeight="1" x14ac:dyDescent="0.35">
      <c r="A168" s="42" t="s">
        <v>108</v>
      </c>
      <c r="B168" s="40">
        <v>1</v>
      </c>
      <c r="C168" s="54">
        <v>2015</v>
      </c>
      <c r="D168" s="283">
        <v>-0.1</v>
      </c>
      <c r="E168" s="283">
        <v>0.1</v>
      </c>
    </row>
    <row r="169" spans="1:5" ht="14.25" customHeight="1" x14ac:dyDescent="0.35">
      <c r="A169" s="42" t="s">
        <v>109</v>
      </c>
      <c r="B169" s="40">
        <v>1</v>
      </c>
      <c r="C169" s="54">
        <v>2015</v>
      </c>
      <c r="D169" s="283">
        <v>-0.1</v>
      </c>
      <c r="E169" s="283">
        <v>0.1</v>
      </c>
    </row>
    <row r="170" spans="1:5" ht="14.25" customHeight="1" x14ac:dyDescent="0.35">
      <c r="A170" s="42" t="s">
        <v>229</v>
      </c>
      <c r="B170" s="40">
        <v>1</v>
      </c>
      <c r="C170" s="54">
        <v>2015</v>
      </c>
      <c r="D170" s="283">
        <v>-0.1</v>
      </c>
      <c r="E170" s="283">
        <v>0.1</v>
      </c>
    </row>
    <row r="171" spans="1:5" ht="14.25" customHeight="1" x14ac:dyDescent="0.35">
      <c r="A171" s="42" t="s">
        <v>111</v>
      </c>
      <c r="B171" s="40">
        <v>1</v>
      </c>
      <c r="C171" s="54">
        <v>2015</v>
      </c>
      <c r="D171" s="283">
        <v>-0.1</v>
      </c>
      <c r="E171" s="283">
        <v>0.1</v>
      </c>
    </row>
    <row r="172" spans="1:5" ht="14.25" customHeight="1" x14ac:dyDescent="0.35">
      <c r="A172" s="42" t="s">
        <v>112</v>
      </c>
      <c r="B172" s="40">
        <v>1</v>
      </c>
      <c r="C172" s="54">
        <v>2015</v>
      </c>
      <c r="D172" s="283">
        <v>-0.1</v>
      </c>
      <c r="E172" s="283">
        <v>0.1</v>
      </c>
    </row>
    <row r="173" spans="1:5" ht="14.25" customHeight="1" x14ac:dyDescent="0.35">
      <c r="A173" s="42" t="s">
        <v>113</v>
      </c>
      <c r="B173" s="40">
        <v>1</v>
      </c>
      <c r="C173" s="54">
        <v>2015</v>
      </c>
      <c r="D173" s="283">
        <v>-0.1</v>
      </c>
      <c r="E173" s="283">
        <v>0.1</v>
      </c>
    </row>
    <row r="174" spans="1:5" ht="14.25" customHeight="1" x14ac:dyDescent="0.35">
      <c r="A174" s="42" t="s">
        <v>114</v>
      </c>
      <c r="B174" s="40">
        <v>1</v>
      </c>
      <c r="C174" s="54">
        <v>2015</v>
      </c>
      <c r="D174" s="283">
        <v>-0.1</v>
      </c>
      <c r="E174" s="283">
        <v>0.1</v>
      </c>
    </row>
    <row r="175" spans="1:5" ht="14.25" customHeight="1" x14ac:dyDescent="0.35">
      <c r="A175" s="42" t="s">
        <v>115</v>
      </c>
      <c r="B175" s="40">
        <v>1</v>
      </c>
      <c r="C175" s="54">
        <v>2015</v>
      </c>
      <c r="D175" s="283">
        <v>-0.1</v>
      </c>
      <c r="E175" s="283">
        <v>0.1</v>
      </c>
    </row>
    <row r="176" spans="1:5" ht="14.25" customHeight="1" x14ac:dyDescent="0.35">
      <c r="A176" s="42" t="s">
        <v>116</v>
      </c>
      <c r="B176" s="40">
        <v>1</v>
      </c>
      <c r="C176" s="54">
        <v>2015</v>
      </c>
      <c r="D176" s="283">
        <v>-0.1</v>
      </c>
      <c r="E176" s="283">
        <v>0.1</v>
      </c>
    </row>
    <row r="177" spans="1:63" ht="14.25" customHeight="1" x14ac:dyDescent="0.35">
      <c r="A177" s="42" t="s">
        <v>117</v>
      </c>
      <c r="B177" s="40">
        <v>1</v>
      </c>
      <c r="C177" s="54">
        <v>2015</v>
      </c>
      <c r="D177" s="283">
        <v>-0.1</v>
      </c>
      <c r="E177" s="283">
        <v>0.1</v>
      </c>
    </row>
    <row r="178" spans="1:63" ht="14.25" customHeight="1" x14ac:dyDescent="0.35">
      <c r="A178" s="42" t="s">
        <v>118</v>
      </c>
      <c r="B178" s="40">
        <v>1</v>
      </c>
      <c r="C178" s="54">
        <v>2015</v>
      </c>
      <c r="D178" s="283">
        <v>-0.1</v>
      </c>
      <c r="E178" s="283">
        <v>0.1</v>
      </c>
    </row>
    <row r="179" spans="1:63" ht="14.25" customHeight="1" x14ac:dyDescent="0.35">
      <c r="A179" s="42" t="s">
        <v>119</v>
      </c>
      <c r="B179" s="40">
        <v>1</v>
      </c>
      <c r="C179" s="54">
        <v>2015</v>
      </c>
      <c r="D179" s="283">
        <v>-0.1</v>
      </c>
      <c r="E179" s="283">
        <v>0.1</v>
      </c>
    </row>
    <row r="180" spans="1:63" ht="14.25" customHeight="1" x14ac:dyDescent="0.35">
      <c r="A180" s="42" t="s">
        <v>120</v>
      </c>
      <c r="B180" s="40">
        <v>1</v>
      </c>
      <c r="C180" s="54">
        <v>2015</v>
      </c>
      <c r="D180" s="283">
        <v>-0.1</v>
      </c>
      <c r="E180" s="283">
        <v>0.1</v>
      </c>
    </row>
    <row r="181" spans="1:63" ht="14.25" customHeight="1" x14ac:dyDescent="0.35">
      <c r="A181" s="42" t="s">
        <v>83</v>
      </c>
      <c r="B181" s="40">
        <v>1</v>
      </c>
      <c r="C181" s="54">
        <v>2015</v>
      </c>
      <c r="D181" s="283">
        <v>-0.1</v>
      </c>
      <c r="E181" s="283">
        <v>0.1</v>
      </c>
    </row>
    <row r="182" spans="1:63" ht="14.25" customHeight="1" x14ac:dyDescent="0.35">
      <c r="A182" s="42" t="s">
        <v>144</v>
      </c>
      <c r="B182" s="40">
        <v>1</v>
      </c>
      <c r="C182" s="54">
        <v>2015</v>
      </c>
      <c r="D182" s="283">
        <v>-0.1</v>
      </c>
      <c r="E182" s="283">
        <v>0.1</v>
      </c>
    </row>
    <row r="183" spans="1:63" ht="14.25" customHeight="1" x14ac:dyDescent="0.35">
      <c r="A183" s="42" t="s">
        <v>164</v>
      </c>
      <c r="B183" s="40">
        <v>1</v>
      </c>
      <c r="C183" s="54">
        <v>2015</v>
      </c>
      <c r="D183" s="283">
        <v>-0.1</v>
      </c>
      <c r="E183" s="283">
        <v>0.1</v>
      </c>
    </row>
    <row r="184" spans="1:63" ht="14.25" customHeight="1" x14ac:dyDescent="0.35">
      <c r="A184" s="42" t="s">
        <v>145</v>
      </c>
      <c r="B184" s="40">
        <v>1</v>
      </c>
      <c r="C184" s="54">
        <v>2015</v>
      </c>
      <c r="D184" s="283">
        <v>-0.1</v>
      </c>
      <c r="E184" s="283">
        <v>0.1</v>
      </c>
    </row>
    <row r="185" spans="1:63" ht="14.25" customHeight="1" x14ac:dyDescent="0.35">
      <c r="A185" s="42" t="s">
        <v>87</v>
      </c>
      <c r="B185" s="40">
        <v>1</v>
      </c>
      <c r="C185" s="54">
        <v>2015</v>
      </c>
      <c r="D185" s="283">
        <v>-0.1</v>
      </c>
      <c r="E185" s="283">
        <v>0.1</v>
      </c>
    </row>
    <row r="186" spans="1:63" ht="14.25" customHeight="1" x14ac:dyDescent="0.35">
      <c r="A186" s="42" t="s">
        <v>146</v>
      </c>
      <c r="B186" s="40">
        <v>1</v>
      </c>
      <c r="C186" s="54">
        <v>2015</v>
      </c>
      <c r="D186" s="283">
        <v>-0.1</v>
      </c>
      <c r="E186" s="283">
        <v>0.1</v>
      </c>
    </row>
    <row r="187" spans="1:63" ht="14.25" customHeight="1" x14ac:dyDescent="0.35">
      <c r="A187" s="42" t="s">
        <v>89</v>
      </c>
      <c r="B187" s="40">
        <v>1</v>
      </c>
      <c r="C187" s="54">
        <v>2015</v>
      </c>
      <c r="D187" s="283">
        <v>-0.1</v>
      </c>
      <c r="E187" s="283">
        <v>0.1</v>
      </c>
    </row>
    <row r="188" spans="1:63" ht="14.25" customHeight="1" x14ac:dyDescent="0.35">
      <c r="A188" s="42" t="s">
        <v>90</v>
      </c>
      <c r="B188" s="40">
        <v>1</v>
      </c>
      <c r="C188" s="54">
        <v>2015</v>
      </c>
      <c r="D188" s="283">
        <v>-0.1</v>
      </c>
      <c r="E188" s="283">
        <v>0.1</v>
      </c>
    </row>
    <row r="189" spans="1:63" ht="14.25" customHeight="1" x14ac:dyDescent="0.35">
      <c r="A189" s="44"/>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row>
    <row r="190" spans="1:63" ht="14.25" customHeight="1" x14ac:dyDescent="0.35">
      <c r="A190" s="143" t="s">
        <v>779</v>
      </c>
      <c r="B190" s="2"/>
    </row>
    <row r="191" spans="1:63" ht="14.25" customHeight="1" x14ac:dyDescent="0.35">
      <c r="A191" s="34" t="s">
        <v>1296</v>
      </c>
      <c r="B191" s="2"/>
    </row>
    <row r="192" spans="1:63" ht="14.25" customHeight="1" x14ac:dyDescent="0.35">
      <c r="A192" s="38" t="s">
        <v>1211</v>
      </c>
      <c r="B192" s="9" t="s">
        <v>169</v>
      </c>
    </row>
    <row r="193" spans="1:63" ht="14.25" customHeight="1" x14ac:dyDescent="0.35">
      <c r="A193" s="271">
        <v>0</v>
      </c>
      <c r="B193" s="272" t="s">
        <v>1301</v>
      </c>
    </row>
    <row r="194" spans="1:63" ht="14.25" customHeight="1" x14ac:dyDescent="0.35">
      <c r="A194" s="271">
        <v>1</v>
      </c>
      <c r="B194" s="272" t="s">
        <v>1466</v>
      </c>
    </row>
    <row r="195" spans="1:63" ht="14.25" customHeight="1" x14ac:dyDescent="0.35">
      <c r="A195" s="39" t="s">
        <v>170</v>
      </c>
      <c r="B195" s="40">
        <v>1</v>
      </c>
    </row>
    <row r="196" spans="1:63" ht="14.25" customHeight="1" x14ac:dyDescent="0.35">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row>
    <row r="197" spans="1:63" ht="14.25" customHeight="1" x14ac:dyDescent="0.35">
      <c r="A197" s="14" t="s">
        <v>649</v>
      </c>
      <c r="B197" s="279" t="s">
        <v>231</v>
      </c>
    </row>
    <row r="198" spans="1:63" ht="14.25" customHeight="1" x14ac:dyDescent="0.35">
      <c r="A198" s="74" t="s">
        <v>380</v>
      </c>
      <c r="B198" s="273" t="s">
        <v>12</v>
      </c>
    </row>
    <row r="199" spans="1:63" ht="14.25" customHeight="1" x14ac:dyDescent="0.35">
      <c r="A199" s="74" t="s">
        <v>127</v>
      </c>
      <c r="B199" s="93">
        <v>2015</v>
      </c>
    </row>
    <row r="201" spans="1:63" ht="14.25" customHeight="1" x14ac:dyDescent="0.35">
      <c r="A201" s="14" t="s">
        <v>649</v>
      </c>
      <c r="B201" s="279" t="s">
        <v>1297</v>
      </c>
    </row>
    <row r="202" spans="1:63" ht="14.25" customHeight="1" x14ac:dyDescent="0.35">
      <c r="A202" s="74" t="s">
        <v>380</v>
      </c>
      <c r="B202" s="273" t="s">
        <v>12</v>
      </c>
    </row>
    <row r="203" spans="1:63" ht="14.25" customHeight="1" x14ac:dyDescent="0.35">
      <c r="A203" s="74" t="s">
        <v>127</v>
      </c>
      <c r="B203" s="93">
        <v>2050</v>
      </c>
    </row>
    <row r="204" spans="1:63" ht="14.25" customHeight="1" x14ac:dyDescent="0.35">
      <c r="A204" s="118"/>
    </row>
    <row r="205" spans="1:63" ht="14.25" customHeight="1" x14ac:dyDescent="0.35">
      <c r="A205" s="94" t="s">
        <v>1222</v>
      </c>
      <c r="B205" t="s">
        <v>1306</v>
      </c>
    </row>
    <row r="206" spans="1:63" ht="14.25" customHeight="1" x14ac:dyDescent="0.35">
      <c r="A206" s="39" t="s">
        <v>407</v>
      </c>
      <c r="B206" s="97" t="s">
        <v>175</v>
      </c>
      <c r="C206" s="97" t="s">
        <v>176</v>
      </c>
      <c r="D206" s="97" t="s">
        <v>177</v>
      </c>
      <c r="E206" s="97" t="s">
        <v>178</v>
      </c>
      <c r="F206" s="97" t="s">
        <v>179</v>
      </c>
      <c r="G206" s="97" t="s">
        <v>180</v>
      </c>
      <c r="H206" s="97" t="s">
        <v>181</v>
      </c>
      <c r="I206" s="97" t="s">
        <v>182</v>
      </c>
      <c r="J206" s="97" t="s">
        <v>1671</v>
      </c>
      <c r="K206" s="97" t="s">
        <v>1672</v>
      </c>
      <c r="L206" s="97" t="s">
        <v>1673</v>
      </c>
      <c r="M206" s="97" t="s">
        <v>1674</v>
      </c>
      <c r="N206" s="97" t="s">
        <v>1675</v>
      </c>
      <c r="O206" s="97" t="s">
        <v>1676</v>
      </c>
      <c r="P206" s="97" t="s">
        <v>1677</v>
      </c>
      <c r="Q206" s="97" t="s">
        <v>1678</v>
      </c>
      <c r="R206" s="97" t="s">
        <v>183</v>
      </c>
      <c r="S206" s="97" t="s">
        <v>184</v>
      </c>
      <c r="T206" s="97" t="s">
        <v>185</v>
      </c>
      <c r="U206" s="97" t="s">
        <v>186</v>
      </c>
      <c r="V206" s="97" t="s">
        <v>187</v>
      </c>
      <c r="W206" s="97" t="s">
        <v>188</v>
      </c>
      <c r="X206" s="97" t="s">
        <v>189</v>
      </c>
      <c r="Y206" s="97" t="s">
        <v>190</v>
      </c>
      <c r="Z206" s="97" t="s">
        <v>1679</v>
      </c>
      <c r="AA206" s="97" t="s">
        <v>191</v>
      </c>
      <c r="AB206" s="97" t="s">
        <v>192</v>
      </c>
      <c r="AC206" s="97" t="s">
        <v>193</v>
      </c>
      <c r="AD206" s="97" t="s">
        <v>194</v>
      </c>
      <c r="AE206" s="97" t="s">
        <v>195</v>
      </c>
      <c r="AF206" s="97" t="s">
        <v>196</v>
      </c>
      <c r="AG206" s="97" t="s">
        <v>197</v>
      </c>
      <c r="AH206" s="97" t="s">
        <v>198</v>
      </c>
      <c r="AI206" s="97" t="s">
        <v>199</v>
      </c>
      <c r="AJ206" s="97" t="s">
        <v>200</v>
      </c>
      <c r="AK206" s="97" t="s">
        <v>201</v>
      </c>
      <c r="AL206" s="97" t="s">
        <v>202</v>
      </c>
      <c r="AM206" s="97" t="s">
        <v>203</v>
      </c>
      <c r="AN206" s="97" t="s">
        <v>204</v>
      </c>
      <c r="AO206" s="97" t="s">
        <v>205</v>
      </c>
      <c r="AP206" s="97" t="s">
        <v>206</v>
      </c>
      <c r="AQ206" s="97" t="s">
        <v>207</v>
      </c>
      <c r="AR206" s="97" t="s">
        <v>208</v>
      </c>
      <c r="AS206" s="97" t="s">
        <v>209</v>
      </c>
      <c r="AT206" s="97" t="s">
        <v>210</v>
      </c>
      <c r="AU206" s="97" t="s">
        <v>211</v>
      </c>
      <c r="AV206" s="97" t="s">
        <v>212</v>
      </c>
      <c r="AW206" s="97" t="s">
        <v>213</v>
      </c>
      <c r="AX206" s="97" t="s">
        <v>214</v>
      </c>
      <c r="AY206" s="97" t="s">
        <v>215</v>
      </c>
      <c r="AZ206" s="97" t="s">
        <v>216</v>
      </c>
      <c r="BA206" s="97" t="s">
        <v>217</v>
      </c>
      <c r="BB206" s="97" t="s">
        <v>218</v>
      </c>
      <c r="BC206" s="97" t="s">
        <v>219</v>
      </c>
      <c r="BD206" s="97" t="s">
        <v>220</v>
      </c>
      <c r="BE206" s="97" t="s">
        <v>221</v>
      </c>
      <c r="BF206" s="97" t="s">
        <v>222</v>
      </c>
      <c r="BG206" s="97" t="s">
        <v>223</v>
      </c>
      <c r="BH206" s="97" t="s">
        <v>224</v>
      </c>
      <c r="BI206" s="97" t="s">
        <v>225</v>
      </c>
      <c r="BJ206" s="97" t="s">
        <v>226</v>
      </c>
      <c r="BK206" s="97" t="s">
        <v>227</v>
      </c>
    </row>
    <row r="207" spans="1:63" ht="14.25" customHeight="1" x14ac:dyDescent="0.35">
      <c r="A207" s="45" t="s">
        <v>228</v>
      </c>
      <c r="B207" s="544">
        <v>-0.22397062869346229</v>
      </c>
      <c r="C207" s="544">
        <v>-0.22397062869346229</v>
      </c>
      <c r="D207" s="544">
        <v>-0.27872670044356207</v>
      </c>
      <c r="E207" s="544">
        <v>-0.36437980769249512</v>
      </c>
      <c r="F207" s="544">
        <v>-7.1648312723937013E-2</v>
      </c>
      <c r="G207" s="544">
        <v>-7.1648312723937013E-2</v>
      </c>
      <c r="H207" s="544">
        <v>-7.1648312723937013E-2</v>
      </c>
      <c r="I207" s="544">
        <v>-4.5333360039806925E-2</v>
      </c>
      <c r="J207" s="544">
        <v>0</v>
      </c>
      <c r="K207" s="544">
        <v>-7.1648312723937013E-2</v>
      </c>
      <c r="L207" s="544">
        <v>-7.1648312723937013E-2</v>
      </c>
      <c r="M207" s="544">
        <v>-4.5333360039806814E-2</v>
      </c>
      <c r="N207" s="544">
        <v>-7.1648312723937013E-2</v>
      </c>
      <c r="O207" s="544">
        <v>-7.1648312723936902E-2</v>
      </c>
      <c r="P207" s="544">
        <v>-7.1648312723937013E-2</v>
      </c>
      <c r="Q207" s="544">
        <v>-7.1648312723936902E-2</v>
      </c>
      <c r="R207" s="544">
        <v>-7.1648312723937013E-2</v>
      </c>
      <c r="S207" s="544">
        <v>-8.1978837024086371E-2</v>
      </c>
      <c r="T207" s="544">
        <v>-0.14011805210188266</v>
      </c>
      <c r="U207" s="544">
        <v>-0.21865921787709497</v>
      </c>
      <c r="V207" s="544">
        <v>-0.21865921787709486</v>
      </c>
      <c r="W207" s="544">
        <v>-5.7331798829091563E-2</v>
      </c>
      <c r="X207" s="544">
        <v>-8.8756335014057886E-2</v>
      </c>
      <c r="Y207" s="544">
        <v>-5.1644724781941487E-2</v>
      </c>
      <c r="Z207" s="544">
        <v>0</v>
      </c>
      <c r="AA207" s="544">
        <v>-9.4135698037145055E-2</v>
      </c>
      <c r="AB207" s="544">
        <v>-5.1114964258884732E-2</v>
      </c>
      <c r="AC207" s="544">
        <v>-0.19396615171519704</v>
      </c>
      <c r="AD207" s="544">
        <v>-0.21876841913775569</v>
      </c>
      <c r="AE207" s="544">
        <v>-9.082119190979665E-2</v>
      </c>
      <c r="AF207" s="544">
        <v>-0.14776693010587394</v>
      </c>
      <c r="AG207" s="544">
        <v>-7.7925313570075261E-2</v>
      </c>
      <c r="AH207" s="544">
        <v>-7.792531357007515E-2</v>
      </c>
      <c r="AI207" s="544">
        <v>0</v>
      </c>
      <c r="AJ207" s="544">
        <v>-7.7925313570075261E-2</v>
      </c>
      <c r="AK207" s="544">
        <v>-7.7925313570075261E-2</v>
      </c>
      <c r="AL207" s="544">
        <v>-7.7925313570075261E-2</v>
      </c>
      <c r="AM207" s="544">
        <v>-7.7925313570075261E-2</v>
      </c>
      <c r="AN207" s="544">
        <v>0</v>
      </c>
      <c r="AO207" s="544">
        <v>-7.7925313570075372E-2</v>
      </c>
      <c r="AP207" s="544">
        <v>-7.7925313570075261E-2</v>
      </c>
      <c r="AQ207" s="544">
        <v>-7.7925313570075261E-2</v>
      </c>
      <c r="AR207" s="544">
        <v>-7.792531357007515E-2</v>
      </c>
      <c r="AS207" s="544">
        <v>-5.1450242836228122E-2</v>
      </c>
      <c r="AT207" s="544">
        <v>-4.9045991698682512E-2</v>
      </c>
      <c r="AU207" s="544">
        <v>-9.2125433714285498E-2</v>
      </c>
      <c r="AV207" s="544">
        <v>-0.24239973387590152</v>
      </c>
      <c r="AW207" s="544">
        <v>-0.24239973387590152</v>
      </c>
      <c r="AX207" s="544">
        <v>-0.24239973387590152</v>
      </c>
      <c r="AY207" s="544">
        <v>-0.18021836246596434</v>
      </c>
      <c r="AZ207" s="544">
        <v>-0.18021836246596434</v>
      </c>
      <c r="BA207" s="544">
        <v>-0.13994300203156629</v>
      </c>
      <c r="BB207" s="544">
        <v>-0.33269859686021019</v>
      </c>
      <c r="BC207" s="544">
        <v>-0.22498289259417825</v>
      </c>
      <c r="BD207" s="544">
        <v>-4.3527524526343453E-2</v>
      </c>
      <c r="BE207" s="544">
        <v>-0.24336890444533865</v>
      </c>
      <c r="BF207" s="544">
        <v>-0.15647180678193029</v>
      </c>
      <c r="BG207" s="544">
        <v>-9.9208683195429637E-2</v>
      </c>
      <c r="BH207" s="544">
        <v>-0.12828618298472771</v>
      </c>
      <c r="BI207" s="544">
        <v>-0.17357958883776636</v>
      </c>
      <c r="BJ207" s="544">
        <v>-0.19801194873733785</v>
      </c>
      <c r="BK207" s="544">
        <v>-0.50738076357605244</v>
      </c>
    </row>
    <row r="208" spans="1:63" ht="14.25" customHeight="1" x14ac:dyDescent="0.35">
      <c r="A208" s="41" t="s">
        <v>95</v>
      </c>
      <c r="B208" s="544">
        <v>-8.1814045674419078E-2</v>
      </c>
      <c r="C208" s="544">
        <v>-8.1814045674419078E-2</v>
      </c>
      <c r="D208" s="544">
        <v>-0.14984153461217664</v>
      </c>
      <c r="E208" s="544">
        <v>-0.22229999999999994</v>
      </c>
      <c r="F208" s="544">
        <v>-2.2097791430895852E-2</v>
      </c>
      <c r="G208" s="544">
        <v>-2.2097791430895852E-2</v>
      </c>
      <c r="H208" s="544">
        <v>-2.2097791430895852E-2</v>
      </c>
      <c r="I208" s="544">
        <v>0</v>
      </c>
      <c r="J208" s="544">
        <v>0</v>
      </c>
      <c r="K208" s="544">
        <v>-2.2097791430895852E-2</v>
      </c>
      <c r="L208" s="544">
        <v>-2.2097791430895852E-2</v>
      </c>
      <c r="M208" s="544">
        <v>0</v>
      </c>
      <c r="N208" s="544">
        <v>-2.2097791430895852E-2</v>
      </c>
      <c r="O208" s="544">
        <v>-2.2097791430895852E-2</v>
      </c>
      <c r="P208" s="544">
        <v>-2.2097791430895852E-2</v>
      </c>
      <c r="Q208" s="544">
        <v>-2.2097791430895852E-2</v>
      </c>
      <c r="R208" s="544">
        <v>-2.2097791430895741E-2</v>
      </c>
      <c r="S208" s="544">
        <v>-2.927984175935916E-2</v>
      </c>
      <c r="T208" s="544">
        <v>-7.8358652708935828E-2</v>
      </c>
      <c r="U208" s="544">
        <v>-0.31285006029746731</v>
      </c>
      <c r="V208" s="544">
        <v>-0.31285006029746731</v>
      </c>
      <c r="W208" s="544">
        <v>-7.9198485054084555E-2</v>
      </c>
      <c r="X208" s="544">
        <v>-1.8831922269789803E-2</v>
      </c>
      <c r="Y208" s="544">
        <v>-1.4676614164323976E-2</v>
      </c>
      <c r="Z208" s="544">
        <v>0</v>
      </c>
      <c r="AA208" s="544">
        <v>-3.7966794650279634E-2</v>
      </c>
      <c r="AB208" s="544">
        <v>-7.3443670051560828E-2</v>
      </c>
      <c r="AC208" s="544">
        <v>-0.13391814357437903</v>
      </c>
      <c r="AD208" s="544">
        <v>-0.16449197860960796</v>
      </c>
      <c r="AE208" s="544">
        <v>-2.1595189068539078E-2</v>
      </c>
      <c r="AF208" s="544">
        <v>-9.2661676452551189E-2</v>
      </c>
      <c r="AG208" s="544">
        <v>-0.10137449099044216</v>
      </c>
      <c r="AH208" s="544">
        <v>-0.10137449099044193</v>
      </c>
      <c r="AI208" s="544">
        <v>-0.10137449099044216</v>
      </c>
      <c r="AJ208" s="544">
        <v>-0.10137449099044216</v>
      </c>
      <c r="AK208" s="544">
        <v>-0.10137449099044216</v>
      </c>
      <c r="AL208" s="544">
        <v>-0.10137449099044216</v>
      </c>
      <c r="AM208" s="544">
        <v>-0.10137449099044216</v>
      </c>
      <c r="AN208" s="544">
        <v>0</v>
      </c>
      <c r="AO208" s="544">
        <v>-0.10137449099044227</v>
      </c>
      <c r="AP208" s="544">
        <v>-0.10137449099044216</v>
      </c>
      <c r="AQ208" s="544">
        <v>-0.10137449099044216</v>
      </c>
      <c r="AR208" s="544">
        <v>-0.10137449099044193</v>
      </c>
      <c r="AS208" s="544">
        <v>0</v>
      </c>
      <c r="AT208" s="544">
        <v>0</v>
      </c>
      <c r="AU208" s="544">
        <v>-9.2563154567097294E-2</v>
      </c>
      <c r="AV208" s="544">
        <v>-9.1628118087653143E-2</v>
      </c>
      <c r="AW208" s="544">
        <v>-9.1628118087653143E-2</v>
      </c>
      <c r="AX208" s="544">
        <v>-9.1628118087653143E-2</v>
      </c>
      <c r="AY208" s="544">
        <v>-0.13965624999999782</v>
      </c>
      <c r="AZ208" s="544">
        <v>-0.13965624999999782</v>
      </c>
      <c r="BA208" s="544">
        <v>-9.7896810850439664E-2</v>
      </c>
      <c r="BB208" s="544">
        <v>-0.11828022346696987</v>
      </c>
      <c r="BC208" s="544">
        <v>-0.16249857958829383</v>
      </c>
      <c r="BD208" s="544">
        <v>0</v>
      </c>
      <c r="BE208" s="544">
        <v>-0.12767691063423559</v>
      </c>
      <c r="BF208" s="544">
        <v>-8.8403214873801539E-2</v>
      </c>
      <c r="BG208" s="544">
        <v>-8.8283673457340894E-2</v>
      </c>
      <c r="BH208" s="544">
        <v>0</v>
      </c>
      <c r="BI208" s="544">
        <v>-6.5892426212145527E-2</v>
      </c>
      <c r="BJ208" s="544">
        <v>-0.15701896585073705</v>
      </c>
      <c r="BK208" s="544">
        <v>-0.58546413778199091</v>
      </c>
    </row>
    <row r="209" spans="1:63" ht="14.25" customHeight="1" x14ac:dyDescent="0.35">
      <c r="A209" s="41" t="s">
        <v>96</v>
      </c>
      <c r="B209" s="544">
        <v>-0.15690123897182806</v>
      </c>
      <c r="C209" s="544">
        <v>-0.15690123897182806</v>
      </c>
      <c r="D209" s="544">
        <v>-0.22629257072759312</v>
      </c>
      <c r="E209" s="544">
        <v>-0.28992608695652178</v>
      </c>
      <c r="F209" s="544">
        <v>-8.9992244108117792E-2</v>
      </c>
      <c r="G209" s="544">
        <v>-8.9992244108117792E-2</v>
      </c>
      <c r="H209" s="544">
        <v>-8.9992244108117792E-2</v>
      </c>
      <c r="I209" s="544">
        <v>-6.4197266443187462E-2</v>
      </c>
      <c r="J209" s="544">
        <v>0</v>
      </c>
      <c r="K209" s="544">
        <v>-8.9992244108117792E-2</v>
      </c>
      <c r="L209" s="544">
        <v>-8.9992244108117792E-2</v>
      </c>
      <c r="M209" s="544">
        <v>0</v>
      </c>
      <c r="N209" s="544">
        <v>-8.9992244108117792E-2</v>
      </c>
      <c r="O209" s="544">
        <v>-8.9992244108117792E-2</v>
      </c>
      <c r="P209" s="544">
        <v>-8.9992244108117792E-2</v>
      </c>
      <c r="Q209" s="544">
        <v>-8.9992244108117792E-2</v>
      </c>
      <c r="R209" s="544">
        <v>-8.999224410811768E-2</v>
      </c>
      <c r="S209" s="544">
        <v>-0.17029357517715071</v>
      </c>
      <c r="T209" s="544">
        <v>-0.19095048004767012</v>
      </c>
      <c r="U209" s="544">
        <v>0</v>
      </c>
      <c r="V209" s="544">
        <v>-0.28983568972104423</v>
      </c>
      <c r="W209" s="544">
        <v>-0.1351324965261671</v>
      </c>
      <c r="X209" s="544">
        <v>-9.836645837083724E-2</v>
      </c>
      <c r="Y209" s="544">
        <v>-9.7066939609568692E-2</v>
      </c>
      <c r="Z209" s="544">
        <v>0</v>
      </c>
      <c r="AA209" s="544">
        <v>-0.16704449063190763</v>
      </c>
      <c r="AB209" s="544">
        <v>-0.104617959419811</v>
      </c>
      <c r="AC209" s="544">
        <v>-0.22649237606360695</v>
      </c>
      <c r="AD209" s="544">
        <v>-0.25485815540144341</v>
      </c>
      <c r="AE209" s="544">
        <v>-0.1581136318789309</v>
      </c>
      <c r="AF209" s="544">
        <v>-0.16677746448757669</v>
      </c>
      <c r="AG209" s="544">
        <v>-0.1565413274548717</v>
      </c>
      <c r="AH209" s="544">
        <v>-0.15654132745487148</v>
      </c>
      <c r="AI209" s="544">
        <v>-0.1565413274548717</v>
      </c>
      <c r="AJ209" s="544">
        <v>-0.1565413274548717</v>
      </c>
      <c r="AK209" s="544">
        <v>-0.1565413274548717</v>
      </c>
      <c r="AL209" s="544">
        <v>-0.1565413274548717</v>
      </c>
      <c r="AM209" s="544">
        <v>-0.1565413274548717</v>
      </c>
      <c r="AN209" s="544">
        <v>0</v>
      </c>
      <c r="AO209" s="544">
        <v>-0.15654132745487181</v>
      </c>
      <c r="AP209" s="544">
        <v>-0.1565413274548717</v>
      </c>
      <c r="AQ209" s="544">
        <v>-0.1565413274548717</v>
      </c>
      <c r="AR209" s="544">
        <v>-0.15654132745487148</v>
      </c>
      <c r="AS209" s="544">
        <v>-2.4234065614609501E-2</v>
      </c>
      <c r="AT209" s="544">
        <v>-0.10616351774128396</v>
      </c>
      <c r="AU209" s="544">
        <v>-0.21656127274522141</v>
      </c>
      <c r="AV209" s="544">
        <v>-0.1468555028380617</v>
      </c>
      <c r="AW209" s="544">
        <v>-0.1468555028380617</v>
      </c>
      <c r="AX209" s="544">
        <v>-0.1468555028380617</v>
      </c>
      <c r="AY209" s="544">
        <v>-0.1478691275167785</v>
      </c>
      <c r="AZ209" s="544">
        <v>-0.1478691275167785</v>
      </c>
      <c r="BA209" s="544">
        <v>-0.15106134696599238</v>
      </c>
      <c r="BB209" s="544">
        <v>-0.34208879793782954</v>
      </c>
      <c r="BC209" s="544">
        <v>-0.1540302274201989</v>
      </c>
      <c r="BD209" s="544">
        <v>-0.10780606515526947</v>
      </c>
      <c r="BE209" s="544">
        <v>-0.22999253466837732</v>
      </c>
      <c r="BF209" s="544">
        <v>-0.17268631448974914</v>
      </c>
      <c r="BG209" s="544">
        <v>-0.19612666567440062</v>
      </c>
      <c r="BH209" s="544">
        <v>-0.20033945650643947</v>
      </c>
      <c r="BI209" s="544">
        <v>-0.27447859989868273</v>
      </c>
      <c r="BJ209" s="544">
        <v>-0.2311361224649241</v>
      </c>
      <c r="BK209" s="544">
        <v>0</v>
      </c>
    </row>
    <row r="210" spans="1:63" ht="14.25" customHeight="1" x14ac:dyDescent="0.35">
      <c r="A210" s="41" t="s">
        <v>97</v>
      </c>
      <c r="B210" s="545">
        <v>-0.15718380754807104</v>
      </c>
      <c r="C210" s="545">
        <v>-0.15718380754807104</v>
      </c>
      <c r="D210" s="545">
        <v>-0.34204708490661928</v>
      </c>
      <c r="E210" s="545">
        <v>-0.57204402746449867</v>
      </c>
      <c r="F210" s="545">
        <v>-0.24171287632185046</v>
      </c>
      <c r="G210" s="545">
        <v>-0.24171287632185046</v>
      </c>
      <c r="H210" s="545">
        <v>-0.24171287632185046</v>
      </c>
      <c r="I210" s="545">
        <v>-0.22021855466113915</v>
      </c>
      <c r="J210" s="545">
        <v>0</v>
      </c>
      <c r="K210" s="545">
        <v>-0.24171287632185046</v>
      </c>
      <c r="L210" s="545">
        <v>-0.24171287632185046</v>
      </c>
      <c r="M210" s="545">
        <v>-0.22021855466113915</v>
      </c>
      <c r="N210" s="545">
        <v>-0.24171287632185046</v>
      </c>
      <c r="O210" s="545">
        <v>-0.24171287632185046</v>
      </c>
      <c r="P210" s="545">
        <v>-0.24171287632185046</v>
      </c>
      <c r="Q210" s="545">
        <v>-0.24171287632185046</v>
      </c>
      <c r="R210" s="545">
        <v>-0.24171287632185035</v>
      </c>
      <c r="S210" s="545">
        <v>-0.27780278630851873</v>
      </c>
      <c r="T210" s="545">
        <v>-0.26931236221820753</v>
      </c>
      <c r="U210" s="545">
        <v>0</v>
      </c>
      <c r="V210" s="545">
        <v>-0.37778818897637778</v>
      </c>
      <c r="W210" s="545">
        <v>-0.24396011261224548</v>
      </c>
      <c r="X210" s="545">
        <v>-0.33979842082588918</v>
      </c>
      <c r="Y210" s="545">
        <v>-0.38347796301120418</v>
      </c>
      <c r="Z210" s="545">
        <v>0</v>
      </c>
      <c r="AA210" s="545">
        <v>-0.23099066612976937</v>
      </c>
      <c r="AB210" s="545">
        <v>-0.25083611859838284</v>
      </c>
      <c r="AC210" s="545">
        <v>-0.31155876829310436</v>
      </c>
      <c r="AD210" s="545">
        <v>-0.49871257805530989</v>
      </c>
      <c r="AE210" s="545">
        <v>-0.24749096380819446</v>
      </c>
      <c r="AF210" s="545">
        <v>-0.29370446993305632</v>
      </c>
      <c r="AG210" s="545">
        <v>-0.20137415214770216</v>
      </c>
      <c r="AH210" s="545">
        <v>-0.20137415214770193</v>
      </c>
      <c r="AI210" s="545">
        <v>0</v>
      </c>
      <c r="AJ210" s="545">
        <v>-0.20137415214770205</v>
      </c>
      <c r="AK210" s="545">
        <v>-0.20137415214770193</v>
      </c>
      <c r="AL210" s="545">
        <v>-0.20137415214770205</v>
      </c>
      <c r="AM210" s="545">
        <v>0</v>
      </c>
      <c r="AN210" s="545">
        <v>0</v>
      </c>
      <c r="AO210" s="545">
        <v>-0.20137415214770216</v>
      </c>
      <c r="AP210" s="545">
        <v>-0.20137415214770216</v>
      </c>
      <c r="AQ210" s="545">
        <v>-0.20137415214770205</v>
      </c>
      <c r="AR210" s="545">
        <v>-0.20137415214770193</v>
      </c>
      <c r="AS210" s="545">
        <v>-0.19201426160133606</v>
      </c>
      <c r="AT210" s="545">
        <v>-0.21864533745224424</v>
      </c>
      <c r="AU210" s="545">
        <v>-0.32381247174615835</v>
      </c>
      <c r="AV210" s="545">
        <v>-0.27267603260535156</v>
      </c>
      <c r="AW210" s="545">
        <v>-0.27267603260535156</v>
      </c>
      <c r="AX210" s="545">
        <v>-0.27267603260535156</v>
      </c>
      <c r="AY210" s="545">
        <v>-0.40860752718878313</v>
      </c>
      <c r="AZ210" s="545">
        <v>-0.40860752718878313</v>
      </c>
      <c r="BA210" s="545">
        <v>-0.20345091271499638</v>
      </c>
      <c r="BB210" s="545">
        <v>-0.48051260230786985</v>
      </c>
      <c r="BC210" s="545">
        <v>-0.2332159963666004</v>
      </c>
      <c r="BD210" s="545">
        <v>-0.15858253179202197</v>
      </c>
      <c r="BE210" s="545">
        <v>-0.29055683106934993</v>
      </c>
      <c r="BF210" s="545">
        <v>-0.313735144215888</v>
      </c>
      <c r="BG210" s="545">
        <v>-0.2328861205838747</v>
      </c>
      <c r="BH210" s="545">
        <v>-0.22791269022754534</v>
      </c>
      <c r="BI210" s="545">
        <v>-0.40324134980409398</v>
      </c>
      <c r="BJ210" s="545">
        <v>-0.31464557035403939</v>
      </c>
      <c r="BK210" s="545">
        <v>-0.57700748695276194</v>
      </c>
    </row>
    <row r="211" spans="1:63" ht="14.25" customHeight="1" x14ac:dyDescent="0.35">
      <c r="A211" s="41" t="s">
        <v>98</v>
      </c>
      <c r="B211" s="544">
        <v>-0.48800396814173086</v>
      </c>
      <c r="C211" s="544">
        <v>-0.48800396814173086</v>
      </c>
      <c r="D211" s="544">
        <v>-0.53185263645583269</v>
      </c>
      <c r="E211" s="544">
        <v>-0.57462083716896739</v>
      </c>
      <c r="F211" s="544">
        <v>-0.35914182386863458</v>
      </c>
      <c r="G211" s="544">
        <v>0</v>
      </c>
      <c r="H211" s="544">
        <v>0</v>
      </c>
      <c r="I211" s="544">
        <v>-0.34097612996914151</v>
      </c>
      <c r="J211" s="544">
        <v>0</v>
      </c>
      <c r="K211" s="544">
        <v>-0.35914182386863447</v>
      </c>
      <c r="L211" s="544">
        <v>-0.35914182386863458</v>
      </c>
      <c r="M211" s="544">
        <v>0</v>
      </c>
      <c r="N211" s="544">
        <v>-0.35914182386863458</v>
      </c>
      <c r="O211" s="544">
        <v>-0.35914182386863458</v>
      </c>
      <c r="P211" s="544">
        <v>-0.35914182386863458</v>
      </c>
      <c r="Q211" s="544">
        <v>-0.35914182386863458</v>
      </c>
      <c r="R211" s="544">
        <v>-0.35914182386863447</v>
      </c>
      <c r="S211" s="544">
        <v>-9.7587518908252457E-2</v>
      </c>
      <c r="T211" s="544">
        <v>0</v>
      </c>
      <c r="U211" s="544">
        <v>0</v>
      </c>
      <c r="V211" s="544">
        <v>-0.20983050847457596</v>
      </c>
      <c r="W211" s="544">
        <v>-0.1225238769012974</v>
      </c>
      <c r="X211" s="544">
        <v>-5.8433516330577584E-2</v>
      </c>
      <c r="Y211" s="544">
        <v>-5.5587138754597643E-2</v>
      </c>
      <c r="Z211" s="544">
        <v>0</v>
      </c>
      <c r="AA211" s="544">
        <v>-2.3076568715038825E-2</v>
      </c>
      <c r="AB211" s="544">
        <v>-7.7592592592592768E-2</v>
      </c>
      <c r="AC211" s="544">
        <v>0</v>
      </c>
      <c r="AD211" s="544">
        <v>0</v>
      </c>
      <c r="AE211" s="544">
        <v>-0.24515210166891899</v>
      </c>
      <c r="AF211" s="544">
        <v>0</v>
      </c>
      <c r="AG211" s="544">
        <v>0</v>
      </c>
      <c r="AH211" s="544">
        <v>0</v>
      </c>
      <c r="AI211" s="544">
        <v>0</v>
      </c>
      <c r="AJ211" s="544">
        <v>0</v>
      </c>
      <c r="AK211" s="544">
        <v>-8.3964545693653747E-2</v>
      </c>
      <c r="AL211" s="544">
        <v>-8.3964545693653747E-2</v>
      </c>
      <c r="AM211" s="544">
        <v>-8.3964545693653747E-2</v>
      </c>
      <c r="AN211" s="544">
        <v>0</v>
      </c>
      <c r="AO211" s="544">
        <v>-8.3964545693653858E-2</v>
      </c>
      <c r="AP211" s="544">
        <v>-8.3964545693653747E-2</v>
      </c>
      <c r="AQ211" s="544">
        <v>-8.3964545693653747E-2</v>
      </c>
      <c r="AR211" s="544">
        <v>-8.3964545693653525E-2</v>
      </c>
      <c r="AS211" s="544">
        <v>-2.6674469022443192E-2</v>
      </c>
      <c r="AT211" s="544">
        <v>0</v>
      </c>
      <c r="AU211" s="544">
        <v>-0.19673498755946395</v>
      </c>
      <c r="AV211" s="544">
        <v>-0.12149373376011119</v>
      </c>
      <c r="AW211" s="544">
        <v>-0.12149373376011119</v>
      </c>
      <c r="AX211" s="544">
        <v>-0.12149373376011119</v>
      </c>
      <c r="AY211" s="544">
        <v>-0.12330366807071824</v>
      </c>
      <c r="AZ211" s="544">
        <v>-0.12330366807071824</v>
      </c>
      <c r="BA211" s="544">
        <v>-0.12334543738769033</v>
      </c>
      <c r="BB211" s="544">
        <v>-0.28359696903139309</v>
      </c>
      <c r="BC211" s="544">
        <v>-0.146642519447578</v>
      </c>
      <c r="BD211" s="544">
        <v>0</v>
      </c>
      <c r="BE211" s="544">
        <v>0</v>
      </c>
      <c r="BF211" s="544">
        <v>-1.837587214851244E-2</v>
      </c>
      <c r="BG211" s="544">
        <v>-0.10466367526788056</v>
      </c>
      <c r="BH211" s="544">
        <v>0</v>
      </c>
      <c r="BI211" s="544">
        <v>-0.29425295623110026</v>
      </c>
      <c r="BJ211" s="544">
        <v>-0.13992466481541077</v>
      </c>
      <c r="BK211" s="544">
        <v>-0.74149934821964369</v>
      </c>
    </row>
    <row r="212" spans="1:63" ht="14.25" customHeight="1" x14ac:dyDescent="0.35">
      <c r="A212" s="41" t="s">
        <v>163</v>
      </c>
      <c r="B212" s="544">
        <v>-0.24397084620938658</v>
      </c>
      <c r="C212" s="544">
        <v>-0.24397084620938658</v>
      </c>
      <c r="D212" s="544">
        <v>-0.26341647025756121</v>
      </c>
      <c r="E212" s="544">
        <v>-0.34527918885702569</v>
      </c>
      <c r="F212" s="544">
        <v>-8.3345639984661379E-2</v>
      </c>
      <c r="G212" s="544">
        <v>-8.3345639984661379E-2</v>
      </c>
      <c r="H212" s="544">
        <v>-8.3345639984661379E-2</v>
      </c>
      <c r="I212" s="544">
        <v>0</v>
      </c>
      <c r="J212" s="544">
        <v>-8.3345639984661379E-2</v>
      </c>
      <c r="K212" s="544">
        <v>-8.3345639984661379E-2</v>
      </c>
      <c r="L212" s="544">
        <v>-8.3345639984661379E-2</v>
      </c>
      <c r="M212" s="544">
        <v>-5.7362258425586066E-2</v>
      </c>
      <c r="N212" s="544">
        <v>-8.3345639984661379E-2</v>
      </c>
      <c r="O212" s="544">
        <v>-8.3345639984661379E-2</v>
      </c>
      <c r="P212" s="544">
        <v>-8.3345639984661379E-2</v>
      </c>
      <c r="Q212" s="544">
        <v>-8.3345639984661379E-2</v>
      </c>
      <c r="R212" s="544">
        <v>-8.3345639984661268E-2</v>
      </c>
      <c r="S212" s="544">
        <v>-0.17779854718130328</v>
      </c>
      <c r="T212" s="544">
        <v>-0.18322354971171007</v>
      </c>
      <c r="U212" s="544">
        <v>-0.31255697189772469</v>
      </c>
      <c r="V212" s="544">
        <v>-0.31255697189772469</v>
      </c>
      <c r="W212" s="544">
        <v>-9.0879172947950337E-2</v>
      </c>
      <c r="X212" s="544">
        <v>-0.10792050565791078</v>
      </c>
      <c r="Y212" s="544">
        <v>-9.4110643872339361E-2</v>
      </c>
      <c r="Z212" s="544">
        <v>0</v>
      </c>
      <c r="AA212" s="544">
        <v>-0.13345180547423663</v>
      </c>
      <c r="AB212" s="544">
        <v>-0.11231804214223018</v>
      </c>
      <c r="AC212" s="544">
        <v>-0.18811442619899366</v>
      </c>
      <c r="AD212" s="544">
        <v>-0.24386385735941318</v>
      </c>
      <c r="AE212" s="544">
        <v>-0.10801716226282176</v>
      </c>
      <c r="AF212" s="544">
        <v>-0.19910454898134933</v>
      </c>
      <c r="AG212" s="544">
        <v>-0.11412929347622536</v>
      </c>
      <c r="AH212" s="544">
        <v>-0.11412929347622525</v>
      </c>
      <c r="AI212" s="544">
        <v>-0.11412929347622536</v>
      </c>
      <c r="AJ212" s="544">
        <v>-0.11412929347622536</v>
      </c>
      <c r="AK212" s="544">
        <v>-0.11412929347622536</v>
      </c>
      <c r="AL212" s="544">
        <v>-0.11412929347622536</v>
      </c>
      <c r="AM212" s="544">
        <v>-0.11412929347622536</v>
      </c>
      <c r="AN212" s="544">
        <v>0</v>
      </c>
      <c r="AO212" s="544">
        <v>-0.11412929347622547</v>
      </c>
      <c r="AP212" s="544">
        <v>-0.11412929347622536</v>
      </c>
      <c r="AQ212" s="544">
        <v>-0.11412929347622536</v>
      </c>
      <c r="AR212" s="544">
        <v>-0.11412929347622525</v>
      </c>
      <c r="AS212" s="544">
        <v>-7.1731269849052315E-2</v>
      </c>
      <c r="AT212" s="544">
        <v>-0.12551250109290057</v>
      </c>
      <c r="AU212" s="544">
        <v>-0.28597591380130172</v>
      </c>
      <c r="AV212" s="544">
        <v>-0.21396957418511608</v>
      </c>
      <c r="AW212" s="544">
        <v>-0.21396957418511608</v>
      </c>
      <c r="AX212" s="544">
        <v>-0.21396957418511608</v>
      </c>
      <c r="AY212" s="544">
        <v>-0.22294988066825772</v>
      </c>
      <c r="AZ212" s="544">
        <v>-0.22294988066825761</v>
      </c>
      <c r="BA212" s="544">
        <v>-0.15117877974744542</v>
      </c>
      <c r="BB212" s="544">
        <v>-0.43013834464331002</v>
      </c>
      <c r="BC212" s="544">
        <v>-0.22069252344755874</v>
      </c>
      <c r="BD212" s="544">
        <v>-0.12373721699333473</v>
      </c>
      <c r="BE212" s="544">
        <v>-0.25287912329053452</v>
      </c>
      <c r="BF212" s="544">
        <v>-0.23355342293192316</v>
      </c>
      <c r="BG212" s="544">
        <v>-0.12653514566302082</v>
      </c>
      <c r="BH212" s="544">
        <v>-0.23943476984142742</v>
      </c>
      <c r="BI212" s="544">
        <v>-0.31734317449151705</v>
      </c>
      <c r="BJ212" s="544">
        <v>-0.2731391211144788</v>
      </c>
      <c r="BK212" s="544">
        <v>-0.67850704891708025</v>
      </c>
    </row>
    <row r="213" spans="1:63" ht="14.25" customHeight="1" x14ac:dyDescent="0.35">
      <c r="A213" s="41" t="s">
        <v>100</v>
      </c>
      <c r="B213" s="544">
        <v>-5.0578241934897461E-2</v>
      </c>
      <c r="C213" s="544">
        <v>-5.0578241934897461E-2</v>
      </c>
      <c r="D213" s="544">
        <v>-7.5512425176854525E-2</v>
      </c>
      <c r="E213" s="544">
        <v>-0.37617647058823522</v>
      </c>
      <c r="F213" s="544">
        <v>-7.4337603918147699E-2</v>
      </c>
      <c r="G213" s="544">
        <v>-7.4337603918147699E-2</v>
      </c>
      <c r="H213" s="544">
        <v>-7.4337603918147699E-2</v>
      </c>
      <c r="I213" s="544">
        <v>-4.8098881580231567E-2</v>
      </c>
      <c r="J213" s="544">
        <v>-7.433760391814781E-2</v>
      </c>
      <c r="K213" s="544">
        <v>-7.4337603918147699E-2</v>
      </c>
      <c r="L213" s="544">
        <v>-7.4337603918147699E-2</v>
      </c>
      <c r="M213" s="544">
        <v>-4.8098881580231456E-2</v>
      </c>
      <c r="N213" s="544">
        <v>-7.4337603918147699E-2</v>
      </c>
      <c r="O213" s="544">
        <v>-7.4337603918147699E-2</v>
      </c>
      <c r="P213" s="544">
        <v>-7.4337603918147699E-2</v>
      </c>
      <c r="Q213" s="544">
        <v>-7.4337603918147699E-2</v>
      </c>
      <c r="R213" s="544">
        <v>-7.4337603918147588E-2</v>
      </c>
      <c r="S213" s="544">
        <v>-3.4766305448734047E-2</v>
      </c>
      <c r="T213" s="544">
        <v>-7.5425875169135792E-2</v>
      </c>
      <c r="U213" s="544">
        <v>0</v>
      </c>
      <c r="V213" s="544">
        <v>0</v>
      </c>
      <c r="W213" s="544">
        <v>-0.10838091611669454</v>
      </c>
      <c r="X213" s="544">
        <v>-1.7821326218842914E-2</v>
      </c>
      <c r="Y213" s="544">
        <v>-0.14557780030412271</v>
      </c>
      <c r="Z213" s="544">
        <v>0</v>
      </c>
      <c r="AA213" s="544">
        <v>-8.5970089731349897E-2</v>
      </c>
      <c r="AB213" s="544">
        <v>-8.4795590261828369E-2</v>
      </c>
      <c r="AC213" s="544">
        <v>-0.18572743386964807</v>
      </c>
      <c r="AD213" s="544">
        <v>-0.22840786526176071</v>
      </c>
      <c r="AE213" s="544">
        <v>-0.14300924405703674</v>
      </c>
      <c r="AF213" s="544">
        <v>-0.13659240967350739</v>
      </c>
      <c r="AG213" s="544">
        <v>-6.7926702016945617E-2</v>
      </c>
      <c r="AH213" s="544">
        <v>-6.7926702016945506E-2</v>
      </c>
      <c r="AI213" s="544">
        <v>-6.7926702016945728E-2</v>
      </c>
      <c r="AJ213" s="544">
        <v>-6.7926702016945617E-2</v>
      </c>
      <c r="AK213" s="544">
        <v>-6.7926702016945728E-2</v>
      </c>
      <c r="AL213" s="544">
        <v>-6.7926702016945617E-2</v>
      </c>
      <c r="AM213" s="544">
        <v>-6.7926702016945617E-2</v>
      </c>
      <c r="AN213" s="544">
        <v>0</v>
      </c>
      <c r="AO213" s="544">
        <v>-6.7926702016945728E-2</v>
      </c>
      <c r="AP213" s="544">
        <v>-6.7926702016945617E-2</v>
      </c>
      <c r="AQ213" s="544">
        <v>-6.7926702016945617E-2</v>
      </c>
      <c r="AR213" s="544">
        <v>-6.7926702016945506E-2</v>
      </c>
      <c r="AS213" s="544">
        <v>0</v>
      </c>
      <c r="AT213" s="544">
        <v>-8.4373092681262252E-2</v>
      </c>
      <c r="AU213" s="544">
        <v>-2.380285716054531E-2</v>
      </c>
      <c r="AV213" s="544">
        <v>-0.13678553466841059</v>
      </c>
      <c r="AW213" s="544">
        <v>-0.13678553466841059</v>
      </c>
      <c r="AX213" s="544">
        <v>-0.1367855346684107</v>
      </c>
      <c r="AY213" s="544">
        <v>-2.2191967324710848E-2</v>
      </c>
      <c r="AZ213" s="544">
        <v>-2.2191967324710848E-2</v>
      </c>
      <c r="BA213" s="544">
        <v>-1.8495899493980006E-2</v>
      </c>
      <c r="BB213" s="544">
        <v>-7.1131688609726074E-2</v>
      </c>
      <c r="BC213" s="544">
        <v>-0.13796655404119795</v>
      </c>
      <c r="BD213" s="544">
        <v>-4.9046490508180884E-2</v>
      </c>
      <c r="BE213" s="544">
        <v>-0.21046304885989908</v>
      </c>
      <c r="BF213" s="544">
        <v>-0.12863483868199077</v>
      </c>
      <c r="BG213" s="544">
        <v>-2.9955385418828917E-2</v>
      </c>
      <c r="BH213" s="544">
        <v>-0.14913893528891087</v>
      </c>
      <c r="BI213" s="544">
        <v>-0.13274983581581601</v>
      </c>
      <c r="BJ213" s="544">
        <v>-1.5228809802127041E-2</v>
      </c>
      <c r="BK213" s="544">
        <v>-0.60565483268432352</v>
      </c>
    </row>
    <row r="214" spans="1:63" ht="14.25" customHeight="1" x14ac:dyDescent="0.35">
      <c r="A214" s="41" t="s">
        <v>101</v>
      </c>
      <c r="B214" s="544">
        <v>-0.36337445774061128</v>
      </c>
      <c r="C214" s="544">
        <v>-0.36337445774061128</v>
      </c>
      <c r="D214" s="544">
        <v>-0.30213478390758797</v>
      </c>
      <c r="E214" s="544">
        <v>-0.48153333333333337</v>
      </c>
      <c r="F214" s="544">
        <v>-0.1766586538461411</v>
      </c>
      <c r="G214" s="544">
        <v>0</v>
      </c>
      <c r="H214" s="544">
        <v>0</v>
      </c>
      <c r="I214" s="544">
        <v>-0.1533203124999869</v>
      </c>
      <c r="J214" s="544">
        <v>0</v>
      </c>
      <c r="K214" s="544">
        <v>-0.1766586538461411</v>
      </c>
      <c r="L214" s="544">
        <v>-0.1766586538461411</v>
      </c>
      <c r="M214" s="544">
        <v>-0.1533203124999869</v>
      </c>
      <c r="N214" s="544">
        <v>-0.1766586538461411</v>
      </c>
      <c r="O214" s="544">
        <v>-0.1766586538461411</v>
      </c>
      <c r="P214" s="544">
        <v>-0.1766586538461411</v>
      </c>
      <c r="Q214" s="544">
        <v>-0.1766586538461411</v>
      </c>
      <c r="R214" s="544">
        <v>-0.17665865384614088</v>
      </c>
      <c r="S214" s="544">
        <v>-0.26508264546037996</v>
      </c>
      <c r="T214" s="544">
        <v>-0.28572752179847338</v>
      </c>
      <c r="U214" s="544">
        <v>-0.49870967741935479</v>
      </c>
      <c r="V214" s="544">
        <v>-0.49870967741935479</v>
      </c>
      <c r="W214" s="544">
        <v>-0.23684817720349738</v>
      </c>
      <c r="X214" s="544">
        <v>-5.8296523990169824E-2</v>
      </c>
      <c r="Y214" s="544">
        <v>-0.18036261008051668</v>
      </c>
      <c r="Z214" s="544">
        <v>0</v>
      </c>
      <c r="AA214" s="544">
        <v>-0.20713509765795934</v>
      </c>
      <c r="AB214" s="544">
        <v>-0.18116745611590979</v>
      </c>
      <c r="AC214" s="544">
        <v>-0.29116369333760639</v>
      </c>
      <c r="AD214" s="544">
        <v>-0.2496617389294834</v>
      </c>
      <c r="AE214" s="544">
        <v>-0.20866499704893815</v>
      </c>
      <c r="AF214" s="544">
        <v>-0.27609519688820239</v>
      </c>
      <c r="AG214" s="544">
        <v>-0.31539260300006333</v>
      </c>
      <c r="AH214" s="544">
        <v>-0.31539260300006322</v>
      </c>
      <c r="AI214" s="544">
        <v>0</v>
      </c>
      <c r="AJ214" s="544">
        <v>-0.31539260300006333</v>
      </c>
      <c r="AK214" s="544">
        <v>-0.31539260300006333</v>
      </c>
      <c r="AL214" s="544">
        <v>-0.31539260300006333</v>
      </c>
      <c r="AM214" s="544">
        <v>0</v>
      </c>
      <c r="AN214" s="544">
        <v>0</v>
      </c>
      <c r="AO214" s="544">
        <v>-0.31539260300006344</v>
      </c>
      <c r="AP214" s="544">
        <v>-0.31539260300006333</v>
      </c>
      <c r="AQ214" s="544">
        <v>-0.31539260300006333</v>
      </c>
      <c r="AR214" s="544">
        <v>-0.31539260300006322</v>
      </c>
      <c r="AS214" s="544">
        <v>-0.13728909946864132</v>
      </c>
      <c r="AT214" s="544">
        <v>-0.21827138484061703</v>
      </c>
      <c r="AU214" s="544">
        <v>-0.30781103074669558</v>
      </c>
      <c r="AV214" s="544">
        <v>-0.25698059728218281</v>
      </c>
      <c r="AW214" s="544">
        <v>-0.2569805972821444</v>
      </c>
      <c r="AX214" s="544">
        <v>-0.25698059728218281</v>
      </c>
      <c r="AY214" s="544">
        <v>-0.38079534432589723</v>
      </c>
      <c r="AZ214" s="544">
        <v>-0.38079534432589734</v>
      </c>
      <c r="BA214" s="544">
        <v>-8.2167832167831856E-2</v>
      </c>
      <c r="BB214" s="544">
        <v>-0.447980227222747</v>
      </c>
      <c r="BC214" s="544">
        <v>-0.24574798064151915</v>
      </c>
      <c r="BD214" s="544">
        <v>-0.16467422986239411</v>
      </c>
      <c r="BE214" s="544">
        <v>-0.25107796565853335</v>
      </c>
      <c r="BF214" s="544">
        <v>-0.27777552770015368</v>
      </c>
      <c r="BG214" s="544">
        <v>-0.21897574833859967</v>
      </c>
      <c r="BH214" s="544">
        <v>-0.23383520829512394</v>
      </c>
      <c r="BI214" s="544">
        <v>-0.39061116524813344</v>
      </c>
      <c r="BJ214" s="544">
        <v>-0.29552044845801606</v>
      </c>
      <c r="BK214" s="544">
        <v>0</v>
      </c>
    </row>
    <row r="215" spans="1:63" ht="14.25" customHeight="1" x14ac:dyDescent="0.35">
      <c r="A215" s="41" t="s">
        <v>102</v>
      </c>
      <c r="B215" s="544">
        <v>-0.26358819393320454</v>
      </c>
      <c r="C215" s="544">
        <v>-0.26358819393320454</v>
      </c>
      <c r="D215" s="544">
        <v>-0.32520327102803737</v>
      </c>
      <c r="E215" s="544">
        <v>-0.36370000000000002</v>
      </c>
      <c r="F215" s="544">
        <v>0</v>
      </c>
      <c r="G215" s="544">
        <v>0</v>
      </c>
      <c r="H215" s="544">
        <v>0</v>
      </c>
      <c r="I215" s="544">
        <v>0</v>
      </c>
      <c r="J215" s="544">
        <v>0</v>
      </c>
      <c r="K215" s="544">
        <v>0</v>
      </c>
      <c r="L215" s="544">
        <v>0</v>
      </c>
      <c r="M215" s="544">
        <v>0</v>
      </c>
      <c r="N215" s="544">
        <v>0</v>
      </c>
      <c r="O215" s="544">
        <v>0</v>
      </c>
      <c r="P215" s="544">
        <v>0</v>
      </c>
      <c r="Q215" s="544">
        <v>0</v>
      </c>
      <c r="R215" s="544">
        <v>0</v>
      </c>
      <c r="S215" s="544">
        <v>-8.3654771655120586E-2</v>
      </c>
      <c r="T215" s="544">
        <v>-8.4152874693699586E-2</v>
      </c>
      <c r="U215" s="544">
        <v>-0.20404878048780484</v>
      </c>
      <c r="V215" s="544">
        <v>-0.20404878048780473</v>
      </c>
      <c r="W215" s="544">
        <v>-1.5208773784342711E-2</v>
      </c>
      <c r="X215" s="544">
        <v>0</v>
      </c>
      <c r="Y215" s="544">
        <v>0</v>
      </c>
      <c r="Z215" s="544">
        <v>0</v>
      </c>
      <c r="AA215" s="544">
        <v>-5.0560290449088496E-2</v>
      </c>
      <c r="AB215" s="544">
        <v>-0.10482971698113219</v>
      </c>
      <c r="AC215" s="544">
        <v>-0.15740740740740722</v>
      </c>
      <c r="AD215" s="544">
        <v>-0.20511362213077899</v>
      </c>
      <c r="AE215" s="544">
        <v>-5.4318204422611815E-2</v>
      </c>
      <c r="AF215" s="544">
        <v>-8.9926201163611941E-2</v>
      </c>
      <c r="AG215" s="544">
        <v>-0.11539168737737082</v>
      </c>
      <c r="AH215" s="544">
        <v>-0.1153916873773706</v>
      </c>
      <c r="AI215" s="544">
        <v>-0.11539168737737082</v>
      </c>
      <c r="AJ215" s="544">
        <v>-0.11539168737737082</v>
      </c>
      <c r="AK215" s="544">
        <v>-0.11539168737737082</v>
      </c>
      <c r="AL215" s="544">
        <v>-0.11539168737737082</v>
      </c>
      <c r="AM215" s="544">
        <v>-0.11539168737737082</v>
      </c>
      <c r="AN215" s="544">
        <v>0</v>
      </c>
      <c r="AO215" s="544">
        <v>-0.11539168737737104</v>
      </c>
      <c r="AP215" s="544">
        <v>-0.11539168737737071</v>
      </c>
      <c r="AQ215" s="544">
        <v>-0.11539168737737038</v>
      </c>
      <c r="AR215" s="544">
        <v>-0.11539168737737049</v>
      </c>
      <c r="AS215" s="544">
        <v>-1.3057409937582753E-2</v>
      </c>
      <c r="AT215" s="544">
        <v>-0.12201568583867284</v>
      </c>
      <c r="AU215" s="544">
        <v>-0.17054650104480029</v>
      </c>
      <c r="AV215" s="544">
        <v>-0.19456183478185218</v>
      </c>
      <c r="AW215" s="544">
        <v>-0.19456183478185218</v>
      </c>
      <c r="AX215" s="544">
        <v>-0.19456183478185218</v>
      </c>
      <c r="AY215" s="544">
        <v>-0.1670579881656804</v>
      </c>
      <c r="AZ215" s="544">
        <v>-0.1670579881656804</v>
      </c>
      <c r="BA215" s="544">
        <v>-7.8144458281444451E-2</v>
      </c>
      <c r="BB215" s="544">
        <v>-0.35663575371887868</v>
      </c>
      <c r="BC215" s="544">
        <v>-0.12587303463736799</v>
      </c>
      <c r="BD215" s="544">
        <v>-5.4044747190914455E-2</v>
      </c>
      <c r="BE215" s="544">
        <v>-0.23099250409732575</v>
      </c>
      <c r="BF215" s="544">
        <v>-0.13198577031093173</v>
      </c>
      <c r="BG215" s="544">
        <v>-0.12073942481676592</v>
      </c>
      <c r="BH215" s="544">
        <v>-0.12574212302085597</v>
      </c>
      <c r="BI215" s="544">
        <v>-0.26342530432772759</v>
      </c>
      <c r="BJ215" s="544">
        <v>-0.18759120331476153</v>
      </c>
      <c r="BK215" s="544">
        <v>-0.60990162679387694</v>
      </c>
    </row>
    <row r="216" spans="1:63" ht="14.25" customHeight="1" x14ac:dyDescent="0.35">
      <c r="A216" s="41" t="s">
        <v>103</v>
      </c>
      <c r="B216" s="544">
        <v>0</v>
      </c>
      <c r="C216" s="544">
        <v>0</v>
      </c>
      <c r="D216" s="544">
        <v>-3.6683156925908622E-2</v>
      </c>
      <c r="E216" s="544">
        <v>-0.15639322033898306</v>
      </c>
      <c r="F216" s="544">
        <v>-4.4934864980785139E-2</v>
      </c>
      <c r="G216" s="544">
        <v>-4.4934864980785139E-2</v>
      </c>
      <c r="H216" s="544">
        <v>-4.4934864980785139E-2</v>
      </c>
      <c r="I216" s="544">
        <v>0</v>
      </c>
      <c r="J216" s="544">
        <v>0</v>
      </c>
      <c r="K216" s="544">
        <v>-4.4934864980785139E-2</v>
      </c>
      <c r="L216" s="544">
        <v>-4.4934864980785139E-2</v>
      </c>
      <c r="M216" s="544">
        <v>0</v>
      </c>
      <c r="N216" s="544">
        <v>-4.4934864980785139E-2</v>
      </c>
      <c r="O216" s="544">
        <v>-4.4934864980785139E-2</v>
      </c>
      <c r="P216" s="544">
        <v>-4.4934864980785139E-2</v>
      </c>
      <c r="Q216" s="544">
        <v>-4.4934864980785139E-2</v>
      </c>
      <c r="R216" s="544">
        <v>-4.4934864980785028E-2</v>
      </c>
      <c r="S216" s="544">
        <v>0</v>
      </c>
      <c r="T216" s="544">
        <v>-4.8739264120383985E-2</v>
      </c>
      <c r="U216" s="544">
        <v>-0.12775033677593162</v>
      </c>
      <c r="V216" s="544">
        <v>-0.12775033677593162</v>
      </c>
      <c r="W216" s="544">
        <v>0</v>
      </c>
      <c r="X216" s="544">
        <v>0</v>
      </c>
      <c r="Y216" s="544">
        <v>0</v>
      </c>
      <c r="Z216" s="544">
        <v>0</v>
      </c>
      <c r="AA216" s="544">
        <v>-2.1807811986152781E-2</v>
      </c>
      <c r="AB216" s="544">
        <v>0</v>
      </c>
      <c r="AC216" s="544">
        <v>-0.10252913043701373</v>
      </c>
      <c r="AD216" s="544">
        <v>-0.11999045801526753</v>
      </c>
      <c r="AE216" s="544">
        <v>0</v>
      </c>
      <c r="AF216" s="544">
        <v>-9.3420511356890112E-2</v>
      </c>
      <c r="AG216" s="544">
        <v>0</v>
      </c>
      <c r="AH216" s="544">
        <v>0</v>
      </c>
      <c r="AI216" s="544">
        <v>0</v>
      </c>
      <c r="AJ216" s="544">
        <v>0</v>
      </c>
      <c r="AK216" s="544">
        <v>0</v>
      </c>
      <c r="AL216" s="544">
        <v>0</v>
      </c>
      <c r="AM216" s="544">
        <v>0</v>
      </c>
      <c r="AN216" s="544">
        <v>0</v>
      </c>
      <c r="AO216" s="544">
        <v>0</v>
      </c>
      <c r="AP216" s="544">
        <v>0</v>
      </c>
      <c r="AQ216" s="544">
        <v>0</v>
      </c>
      <c r="AR216" s="544">
        <v>0</v>
      </c>
      <c r="AS216" s="544">
        <v>0</v>
      </c>
      <c r="AT216" s="544">
        <v>0</v>
      </c>
      <c r="AU216" s="544">
        <v>-6.7312458310787693E-2</v>
      </c>
      <c r="AV216" s="544">
        <v>-1.8763987181506403E-2</v>
      </c>
      <c r="AW216" s="544">
        <v>-1.8763987181506403E-2</v>
      </c>
      <c r="AX216" s="544">
        <v>-1.8763987181506403E-2</v>
      </c>
      <c r="AY216" s="544">
        <v>-1.1181590205045056E-2</v>
      </c>
      <c r="AZ216" s="544">
        <v>-1.1181590205044944E-2</v>
      </c>
      <c r="BA216" s="544">
        <v>-1.4324865073893966E-2</v>
      </c>
      <c r="BB216" s="544">
        <v>-0.2402066294151981</v>
      </c>
      <c r="BC216" s="544">
        <v>-4.2321413400760455E-2</v>
      </c>
      <c r="BD216" s="544">
        <v>0</v>
      </c>
      <c r="BE216" s="544">
        <v>-0.11049971402873782</v>
      </c>
      <c r="BF216" s="544">
        <v>-7.6147495986915281E-2</v>
      </c>
      <c r="BG216" s="544">
        <v>0</v>
      </c>
      <c r="BH216" s="544">
        <v>-5.1877743996027514E-2</v>
      </c>
      <c r="BI216" s="544">
        <v>-0.16265904501892281</v>
      </c>
      <c r="BJ216" s="544">
        <v>-9.352761907416296E-3</v>
      </c>
      <c r="BK216" s="544">
        <v>-0.75849458945715709</v>
      </c>
    </row>
    <row r="217" spans="1:63" ht="14.25" customHeight="1" x14ac:dyDescent="0.35">
      <c r="A217" s="41" t="s">
        <v>104</v>
      </c>
      <c r="B217" s="544">
        <v>0</v>
      </c>
      <c r="C217" s="544">
        <v>0</v>
      </c>
      <c r="D217" s="544">
        <v>-1.9865384615384563E-2</v>
      </c>
      <c r="E217" s="544">
        <v>-0.12508750000000002</v>
      </c>
      <c r="F217" s="544">
        <v>0</v>
      </c>
      <c r="G217" s="544">
        <v>0</v>
      </c>
      <c r="H217" s="544">
        <v>0</v>
      </c>
      <c r="I217" s="544">
        <v>0</v>
      </c>
      <c r="J217" s="544">
        <v>0</v>
      </c>
      <c r="K217" s="544">
        <v>0</v>
      </c>
      <c r="L217" s="544">
        <v>0</v>
      </c>
      <c r="M217" s="544">
        <v>0</v>
      </c>
      <c r="N217" s="544">
        <v>0</v>
      </c>
      <c r="O217" s="544">
        <v>0</v>
      </c>
      <c r="P217" s="544">
        <v>0</v>
      </c>
      <c r="Q217" s="544">
        <v>0</v>
      </c>
      <c r="R217" s="544">
        <v>0</v>
      </c>
      <c r="S217" s="544">
        <v>0</v>
      </c>
      <c r="T217" s="544">
        <v>0</v>
      </c>
      <c r="U217" s="544">
        <v>-0.23794230771867475</v>
      </c>
      <c r="V217" s="544">
        <v>-0.23794230771867475</v>
      </c>
      <c r="W217" s="544">
        <v>0</v>
      </c>
      <c r="X217" s="544">
        <v>0</v>
      </c>
      <c r="Y217" s="544">
        <v>0</v>
      </c>
      <c r="Z217" s="544">
        <v>0</v>
      </c>
      <c r="AA217" s="544">
        <v>0</v>
      </c>
      <c r="AB217" s="544">
        <v>0</v>
      </c>
      <c r="AC217" s="544">
        <v>-6.922374429223721E-2</v>
      </c>
      <c r="AD217" s="544">
        <v>-0.10924244293645902</v>
      </c>
      <c r="AE217" s="544">
        <v>0</v>
      </c>
      <c r="AF217" s="544">
        <v>-8.0145891259726265E-2</v>
      </c>
      <c r="AG217" s="544">
        <v>-2.1883776401338983E-2</v>
      </c>
      <c r="AH217" s="544">
        <v>-2.188377640133865E-2</v>
      </c>
      <c r="AI217" s="544">
        <v>-2.1883776401338983E-2</v>
      </c>
      <c r="AJ217" s="544">
        <v>-2.188377640133865E-2</v>
      </c>
      <c r="AK217" s="544">
        <v>-2.1883776401338761E-2</v>
      </c>
      <c r="AL217" s="544">
        <v>-2.1883776401338761E-2</v>
      </c>
      <c r="AM217" s="544">
        <v>-2.1883776401338761E-2</v>
      </c>
      <c r="AN217" s="544">
        <v>0</v>
      </c>
      <c r="AO217" s="544">
        <v>-2.1883776401338983E-2</v>
      </c>
      <c r="AP217" s="544">
        <v>-2.1883776401338761E-2</v>
      </c>
      <c r="AQ217" s="544">
        <v>-2.1883776401338761E-2</v>
      </c>
      <c r="AR217" s="544">
        <v>-2.188377640133865E-2</v>
      </c>
      <c r="AS217" s="544">
        <v>0</v>
      </c>
      <c r="AT217" s="544">
        <v>0</v>
      </c>
      <c r="AU217" s="544">
        <v>0</v>
      </c>
      <c r="AV217" s="544">
        <v>0</v>
      </c>
      <c r="AW217" s="544">
        <v>0</v>
      </c>
      <c r="AX217" s="544">
        <v>0</v>
      </c>
      <c r="AY217" s="544">
        <v>0</v>
      </c>
      <c r="AZ217" s="544">
        <v>0</v>
      </c>
      <c r="BA217" s="544">
        <v>0</v>
      </c>
      <c r="BB217" s="544">
        <v>-0.33236598218039537</v>
      </c>
      <c r="BC217" s="544">
        <v>-0.1110699644982317</v>
      </c>
      <c r="BD217" s="544">
        <v>0</v>
      </c>
      <c r="BE217" s="544">
        <v>-0.30700959472729084</v>
      </c>
      <c r="BF217" s="544">
        <v>0</v>
      </c>
      <c r="BG217" s="544">
        <v>0</v>
      </c>
      <c r="BH217" s="544">
        <v>-2.7421272606207747E-2</v>
      </c>
      <c r="BI217" s="544">
        <v>-7.9141785264547737E-2</v>
      </c>
      <c r="BJ217" s="544">
        <v>0</v>
      </c>
      <c r="BK217" s="544">
        <v>0</v>
      </c>
    </row>
    <row r="218" spans="1:63" ht="14.25" customHeight="1" x14ac:dyDescent="0.35">
      <c r="A218" s="41" t="s">
        <v>105</v>
      </c>
      <c r="B218" s="544">
        <v>-0.29019861436357308</v>
      </c>
      <c r="C218" s="544">
        <v>-0.29019861436357308</v>
      </c>
      <c r="D218" s="544">
        <v>-0.23398430068411402</v>
      </c>
      <c r="E218" s="544">
        <v>-0.39813308383987867</v>
      </c>
      <c r="F218" s="544">
        <v>-0.30030180075968893</v>
      </c>
      <c r="G218" s="544">
        <v>-0.30030180075968893</v>
      </c>
      <c r="H218" s="544">
        <v>-0.30030180075968893</v>
      </c>
      <c r="I218" s="544">
        <v>0</v>
      </c>
      <c r="J218" s="544">
        <v>0</v>
      </c>
      <c r="K218" s="544">
        <v>-0.30030180075968893</v>
      </c>
      <c r="L218" s="544">
        <v>-0.30030180075968893</v>
      </c>
      <c r="M218" s="544">
        <v>-0.28046823417221889</v>
      </c>
      <c r="N218" s="544">
        <v>-0.30030180075968893</v>
      </c>
      <c r="O218" s="544">
        <v>-0.30030180075968893</v>
      </c>
      <c r="P218" s="544">
        <v>-0.30030180075968893</v>
      </c>
      <c r="Q218" s="544">
        <v>-0.30030180075968893</v>
      </c>
      <c r="R218" s="544">
        <v>-0.30030180075968882</v>
      </c>
      <c r="S218" s="544">
        <v>-0.52171192494580754</v>
      </c>
      <c r="T218" s="544">
        <v>-0.38943064139039929</v>
      </c>
      <c r="U218" s="544">
        <v>0</v>
      </c>
      <c r="V218" s="544">
        <v>-0.49668921836764779</v>
      </c>
      <c r="W218" s="544">
        <v>-0.22781828490727163</v>
      </c>
      <c r="X218" s="544">
        <v>-0.20396383669611917</v>
      </c>
      <c r="Y218" s="544">
        <v>-0.31501105041253741</v>
      </c>
      <c r="Z218" s="544">
        <v>0</v>
      </c>
      <c r="AA218" s="544">
        <v>-0.20408240219350049</v>
      </c>
      <c r="AB218" s="544">
        <v>-0.38113935947641686</v>
      </c>
      <c r="AC218" s="544">
        <v>-0.47226090327924297</v>
      </c>
      <c r="AD218" s="544">
        <v>-0.33073312604050698</v>
      </c>
      <c r="AE218" s="544">
        <v>-0.29793955515496662</v>
      </c>
      <c r="AF218" s="544">
        <v>-0.30183005943374142</v>
      </c>
      <c r="AG218" s="544">
        <v>-0.47959501093076451</v>
      </c>
      <c r="AH218" s="544">
        <v>-0.47959501093076451</v>
      </c>
      <c r="AI218" s="544">
        <v>0</v>
      </c>
      <c r="AJ218" s="544">
        <v>-0.47959501093076451</v>
      </c>
      <c r="AK218" s="544">
        <v>-0.47959501093076451</v>
      </c>
      <c r="AL218" s="544">
        <v>-0.47959501093076451</v>
      </c>
      <c r="AM218" s="544">
        <v>-0.47959501093076451</v>
      </c>
      <c r="AN218" s="544">
        <v>0</v>
      </c>
      <c r="AO218" s="544">
        <v>-0.47959501093076462</v>
      </c>
      <c r="AP218" s="544">
        <v>-0.47959501093076451</v>
      </c>
      <c r="AQ218" s="544">
        <v>-0.47959501093076451</v>
      </c>
      <c r="AR218" s="544">
        <v>-0.47959501093076451</v>
      </c>
      <c r="AS218" s="544">
        <v>-0.18673823078991514</v>
      </c>
      <c r="AT218" s="544">
        <v>-0.12344350406306093</v>
      </c>
      <c r="AU218" s="544">
        <v>-0.41395773828060856</v>
      </c>
      <c r="AV218" s="544">
        <v>-0.40725552602095172</v>
      </c>
      <c r="AW218" s="544">
        <v>-0.40725552602095172</v>
      </c>
      <c r="AX218" s="544">
        <v>-0.40725552602095172</v>
      </c>
      <c r="AY218" s="544">
        <v>-0.4425176713130502</v>
      </c>
      <c r="AZ218" s="544">
        <v>-0.44251767131307185</v>
      </c>
      <c r="BA218" s="544">
        <v>-0.3379143088116372</v>
      </c>
      <c r="BB218" s="544">
        <v>-0.46896827165717225</v>
      </c>
      <c r="BC218" s="544">
        <v>-0.29847220326266544</v>
      </c>
      <c r="BD218" s="544">
        <v>-0.31315539464605413</v>
      </c>
      <c r="BE218" s="544">
        <v>-0.33028519513872101</v>
      </c>
      <c r="BF218" s="544">
        <v>-0.33247267824099291</v>
      </c>
      <c r="BG218" s="544">
        <v>-0.25162278408031169</v>
      </c>
      <c r="BH218" s="544">
        <v>-5.0139722370122541E-2</v>
      </c>
      <c r="BI218" s="544">
        <v>-0.40537796949993965</v>
      </c>
      <c r="BJ218" s="544">
        <v>-0.33315397750618958</v>
      </c>
      <c r="BK218" s="544">
        <v>-0.68019564279364353</v>
      </c>
    </row>
    <row r="219" spans="1:63" ht="14.25" customHeight="1" x14ac:dyDescent="0.35">
      <c r="A219" s="41" t="s">
        <v>106</v>
      </c>
      <c r="B219" s="544">
        <v>-0.22063635047422203</v>
      </c>
      <c r="C219" s="544">
        <v>-0.22063635047422203</v>
      </c>
      <c r="D219" s="544">
        <v>-0.27681425135764148</v>
      </c>
      <c r="E219" s="544">
        <v>-0.33632909343200745</v>
      </c>
      <c r="F219" s="544">
        <v>-0.15662435091126825</v>
      </c>
      <c r="G219" s="544">
        <v>-0.15662435091126825</v>
      </c>
      <c r="H219" s="544">
        <v>-0.15662435091126825</v>
      </c>
      <c r="I219" s="544">
        <v>-0.1327181194637479</v>
      </c>
      <c r="J219" s="544">
        <v>0</v>
      </c>
      <c r="K219" s="544">
        <v>-0.15662435091126825</v>
      </c>
      <c r="L219" s="544">
        <v>-0.15662435091126825</v>
      </c>
      <c r="M219" s="544">
        <v>0</v>
      </c>
      <c r="N219" s="544">
        <v>-0.15662435091126825</v>
      </c>
      <c r="O219" s="544">
        <v>-0.15662435091126825</v>
      </c>
      <c r="P219" s="544">
        <v>-0.15662435091126825</v>
      </c>
      <c r="Q219" s="544">
        <v>-0.15662435091126825</v>
      </c>
      <c r="R219" s="544">
        <v>-0.15662435091126814</v>
      </c>
      <c r="S219" s="544">
        <v>-0.17365474359812283</v>
      </c>
      <c r="T219" s="544">
        <v>-0.15142780560837887</v>
      </c>
      <c r="U219" s="544">
        <v>-0.32764704173671377</v>
      </c>
      <c r="V219" s="544">
        <v>-0.32764704173671377</v>
      </c>
      <c r="W219" s="544">
        <v>-0.14905383033490394</v>
      </c>
      <c r="X219" s="544">
        <v>-0.13678689648726228</v>
      </c>
      <c r="Y219" s="544">
        <v>-0.13726736455987054</v>
      </c>
      <c r="Z219" s="544">
        <v>0</v>
      </c>
      <c r="AA219" s="544">
        <v>-0.15834886069994791</v>
      </c>
      <c r="AB219" s="544">
        <v>-0.16867795117085671</v>
      </c>
      <c r="AC219" s="544">
        <v>-0.24380366378078733</v>
      </c>
      <c r="AD219" s="544">
        <v>-0.27323040380825292</v>
      </c>
      <c r="AE219" s="544">
        <v>-0.16813934802419772</v>
      </c>
      <c r="AF219" s="544">
        <v>-0.1891950488532782</v>
      </c>
      <c r="AG219" s="544">
        <v>-0.1589093014033498</v>
      </c>
      <c r="AH219" s="544">
        <v>-0.15890930140334969</v>
      </c>
      <c r="AI219" s="544">
        <v>-0.1589093014033498</v>
      </c>
      <c r="AJ219" s="544">
        <v>-0.1589093014033498</v>
      </c>
      <c r="AK219" s="544">
        <v>-0.1589093014033498</v>
      </c>
      <c r="AL219" s="544">
        <v>-0.1589093014033498</v>
      </c>
      <c r="AM219" s="544">
        <v>-0.1589093014033498</v>
      </c>
      <c r="AN219" s="544">
        <v>0</v>
      </c>
      <c r="AO219" s="544">
        <v>-0.15890930140334991</v>
      </c>
      <c r="AP219" s="544">
        <v>-0.1589093014033498</v>
      </c>
      <c r="AQ219" s="544">
        <v>-0.1589093014033498</v>
      </c>
      <c r="AR219" s="544">
        <v>-0.15890930140334969</v>
      </c>
      <c r="AS219" s="544">
        <v>-9.7536475183926385E-2</v>
      </c>
      <c r="AT219" s="544">
        <v>-9.2625169179479605E-2</v>
      </c>
      <c r="AU219" s="544">
        <v>-0.23760318798119773</v>
      </c>
      <c r="AV219" s="544">
        <v>-0.19791248460954192</v>
      </c>
      <c r="AW219" s="544">
        <v>-0.19791248460954181</v>
      </c>
      <c r="AX219" s="544">
        <v>-0.19791248460954181</v>
      </c>
      <c r="AY219" s="544">
        <v>-0.16465249248473679</v>
      </c>
      <c r="AZ219" s="544">
        <v>-0.16465249248473679</v>
      </c>
      <c r="BA219" s="544">
        <v>-0.20118474310877554</v>
      </c>
      <c r="BB219" s="544">
        <v>-0.37566872357724646</v>
      </c>
      <c r="BC219" s="544">
        <v>-0.22816920613554204</v>
      </c>
      <c r="BD219" s="544">
        <v>-0.1533408349914569</v>
      </c>
      <c r="BE219" s="544">
        <v>-0.25063333313631098</v>
      </c>
      <c r="BF219" s="544">
        <v>-0.23918128696277741</v>
      </c>
      <c r="BG219" s="544">
        <v>-0.17289564054558648</v>
      </c>
      <c r="BH219" s="544">
        <v>-0.23939648204998243</v>
      </c>
      <c r="BI219" s="544">
        <v>-0.33819659343194153</v>
      </c>
      <c r="BJ219" s="544">
        <v>-0.30831400307420764</v>
      </c>
      <c r="BK219" s="544">
        <v>-0.68695809557533338</v>
      </c>
    </row>
    <row r="220" spans="1:63" ht="14.25" customHeight="1" x14ac:dyDescent="0.35">
      <c r="A220" s="41" t="s">
        <v>107</v>
      </c>
      <c r="B220" s="544">
        <v>-0.28210462722830376</v>
      </c>
      <c r="C220" s="544">
        <v>-0.28210462722830376</v>
      </c>
      <c r="D220" s="544">
        <v>-0.50642571335635922</v>
      </c>
      <c r="E220" s="544">
        <v>-0.5905859058829277</v>
      </c>
      <c r="F220" s="544">
        <v>-0.40421146805355757</v>
      </c>
      <c r="G220" s="544">
        <v>0</v>
      </c>
      <c r="H220" s="544">
        <v>-0.40421146805355757</v>
      </c>
      <c r="I220" s="544">
        <v>-0.38732331322731883</v>
      </c>
      <c r="J220" s="544">
        <v>-0.40421146805355757</v>
      </c>
      <c r="K220" s="544">
        <v>-0.40421146805355757</v>
      </c>
      <c r="L220" s="544">
        <v>-0.40421146805355757</v>
      </c>
      <c r="M220" s="544">
        <v>-0.38732331322731883</v>
      </c>
      <c r="N220" s="544">
        <v>-0.40421146805355757</v>
      </c>
      <c r="O220" s="544">
        <v>-0.40421146805355757</v>
      </c>
      <c r="P220" s="544">
        <v>-0.40421146805355757</v>
      </c>
      <c r="Q220" s="544">
        <v>-0.40421146805355757</v>
      </c>
      <c r="R220" s="544">
        <v>-0.40421146805355745</v>
      </c>
      <c r="S220" s="544">
        <v>-0.26404430210948682</v>
      </c>
      <c r="T220" s="544">
        <v>-0.26071565651581785</v>
      </c>
      <c r="U220" s="544">
        <v>-0.40400568181818175</v>
      </c>
      <c r="V220" s="544">
        <v>-0.40400568181818175</v>
      </c>
      <c r="W220" s="544">
        <v>-0.36688258668060247</v>
      </c>
      <c r="X220" s="544">
        <v>-0.23001542420187371</v>
      </c>
      <c r="Y220" s="544">
        <v>-0.21619682120187234</v>
      </c>
      <c r="Z220" s="544">
        <v>0</v>
      </c>
      <c r="AA220" s="544">
        <v>-0.24241601269094604</v>
      </c>
      <c r="AB220" s="544">
        <v>-0.31810204158790245</v>
      </c>
      <c r="AC220" s="544">
        <v>-0.27521390861095918</v>
      </c>
      <c r="AD220" s="544">
        <v>-0.32447635235118011</v>
      </c>
      <c r="AE220" s="544">
        <v>-0.23159948131878116</v>
      </c>
      <c r="AF220" s="544">
        <v>-0.28753787964594235</v>
      </c>
      <c r="AG220" s="544">
        <v>-0.25646940742328428</v>
      </c>
      <c r="AH220" s="544">
        <v>-0.25646940742328417</v>
      </c>
      <c r="AI220" s="544">
        <v>0</v>
      </c>
      <c r="AJ220" s="544">
        <v>-0.25646940742328428</v>
      </c>
      <c r="AK220" s="544">
        <v>-0.25646940742328428</v>
      </c>
      <c r="AL220" s="544">
        <v>-0.25646940742328428</v>
      </c>
      <c r="AM220" s="544">
        <v>0</v>
      </c>
      <c r="AN220" s="544">
        <v>0</v>
      </c>
      <c r="AO220" s="544">
        <v>-0.25646940742328439</v>
      </c>
      <c r="AP220" s="544">
        <v>-0.25646940742328428</v>
      </c>
      <c r="AQ220" s="544">
        <v>-0.25646940742328428</v>
      </c>
      <c r="AR220" s="544">
        <v>0</v>
      </c>
      <c r="AS220" s="544">
        <v>-0.34495099416944253</v>
      </c>
      <c r="AT220" s="544">
        <v>-0.16373136796795895</v>
      </c>
      <c r="AU220" s="544">
        <v>-0.2214500293745213</v>
      </c>
      <c r="AV220" s="544">
        <v>-0.26807163644220255</v>
      </c>
      <c r="AW220" s="544">
        <v>-0.26807163644220244</v>
      </c>
      <c r="AX220" s="544">
        <v>-0.26807163644220233</v>
      </c>
      <c r="AY220" s="544">
        <v>-0.34660578092406358</v>
      </c>
      <c r="AZ220" s="544">
        <v>-0.34660578092406358</v>
      </c>
      <c r="BA220" s="544">
        <v>-0.28407978131027589</v>
      </c>
      <c r="BB220" s="544">
        <v>-0.34878725606259686</v>
      </c>
      <c r="BC220" s="544">
        <v>-0.4376543783413942</v>
      </c>
      <c r="BD220" s="544">
        <v>-0.22398649599094056</v>
      </c>
      <c r="BE220" s="544">
        <v>-0.30652890583296388</v>
      </c>
      <c r="BF220" s="544">
        <v>-0.33532786172902462</v>
      </c>
      <c r="BG220" s="544">
        <v>-0.21511052902846528</v>
      </c>
      <c r="BH220" s="544">
        <v>-0.16134846979268136</v>
      </c>
      <c r="BI220" s="544">
        <v>-0.30089863660507632</v>
      </c>
      <c r="BJ220" s="544">
        <v>-0.23711907479700345</v>
      </c>
      <c r="BK220" s="544">
        <v>-0.56206107019045193</v>
      </c>
    </row>
    <row r="221" spans="1:63" ht="14.25" customHeight="1" x14ac:dyDescent="0.35">
      <c r="A221" s="41" t="s">
        <v>108</v>
      </c>
      <c r="B221" s="544">
        <v>-0.19181207636632736</v>
      </c>
      <c r="C221" s="544">
        <v>-0.19181207636632736</v>
      </c>
      <c r="D221" s="544">
        <v>-0.2576005960753498</v>
      </c>
      <c r="E221" s="544">
        <v>-0.32177325226509257</v>
      </c>
      <c r="F221" s="544">
        <v>-0.14648841864454853</v>
      </c>
      <c r="G221" s="544">
        <v>-0.14648841864454853</v>
      </c>
      <c r="H221" s="544">
        <v>-0.14648841864454853</v>
      </c>
      <c r="I221" s="544">
        <v>0</v>
      </c>
      <c r="J221" s="544">
        <v>0</v>
      </c>
      <c r="K221" s="544">
        <v>-0.14648841864454853</v>
      </c>
      <c r="L221" s="544">
        <v>-0.14648841864454853</v>
      </c>
      <c r="M221" s="544">
        <v>-0.12229487519914628</v>
      </c>
      <c r="N221" s="544">
        <v>-0.14648841864454853</v>
      </c>
      <c r="O221" s="544">
        <v>-0.14648841864454853</v>
      </c>
      <c r="P221" s="544">
        <v>-0.14648841864454853</v>
      </c>
      <c r="Q221" s="544">
        <v>-0.14648841864454853</v>
      </c>
      <c r="R221" s="544">
        <v>-0.14648841864454842</v>
      </c>
      <c r="S221" s="544">
        <v>-0.17608132222968498</v>
      </c>
      <c r="T221" s="544">
        <v>-0.14346092801919674</v>
      </c>
      <c r="U221" s="544">
        <v>-0.33309572301449775</v>
      </c>
      <c r="V221" s="544">
        <v>-0.33309572301449775</v>
      </c>
      <c r="W221" s="544">
        <v>-0.14779714190229942</v>
      </c>
      <c r="X221" s="544">
        <v>-9.4268170209005575E-2</v>
      </c>
      <c r="Y221" s="544">
        <v>-9.1262114048817233E-2</v>
      </c>
      <c r="Z221" s="544">
        <v>0</v>
      </c>
      <c r="AA221" s="544">
        <v>-0.12642472742360022</v>
      </c>
      <c r="AB221" s="544">
        <v>-0.12999501974316097</v>
      </c>
      <c r="AC221" s="544">
        <v>-0.1865857199898362</v>
      </c>
      <c r="AD221" s="544">
        <v>-0.22875587984613954</v>
      </c>
      <c r="AE221" s="544">
        <v>-2.5084202978175374E-2</v>
      </c>
      <c r="AF221" s="544">
        <v>-0.17106000694468748</v>
      </c>
      <c r="AG221" s="544">
        <v>-0.19666542462907677</v>
      </c>
      <c r="AH221" s="544">
        <v>-0.19666542462907666</v>
      </c>
      <c r="AI221" s="544">
        <v>0</v>
      </c>
      <c r="AJ221" s="544">
        <v>-0.19666542462907677</v>
      </c>
      <c r="AK221" s="544">
        <v>-0.19666542462907677</v>
      </c>
      <c r="AL221" s="544">
        <v>-0.19666542462907677</v>
      </c>
      <c r="AM221" s="544">
        <v>-0.19666542462907677</v>
      </c>
      <c r="AN221" s="544">
        <v>-9.5026854685408391E-2</v>
      </c>
      <c r="AO221" s="544">
        <v>-0.19666542462907688</v>
      </c>
      <c r="AP221" s="544">
        <v>-0.19666542462907677</v>
      </c>
      <c r="AQ221" s="544">
        <v>-0.19666542462907677</v>
      </c>
      <c r="AR221" s="544">
        <v>-0.19666542462907666</v>
      </c>
      <c r="AS221" s="544">
        <v>-4.9711351243053814E-2</v>
      </c>
      <c r="AT221" s="544">
        <v>-6.9987701053343288E-2</v>
      </c>
      <c r="AU221" s="544">
        <v>-0.20212712608829808</v>
      </c>
      <c r="AV221" s="544">
        <v>-0.20818427371737414</v>
      </c>
      <c r="AW221" s="544">
        <v>-0.20818427371737414</v>
      </c>
      <c r="AX221" s="544">
        <v>-0.20818427371737414</v>
      </c>
      <c r="AY221" s="544">
        <v>-0.20779529370700045</v>
      </c>
      <c r="AZ221" s="544">
        <v>-0.20779529370700045</v>
      </c>
      <c r="BA221" s="544">
        <v>-0.21301278804760693</v>
      </c>
      <c r="BB221" s="544">
        <v>-0.38445968971550948</v>
      </c>
      <c r="BC221" s="544">
        <v>-0.21499358748922248</v>
      </c>
      <c r="BD221" s="544">
        <v>-0.12207017460198255</v>
      </c>
      <c r="BE221" s="544">
        <v>-0.17409679434098313</v>
      </c>
      <c r="BF221" s="544">
        <v>-0.16511836816630843</v>
      </c>
      <c r="BG221" s="544">
        <v>-4.1881169697079779E-2</v>
      </c>
      <c r="BH221" s="544">
        <v>-0.31877722853133683</v>
      </c>
      <c r="BI221" s="544">
        <v>-0.21827890970881314</v>
      </c>
      <c r="BJ221" s="544">
        <v>-0.2031043246845724</v>
      </c>
      <c r="BK221" s="544">
        <v>-0.61215735356386936</v>
      </c>
    </row>
    <row r="222" spans="1:63" ht="14.25" customHeight="1" x14ac:dyDescent="0.35">
      <c r="A222" s="41" t="s">
        <v>109</v>
      </c>
      <c r="B222" s="544">
        <v>-0.40747262108639559</v>
      </c>
      <c r="C222" s="544">
        <v>-0.40747262108639559</v>
      </c>
      <c r="D222" s="544">
        <v>-0.4564906344545363</v>
      </c>
      <c r="E222" s="544">
        <v>-0.48742513979310487</v>
      </c>
      <c r="F222" s="544">
        <v>-0.3222636828312766</v>
      </c>
      <c r="G222" s="544">
        <v>0</v>
      </c>
      <c r="H222" s="544">
        <v>0</v>
      </c>
      <c r="I222" s="544">
        <v>-0.30305264528693676</v>
      </c>
      <c r="J222" s="544">
        <v>0</v>
      </c>
      <c r="K222" s="544">
        <v>-0.3222636828312766</v>
      </c>
      <c r="L222" s="544">
        <v>-0.3222636828312766</v>
      </c>
      <c r="M222" s="544">
        <v>-0.30305264528693676</v>
      </c>
      <c r="N222" s="544">
        <v>-0.3222636828312766</v>
      </c>
      <c r="O222" s="544">
        <v>-0.3222636828312766</v>
      </c>
      <c r="P222" s="544">
        <v>-0.3222636828312766</v>
      </c>
      <c r="Q222" s="544">
        <v>-0.3222636828312766</v>
      </c>
      <c r="R222" s="544">
        <v>-0.32226368283127649</v>
      </c>
      <c r="S222" s="544">
        <v>-0.27750296760779092</v>
      </c>
      <c r="T222" s="544">
        <v>-0.2878821460065295</v>
      </c>
      <c r="U222" s="544">
        <v>0</v>
      </c>
      <c r="V222" s="544">
        <v>-0.36999999999999988</v>
      </c>
      <c r="W222" s="544">
        <v>-0.2359531863105524</v>
      </c>
      <c r="X222" s="544">
        <v>-0.22224323326579065</v>
      </c>
      <c r="Y222" s="544">
        <v>-0.22097307170249847</v>
      </c>
      <c r="Z222" s="544">
        <v>0</v>
      </c>
      <c r="AA222" s="544">
        <v>-0.24580211904639815</v>
      </c>
      <c r="AB222" s="544">
        <v>-0.23876220212498311</v>
      </c>
      <c r="AC222" s="544">
        <v>-0.32544759825429181</v>
      </c>
      <c r="AD222" s="544">
        <v>-0.33813059033989279</v>
      </c>
      <c r="AE222" s="544">
        <v>-0.24464861153663031</v>
      </c>
      <c r="AF222" s="544">
        <v>-0.31383997462106683</v>
      </c>
      <c r="AG222" s="544">
        <v>-0.37730303363970763</v>
      </c>
      <c r="AH222" s="544">
        <v>-0.37730303363970763</v>
      </c>
      <c r="AI222" s="544">
        <v>0</v>
      </c>
      <c r="AJ222" s="544">
        <v>-0.37730303363970763</v>
      </c>
      <c r="AK222" s="544">
        <v>-0.37730303363970763</v>
      </c>
      <c r="AL222" s="544">
        <v>-0.37730303363970763</v>
      </c>
      <c r="AM222" s="544">
        <v>0</v>
      </c>
      <c r="AN222" s="544">
        <v>0</v>
      </c>
      <c r="AO222" s="544">
        <v>-0.37730303363944273</v>
      </c>
      <c r="AP222" s="544">
        <v>-0.37730303363944262</v>
      </c>
      <c r="AQ222" s="544">
        <v>-0.37730303363970763</v>
      </c>
      <c r="AR222" s="544">
        <v>-0.37730303363970763</v>
      </c>
      <c r="AS222" s="544">
        <v>-0.357854968635684</v>
      </c>
      <c r="AT222" s="544">
        <v>-0.28597358763984904</v>
      </c>
      <c r="AU222" s="544">
        <v>-0.3395165367583699</v>
      </c>
      <c r="AV222" s="544">
        <v>-0.2742720336623744</v>
      </c>
      <c r="AW222" s="544">
        <v>-0.2742720336623744</v>
      </c>
      <c r="AX222" s="544">
        <v>-0.2742720336623744</v>
      </c>
      <c r="AY222" s="544">
        <v>-0.27350852130926262</v>
      </c>
      <c r="AZ222" s="544">
        <v>-0.27350852130926262</v>
      </c>
      <c r="BA222" s="544">
        <v>-0.27631802865797617</v>
      </c>
      <c r="BB222" s="544">
        <v>-0.46884064613035914</v>
      </c>
      <c r="BC222" s="544">
        <v>-0.27011922720314652</v>
      </c>
      <c r="BD222" s="544">
        <v>-0.23842957998806036</v>
      </c>
      <c r="BE222" s="544">
        <v>-0.33085029890231876</v>
      </c>
      <c r="BF222" s="544">
        <v>-0.29681796989279341</v>
      </c>
      <c r="BG222" s="544">
        <v>-0.39337202085538314</v>
      </c>
      <c r="BH222" s="544">
        <v>-0.32666696672847129</v>
      </c>
      <c r="BI222" s="544">
        <v>-0.4743464631580524</v>
      </c>
      <c r="BJ222" s="544">
        <v>-0.13891798141759693</v>
      </c>
      <c r="BK222" s="544">
        <v>-0.56655736310430771</v>
      </c>
    </row>
    <row r="223" spans="1:63" ht="14.25" customHeight="1" x14ac:dyDescent="0.35">
      <c r="A223" s="41" t="s">
        <v>229</v>
      </c>
      <c r="B223" s="544">
        <v>-0.24314661383030789</v>
      </c>
      <c r="C223" s="544">
        <v>-0.24314661383030789</v>
      </c>
      <c r="D223" s="544">
        <v>-0.3056252381271356</v>
      </c>
      <c r="E223" s="544">
        <v>-0.36663631557303245</v>
      </c>
      <c r="F223" s="544">
        <v>-0.39532472242129524</v>
      </c>
      <c r="G223" s="544">
        <v>-0.39532472242129524</v>
      </c>
      <c r="H223" s="544">
        <v>0</v>
      </c>
      <c r="I223" s="544">
        <v>-0.37818466490124558</v>
      </c>
      <c r="J223" s="544">
        <v>0</v>
      </c>
      <c r="K223" s="544">
        <v>-0.39532472242129524</v>
      </c>
      <c r="L223" s="544">
        <v>-0.39532472242129524</v>
      </c>
      <c r="M223" s="544">
        <v>0</v>
      </c>
      <c r="N223" s="544">
        <v>-0.39532472242129524</v>
      </c>
      <c r="O223" s="544">
        <v>-0.39532472242129524</v>
      </c>
      <c r="P223" s="544">
        <v>-0.39532472242129524</v>
      </c>
      <c r="Q223" s="544">
        <v>-0.39532472242129524</v>
      </c>
      <c r="R223" s="544">
        <v>-0.39532472242129513</v>
      </c>
      <c r="S223" s="544">
        <v>-0.24661835951545374</v>
      </c>
      <c r="T223" s="544">
        <v>-0.27075995450134083</v>
      </c>
      <c r="U223" s="544">
        <v>0</v>
      </c>
      <c r="V223" s="544">
        <v>-0.45583616298811536</v>
      </c>
      <c r="W223" s="544">
        <v>-0.19464607373703668</v>
      </c>
      <c r="X223" s="544">
        <v>-0.22120572859724486</v>
      </c>
      <c r="Y223" s="544">
        <v>-0.21915208376993855</v>
      </c>
      <c r="Z223" s="544">
        <v>0</v>
      </c>
      <c r="AA223" s="544">
        <v>-0.22360222060225898</v>
      </c>
      <c r="AB223" s="544">
        <v>-0.2108542958893187</v>
      </c>
      <c r="AC223" s="544">
        <v>-0.29872679987317263</v>
      </c>
      <c r="AD223" s="544">
        <v>-0.32089707131017398</v>
      </c>
      <c r="AE223" s="544">
        <v>-0.20878117275001884</v>
      </c>
      <c r="AF223" s="544">
        <v>-0.28654642182223855</v>
      </c>
      <c r="AG223" s="544">
        <v>0</v>
      </c>
      <c r="AH223" s="544">
        <v>-0.24753959256044267</v>
      </c>
      <c r="AI223" s="544">
        <v>0</v>
      </c>
      <c r="AJ223" s="544">
        <v>-0.24753959256044278</v>
      </c>
      <c r="AK223" s="544">
        <v>-0.24753959256044278</v>
      </c>
      <c r="AL223" s="544">
        <v>-0.24753959256044289</v>
      </c>
      <c r="AM223" s="544">
        <v>0</v>
      </c>
      <c r="AN223" s="544">
        <v>0</v>
      </c>
      <c r="AO223" s="544">
        <v>-0.24753959256044289</v>
      </c>
      <c r="AP223" s="544">
        <v>-0.24753959256044278</v>
      </c>
      <c r="AQ223" s="544">
        <v>-0.24753959256044267</v>
      </c>
      <c r="AR223" s="544">
        <v>-0.24753959256044256</v>
      </c>
      <c r="AS223" s="544">
        <v>-0.14420881102326621</v>
      </c>
      <c r="AT223" s="544">
        <v>-0.19310028427996306</v>
      </c>
      <c r="AU223" s="544">
        <v>-0.29265636698572817</v>
      </c>
      <c r="AV223" s="544">
        <v>-0.25336123204910599</v>
      </c>
      <c r="AW223" s="544">
        <v>-0.25336123204910621</v>
      </c>
      <c r="AX223" s="544">
        <v>-0.25336123204910621</v>
      </c>
      <c r="AY223" s="544">
        <v>-0.2539473684210527</v>
      </c>
      <c r="AZ223" s="544">
        <v>-0.2539473684210527</v>
      </c>
      <c r="BA223" s="544">
        <v>-0.28184667996580215</v>
      </c>
      <c r="BB223" s="544">
        <v>-0.40166191268920282</v>
      </c>
      <c r="BC223" s="544">
        <v>-0.26231811214208456</v>
      </c>
      <c r="BD223" s="544">
        <v>-0.1896348822305669</v>
      </c>
      <c r="BE223" s="544">
        <v>-0.31374245361300301</v>
      </c>
      <c r="BF223" s="544">
        <v>-0.2946215832161343</v>
      </c>
      <c r="BG223" s="544">
        <v>-0.25689825474991379</v>
      </c>
      <c r="BH223" s="544">
        <v>-0.18915932333910079</v>
      </c>
      <c r="BI223" s="544">
        <v>-0.36490797445395051</v>
      </c>
      <c r="BJ223" s="544">
        <v>-0.2493783276007917</v>
      </c>
      <c r="BK223" s="544">
        <v>-0.64546428609622475</v>
      </c>
    </row>
    <row r="224" spans="1:63" ht="14.25" customHeight="1" x14ac:dyDescent="0.35">
      <c r="A224" s="41" t="s">
        <v>111</v>
      </c>
      <c r="B224" s="544">
        <v>-0.17736774236873298</v>
      </c>
      <c r="C224" s="544">
        <v>-0.17736774236873298</v>
      </c>
      <c r="D224" s="544">
        <v>-0.17537735019239808</v>
      </c>
      <c r="E224" s="544">
        <v>0</v>
      </c>
      <c r="F224" s="544">
        <v>-9.2650937168997416E-2</v>
      </c>
      <c r="G224" s="544">
        <v>-9.2650937168997527E-2</v>
      </c>
      <c r="H224" s="544">
        <v>-9.2650937168997416E-2</v>
      </c>
      <c r="I224" s="544">
        <v>-6.6931322519029668E-2</v>
      </c>
      <c r="J224" s="544">
        <v>-9.2650937168997527E-2</v>
      </c>
      <c r="K224" s="544">
        <v>-9.2650937168997638E-2</v>
      </c>
      <c r="L224" s="544">
        <v>-9.2650937168997638E-2</v>
      </c>
      <c r="M224" s="544">
        <v>-6.6931322519029668E-2</v>
      </c>
      <c r="N224" s="544">
        <v>-9.2650937168997527E-2</v>
      </c>
      <c r="O224" s="544">
        <v>-9.2650937168997527E-2</v>
      </c>
      <c r="P224" s="544">
        <v>-9.2650937168997638E-2</v>
      </c>
      <c r="Q224" s="544">
        <v>-9.2650937168997638E-2</v>
      </c>
      <c r="R224" s="544">
        <v>-9.2650937168997194E-2</v>
      </c>
      <c r="S224" s="544">
        <v>-6.757313268555476E-2</v>
      </c>
      <c r="T224" s="544">
        <v>-0.10643434524878725</v>
      </c>
      <c r="U224" s="544">
        <v>0</v>
      </c>
      <c r="V224" s="544">
        <v>0</v>
      </c>
      <c r="W224" s="544">
        <v>0</v>
      </c>
      <c r="X224" s="544">
        <v>-5.6408809313559183E-2</v>
      </c>
      <c r="Y224" s="544">
        <v>-5.3866391011942016E-2</v>
      </c>
      <c r="Z224" s="544">
        <v>0</v>
      </c>
      <c r="AA224" s="544">
        <v>-0.10215961694242026</v>
      </c>
      <c r="AB224" s="544">
        <v>0</v>
      </c>
      <c r="AC224" s="544">
        <v>-9.6812613430126926E-2</v>
      </c>
      <c r="AD224" s="544">
        <v>-0.11256932843301037</v>
      </c>
      <c r="AE224" s="544">
        <v>-8.3325120725325164E-2</v>
      </c>
      <c r="AF224" s="544">
        <v>-0.16607133119443229</v>
      </c>
      <c r="AG224" s="544">
        <v>0</v>
      </c>
      <c r="AH224" s="544">
        <v>-7.0456135668424458E-2</v>
      </c>
      <c r="AI224" s="544">
        <v>0</v>
      </c>
      <c r="AJ224" s="544">
        <v>-7.0456135668424569E-2</v>
      </c>
      <c r="AK224" s="544">
        <v>-7.0456135668424569E-2</v>
      </c>
      <c r="AL224" s="544">
        <v>-7.0456135668424569E-2</v>
      </c>
      <c r="AM224" s="544">
        <v>-7.0456135668424569E-2</v>
      </c>
      <c r="AN224" s="544">
        <v>0</v>
      </c>
      <c r="AO224" s="544">
        <v>-7.045613566842468E-2</v>
      </c>
      <c r="AP224" s="544">
        <v>-7.0456135668424569E-2</v>
      </c>
      <c r="AQ224" s="544">
        <v>-7.0456135668424569E-2</v>
      </c>
      <c r="AR224" s="544">
        <v>-7.0456135668424458E-2</v>
      </c>
      <c r="AS224" s="544">
        <v>0</v>
      </c>
      <c r="AT224" s="544">
        <v>-2.8015641400245483E-2</v>
      </c>
      <c r="AU224" s="544">
        <v>-0.14712409277363447</v>
      </c>
      <c r="AV224" s="544">
        <v>-0.11615314197703031</v>
      </c>
      <c r="AW224" s="544">
        <v>-0.11615314197703031</v>
      </c>
      <c r="AX224" s="544">
        <v>-0.11615314197703031</v>
      </c>
      <c r="AY224" s="544">
        <v>-9.1737704918032681E-2</v>
      </c>
      <c r="AZ224" s="544">
        <v>-9.1737704918032681E-2</v>
      </c>
      <c r="BA224" s="544">
        <v>-8.5100203311066158E-2</v>
      </c>
      <c r="BB224" s="544">
        <v>-0.29052363895847244</v>
      </c>
      <c r="BC224" s="544">
        <v>0</v>
      </c>
      <c r="BD224" s="544">
        <v>-2.3325411409599872E-2</v>
      </c>
      <c r="BE224" s="544">
        <v>-0.14822132296843571</v>
      </c>
      <c r="BF224" s="544">
        <v>-0.1382238183532879</v>
      </c>
      <c r="BG224" s="544">
        <v>-5.2644269310831215E-2</v>
      </c>
      <c r="BH224" s="544">
        <v>-0.21046377159140583</v>
      </c>
      <c r="BI224" s="544">
        <v>-9.4549591773779973E-2</v>
      </c>
      <c r="BJ224" s="544">
        <v>-0.1599756711841267</v>
      </c>
      <c r="BK224" s="544">
        <v>-0.63259510506285488</v>
      </c>
    </row>
    <row r="225" spans="1:63" ht="14.25" customHeight="1" x14ac:dyDescent="0.35">
      <c r="A225" s="41" t="s">
        <v>112</v>
      </c>
      <c r="B225" s="544">
        <v>-0.21176965169757245</v>
      </c>
      <c r="C225" s="544">
        <v>-0.21176965169757245</v>
      </c>
      <c r="D225" s="544">
        <v>0</v>
      </c>
      <c r="E225" s="544">
        <v>-0.33458823529411763</v>
      </c>
      <c r="F225" s="544">
        <v>-0.20761133603238879</v>
      </c>
      <c r="G225" s="544">
        <v>-0.20761133603238857</v>
      </c>
      <c r="H225" s="544">
        <v>-0.20761133603238868</v>
      </c>
      <c r="I225" s="544">
        <v>-0.18515037593984962</v>
      </c>
      <c r="J225" s="544">
        <v>0</v>
      </c>
      <c r="K225" s="544">
        <v>-0.20761133603238868</v>
      </c>
      <c r="L225" s="544">
        <v>-0.20761133603238879</v>
      </c>
      <c r="M225" s="544">
        <v>-0.18515037593984962</v>
      </c>
      <c r="N225" s="544">
        <v>-0.20761133603238879</v>
      </c>
      <c r="O225" s="544">
        <v>-0.20761133603238868</v>
      </c>
      <c r="P225" s="544">
        <v>-0.20761133603238857</v>
      </c>
      <c r="Q225" s="544">
        <v>-0.20761133603238868</v>
      </c>
      <c r="R225" s="544">
        <v>-0.20761133603238857</v>
      </c>
      <c r="S225" s="544">
        <v>-0.25871374193834051</v>
      </c>
      <c r="T225" s="544">
        <v>-0.21084512785926179</v>
      </c>
      <c r="U225" s="544">
        <v>0</v>
      </c>
      <c r="V225" s="544">
        <v>-0.31967741935483862</v>
      </c>
      <c r="W225" s="544">
        <v>-0.1384475123730029</v>
      </c>
      <c r="X225" s="544">
        <v>-0.1288975051840866</v>
      </c>
      <c r="Y225" s="544">
        <v>-0.13111434659117738</v>
      </c>
      <c r="Z225" s="544">
        <v>0</v>
      </c>
      <c r="AA225" s="544">
        <v>-0.18596909338563972</v>
      </c>
      <c r="AB225" s="544">
        <v>-0.14049272349272379</v>
      </c>
      <c r="AC225" s="544">
        <v>-0.29670698924730032</v>
      </c>
      <c r="AD225" s="544">
        <v>-0.28183341742502599</v>
      </c>
      <c r="AE225" s="544">
        <v>-0.15352079836779542</v>
      </c>
      <c r="AF225" s="544">
        <v>-0.24593666166144812</v>
      </c>
      <c r="AG225" s="544">
        <v>-0.16998659162679763</v>
      </c>
      <c r="AH225" s="544">
        <v>-0.16998659162679752</v>
      </c>
      <c r="AI225" s="544">
        <v>-0.16998659162679763</v>
      </c>
      <c r="AJ225" s="544">
        <v>-0.16998659162679763</v>
      </c>
      <c r="AK225" s="544">
        <v>-0.16998659162679763</v>
      </c>
      <c r="AL225" s="544">
        <v>-0.16998659162679763</v>
      </c>
      <c r="AM225" s="544">
        <v>-0.16998659162679763</v>
      </c>
      <c r="AN225" s="544">
        <v>0</v>
      </c>
      <c r="AO225" s="544">
        <v>-0.16998659162679775</v>
      </c>
      <c r="AP225" s="544">
        <v>-0.16998659162679763</v>
      </c>
      <c r="AQ225" s="544">
        <v>-0.16998659162679763</v>
      </c>
      <c r="AR225" s="544">
        <v>-0.16998659162679752</v>
      </c>
      <c r="AS225" s="544">
        <v>-0.10484917160659224</v>
      </c>
      <c r="AT225" s="544">
        <v>-0.12901978098562417</v>
      </c>
      <c r="AU225" s="544">
        <v>-0.30488904286385254</v>
      </c>
      <c r="AV225" s="544">
        <v>-0.19128323893188259</v>
      </c>
      <c r="AW225" s="544">
        <v>-0.19128323893188259</v>
      </c>
      <c r="AX225" s="544">
        <v>-0.19128323893188259</v>
      </c>
      <c r="AY225" s="544">
        <v>-0.19374889217134417</v>
      </c>
      <c r="AZ225" s="544">
        <v>-0.19374889217134406</v>
      </c>
      <c r="BA225" s="544">
        <v>-0.1961481416855696</v>
      </c>
      <c r="BB225" s="544">
        <v>-0.60283338440777945</v>
      </c>
      <c r="BC225" s="544">
        <v>-0.17843954220082647</v>
      </c>
      <c r="BD225" s="544">
        <v>-0.12372604627921135</v>
      </c>
      <c r="BE225" s="544">
        <v>-0.34976520284299606</v>
      </c>
      <c r="BF225" s="544">
        <v>-0.32610104133097551</v>
      </c>
      <c r="BG225" s="544">
        <v>-8.9373545135160715E-3</v>
      </c>
      <c r="BH225" s="544">
        <v>-0.22989755912219034</v>
      </c>
      <c r="BI225" s="544">
        <v>-0.29676950234450261</v>
      </c>
      <c r="BJ225" s="544">
        <v>-0.49756079773098538</v>
      </c>
      <c r="BK225" s="544">
        <v>-0.77659564530045622</v>
      </c>
    </row>
    <row r="226" spans="1:63" ht="14.25" customHeight="1" x14ac:dyDescent="0.35">
      <c r="A226" s="41" t="s">
        <v>113</v>
      </c>
      <c r="B226" s="544">
        <v>0</v>
      </c>
      <c r="C226" s="544">
        <v>0</v>
      </c>
      <c r="D226" s="544">
        <v>0</v>
      </c>
      <c r="E226" s="544">
        <v>-0.52385714285714291</v>
      </c>
      <c r="F226" s="544">
        <v>0</v>
      </c>
      <c r="G226" s="544">
        <v>-0.15098463064011669</v>
      </c>
      <c r="H226" s="544">
        <v>-0.15098463064011669</v>
      </c>
      <c r="I226" s="544">
        <v>0</v>
      </c>
      <c r="J226" s="544">
        <v>0</v>
      </c>
      <c r="K226" s="544">
        <v>-0.15098463064011669</v>
      </c>
      <c r="L226" s="544">
        <v>-0.15098463064011669</v>
      </c>
      <c r="M226" s="544">
        <v>0</v>
      </c>
      <c r="N226" s="544">
        <v>-0.15098463064011669</v>
      </c>
      <c r="O226" s="544">
        <v>-0.15098463064011669</v>
      </c>
      <c r="P226" s="544">
        <v>-0.15098463064011669</v>
      </c>
      <c r="Q226" s="544">
        <v>-0.15098463064011669</v>
      </c>
      <c r="R226" s="544">
        <v>-0.15098463064011647</v>
      </c>
      <c r="S226" s="544">
        <v>-9.4902793236363747E-2</v>
      </c>
      <c r="T226" s="544">
        <v>-0.11747841513897095</v>
      </c>
      <c r="U226" s="544">
        <v>-0.25024123512383389</v>
      </c>
      <c r="V226" s="544">
        <v>-0.25024123512383378</v>
      </c>
      <c r="W226" s="544">
        <v>-8.5597042630656706E-2</v>
      </c>
      <c r="X226" s="544">
        <v>-8.6697874318215185E-2</v>
      </c>
      <c r="Y226" s="544">
        <v>-0.13660691421254778</v>
      </c>
      <c r="Z226" s="544">
        <v>0</v>
      </c>
      <c r="AA226" s="544">
        <v>-0.11583149495579248</v>
      </c>
      <c r="AB226" s="544">
        <v>-9.139850327408805E-2</v>
      </c>
      <c r="AC226" s="544">
        <v>-0.18969114130158216</v>
      </c>
      <c r="AD226" s="544">
        <v>-0.25452543492624424</v>
      </c>
      <c r="AE226" s="544">
        <v>-0.12459220398606319</v>
      </c>
      <c r="AF226" s="544">
        <v>-7.9800743590757173E-2</v>
      </c>
      <c r="AG226" s="544">
        <v>-9.5226492395869999E-2</v>
      </c>
      <c r="AH226" s="544">
        <v>-9.5226492395869888E-2</v>
      </c>
      <c r="AI226" s="544">
        <v>-9.5226492395869999E-2</v>
      </c>
      <c r="AJ226" s="544">
        <v>-9.5226492395869999E-2</v>
      </c>
      <c r="AK226" s="544">
        <v>-9.5226492395869999E-2</v>
      </c>
      <c r="AL226" s="544">
        <v>-9.5226492395869999E-2</v>
      </c>
      <c r="AM226" s="544">
        <v>-9.5226492395869999E-2</v>
      </c>
      <c r="AN226" s="544">
        <v>0</v>
      </c>
      <c r="AO226" s="544">
        <v>-9.5226492395870221E-2</v>
      </c>
      <c r="AP226" s="544">
        <v>-9.5226492395869999E-2</v>
      </c>
      <c r="AQ226" s="544">
        <v>-9.5226492395869999E-2</v>
      </c>
      <c r="AR226" s="544">
        <v>-9.5226492395869888E-2</v>
      </c>
      <c r="AS226" s="544">
        <v>-0.10095190276564914</v>
      </c>
      <c r="AT226" s="544">
        <v>-6.9572126871859985E-2</v>
      </c>
      <c r="AU226" s="544">
        <v>0</v>
      </c>
      <c r="AV226" s="544">
        <v>-0.18149172296662996</v>
      </c>
      <c r="AW226" s="544">
        <v>-0.18149172296662996</v>
      </c>
      <c r="AX226" s="544">
        <v>-0.18149172296662985</v>
      </c>
      <c r="AY226" s="544">
        <v>-0.12247422680412379</v>
      </c>
      <c r="AZ226" s="544">
        <v>-0.12247422680412379</v>
      </c>
      <c r="BA226" s="544">
        <v>-4.5403633648339992E-2</v>
      </c>
      <c r="BB226" s="544">
        <v>0</v>
      </c>
      <c r="BC226" s="544">
        <v>-0.17105644319076541</v>
      </c>
      <c r="BD226" s="544">
        <v>-3.1705819992591255E-2</v>
      </c>
      <c r="BE226" s="544">
        <v>-0.11815618685468887</v>
      </c>
      <c r="BF226" s="544">
        <v>-4.6975965950872944E-2</v>
      </c>
      <c r="BG226" s="544">
        <v>-2.3931308554070663E-2</v>
      </c>
      <c r="BH226" s="544">
        <v>0</v>
      </c>
      <c r="BI226" s="544">
        <v>0</v>
      </c>
      <c r="BJ226" s="544">
        <v>-1.7995123794842915E-2</v>
      </c>
      <c r="BK226" s="544">
        <v>0</v>
      </c>
    </row>
    <row r="227" spans="1:63" ht="14.25" customHeight="1" x14ac:dyDescent="0.35">
      <c r="A227" s="41" t="s">
        <v>114</v>
      </c>
      <c r="B227" s="544">
        <v>-0.51026090618977316</v>
      </c>
      <c r="C227" s="544">
        <v>-0.51026090618977316</v>
      </c>
      <c r="D227" s="544">
        <v>-0.48052584248118368</v>
      </c>
      <c r="E227" s="544">
        <v>-0.46422610581330881</v>
      </c>
      <c r="F227" s="544">
        <v>-0.41178318693584981</v>
      </c>
      <c r="G227" s="544">
        <v>-0.41178318693584981</v>
      </c>
      <c r="H227" s="544">
        <v>-0.41178318693584981</v>
      </c>
      <c r="I227" s="544">
        <v>-0.39510965920283025</v>
      </c>
      <c r="J227" s="544">
        <v>-0.41178318693584981</v>
      </c>
      <c r="K227" s="544">
        <v>-0.41178318693584981</v>
      </c>
      <c r="L227" s="544">
        <v>-0.41178318693584981</v>
      </c>
      <c r="M227" s="544">
        <v>-0.39510965920283025</v>
      </c>
      <c r="N227" s="544">
        <v>-0.41178318693584981</v>
      </c>
      <c r="O227" s="544">
        <v>-0.41178318693584981</v>
      </c>
      <c r="P227" s="544">
        <v>-0.41178318693584981</v>
      </c>
      <c r="Q227" s="544">
        <v>-0.41178318693584981</v>
      </c>
      <c r="R227" s="544">
        <v>-0.41178318693584981</v>
      </c>
      <c r="S227" s="544">
        <v>-0.48041131443476481</v>
      </c>
      <c r="T227" s="544">
        <v>-0.48358654196754702</v>
      </c>
      <c r="U227" s="544">
        <v>-0.61147078738212035</v>
      </c>
      <c r="V227" s="544">
        <v>-0.61147078738212035</v>
      </c>
      <c r="W227" s="544">
        <v>-0.41719587576139183</v>
      </c>
      <c r="X227" s="544">
        <v>-0.42860354561715353</v>
      </c>
      <c r="Y227" s="544">
        <v>-0.45783394088726226</v>
      </c>
      <c r="Z227" s="544">
        <v>0</v>
      </c>
      <c r="AA227" s="544">
        <v>-0.47457274075067901</v>
      </c>
      <c r="AB227" s="544">
        <v>-0.39546926273458682</v>
      </c>
      <c r="AC227" s="544">
        <v>-0.46829847611280129</v>
      </c>
      <c r="AD227" s="544">
        <v>-0.49785558330898427</v>
      </c>
      <c r="AE227" s="544">
        <v>-0.46495050003318628</v>
      </c>
      <c r="AF227" s="544">
        <v>-0.48348644865490487</v>
      </c>
      <c r="AG227" s="544">
        <v>-0.33147199054281273</v>
      </c>
      <c r="AH227" s="544">
        <v>-0.33147199054281273</v>
      </c>
      <c r="AI227" s="544">
        <v>0</v>
      </c>
      <c r="AJ227" s="544">
        <v>-0.33147199054281273</v>
      </c>
      <c r="AK227" s="544">
        <v>-0.33147199054281273</v>
      </c>
      <c r="AL227" s="544">
        <v>-0.33147199054281273</v>
      </c>
      <c r="AM227" s="544">
        <v>0</v>
      </c>
      <c r="AN227" s="544">
        <v>0</v>
      </c>
      <c r="AO227" s="544">
        <v>-0.33147199054281284</v>
      </c>
      <c r="AP227" s="544">
        <v>-0.33147199054281273</v>
      </c>
      <c r="AQ227" s="544">
        <v>-0.33147199054281273</v>
      </c>
      <c r="AR227" s="544">
        <v>-0.33147199054281273</v>
      </c>
      <c r="AS227" s="544">
        <v>-0.30022493705658004</v>
      </c>
      <c r="AT227" s="544">
        <v>-0.28757935089692921</v>
      </c>
      <c r="AU227" s="544">
        <v>-0.42440925181539169</v>
      </c>
      <c r="AV227" s="544">
        <v>-0.36326489978293686</v>
      </c>
      <c r="AW227" s="544">
        <v>-0.36326489978293686</v>
      </c>
      <c r="AX227" s="544">
        <v>-0.36326489978293686</v>
      </c>
      <c r="AY227" s="544">
        <v>0</v>
      </c>
      <c r="AZ227" s="544">
        <v>0</v>
      </c>
      <c r="BA227" s="544">
        <v>-0.48103244339304585</v>
      </c>
      <c r="BB227" s="544">
        <v>-0.60602134008617536</v>
      </c>
      <c r="BC227" s="544">
        <v>-0.31104005285995684</v>
      </c>
      <c r="BD227" s="544">
        <v>-0.31591255223852488</v>
      </c>
      <c r="BE227" s="544">
        <v>-0.34364877864825139</v>
      </c>
      <c r="BF227" s="544">
        <v>-0.53565720421653062</v>
      </c>
      <c r="BG227" s="544">
        <v>-0.31913008923664288</v>
      </c>
      <c r="BH227" s="544">
        <v>-0.28592473648657346</v>
      </c>
      <c r="BI227" s="544">
        <v>-0.40862267790349671</v>
      </c>
      <c r="BJ227" s="544">
        <v>-0.33263244350603938</v>
      </c>
      <c r="BK227" s="544">
        <v>-0.60963240776475747</v>
      </c>
    </row>
    <row r="228" spans="1:63" ht="14.25" customHeight="1" x14ac:dyDescent="0.35">
      <c r="A228" s="41" t="s">
        <v>115</v>
      </c>
      <c r="B228" s="544">
        <v>-0.25885669807175538</v>
      </c>
      <c r="C228" s="544">
        <v>-0.25885669807175538</v>
      </c>
      <c r="D228" s="544">
        <v>-0.31322020034794684</v>
      </c>
      <c r="E228" s="544">
        <v>-0.35171376017532885</v>
      </c>
      <c r="F228" s="544">
        <v>-0.17585382359575907</v>
      </c>
      <c r="G228" s="544">
        <v>0</v>
      </c>
      <c r="H228" s="544">
        <v>0</v>
      </c>
      <c r="I228" s="544">
        <v>0</v>
      </c>
      <c r="J228" s="544">
        <v>0</v>
      </c>
      <c r="K228" s="544">
        <v>-0.17585382359575907</v>
      </c>
      <c r="L228" s="544">
        <v>-0.17585382359575907</v>
      </c>
      <c r="M228" s="544">
        <v>0</v>
      </c>
      <c r="N228" s="544">
        <v>-0.17585382359575896</v>
      </c>
      <c r="O228" s="544">
        <v>-0.17585382359575907</v>
      </c>
      <c r="P228" s="544">
        <v>-0.17585382359575907</v>
      </c>
      <c r="Q228" s="544">
        <v>-0.17585382359575907</v>
      </c>
      <c r="R228" s="544">
        <v>-0.17585382359575896</v>
      </c>
      <c r="S228" s="544">
        <v>-0.26175371554906579</v>
      </c>
      <c r="T228" s="544">
        <v>-0.24544803464357101</v>
      </c>
      <c r="U228" s="544">
        <v>0</v>
      </c>
      <c r="V228" s="544">
        <v>-0.3352123786407758</v>
      </c>
      <c r="W228" s="544">
        <v>-0.18186968628727795</v>
      </c>
      <c r="X228" s="544">
        <v>-0.17127838839315601</v>
      </c>
      <c r="Y228" s="544">
        <v>-0.16411571909768019</v>
      </c>
      <c r="Z228" s="544">
        <v>0</v>
      </c>
      <c r="AA228" s="544">
        <v>-0.19532568581267384</v>
      </c>
      <c r="AB228" s="544">
        <v>-0.16487938948893399</v>
      </c>
      <c r="AC228" s="544">
        <v>-0.24704185082021968</v>
      </c>
      <c r="AD228" s="544">
        <v>-0.29551537753933566</v>
      </c>
      <c r="AE228" s="544">
        <v>-0.184058914273589</v>
      </c>
      <c r="AF228" s="544">
        <v>-0.26473731043297632</v>
      </c>
      <c r="AG228" s="544">
        <v>-0.1850571901550766</v>
      </c>
      <c r="AH228" s="544">
        <v>-0.18505719015507649</v>
      </c>
      <c r="AI228" s="544">
        <v>0</v>
      </c>
      <c r="AJ228" s="544">
        <v>-0.1850571901550766</v>
      </c>
      <c r="AK228" s="544">
        <v>-0.1850571901550766</v>
      </c>
      <c r="AL228" s="544">
        <v>-0.1850571901550766</v>
      </c>
      <c r="AM228" s="544">
        <v>-0.1850571901550766</v>
      </c>
      <c r="AN228" s="544">
        <v>0</v>
      </c>
      <c r="AO228" s="544">
        <v>-0.18505719015507671</v>
      </c>
      <c r="AP228" s="544">
        <v>-0.1850571901550766</v>
      </c>
      <c r="AQ228" s="544">
        <v>-0.1850571901550766</v>
      </c>
      <c r="AR228" s="544">
        <v>-0.18505719015507649</v>
      </c>
      <c r="AS228" s="544">
        <v>-0.1097159836276147</v>
      </c>
      <c r="AT228" s="544">
        <v>-0.21716886511687428</v>
      </c>
      <c r="AU228" s="544">
        <v>-0.30418251377719918</v>
      </c>
      <c r="AV228" s="544">
        <v>-0.51897898904012574</v>
      </c>
      <c r="AW228" s="544">
        <v>-0.51897898904012574</v>
      </c>
      <c r="AX228" s="544">
        <v>-0.51897898904012574</v>
      </c>
      <c r="AY228" s="544">
        <v>-0.26216965408880366</v>
      </c>
      <c r="AZ228" s="544">
        <v>-0.26216965408880366</v>
      </c>
      <c r="BA228" s="544">
        <v>-0.11956818941349601</v>
      </c>
      <c r="BB228" s="544">
        <v>-0.55304730784758138</v>
      </c>
      <c r="BC228" s="544">
        <v>-0.3792160076362473</v>
      </c>
      <c r="BD228" s="544">
        <v>-9.6744162756381757E-2</v>
      </c>
      <c r="BE228" s="544">
        <v>-0.52591528605722004</v>
      </c>
      <c r="BF228" s="544">
        <v>-0.32951435655589645</v>
      </c>
      <c r="BG228" s="544">
        <v>-0.16480135911307248</v>
      </c>
      <c r="BH228" s="544">
        <v>-0.32514453815641009</v>
      </c>
      <c r="BI228" s="544">
        <v>-0.3955701714279537</v>
      </c>
      <c r="BJ228" s="544">
        <v>-0.35473599701206304</v>
      </c>
      <c r="BK228" s="544">
        <v>-0.58432451433918375</v>
      </c>
    </row>
    <row r="229" spans="1:63" ht="14.25" customHeight="1" x14ac:dyDescent="0.35">
      <c r="A229" s="41" t="s">
        <v>116</v>
      </c>
      <c r="B229" s="544">
        <v>-7.2523082435368091E-2</v>
      </c>
      <c r="C229" s="544">
        <v>-7.2523082435368091E-2</v>
      </c>
      <c r="D229" s="544">
        <v>-0.35927505107118518</v>
      </c>
      <c r="E229" s="544">
        <v>-0.59279294633152868</v>
      </c>
      <c r="F229" s="544">
        <v>-0.20392295970513707</v>
      </c>
      <c r="G229" s="544">
        <v>-0.20392295970513707</v>
      </c>
      <c r="H229" s="544">
        <v>-0.20392295970513707</v>
      </c>
      <c r="I229" s="544">
        <v>-0.18135744931138875</v>
      </c>
      <c r="J229" s="544">
        <v>-0.20392295970513707</v>
      </c>
      <c r="K229" s="544">
        <v>-0.20392295970513707</v>
      </c>
      <c r="L229" s="544">
        <v>-0.20392295970513707</v>
      </c>
      <c r="M229" s="544">
        <v>-0.18135744931138875</v>
      </c>
      <c r="N229" s="544">
        <v>-0.20392295970513707</v>
      </c>
      <c r="O229" s="544">
        <v>-0.20392295970513707</v>
      </c>
      <c r="P229" s="544">
        <v>-0.20392295970513707</v>
      </c>
      <c r="Q229" s="544">
        <v>-0.20392295970513707</v>
      </c>
      <c r="R229" s="544">
        <v>-0.20392295970513696</v>
      </c>
      <c r="S229" s="544">
        <v>-0.26482075656497206</v>
      </c>
      <c r="T229" s="544">
        <v>-0.3401884135044202</v>
      </c>
      <c r="U229" s="544">
        <v>0</v>
      </c>
      <c r="V229" s="544">
        <v>-0.40286446204005577</v>
      </c>
      <c r="W229" s="544">
        <v>-0.21641997769139909</v>
      </c>
      <c r="X229" s="544">
        <v>-0.2188202965530528</v>
      </c>
      <c r="Y229" s="544">
        <v>-0.18541877549305363</v>
      </c>
      <c r="Z229" s="544">
        <v>0</v>
      </c>
      <c r="AA229" s="544">
        <v>-0.24813397532213533</v>
      </c>
      <c r="AB229" s="544">
        <v>-0.23831972678476909</v>
      </c>
      <c r="AC229" s="544">
        <v>-0.31173393971140428</v>
      </c>
      <c r="AD229" s="544">
        <v>-0.31049929279876032</v>
      </c>
      <c r="AE229" s="544">
        <v>-0.22524031960147117</v>
      </c>
      <c r="AF229" s="544">
        <v>-0.30901739053617483</v>
      </c>
      <c r="AG229" s="544">
        <v>-0.22625634062316902</v>
      </c>
      <c r="AH229" s="544">
        <v>-0.22625634062316891</v>
      </c>
      <c r="AI229" s="544">
        <v>-0.22625634062316902</v>
      </c>
      <c r="AJ229" s="544">
        <v>-0.22625634062316902</v>
      </c>
      <c r="AK229" s="544">
        <v>-0.22625634062316902</v>
      </c>
      <c r="AL229" s="544">
        <v>-0.22625634062316902</v>
      </c>
      <c r="AM229" s="544">
        <v>-0.22625634062316902</v>
      </c>
      <c r="AN229" s="544">
        <v>0</v>
      </c>
      <c r="AO229" s="544">
        <v>-0.22625634062316913</v>
      </c>
      <c r="AP229" s="544">
        <v>-0.22625634062316902</v>
      </c>
      <c r="AQ229" s="544">
        <v>-0.22625634062316902</v>
      </c>
      <c r="AR229" s="544">
        <v>-0.22625634062316891</v>
      </c>
      <c r="AS229" s="544">
        <v>-0.14611311986839259</v>
      </c>
      <c r="AT229" s="544">
        <v>-0.20630819205390905</v>
      </c>
      <c r="AU229" s="544">
        <v>-0.33672457450628246</v>
      </c>
      <c r="AV229" s="544">
        <v>-0.27223587814952321</v>
      </c>
      <c r="AW229" s="544">
        <v>-0.27223587814952321</v>
      </c>
      <c r="AX229" s="544">
        <v>-0.27223587814952321</v>
      </c>
      <c r="AY229" s="544">
        <v>-0.23003752253788823</v>
      </c>
      <c r="AZ229" s="544">
        <v>-0.23003752253788812</v>
      </c>
      <c r="BA229" s="544">
        <v>-0.24496644295302006</v>
      </c>
      <c r="BB229" s="544">
        <v>-0.47239528881096915</v>
      </c>
      <c r="BC229" s="544">
        <v>-0.25090067381304848</v>
      </c>
      <c r="BD229" s="544">
        <v>-0.20699982212825774</v>
      </c>
      <c r="BE229" s="544">
        <v>-0.52838152974502461</v>
      </c>
      <c r="BF229" s="544">
        <v>-0.31843560525289738</v>
      </c>
      <c r="BG229" s="544">
        <v>-0.24691132166999286</v>
      </c>
      <c r="BH229" s="544">
        <v>-0.29399713636627667</v>
      </c>
      <c r="BI229" s="544">
        <v>-0.39396447475806706</v>
      </c>
      <c r="BJ229" s="544">
        <v>-0.34422749307557243</v>
      </c>
      <c r="BK229" s="544">
        <v>0</v>
      </c>
    </row>
    <row r="230" spans="1:63" ht="14.25" customHeight="1" x14ac:dyDescent="0.35">
      <c r="A230" s="41" t="s">
        <v>117</v>
      </c>
      <c r="B230" s="544">
        <v>-0.24388601203050375</v>
      </c>
      <c r="C230" s="544">
        <v>-0.24388601203050375</v>
      </c>
      <c r="D230" s="544">
        <v>-0.28155970149253473</v>
      </c>
      <c r="E230" s="544">
        <v>-0.30114805978360759</v>
      </c>
      <c r="F230" s="544">
        <v>-7.0307028785483561E-2</v>
      </c>
      <c r="G230" s="544">
        <v>-7.0307028785483561E-2</v>
      </c>
      <c r="H230" s="544">
        <v>-7.0307028785483561E-2</v>
      </c>
      <c r="I230" s="544">
        <v>-4.3954056217444859E-2</v>
      </c>
      <c r="J230" s="544">
        <v>0</v>
      </c>
      <c r="K230" s="544">
        <v>-7.0307028785483561E-2</v>
      </c>
      <c r="L230" s="544">
        <v>-7.0307028785483561E-2</v>
      </c>
      <c r="M230" s="544">
        <v>0</v>
      </c>
      <c r="N230" s="544">
        <v>-7.0307028785483561E-2</v>
      </c>
      <c r="O230" s="544">
        <v>-7.0307028785483561E-2</v>
      </c>
      <c r="P230" s="544">
        <v>-7.0307028785483561E-2</v>
      </c>
      <c r="Q230" s="544">
        <v>-7.0307028785483561E-2</v>
      </c>
      <c r="R230" s="544">
        <v>-7.0307028785483339E-2</v>
      </c>
      <c r="S230" s="544">
        <v>-0.15453464113555937</v>
      </c>
      <c r="T230" s="544">
        <v>-0.15060009247172679</v>
      </c>
      <c r="U230" s="544">
        <v>-0.32210727258187011</v>
      </c>
      <c r="V230" s="544">
        <v>-0.32210727258187011</v>
      </c>
      <c r="W230" s="544">
        <v>-9.3969311773727027E-2</v>
      </c>
      <c r="X230" s="544">
        <v>-9.7977010657481212E-2</v>
      </c>
      <c r="Y230" s="544">
        <v>-8.3053154534085238E-2</v>
      </c>
      <c r="Z230" s="544">
        <v>0</v>
      </c>
      <c r="AA230" s="544">
        <v>-0.14335863939912752</v>
      </c>
      <c r="AB230" s="544">
        <v>-0.14375949168020141</v>
      </c>
      <c r="AC230" s="544">
        <v>-0.20957753293899672</v>
      </c>
      <c r="AD230" s="544">
        <v>-0.23333484753847045</v>
      </c>
      <c r="AE230" s="544">
        <v>-0.1509835007875262</v>
      </c>
      <c r="AF230" s="544">
        <v>-0.18478880521723839</v>
      </c>
      <c r="AG230" s="544">
        <v>-0.12676156481164869</v>
      </c>
      <c r="AH230" s="544">
        <v>-0.12676156481164857</v>
      </c>
      <c r="AI230" s="544">
        <v>-0.12676156481164869</v>
      </c>
      <c r="AJ230" s="544">
        <v>-0.12676156481164869</v>
      </c>
      <c r="AK230" s="544">
        <v>-0.12676156481164869</v>
      </c>
      <c r="AL230" s="544">
        <v>-0.12676156481164869</v>
      </c>
      <c r="AM230" s="544">
        <v>-0.12676156481164869</v>
      </c>
      <c r="AN230" s="544">
        <v>0</v>
      </c>
      <c r="AO230" s="544">
        <v>-0.1267615648116488</v>
      </c>
      <c r="AP230" s="544">
        <v>-0.12676156481164869</v>
      </c>
      <c r="AQ230" s="544">
        <v>-0.12676156481164869</v>
      </c>
      <c r="AR230" s="544">
        <v>-0.12676156481164857</v>
      </c>
      <c r="AS230" s="544">
        <v>-0.12681409879410332</v>
      </c>
      <c r="AT230" s="544">
        <v>-6.038697199249865E-2</v>
      </c>
      <c r="AU230" s="544">
        <v>-0.24836437362766739</v>
      </c>
      <c r="AV230" s="544">
        <v>-0.17097759741687968</v>
      </c>
      <c r="AW230" s="544">
        <v>-0.17097759741687979</v>
      </c>
      <c r="AX230" s="544">
        <v>-0.17097759741687968</v>
      </c>
      <c r="AY230" s="544">
        <v>-0.21412765957446811</v>
      </c>
      <c r="AZ230" s="544">
        <v>-0.21412765957446822</v>
      </c>
      <c r="BA230" s="544">
        <v>-0.20137631293009772</v>
      </c>
      <c r="BB230" s="544">
        <v>-0.3841367038690523</v>
      </c>
      <c r="BC230" s="544">
        <v>-0.22714733431390866</v>
      </c>
      <c r="BD230" s="544">
        <v>-9.2656994839352746E-2</v>
      </c>
      <c r="BE230" s="544">
        <v>-0.24007992632951036</v>
      </c>
      <c r="BF230" s="544">
        <v>-0.24290666660282489</v>
      </c>
      <c r="BG230" s="544">
        <v>-9.4659092832846792E-2</v>
      </c>
      <c r="BH230" s="544">
        <v>-0.13691538430512873</v>
      </c>
      <c r="BI230" s="544">
        <v>-0.28491182399735626</v>
      </c>
      <c r="BJ230" s="544">
        <v>-0.24192858311145915</v>
      </c>
      <c r="BK230" s="544">
        <v>0</v>
      </c>
    </row>
    <row r="231" spans="1:63" ht="14.25" customHeight="1" x14ac:dyDescent="0.35">
      <c r="A231" s="41" t="s">
        <v>118</v>
      </c>
      <c r="B231" s="544">
        <v>-0.1766786527342511</v>
      </c>
      <c r="C231" s="544">
        <v>-0.1766786527342511</v>
      </c>
      <c r="D231" s="544">
        <v>-0.18172247706422007</v>
      </c>
      <c r="E231" s="544">
        <v>-0.28157895043133363</v>
      </c>
      <c r="F231" s="544">
        <v>-7.1797838754989352E-2</v>
      </c>
      <c r="G231" s="544">
        <v>0</v>
      </c>
      <c r="H231" s="544">
        <v>-7.1797838754989352E-2</v>
      </c>
      <c r="I231" s="544">
        <v>-4.548712451894521E-2</v>
      </c>
      <c r="J231" s="544">
        <v>0</v>
      </c>
      <c r="K231" s="544">
        <v>-7.1797838754989129E-2</v>
      </c>
      <c r="L231" s="544">
        <v>-7.1797838754989463E-2</v>
      </c>
      <c r="M231" s="544">
        <v>-4.548712451894521E-2</v>
      </c>
      <c r="N231" s="544">
        <v>-7.1797838754989352E-2</v>
      </c>
      <c r="O231" s="544">
        <v>-7.1797838754989352E-2</v>
      </c>
      <c r="P231" s="544">
        <v>-7.1797838754989352E-2</v>
      </c>
      <c r="Q231" s="544">
        <v>-7.1797838754989352E-2</v>
      </c>
      <c r="R231" s="544">
        <v>-7.1797838754989129E-2</v>
      </c>
      <c r="S231" s="544">
        <v>-0.12477385767763449</v>
      </c>
      <c r="T231" s="544">
        <v>-0.15845262821275785</v>
      </c>
      <c r="U231" s="544">
        <v>0</v>
      </c>
      <c r="V231" s="544">
        <v>-0.31441176470588217</v>
      </c>
      <c r="W231" s="544">
        <v>-7.679449029653429E-2</v>
      </c>
      <c r="X231" s="544">
        <v>-8.3942420054780253E-2</v>
      </c>
      <c r="Y231" s="544">
        <v>-8.898373508405566E-2</v>
      </c>
      <c r="Z231" s="544">
        <v>0</v>
      </c>
      <c r="AA231" s="544">
        <v>-9.0396270933883027E-2</v>
      </c>
      <c r="AB231" s="544">
        <v>-7.5784025469130101E-2</v>
      </c>
      <c r="AC231" s="544">
        <v>-0.15001036803503431</v>
      </c>
      <c r="AD231" s="544">
        <v>-0.22758620689655185</v>
      </c>
      <c r="AE231" s="544">
        <v>-0.12441320470689832</v>
      </c>
      <c r="AF231" s="544">
        <v>-0.18626929833749173</v>
      </c>
      <c r="AG231" s="544">
        <v>-9.8643194126407541E-2</v>
      </c>
      <c r="AH231" s="544">
        <v>-9.8643194126407319E-2</v>
      </c>
      <c r="AI231" s="544">
        <v>-9.8643194126407541E-2</v>
      </c>
      <c r="AJ231" s="544">
        <v>-9.8643194126407541E-2</v>
      </c>
      <c r="AK231" s="544">
        <v>0</v>
      </c>
      <c r="AL231" s="544">
        <v>-9.8643194126407541E-2</v>
      </c>
      <c r="AM231" s="544">
        <v>-9.8643194126407541E-2</v>
      </c>
      <c r="AN231" s="544">
        <v>0</v>
      </c>
      <c r="AO231" s="544">
        <v>-9.8643194126407652E-2</v>
      </c>
      <c r="AP231" s="544">
        <v>-9.8643194126407541E-2</v>
      </c>
      <c r="AQ231" s="544">
        <v>-9.8643194126407541E-2</v>
      </c>
      <c r="AR231" s="544">
        <v>-9.8643194126407319E-2</v>
      </c>
      <c r="AS231" s="544">
        <v>-2.0120019590579408E-2</v>
      </c>
      <c r="AT231" s="544">
        <v>-0.10982734812014483</v>
      </c>
      <c r="AU231" s="544">
        <v>-0.19933568130789803</v>
      </c>
      <c r="AV231" s="544">
        <v>-0.16805116809219267</v>
      </c>
      <c r="AW231" s="544">
        <v>-0.16805116809219267</v>
      </c>
      <c r="AX231" s="544">
        <v>-0.16805116809219267</v>
      </c>
      <c r="AY231" s="544">
        <v>-0.18584615384615388</v>
      </c>
      <c r="AZ231" s="544">
        <v>-0.18584615384615388</v>
      </c>
      <c r="BA231" s="544">
        <v>-0.11554354736172912</v>
      </c>
      <c r="BB231" s="544">
        <v>-0.32973759896897881</v>
      </c>
      <c r="BC231" s="544">
        <v>-0.16259273310593592</v>
      </c>
      <c r="BD231" s="544">
        <v>-5.4940320396225428E-2</v>
      </c>
      <c r="BE231" s="544">
        <v>-0.23167730439943157</v>
      </c>
      <c r="BF231" s="544">
        <v>-0.19282093013688018</v>
      </c>
      <c r="BG231" s="544">
        <v>-5.9265901014191824E-2</v>
      </c>
      <c r="BH231" s="544">
        <v>-0.19596925511075336</v>
      </c>
      <c r="BI231" s="544">
        <v>-0.29756428992627115</v>
      </c>
      <c r="BJ231" s="544">
        <v>-0.22795739880734323</v>
      </c>
      <c r="BK231" s="544">
        <v>-0.66708424256212895</v>
      </c>
    </row>
    <row r="232" spans="1:63" ht="14.25" customHeight="1" x14ac:dyDescent="0.35">
      <c r="A232" s="41" t="s">
        <v>119</v>
      </c>
      <c r="B232" s="544">
        <v>-0.20523160174911181</v>
      </c>
      <c r="C232" s="544">
        <v>-0.20523160174911181</v>
      </c>
      <c r="D232" s="544">
        <v>-0.23868879335472248</v>
      </c>
      <c r="E232" s="544">
        <v>-0.33844090844412555</v>
      </c>
      <c r="F232" s="544">
        <v>-0.14814684689154489</v>
      </c>
      <c r="G232" s="544">
        <v>-0.14814684689154489</v>
      </c>
      <c r="H232" s="544">
        <v>-0.14814684689154489</v>
      </c>
      <c r="I232" s="544">
        <v>-0.12400031306700932</v>
      </c>
      <c r="J232" s="544">
        <v>-0.14814684689154489</v>
      </c>
      <c r="K232" s="544">
        <v>-0.14814684689154489</v>
      </c>
      <c r="L232" s="544">
        <v>-0.14814684689154489</v>
      </c>
      <c r="M232" s="544">
        <v>-0.12400031306700932</v>
      </c>
      <c r="N232" s="544">
        <v>-0.14814684689154489</v>
      </c>
      <c r="O232" s="544">
        <v>-0.14814684689154489</v>
      </c>
      <c r="P232" s="544">
        <v>-0.14814684689154489</v>
      </c>
      <c r="Q232" s="544">
        <v>-0.14814684689154489</v>
      </c>
      <c r="R232" s="544">
        <v>-0.14814684689154478</v>
      </c>
      <c r="S232" s="544">
        <v>-0.26536967968371472</v>
      </c>
      <c r="T232" s="544">
        <v>-0.2082221479565145</v>
      </c>
      <c r="U232" s="544">
        <v>-0.30570502749410833</v>
      </c>
      <c r="V232" s="544">
        <v>-0.30570502749410833</v>
      </c>
      <c r="W232" s="544">
        <v>-0.1855308177992625</v>
      </c>
      <c r="X232" s="544">
        <v>-0.11747376571887103</v>
      </c>
      <c r="Y232" s="544">
        <v>-9.031021185948096E-2</v>
      </c>
      <c r="Z232" s="544">
        <v>0</v>
      </c>
      <c r="AA232" s="544">
        <v>-0.14344214353527596</v>
      </c>
      <c r="AB232" s="544">
        <v>-0.202356418996402</v>
      </c>
      <c r="AC232" s="544">
        <v>-0.28366915273469684</v>
      </c>
      <c r="AD232" s="544">
        <v>-0.30353039755430966</v>
      </c>
      <c r="AE232" s="544">
        <v>-0.11124712204262177</v>
      </c>
      <c r="AF232" s="544">
        <v>-0.27375105139529787</v>
      </c>
      <c r="AG232" s="544">
        <v>-0.12478242858915689</v>
      </c>
      <c r="AH232" s="544">
        <v>-0.12478242858915678</v>
      </c>
      <c r="AI232" s="544">
        <v>-0.12478242858915689</v>
      </c>
      <c r="AJ232" s="544">
        <v>-0.12478242858915689</v>
      </c>
      <c r="AK232" s="544">
        <v>-0.12478242858915689</v>
      </c>
      <c r="AL232" s="544">
        <v>-0.12478242858915689</v>
      </c>
      <c r="AM232" s="544">
        <v>-0.12478242858915689</v>
      </c>
      <c r="AN232" s="544">
        <v>-1.4049161187221548E-2</v>
      </c>
      <c r="AO232" s="544">
        <v>-0.124782428589157</v>
      </c>
      <c r="AP232" s="544">
        <v>-0.12478242858915689</v>
      </c>
      <c r="AQ232" s="544">
        <v>-0.12478242858915689</v>
      </c>
      <c r="AR232" s="544">
        <v>0</v>
      </c>
      <c r="AS232" s="544">
        <v>-0.10883990147408373</v>
      </c>
      <c r="AT232" s="544">
        <v>-0.19096322689159306</v>
      </c>
      <c r="AU232" s="544">
        <v>-0.2318453545968211</v>
      </c>
      <c r="AV232" s="544">
        <v>-0.19116850639948835</v>
      </c>
      <c r="AW232" s="544">
        <v>-0.19116850639948835</v>
      </c>
      <c r="AX232" s="544">
        <v>-0.19116850639948835</v>
      </c>
      <c r="AY232" s="544">
        <v>-0.23375583820913559</v>
      </c>
      <c r="AZ232" s="544">
        <v>-0.23375583820913559</v>
      </c>
      <c r="BA232" s="544">
        <v>-0.16495142598568102</v>
      </c>
      <c r="BB232" s="544">
        <v>-0.34783968475370974</v>
      </c>
      <c r="BC232" s="544">
        <v>-0.22672271782081321</v>
      </c>
      <c r="BD232" s="544">
        <v>-0.11723577925718554</v>
      </c>
      <c r="BE232" s="544">
        <v>-0.27687196022151828</v>
      </c>
      <c r="BF232" s="544">
        <v>-0.21440335186036785</v>
      </c>
      <c r="BG232" s="544">
        <v>-0.11369939434245779</v>
      </c>
      <c r="BH232" s="544">
        <v>-0.13634585828959844</v>
      </c>
      <c r="BI232" s="544">
        <v>-0.28211699847750604</v>
      </c>
      <c r="BJ232" s="544">
        <v>-0.19868481165366347</v>
      </c>
      <c r="BK232" s="544">
        <v>-0.50071532212135894</v>
      </c>
    </row>
    <row r="233" spans="1:63" ht="14.25" customHeight="1" x14ac:dyDescent="0.35">
      <c r="A233" s="41" t="s">
        <v>120</v>
      </c>
      <c r="B233" s="544">
        <v>-0.41452567502424109</v>
      </c>
      <c r="C233" s="544">
        <v>-0.41452567502424109</v>
      </c>
      <c r="D233" s="544">
        <v>-0.41551605504587152</v>
      </c>
      <c r="E233" s="544">
        <v>0</v>
      </c>
      <c r="F233" s="544">
        <v>-0.13359897209943639</v>
      </c>
      <c r="G233" s="544">
        <v>0</v>
      </c>
      <c r="H233" s="544">
        <v>0</v>
      </c>
      <c r="I233" s="544">
        <v>-0.10904006584960557</v>
      </c>
      <c r="J233" s="544">
        <v>-0.13359897209943639</v>
      </c>
      <c r="K233" s="544">
        <v>-0.13359897209943639</v>
      </c>
      <c r="L233" s="544">
        <v>-0.13359897209943639</v>
      </c>
      <c r="M233" s="544">
        <v>-0.10904006584960557</v>
      </c>
      <c r="N233" s="544">
        <v>-0.13359897209943639</v>
      </c>
      <c r="O233" s="544">
        <v>-0.13359897209943639</v>
      </c>
      <c r="P233" s="544">
        <v>-0.13359897209943639</v>
      </c>
      <c r="Q233" s="544">
        <v>-0.13359897209943639</v>
      </c>
      <c r="R233" s="544">
        <v>-0.13359897209943628</v>
      </c>
      <c r="S233" s="544">
        <v>-0.14969657345588838</v>
      </c>
      <c r="T233" s="544">
        <v>-0.23028146476420286</v>
      </c>
      <c r="U233" s="544">
        <v>-0.20025160109789542</v>
      </c>
      <c r="V233" s="544">
        <v>-0.20025160109789575</v>
      </c>
      <c r="W233" s="544">
        <v>-9.9494120180130929E-2</v>
      </c>
      <c r="X233" s="544">
        <v>-9.9599140366692263E-2</v>
      </c>
      <c r="Y233" s="544">
        <v>-0.14197794429520705</v>
      </c>
      <c r="Z233" s="544">
        <v>0</v>
      </c>
      <c r="AA233" s="544">
        <v>-0.14606789372387485</v>
      </c>
      <c r="AB233" s="544">
        <v>0</v>
      </c>
      <c r="AC233" s="544">
        <v>-0.22906053564512741</v>
      </c>
      <c r="AD233" s="544">
        <v>-0.24079923438215045</v>
      </c>
      <c r="AE233" s="544">
        <v>-0.10182290636321434</v>
      </c>
      <c r="AF233" s="544">
        <v>-0.22039876847988316</v>
      </c>
      <c r="AG233" s="544">
        <v>-0.22391831733804979</v>
      </c>
      <c r="AH233" s="544">
        <v>-0.22391831733804968</v>
      </c>
      <c r="AI233" s="544">
        <v>-0.22391831733804979</v>
      </c>
      <c r="AJ233" s="544">
        <v>-0.22391831733804979</v>
      </c>
      <c r="AK233" s="544">
        <v>-0.22391831733804979</v>
      </c>
      <c r="AL233" s="544">
        <v>-0.22391831733804979</v>
      </c>
      <c r="AM233" s="544">
        <v>-0.22391831733804979</v>
      </c>
      <c r="AN233" s="544">
        <v>0</v>
      </c>
      <c r="AO233" s="544">
        <v>-0.2239183173380499</v>
      </c>
      <c r="AP233" s="544">
        <v>-0.22391831733804979</v>
      </c>
      <c r="AQ233" s="544">
        <v>-0.22391831733804979</v>
      </c>
      <c r="AR233" s="544">
        <v>-0.22391831733804968</v>
      </c>
      <c r="AS233" s="544">
        <v>-3.8184347960854459E-2</v>
      </c>
      <c r="AT233" s="544">
        <v>-6.0652126378130333E-2</v>
      </c>
      <c r="AU233" s="544">
        <v>-0.23808389441766475</v>
      </c>
      <c r="AV233" s="544">
        <v>-0.23026623791663281</v>
      </c>
      <c r="AW233" s="544">
        <v>-0.23026623791663281</v>
      </c>
      <c r="AX233" s="544">
        <v>-0.23026623791663281</v>
      </c>
      <c r="AY233" s="544">
        <v>0</v>
      </c>
      <c r="AZ233" s="544">
        <v>0</v>
      </c>
      <c r="BA233" s="544">
        <v>-2.1536550010331834E-2</v>
      </c>
      <c r="BB233" s="544">
        <v>-0.25686588352942552</v>
      </c>
      <c r="BC233" s="544">
        <v>-0.15587242599846451</v>
      </c>
      <c r="BD233" s="544">
        <v>0</v>
      </c>
      <c r="BE233" s="544">
        <v>-0.29698459505276609</v>
      </c>
      <c r="BF233" s="544">
        <v>-0.10570229488194638</v>
      </c>
      <c r="BG233" s="544">
        <v>-8.244784479810896E-2</v>
      </c>
      <c r="BH233" s="544">
        <v>-0.14327469989766684</v>
      </c>
      <c r="BI233" s="544">
        <v>-0.26525336663627086</v>
      </c>
      <c r="BJ233" s="544">
        <v>-0.13915404478587301</v>
      </c>
      <c r="BK233" s="544">
        <v>-0.71433438379498093</v>
      </c>
    </row>
    <row r="234" spans="1:63" ht="14.25" customHeight="1" x14ac:dyDescent="0.35">
      <c r="A234" s="42" t="s">
        <v>83</v>
      </c>
      <c r="B234" s="544">
        <v>-0.39571897693158997</v>
      </c>
      <c r="C234" s="544">
        <v>-0.39571897693158997</v>
      </c>
      <c r="D234" s="544">
        <v>-0.44547509671180407</v>
      </c>
      <c r="E234" s="544">
        <v>-0.49243654822334293</v>
      </c>
      <c r="F234" s="544">
        <v>-0.32862829067997423</v>
      </c>
      <c r="G234" s="544">
        <v>-0.32862829067997423</v>
      </c>
      <c r="H234" s="544">
        <v>-0.32862829067997423</v>
      </c>
      <c r="I234" s="544">
        <v>0</v>
      </c>
      <c r="J234" s="544">
        <v>0</v>
      </c>
      <c r="K234" s="544">
        <v>-0.32862829067997423</v>
      </c>
      <c r="L234" s="544">
        <v>-0.32862829067997423</v>
      </c>
      <c r="M234" s="544">
        <v>0</v>
      </c>
      <c r="N234" s="544">
        <v>-0.32862829067997423</v>
      </c>
      <c r="O234" s="544">
        <v>-0.32862829067997423</v>
      </c>
      <c r="P234" s="544">
        <v>-0.32862829067997423</v>
      </c>
      <c r="Q234" s="544">
        <v>-0.32862829067997423</v>
      </c>
      <c r="R234" s="544">
        <v>-0.32862829067997412</v>
      </c>
      <c r="S234" s="544">
        <v>-0.24116114111630971</v>
      </c>
      <c r="T234" s="544">
        <v>-0.2585300769933806</v>
      </c>
      <c r="U234" s="544">
        <v>-0.41656933088603354</v>
      </c>
      <c r="V234" s="544">
        <v>-0.41656933088603365</v>
      </c>
      <c r="W234" s="544">
        <v>-0.19367412783844329</v>
      </c>
      <c r="X234" s="544">
        <v>-0.21518105802385212</v>
      </c>
      <c r="Y234" s="544">
        <v>-0.21346871141459212</v>
      </c>
      <c r="Z234" s="544">
        <v>0</v>
      </c>
      <c r="AA234" s="544">
        <v>-0.24112586641706457</v>
      </c>
      <c r="AB234" s="544">
        <v>-0.21342248063462144</v>
      </c>
      <c r="AC234" s="544">
        <v>-0.26784494535519121</v>
      </c>
      <c r="AD234" s="544">
        <v>-0.33446618037135301</v>
      </c>
      <c r="AE234" s="544">
        <v>-0.23045170453996511</v>
      </c>
      <c r="AF234" s="544">
        <v>-0.28657833726488291</v>
      </c>
      <c r="AG234" s="544">
        <v>-0.2394688822746377</v>
      </c>
      <c r="AH234" s="544">
        <v>-0.23946888227463747</v>
      </c>
      <c r="AI234" s="544">
        <v>-0.2394688822746377</v>
      </c>
      <c r="AJ234" s="544">
        <v>-0.2394688822746377</v>
      </c>
      <c r="AK234" s="544">
        <v>-0.2394688822746377</v>
      </c>
      <c r="AL234" s="544">
        <v>-0.2394688822746377</v>
      </c>
      <c r="AM234" s="544">
        <v>-0.2394688822746377</v>
      </c>
      <c r="AN234" s="544">
        <v>0</v>
      </c>
      <c r="AO234" s="544">
        <v>-0.23946888227463781</v>
      </c>
      <c r="AP234" s="544">
        <v>-0.2394688822746377</v>
      </c>
      <c r="AQ234" s="544">
        <v>-0.2394688822746377</v>
      </c>
      <c r="AR234" s="544">
        <v>-0.23946888227463747</v>
      </c>
      <c r="AS234" s="544">
        <v>-0.19086249656435839</v>
      </c>
      <c r="AT234" s="544">
        <v>-0.22034991883674049</v>
      </c>
      <c r="AU234" s="544">
        <v>-0.17502638135412307</v>
      </c>
      <c r="AV234" s="544">
        <v>-0.22478964092359144</v>
      </c>
      <c r="AW234" s="544">
        <v>-0.22478964092359144</v>
      </c>
      <c r="AX234" s="544">
        <v>-0.22478964092359144</v>
      </c>
      <c r="AY234" s="544">
        <v>-0.22555600485240612</v>
      </c>
      <c r="AZ234" s="544">
        <v>-0.22555600485240623</v>
      </c>
      <c r="BA234" s="544">
        <v>-0.22803727348182268</v>
      </c>
      <c r="BB234" s="544">
        <v>-0.27928604835225845</v>
      </c>
      <c r="BC234" s="544">
        <v>-0.28226875208660474</v>
      </c>
      <c r="BD234" s="544">
        <v>-0.18593689750647102</v>
      </c>
      <c r="BE234" s="544">
        <v>-0.25440160828976688</v>
      </c>
      <c r="BF234" s="544">
        <v>-0.23919743094883739</v>
      </c>
      <c r="BG234" s="544">
        <v>-0.16058467209801663</v>
      </c>
      <c r="BH234" s="544">
        <v>-0.12120205318587818</v>
      </c>
      <c r="BI234" s="544">
        <v>-0.22887546377335966</v>
      </c>
      <c r="BJ234" s="544">
        <v>-0.18597096407453595</v>
      </c>
      <c r="BK234" s="544">
        <v>-0.54045245799552677</v>
      </c>
    </row>
    <row r="235" spans="1:63" ht="14.25" customHeight="1" x14ac:dyDescent="0.35">
      <c r="A235" s="42" t="s">
        <v>144</v>
      </c>
      <c r="B235" s="544">
        <v>-0.52694546543295218</v>
      </c>
      <c r="C235" s="544">
        <v>-0.52694546543295218</v>
      </c>
      <c r="D235" s="544">
        <v>-0.40802654042681963</v>
      </c>
      <c r="E235" s="544">
        <v>-0.53950580025235773</v>
      </c>
      <c r="F235" s="544">
        <v>-0.24480264860504442</v>
      </c>
      <c r="G235" s="544">
        <v>-0.24480264860504442</v>
      </c>
      <c r="H235" s="544">
        <v>-0.24480264860504442</v>
      </c>
      <c r="I235" s="544">
        <v>-0.22339590928252617</v>
      </c>
      <c r="J235" s="544">
        <v>-0.24480264860504442</v>
      </c>
      <c r="K235" s="544">
        <v>-0.24480264860504442</v>
      </c>
      <c r="L235" s="544">
        <v>-0.24480264860504442</v>
      </c>
      <c r="M235" s="544">
        <v>-0.22339590928252617</v>
      </c>
      <c r="N235" s="544">
        <v>-0.24480264860504442</v>
      </c>
      <c r="O235" s="544">
        <v>-0.24480264860504442</v>
      </c>
      <c r="P235" s="544">
        <v>-0.24480264860504442</v>
      </c>
      <c r="Q235" s="544">
        <v>-0.24480264860504442</v>
      </c>
      <c r="R235" s="544">
        <v>-0.2448026486050443</v>
      </c>
      <c r="S235" s="544">
        <v>-0.26290876306907263</v>
      </c>
      <c r="T235" s="544">
        <v>-0.27905873985158036</v>
      </c>
      <c r="U235" s="544">
        <v>-0.36191005273916621</v>
      </c>
      <c r="V235" s="544">
        <v>-0.36191005273916621</v>
      </c>
      <c r="W235" s="544">
        <v>-0.23130242911770027</v>
      </c>
      <c r="X235" s="544">
        <v>-0.17527019345698525</v>
      </c>
      <c r="Y235" s="544">
        <v>-0.33235812007046561</v>
      </c>
      <c r="Z235" s="544">
        <v>0</v>
      </c>
      <c r="AA235" s="544">
        <v>-0.21259572641424296</v>
      </c>
      <c r="AB235" s="544">
        <v>-0.23835574422019579</v>
      </c>
      <c r="AC235" s="544">
        <v>-0.46590744458978817</v>
      </c>
      <c r="AD235" s="544">
        <v>-0.32307315622873989</v>
      </c>
      <c r="AE235" s="544">
        <v>-0.22878693004556439</v>
      </c>
      <c r="AF235" s="544">
        <v>-0.52460900633281637</v>
      </c>
      <c r="AG235" s="544">
        <v>-0.25530889051570804</v>
      </c>
      <c r="AH235" s="544">
        <v>-0.25530889051570793</v>
      </c>
      <c r="AI235" s="544">
        <v>-0.25530889051570804</v>
      </c>
      <c r="AJ235" s="544">
        <v>-0.25530889051567018</v>
      </c>
      <c r="AK235" s="544">
        <v>-0.25530889051570804</v>
      </c>
      <c r="AL235" s="544">
        <v>-0.25530889051570804</v>
      </c>
      <c r="AM235" s="544">
        <v>-0.25530889051570804</v>
      </c>
      <c r="AN235" s="544">
        <v>-0.16108994147719657</v>
      </c>
      <c r="AO235" s="544">
        <v>-0.25530889051570815</v>
      </c>
      <c r="AP235" s="544">
        <v>-0.25530889051570804</v>
      </c>
      <c r="AQ235" s="544">
        <v>-0.25530889051570804</v>
      </c>
      <c r="AR235" s="544">
        <v>-0.25530889051570793</v>
      </c>
      <c r="AS235" s="544">
        <v>-0.18590308102288677</v>
      </c>
      <c r="AT235" s="544">
        <v>-0.27439416190583188</v>
      </c>
      <c r="AU235" s="544">
        <v>-0.30741598538625914</v>
      </c>
      <c r="AV235" s="544">
        <v>-0.3559753846203888</v>
      </c>
      <c r="AW235" s="544">
        <v>-0.3559753846203888</v>
      </c>
      <c r="AX235" s="544">
        <v>-0.3559753846203888</v>
      </c>
      <c r="AY235" s="544">
        <v>-0.25301825484188678</v>
      </c>
      <c r="AZ235" s="544">
        <v>-0.253018254841887</v>
      </c>
      <c r="BA235" s="544">
        <v>-0.22921568440798745</v>
      </c>
      <c r="BB235" s="544">
        <v>-0.42772275727259457</v>
      </c>
      <c r="BC235" s="544">
        <v>-0.48632559342045434</v>
      </c>
      <c r="BD235" s="544">
        <v>-0.24643788507918052</v>
      </c>
      <c r="BE235" s="544">
        <v>-0.42694654531522613</v>
      </c>
      <c r="BF235" s="544">
        <v>-0.27313089587752648</v>
      </c>
      <c r="BG235" s="544">
        <v>-0.20812078579703008</v>
      </c>
      <c r="BH235" s="544">
        <v>-0.3077281421678999</v>
      </c>
      <c r="BI235" s="544">
        <v>-0.32514653206614608</v>
      </c>
      <c r="BJ235" s="544">
        <v>-0.32226713388051365</v>
      </c>
      <c r="BK235" s="544">
        <v>0</v>
      </c>
    </row>
    <row r="236" spans="1:63" ht="14.25" customHeight="1" x14ac:dyDescent="0.35">
      <c r="A236" s="42" t="s">
        <v>164</v>
      </c>
      <c r="B236" s="544">
        <v>0</v>
      </c>
      <c r="C236" s="544">
        <v>0</v>
      </c>
      <c r="D236" s="544">
        <v>-7.4401526982765254E-2</v>
      </c>
      <c r="E236" s="544">
        <v>-0.14411989179183293</v>
      </c>
      <c r="F236" s="544">
        <v>-0.12765767890273927</v>
      </c>
      <c r="G236" s="544">
        <v>-0.12765767890273927</v>
      </c>
      <c r="H236" s="544">
        <v>-0.12765767890273927</v>
      </c>
      <c r="I236" s="544">
        <v>-0.10293036142309486</v>
      </c>
      <c r="J236" s="544">
        <v>-0.12765767890273927</v>
      </c>
      <c r="K236" s="544">
        <v>-0.12765767890273927</v>
      </c>
      <c r="L236" s="544">
        <v>-0.12765767890273927</v>
      </c>
      <c r="M236" s="544">
        <v>-0.10293036142309486</v>
      </c>
      <c r="N236" s="544">
        <v>-0.12765767890273927</v>
      </c>
      <c r="O236" s="544">
        <v>-0.12765767890273927</v>
      </c>
      <c r="P236" s="544">
        <v>-0.12765767890273927</v>
      </c>
      <c r="Q236" s="544">
        <v>-0.12765767890273927</v>
      </c>
      <c r="R236" s="544">
        <v>-0.12765767890273916</v>
      </c>
      <c r="S236" s="544">
        <v>-0.14086961771397155</v>
      </c>
      <c r="T236" s="544">
        <v>-0.10883022805268938</v>
      </c>
      <c r="U236" s="544">
        <v>-0.21391639690540165</v>
      </c>
      <c r="V236" s="544">
        <v>-0.21391639690540165</v>
      </c>
      <c r="W236" s="544">
        <v>-0.17297259210861082</v>
      </c>
      <c r="X236" s="544">
        <v>-8.2327829016314302E-3</v>
      </c>
      <c r="Y236" s="544">
        <v>0</v>
      </c>
      <c r="Z236" s="544">
        <v>0</v>
      </c>
      <c r="AA236" s="544">
        <v>-0.15832854257753781</v>
      </c>
      <c r="AB236" s="544">
        <v>-0.35861083657684556</v>
      </c>
      <c r="AC236" s="544">
        <v>-0.318584033875428</v>
      </c>
      <c r="AD236" s="544">
        <v>-0.47807625132770482</v>
      </c>
      <c r="AE236" s="544">
        <v>-0.24493625766469695</v>
      </c>
      <c r="AF236" s="544">
        <v>-9.4142278880108843E-2</v>
      </c>
      <c r="AG236" s="544">
        <v>-0.3124315933557491</v>
      </c>
      <c r="AH236" s="544">
        <v>-0.31243159335574899</v>
      </c>
      <c r="AI236" s="544">
        <v>-0.3124315933557491</v>
      </c>
      <c r="AJ236" s="544">
        <v>-0.3124315933557491</v>
      </c>
      <c r="AK236" s="544">
        <v>-0.3124315933557491</v>
      </c>
      <c r="AL236" s="544">
        <v>-0.3124315933557491</v>
      </c>
      <c r="AM236" s="544">
        <v>-0.3124315933557491</v>
      </c>
      <c r="AN236" s="544">
        <v>-0.22543985699546476</v>
      </c>
      <c r="AO236" s="544">
        <v>-0.31243159335574922</v>
      </c>
      <c r="AP236" s="544">
        <v>-0.3124315933557491</v>
      </c>
      <c r="AQ236" s="544">
        <v>-0.3124315933557491</v>
      </c>
      <c r="AR236" s="544">
        <v>-0.31243159335574899</v>
      </c>
      <c r="AS236" s="544">
        <v>-0.1813751716668266</v>
      </c>
      <c r="AT236" s="544">
        <v>0</v>
      </c>
      <c r="AU236" s="544">
        <v>-0.17184811320099891</v>
      </c>
      <c r="AV236" s="544">
        <v>-0.23243919146120984</v>
      </c>
      <c r="AW236" s="544">
        <v>-0.23243919146120984</v>
      </c>
      <c r="AX236" s="544">
        <v>-0.23243919146120984</v>
      </c>
      <c r="AY236" s="544">
        <v>-0.13393261110817511</v>
      </c>
      <c r="AZ236" s="544">
        <v>-0.13393261110817511</v>
      </c>
      <c r="BA236" s="544">
        <v>-0.15522850289121171</v>
      </c>
      <c r="BB236" s="544">
        <v>-0.32200928406099538</v>
      </c>
      <c r="BC236" s="544">
        <v>-0.28896418954431702</v>
      </c>
      <c r="BD236" s="544">
        <v>-0.32308038920516791</v>
      </c>
      <c r="BE236" s="544">
        <v>-0.57093603689426331</v>
      </c>
      <c r="BF236" s="544">
        <v>-0.31945700946939415</v>
      </c>
      <c r="BG236" s="544">
        <v>-0.15906011045725299</v>
      </c>
      <c r="BH236" s="544">
        <v>-0.26030648262565925</v>
      </c>
      <c r="BI236" s="544">
        <v>-0.32356379185610828</v>
      </c>
      <c r="BJ236" s="544">
        <v>-0.30809025812624147</v>
      </c>
      <c r="BK236" s="544">
        <v>-0.59276831045712086</v>
      </c>
    </row>
    <row r="237" spans="1:63" ht="14.25" customHeight="1" x14ac:dyDescent="0.35">
      <c r="A237" s="42" t="s">
        <v>145</v>
      </c>
      <c r="B237" s="544">
        <v>-0.38323873775851169</v>
      </c>
      <c r="C237" s="544">
        <v>-0.3832387377585118</v>
      </c>
      <c r="D237" s="544">
        <v>-0.43412093354404468</v>
      </c>
      <c r="E237" s="544">
        <v>-0.48191875912667426</v>
      </c>
      <c r="F237" s="544">
        <v>-0.36577712910841886</v>
      </c>
      <c r="G237" s="544">
        <v>-0.36577712910841886</v>
      </c>
      <c r="H237" s="544">
        <v>-0.36577712910841886</v>
      </c>
      <c r="I237" s="544">
        <v>0</v>
      </c>
      <c r="J237" s="544">
        <v>-0.36577712910841886</v>
      </c>
      <c r="K237" s="544">
        <v>-0.36577712910841886</v>
      </c>
      <c r="L237" s="544">
        <v>-0.36577712910841886</v>
      </c>
      <c r="M237" s="544">
        <v>0</v>
      </c>
      <c r="N237" s="544">
        <v>-0.36577712910841886</v>
      </c>
      <c r="O237" s="544">
        <v>-0.36577712910841886</v>
      </c>
      <c r="P237" s="544">
        <v>-0.36577712910841886</v>
      </c>
      <c r="Q237" s="544">
        <v>-0.36577712910841886</v>
      </c>
      <c r="R237" s="544">
        <v>-0.36577712910841875</v>
      </c>
      <c r="S237" s="544">
        <v>-0.40200665749743325</v>
      </c>
      <c r="T237" s="544">
        <v>-0.40404986108475027</v>
      </c>
      <c r="U237" s="544">
        <v>-0.50966312098735234</v>
      </c>
      <c r="V237" s="544">
        <v>-0.50966312098735234</v>
      </c>
      <c r="W237" s="544">
        <v>-0.34010411237299076</v>
      </c>
      <c r="X237" s="544">
        <v>-0.34395628797233768</v>
      </c>
      <c r="Y237" s="544">
        <v>-0.33844546365936368</v>
      </c>
      <c r="Z237" s="544">
        <v>0</v>
      </c>
      <c r="AA237" s="544">
        <v>-0.35847103443806949</v>
      </c>
      <c r="AB237" s="544">
        <v>-0.38791754843523729</v>
      </c>
      <c r="AC237" s="544">
        <v>-0.45641106160701639</v>
      </c>
      <c r="AD237" s="544">
        <v>-0.47233874331489656</v>
      </c>
      <c r="AE237" s="544">
        <v>-0.36792893935879312</v>
      </c>
      <c r="AF237" s="544">
        <v>-0.42420984042689402</v>
      </c>
      <c r="AG237" s="544">
        <v>-0.39900057408086387</v>
      </c>
      <c r="AH237" s="544">
        <v>-0.39900057408086365</v>
      </c>
      <c r="AI237" s="544">
        <v>-0.39900057408086376</v>
      </c>
      <c r="AJ237" s="544">
        <v>-0.39900057408086398</v>
      </c>
      <c r="AK237" s="544">
        <v>-0.39900057408086376</v>
      </c>
      <c r="AL237" s="544">
        <v>-0.39900057408086387</v>
      </c>
      <c r="AM237" s="544">
        <v>-0.39900057408086387</v>
      </c>
      <c r="AN237" s="544">
        <v>0</v>
      </c>
      <c r="AO237" s="544">
        <v>-0.39900057408086387</v>
      </c>
      <c r="AP237" s="544">
        <v>-0.39900057408086376</v>
      </c>
      <c r="AQ237" s="544">
        <v>-0.39900057408086387</v>
      </c>
      <c r="AR237" s="544">
        <v>-0.39900057408086376</v>
      </c>
      <c r="AS237" s="544">
        <v>-0.34211390252752472</v>
      </c>
      <c r="AT237" s="544">
        <v>-0.3723767624943749</v>
      </c>
      <c r="AU237" s="544">
        <v>-0.4866335203678277</v>
      </c>
      <c r="AV237" s="544">
        <v>-0.45006210892945531</v>
      </c>
      <c r="AW237" s="544">
        <v>-0.45006210892945531</v>
      </c>
      <c r="AX237" s="544">
        <v>-0.45006210892945531</v>
      </c>
      <c r="AY237" s="544">
        <v>-0.45069378066150623</v>
      </c>
      <c r="AZ237" s="544">
        <v>-0.45069378066150623</v>
      </c>
      <c r="BA237" s="544">
        <v>-0.45230643641626689</v>
      </c>
      <c r="BB237" s="544">
        <v>-0.60429469282839254</v>
      </c>
      <c r="BC237" s="544">
        <v>-0.43990068310682617</v>
      </c>
      <c r="BD237" s="544">
        <v>-0.39503685643170994</v>
      </c>
      <c r="BE237" s="544">
        <v>-0.48862677426412393</v>
      </c>
      <c r="BF237" s="544">
        <v>-0.48029070912789373</v>
      </c>
      <c r="BG237" s="544">
        <v>-0.37549854562359908</v>
      </c>
      <c r="BH237" s="544">
        <v>-0.47593907368905719</v>
      </c>
      <c r="BI237" s="544">
        <v>-0.56893818186854439</v>
      </c>
      <c r="BJ237" s="544">
        <v>-0.51893004644284235</v>
      </c>
      <c r="BK237" s="544">
        <v>0</v>
      </c>
    </row>
    <row r="238" spans="1:63" ht="14.25" customHeight="1" x14ac:dyDescent="0.35">
      <c r="A238" s="42" t="s">
        <v>87</v>
      </c>
      <c r="B238" s="544">
        <v>-0.25480316070190323</v>
      </c>
      <c r="C238" s="544">
        <v>-0.25480316070190323</v>
      </c>
      <c r="D238" s="544">
        <v>-0.3162752108374417</v>
      </c>
      <c r="E238" s="544">
        <v>-0.37401530679524275</v>
      </c>
      <c r="F238" s="544">
        <v>-0.24581258061382893</v>
      </c>
      <c r="G238" s="544">
        <v>-0.24581258061382893</v>
      </c>
      <c r="H238" s="544">
        <v>-0.24581258061382893</v>
      </c>
      <c r="I238" s="544">
        <v>-0.22443446871062767</v>
      </c>
      <c r="J238" s="544">
        <v>-0.24581258061382893</v>
      </c>
      <c r="K238" s="544">
        <v>-0.24581258061382893</v>
      </c>
      <c r="L238" s="544">
        <v>-0.24581258061382893</v>
      </c>
      <c r="M238" s="544">
        <v>-0.22443446871062767</v>
      </c>
      <c r="N238" s="544">
        <v>-0.24581258061382893</v>
      </c>
      <c r="O238" s="544">
        <v>-0.24581258061382893</v>
      </c>
      <c r="P238" s="544">
        <v>-0.24581258061382893</v>
      </c>
      <c r="Q238" s="544">
        <v>-0.24581258061382893</v>
      </c>
      <c r="R238" s="544">
        <v>-0.24581258061382882</v>
      </c>
      <c r="S238" s="544">
        <v>-0.33699220336903046</v>
      </c>
      <c r="T238" s="544">
        <v>-0.34620827449195413</v>
      </c>
      <c r="U238" s="544">
        <v>-0.48064105405776547</v>
      </c>
      <c r="V238" s="544">
        <v>-0.48064105405776547</v>
      </c>
      <c r="W238" s="544">
        <v>-0.33030817451041505</v>
      </c>
      <c r="X238" s="544">
        <v>-0.31856555312693469</v>
      </c>
      <c r="Y238" s="544">
        <v>-0.31734317966500281</v>
      </c>
      <c r="Z238" s="544">
        <v>0</v>
      </c>
      <c r="AA238" s="544">
        <v>-0.33891652077878065</v>
      </c>
      <c r="AB238" s="544">
        <v>-0.33435542729628431</v>
      </c>
      <c r="AC238" s="544">
        <v>-0.40885743067355851</v>
      </c>
      <c r="AD238" s="544">
        <v>-0.42003301887594346</v>
      </c>
      <c r="AE238" s="544">
        <v>-0.33760471268276726</v>
      </c>
      <c r="AF238" s="544">
        <v>-0.37973472832854205</v>
      </c>
      <c r="AG238" s="544">
        <v>-0.40030247255535067</v>
      </c>
      <c r="AH238" s="544">
        <v>-0.40030247255535056</v>
      </c>
      <c r="AI238" s="544">
        <v>-0.40030247255535067</v>
      </c>
      <c r="AJ238" s="544">
        <v>-0.40030247255535067</v>
      </c>
      <c r="AK238" s="544">
        <v>-0.40030247255535067</v>
      </c>
      <c r="AL238" s="544">
        <v>-0.40030247255535067</v>
      </c>
      <c r="AM238" s="544">
        <v>-0.40030247255535067</v>
      </c>
      <c r="AN238" s="544">
        <v>-0.32442823415339406</v>
      </c>
      <c r="AO238" s="544">
        <v>-0.40030247255535067</v>
      </c>
      <c r="AP238" s="544">
        <v>-0.40030247255535067</v>
      </c>
      <c r="AQ238" s="544">
        <v>-0.40030247255535067</v>
      </c>
      <c r="AR238" s="544">
        <v>0</v>
      </c>
      <c r="AS238" s="544">
        <v>-0.34419114247667026</v>
      </c>
      <c r="AT238" s="544">
        <v>-0.31382289646130179</v>
      </c>
      <c r="AU238" s="544">
        <v>-0.42978446821776917</v>
      </c>
      <c r="AV238" s="544">
        <v>-0.41172692811033829</v>
      </c>
      <c r="AW238" s="544">
        <v>-0.41172692811033829</v>
      </c>
      <c r="AX238" s="544">
        <v>-0.41172692811033829</v>
      </c>
      <c r="AY238" s="544">
        <v>-0.41230996391228458</v>
      </c>
      <c r="AZ238" s="544">
        <v>-0.41230996391228458</v>
      </c>
      <c r="BA238" s="544">
        <v>-0.41318826429812794</v>
      </c>
      <c r="BB238" s="544">
        <v>-0.54597142810195876</v>
      </c>
      <c r="BC238" s="544">
        <v>-0.38096675243563161</v>
      </c>
      <c r="BD238" s="544">
        <v>-0.31066665709053509</v>
      </c>
      <c r="BE238" s="544">
        <v>-0.41731575759226769</v>
      </c>
      <c r="BF238" s="544">
        <v>-0.3947501489007591</v>
      </c>
      <c r="BG238" s="544">
        <v>-0.49083766124707462</v>
      </c>
      <c r="BH238" s="544">
        <v>-0.35831717691455534</v>
      </c>
      <c r="BI238" s="544">
        <v>-0.40277306366790544</v>
      </c>
      <c r="BJ238" s="544">
        <v>-0.42297474544890101</v>
      </c>
      <c r="BK238" s="544">
        <v>-0.73893301492626784</v>
      </c>
    </row>
    <row r="239" spans="1:63" ht="14.25" customHeight="1" x14ac:dyDescent="0.35">
      <c r="A239" s="42" t="s">
        <v>146</v>
      </c>
      <c r="B239" s="544">
        <v>-0.21250017133730126</v>
      </c>
      <c r="C239" s="544">
        <v>-0.21250017133730137</v>
      </c>
      <c r="D239" s="544">
        <v>0</v>
      </c>
      <c r="E239" s="544">
        <v>0</v>
      </c>
      <c r="F239" s="544">
        <v>-2.3762673201536355E-2</v>
      </c>
      <c r="G239" s="544">
        <v>-2.3762673201536355E-2</v>
      </c>
      <c r="H239" s="544">
        <v>-2.3762673201536355E-2</v>
      </c>
      <c r="I239" s="544">
        <v>0</v>
      </c>
      <c r="J239" s="544">
        <v>-2.3762673201536355E-2</v>
      </c>
      <c r="K239" s="544">
        <v>-2.3762673201536355E-2</v>
      </c>
      <c r="L239" s="544">
        <v>-2.3762673201536355E-2</v>
      </c>
      <c r="M239" s="544">
        <v>0</v>
      </c>
      <c r="N239" s="544">
        <v>-2.3762673201536355E-2</v>
      </c>
      <c r="O239" s="544">
        <v>-2.3762673201536355E-2</v>
      </c>
      <c r="P239" s="544">
        <v>-2.3762673201536355E-2</v>
      </c>
      <c r="Q239" s="544">
        <v>-2.3762673201536355E-2</v>
      </c>
      <c r="R239" s="544">
        <v>-2.3762673201536133E-2</v>
      </c>
      <c r="S239" s="544">
        <v>-5.042286310080657E-2</v>
      </c>
      <c r="T239" s="544">
        <v>-0.28391569636813074</v>
      </c>
      <c r="U239" s="544">
        <v>-0.17733934891520209</v>
      </c>
      <c r="V239" s="544">
        <v>-0.17733934891520209</v>
      </c>
      <c r="W239" s="544">
        <v>0</v>
      </c>
      <c r="X239" s="544">
        <v>0</v>
      </c>
      <c r="Y239" s="544">
        <v>-1.5192267099098933E-2</v>
      </c>
      <c r="Z239" s="544">
        <v>0</v>
      </c>
      <c r="AA239" s="544">
        <v>0</v>
      </c>
      <c r="AB239" s="544">
        <v>-6.0161900802177093E-2</v>
      </c>
      <c r="AC239" s="544">
        <v>0</v>
      </c>
      <c r="AD239" s="544">
        <v>-0.12242342472428036</v>
      </c>
      <c r="AE239" s="544">
        <v>0</v>
      </c>
      <c r="AF239" s="544">
        <v>-0.20434539030990861</v>
      </c>
      <c r="AG239" s="544">
        <v>0</v>
      </c>
      <c r="AH239" s="544">
        <v>0</v>
      </c>
      <c r="AI239" s="544">
        <v>0</v>
      </c>
      <c r="AJ239" s="544">
        <v>0</v>
      </c>
      <c r="AK239" s="544">
        <v>0</v>
      </c>
      <c r="AL239" s="544">
        <v>0</v>
      </c>
      <c r="AM239" s="544">
        <v>0</v>
      </c>
      <c r="AN239" s="544">
        <v>0</v>
      </c>
      <c r="AO239" s="544">
        <v>0</v>
      </c>
      <c r="AP239" s="544">
        <v>0</v>
      </c>
      <c r="AQ239" s="544">
        <v>0</v>
      </c>
      <c r="AR239" s="544">
        <v>0</v>
      </c>
      <c r="AS239" s="544">
        <v>0</v>
      </c>
      <c r="AT239" s="544">
        <v>-0.2826030077166074</v>
      </c>
      <c r="AU239" s="544">
        <v>-0.34347192945342253</v>
      </c>
      <c r="AV239" s="544">
        <v>-0.14340837529084205</v>
      </c>
      <c r="AW239" s="544">
        <v>-0.14340837529084205</v>
      </c>
      <c r="AX239" s="544">
        <v>-0.14340837529084205</v>
      </c>
      <c r="AY239" s="544">
        <v>-0.14426311316052787</v>
      </c>
      <c r="AZ239" s="544">
        <v>-0.14426311316052787</v>
      </c>
      <c r="BA239" s="544">
        <v>-0.14700118262358242</v>
      </c>
      <c r="BB239" s="544">
        <v>-0.45726029795749179</v>
      </c>
      <c r="BC239" s="544">
        <v>-3.9247079262913598E-2</v>
      </c>
      <c r="BD239" s="544">
        <v>-0.16391890488321692</v>
      </c>
      <c r="BE239" s="544">
        <v>-0.34341545226022874</v>
      </c>
      <c r="BF239" s="544">
        <v>-0.44112249785454261</v>
      </c>
      <c r="BG239" s="544">
        <v>0</v>
      </c>
      <c r="BH239" s="544">
        <v>-0.14280616305835048</v>
      </c>
      <c r="BI239" s="544">
        <v>-0.24988844279504541</v>
      </c>
      <c r="BJ239" s="544">
        <v>-0.37304211147181798</v>
      </c>
      <c r="BK239" s="544">
        <v>0</v>
      </c>
    </row>
    <row r="240" spans="1:63" ht="14.25" customHeight="1" x14ac:dyDescent="0.35">
      <c r="A240" s="42" t="s">
        <v>89</v>
      </c>
      <c r="B240" s="544">
        <v>-0.51821938449492488</v>
      </c>
      <c r="C240" s="544">
        <v>-0.51821938449492488</v>
      </c>
      <c r="D240" s="544">
        <v>-0.3359042365985635</v>
      </c>
      <c r="E240" s="544">
        <v>-0.40156589497114448</v>
      </c>
      <c r="F240" s="544">
        <v>-0.33008521054039841</v>
      </c>
      <c r="G240" s="544">
        <v>-0.33008521054039841</v>
      </c>
      <c r="H240" s="544">
        <v>-0.3300852105403983</v>
      </c>
      <c r="I240" s="544">
        <v>-0.3110958811422323</v>
      </c>
      <c r="J240" s="544">
        <v>-0.33008521054039841</v>
      </c>
      <c r="K240" s="544">
        <v>-0.33008521054039841</v>
      </c>
      <c r="L240" s="544">
        <v>-0.33008521054039841</v>
      </c>
      <c r="M240" s="544">
        <v>-0.3110958811422323</v>
      </c>
      <c r="N240" s="544">
        <v>-0.33008521054039841</v>
      </c>
      <c r="O240" s="544">
        <v>-0.33008521054039841</v>
      </c>
      <c r="P240" s="544">
        <v>-0.33008521054039841</v>
      </c>
      <c r="Q240" s="544">
        <v>-0.33008521054039841</v>
      </c>
      <c r="R240" s="544">
        <v>-0.3300852105403983</v>
      </c>
      <c r="S240" s="544">
        <v>-0.2814674319569358</v>
      </c>
      <c r="T240" s="544">
        <v>-0.40357057206491087</v>
      </c>
      <c r="U240" s="544">
        <v>-0.49889854100163389</v>
      </c>
      <c r="V240" s="544">
        <v>-0.49889854100163389</v>
      </c>
      <c r="W240" s="544">
        <v>-0.42153847393869792</v>
      </c>
      <c r="X240" s="544">
        <v>-0.39423397954600825</v>
      </c>
      <c r="Y240" s="544">
        <v>-0.28926665187301759</v>
      </c>
      <c r="Z240" s="544">
        <v>0</v>
      </c>
      <c r="AA240" s="544">
        <v>-0.45710569950670998</v>
      </c>
      <c r="AB240" s="544">
        <v>-0.35844607269980577</v>
      </c>
      <c r="AC240" s="544">
        <v>-0.50433438326201707</v>
      </c>
      <c r="AD240" s="544">
        <v>-0.38541043514534845</v>
      </c>
      <c r="AE240" s="544">
        <v>-0.24222085472961341</v>
      </c>
      <c r="AF240" s="544">
        <v>-0.45154434184716163</v>
      </c>
      <c r="AG240" s="544">
        <v>-0.25638616211838727</v>
      </c>
      <c r="AH240" s="544">
        <v>-0.25638616211838727</v>
      </c>
      <c r="AI240" s="544">
        <v>-0.25638616211838727</v>
      </c>
      <c r="AJ240" s="544">
        <v>-0.25638616211838727</v>
      </c>
      <c r="AK240" s="544">
        <v>-0.25638616211838727</v>
      </c>
      <c r="AL240" s="544">
        <v>-0.25638616211838738</v>
      </c>
      <c r="AM240" s="544">
        <v>-0.25638616211838727</v>
      </c>
      <c r="AN240" s="544">
        <v>-0.16230351039421298</v>
      </c>
      <c r="AO240" s="544">
        <v>-0.25638616211838738</v>
      </c>
      <c r="AP240" s="544">
        <v>-0.25638616211838727</v>
      </c>
      <c r="AQ240" s="544">
        <v>-0.25638616211838738</v>
      </c>
      <c r="AR240" s="544">
        <v>-0.25638616211838716</v>
      </c>
      <c r="AS240" s="544">
        <v>-0.24994718320589093</v>
      </c>
      <c r="AT240" s="544">
        <v>-0.28314320085410094</v>
      </c>
      <c r="AU240" s="544">
        <v>-0.25225308601166219</v>
      </c>
      <c r="AV240" s="544">
        <v>-0.34624039201685464</v>
      </c>
      <c r="AW240" s="544">
        <v>-0.34624039201685464</v>
      </c>
      <c r="AX240" s="544">
        <v>-0.34624039201685464</v>
      </c>
      <c r="AY240" s="544">
        <v>-0.1340701808068564</v>
      </c>
      <c r="AZ240" s="544">
        <v>-0.1340701808068564</v>
      </c>
      <c r="BA240" s="544">
        <v>-6.9107085544913849E-2</v>
      </c>
      <c r="BB240" s="544">
        <v>-0.44108703594362186</v>
      </c>
      <c r="BC240" s="544">
        <v>-0.26039023804468309</v>
      </c>
      <c r="BD240" s="544">
        <v>-0.17012780947461159</v>
      </c>
      <c r="BE240" s="544">
        <v>-0.32657709378579192</v>
      </c>
      <c r="BF240" s="544">
        <v>-0.26571376216226206</v>
      </c>
      <c r="BG240" s="544">
        <v>-0.18194803526379855</v>
      </c>
      <c r="BH240" s="544">
        <v>-0.22612662867543309</v>
      </c>
      <c r="BI240" s="544">
        <v>-0.34396351183175178</v>
      </c>
      <c r="BJ240" s="544">
        <v>-0.30663043758818298</v>
      </c>
      <c r="BK240" s="544">
        <v>-0.69478826232915725</v>
      </c>
    </row>
    <row r="241" spans="1:87" ht="14.25" customHeight="1" x14ac:dyDescent="0.35">
      <c r="A241" s="42" t="s">
        <v>90</v>
      </c>
      <c r="B241" s="544">
        <v>-0.28181510990444625</v>
      </c>
      <c r="C241" s="544">
        <v>-0.28181510990444625</v>
      </c>
      <c r="D241" s="544">
        <v>-0.32637906670942896</v>
      </c>
      <c r="E241" s="544">
        <v>-0.31871409959831976</v>
      </c>
      <c r="F241" s="544">
        <v>-0.18493161798936109</v>
      </c>
      <c r="G241" s="544">
        <v>-0.18493161798936109</v>
      </c>
      <c r="H241" s="544">
        <v>-0.18493161798936109</v>
      </c>
      <c r="I241" s="544">
        <v>-0.16182778115585028</v>
      </c>
      <c r="J241" s="544">
        <v>-0.18493161798936109</v>
      </c>
      <c r="K241" s="544">
        <v>-0.18493161798936109</v>
      </c>
      <c r="L241" s="544">
        <v>-0.18493161798936109</v>
      </c>
      <c r="M241" s="544">
        <v>-0.16182778115585028</v>
      </c>
      <c r="N241" s="544">
        <v>-0.18493161798936109</v>
      </c>
      <c r="O241" s="544">
        <v>-0.18493161798936109</v>
      </c>
      <c r="P241" s="544">
        <v>-0.18493161798936109</v>
      </c>
      <c r="Q241" s="544">
        <v>-0.18493161798936109</v>
      </c>
      <c r="R241" s="544">
        <v>-0.18493161798936097</v>
      </c>
      <c r="S241" s="544">
        <v>-0.21845675797368547</v>
      </c>
      <c r="T241" s="544">
        <v>-0.23053344848997726</v>
      </c>
      <c r="U241" s="544">
        <v>-0.32805472636593858</v>
      </c>
      <c r="V241" s="544">
        <v>-0.32805472636593858</v>
      </c>
      <c r="W241" s="544">
        <v>-0.17844588150868845</v>
      </c>
      <c r="X241" s="544">
        <v>-0.18023224076635658</v>
      </c>
      <c r="Y241" s="544">
        <v>-0.17907745289585553</v>
      </c>
      <c r="Z241" s="544">
        <v>0</v>
      </c>
      <c r="AA241" s="544">
        <v>-0.18900552852062191</v>
      </c>
      <c r="AB241" s="544">
        <v>-0.16913618521231144</v>
      </c>
      <c r="AC241" s="544">
        <v>-0.28031699468127258</v>
      </c>
      <c r="AD241" s="544">
        <v>-0.29706587708312193</v>
      </c>
      <c r="AE241" s="544">
        <v>-0.19945452767988758</v>
      </c>
      <c r="AF241" s="544">
        <v>-0.27859195354843214</v>
      </c>
      <c r="AG241" s="544">
        <v>-0.20462768725685754</v>
      </c>
      <c r="AH241" s="544">
        <v>-0.20462768725685743</v>
      </c>
      <c r="AI241" s="544">
        <v>-0.20462768725685754</v>
      </c>
      <c r="AJ241" s="544">
        <v>-0.20462768725685754</v>
      </c>
      <c r="AK241" s="544">
        <v>-0.20462768725685754</v>
      </c>
      <c r="AL241" s="544">
        <v>-0.20462768725685754</v>
      </c>
      <c r="AM241" s="544">
        <v>-0.20462768725685765</v>
      </c>
      <c r="AN241" s="544">
        <v>-0.10399650951541051</v>
      </c>
      <c r="AO241" s="544">
        <v>-0.20462768725685754</v>
      </c>
      <c r="AP241" s="544">
        <v>-0.20462768725685754</v>
      </c>
      <c r="AQ241" s="544">
        <v>-0.20462768725685754</v>
      </c>
      <c r="AR241" s="544">
        <v>-0.20462768725685754</v>
      </c>
      <c r="AS241" s="544">
        <v>-0.11856936000007035</v>
      </c>
      <c r="AT241" s="544">
        <v>-0.16471274306283135</v>
      </c>
      <c r="AU241" s="544">
        <v>-0.27203094385117599</v>
      </c>
      <c r="AV241" s="544">
        <v>-0.21106280363906571</v>
      </c>
      <c r="AW241" s="544">
        <v>-0.21106280363906571</v>
      </c>
      <c r="AX241" s="544">
        <v>-0.21106280363906571</v>
      </c>
      <c r="AY241" s="544">
        <v>-0.23560530822458869</v>
      </c>
      <c r="AZ241" s="544">
        <v>-0.23560530822458858</v>
      </c>
      <c r="BA241" s="544">
        <v>-0.19771156773963561</v>
      </c>
      <c r="BB241" s="544">
        <v>-0.43234009797743833</v>
      </c>
      <c r="BC241" s="544">
        <v>-0.240296883893521</v>
      </c>
      <c r="BD241" s="544">
        <v>-0.18937344987532312</v>
      </c>
      <c r="BE241" s="544">
        <v>-0.31699863197753808</v>
      </c>
      <c r="BF241" s="544">
        <v>-0.23854062944071419</v>
      </c>
      <c r="BG241" s="544">
        <v>-0.17072557330021088</v>
      </c>
      <c r="BH241" s="544">
        <v>-0.27736664026444535</v>
      </c>
      <c r="BI241" s="544">
        <v>-0.23449412469864039</v>
      </c>
      <c r="BJ241" s="544">
        <v>-0.26457178512835455</v>
      </c>
      <c r="BK241" s="544">
        <v>-0.69987140065044895</v>
      </c>
    </row>
    <row r="243" spans="1:87" ht="14.25" customHeight="1" x14ac:dyDescent="0.35">
      <c r="A243" s="370" t="s">
        <v>1175</v>
      </c>
      <c r="B243" s="2"/>
    </row>
    <row r="244" spans="1:87" ht="14.25" customHeight="1" x14ac:dyDescent="0.35">
      <c r="A244" s="34" t="s">
        <v>1223</v>
      </c>
      <c r="B244" s="2"/>
    </row>
    <row r="245" spans="1:87" ht="14.25" customHeight="1" x14ac:dyDescent="0.35">
      <c r="A245" s="38" t="s">
        <v>1211</v>
      </c>
      <c r="B245" s="9" t="s">
        <v>169</v>
      </c>
    </row>
    <row r="246" spans="1:87" ht="14.25" customHeight="1" x14ac:dyDescent="0.35">
      <c r="A246" s="271">
        <v>0</v>
      </c>
      <c r="B246" s="272" t="s">
        <v>1218</v>
      </c>
    </row>
    <row r="247" spans="1:87" ht="14.25" customHeight="1" x14ac:dyDescent="0.35">
      <c r="A247" s="271">
        <v>1</v>
      </c>
      <c r="B247" s="272" t="s">
        <v>1457</v>
      </c>
    </row>
    <row r="248" spans="1:87" ht="14.25" customHeight="1" x14ac:dyDescent="0.35">
      <c r="A248" s="39" t="s">
        <v>170</v>
      </c>
      <c r="B248" s="40">
        <v>1</v>
      </c>
    </row>
    <row r="249" spans="1:87" ht="14" customHeight="1" x14ac:dyDescent="0.35">
      <c r="A249" s="44"/>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row>
    <row r="250" spans="1:87" ht="14.25" customHeight="1" x14ac:dyDescent="0.35">
      <c r="A250" s="14" t="s">
        <v>649</v>
      </c>
      <c r="B250" s="279" t="s">
        <v>1288</v>
      </c>
    </row>
    <row r="251" spans="1:87" ht="14.25" customHeight="1" x14ac:dyDescent="0.35">
      <c r="A251" s="74" t="s">
        <v>380</v>
      </c>
      <c r="B251" s="273" t="s">
        <v>12</v>
      </c>
    </row>
    <row r="252" spans="1:87" ht="14.25" customHeight="1" x14ac:dyDescent="0.35">
      <c r="A252" s="74" t="s">
        <v>127</v>
      </c>
      <c r="B252" s="93">
        <v>2015</v>
      </c>
    </row>
    <row r="253" spans="1:87" ht="14.25" customHeight="1" x14ac:dyDescent="0.35">
      <c r="A253" s="39"/>
    </row>
    <row r="254" spans="1:87" ht="14.25" customHeight="1" x14ac:dyDescent="0.35">
      <c r="A254" s="94" t="s">
        <v>1224</v>
      </c>
    </row>
    <row r="255" spans="1:87" ht="14.25" customHeight="1" x14ac:dyDescent="0.35">
      <c r="A255" s="4" t="s">
        <v>1225</v>
      </c>
      <c r="B255" s="35">
        <v>2015</v>
      </c>
      <c r="C255" s="35">
        <v>2016</v>
      </c>
      <c r="D255" s="35">
        <v>2017</v>
      </c>
      <c r="E255" s="35">
        <v>2018</v>
      </c>
      <c r="F255" s="35">
        <v>2019</v>
      </c>
      <c r="G255" s="35">
        <v>2020</v>
      </c>
      <c r="H255" s="35">
        <v>2021</v>
      </c>
      <c r="I255" s="35">
        <v>2022</v>
      </c>
      <c r="J255" s="35">
        <v>2023</v>
      </c>
      <c r="K255" s="35">
        <v>2024</v>
      </c>
      <c r="L255" s="35">
        <v>2025</v>
      </c>
      <c r="M255" s="35">
        <v>2026</v>
      </c>
      <c r="N255" s="35">
        <v>2027</v>
      </c>
      <c r="O255" s="35">
        <v>2028</v>
      </c>
      <c r="P255" s="35">
        <v>2029</v>
      </c>
      <c r="Q255" s="35">
        <v>2030</v>
      </c>
      <c r="R255" s="35">
        <v>2031</v>
      </c>
      <c r="S255" s="35">
        <v>2032</v>
      </c>
      <c r="T255" s="35">
        <v>2033</v>
      </c>
      <c r="U255" s="35">
        <v>2034</v>
      </c>
      <c r="V255" s="35">
        <v>2035</v>
      </c>
      <c r="W255" s="35">
        <v>2036</v>
      </c>
      <c r="X255" s="35">
        <v>2037</v>
      </c>
      <c r="Y255" s="35">
        <v>2038</v>
      </c>
      <c r="Z255" s="35">
        <v>2039</v>
      </c>
      <c r="AA255" s="35">
        <v>2040</v>
      </c>
      <c r="AB255" s="35">
        <v>2041</v>
      </c>
      <c r="AC255" s="35">
        <v>2042</v>
      </c>
      <c r="AD255" s="35">
        <v>2043</v>
      </c>
      <c r="AE255" s="35">
        <v>2044</v>
      </c>
      <c r="AF255" s="35">
        <v>2045</v>
      </c>
      <c r="AG255" s="35">
        <v>2046</v>
      </c>
      <c r="AH255" s="35">
        <v>2047</v>
      </c>
      <c r="AI255" s="35">
        <v>2048</v>
      </c>
      <c r="AJ255" s="35">
        <v>2049</v>
      </c>
      <c r="AK255" s="35">
        <v>2050</v>
      </c>
      <c r="AL255" s="35">
        <v>2051</v>
      </c>
      <c r="AM255" s="35">
        <v>2052</v>
      </c>
      <c r="AN255" s="35">
        <v>2053</v>
      </c>
      <c r="AO255" s="35">
        <v>2054</v>
      </c>
      <c r="AP255" s="35">
        <v>2055</v>
      </c>
      <c r="AQ255" s="35">
        <v>2056</v>
      </c>
      <c r="AR255" s="35">
        <v>2057</v>
      </c>
      <c r="AS255" s="35">
        <v>2058</v>
      </c>
      <c r="AT255" s="35">
        <v>2059</v>
      </c>
      <c r="AU255" s="35">
        <v>2060</v>
      </c>
      <c r="AV255" s="35">
        <v>2061</v>
      </c>
      <c r="AW255" s="35">
        <v>2062</v>
      </c>
      <c r="AX255" s="35">
        <v>2063</v>
      </c>
      <c r="AY255" s="35">
        <v>2064</v>
      </c>
      <c r="AZ255" s="35">
        <v>2065</v>
      </c>
      <c r="BA255" s="35">
        <v>2066</v>
      </c>
      <c r="BB255" s="35">
        <v>2067</v>
      </c>
      <c r="BC255" s="35">
        <v>2068</v>
      </c>
      <c r="BD255" s="35">
        <v>2069</v>
      </c>
      <c r="BE255" s="35">
        <v>2070</v>
      </c>
      <c r="BF255" s="35">
        <v>2071</v>
      </c>
      <c r="BG255" s="35">
        <v>2072</v>
      </c>
      <c r="BH255" s="35">
        <v>2073</v>
      </c>
      <c r="BI255" s="35">
        <v>2074</v>
      </c>
      <c r="BJ255" s="35">
        <v>2075</v>
      </c>
      <c r="BK255" s="35">
        <v>2076</v>
      </c>
      <c r="BL255" s="35">
        <v>2077</v>
      </c>
      <c r="BM255" s="35">
        <v>2078</v>
      </c>
      <c r="BN255" s="35">
        <v>2079</v>
      </c>
      <c r="BO255" s="35">
        <v>2080</v>
      </c>
      <c r="BP255" s="35">
        <v>2081</v>
      </c>
      <c r="BQ255" s="35">
        <v>2082</v>
      </c>
      <c r="BR255" s="35">
        <v>2083</v>
      </c>
      <c r="BS255" s="35">
        <v>2084</v>
      </c>
      <c r="BT255" s="35">
        <v>2085</v>
      </c>
      <c r="BU255" s="35">
        <v>2086</v>
      </c>
      <c r="BV255" s="35">
        <v>2087</v>
      </c>
      <c r="BW255" s="35">
        <v>2088</v>
      </c>
      <c r="BX255" s="35">
        <v>2089</v>
      </c>
      <c r="BY255" s="35">
        <v>2090</v>
      </c>
      <c r="BZ255" s="35">
        <v>2091</v>
      </c>
      <c r="CA255" s="35">
        <v>2092</v>
      </c>
      <c r="CB255" s="35">
        <v>2093</v>
      </c>
      <c r="CC255" s="35">
        <v>2094</v>
      </c>
      <c r="CD255" s="35">
        <v>2095</v>
      </c>
      <c r="CE255" s="35">
        <v>2096</v>
      </c>
      <c r="CF255" s="35">
        <v>2097</v>
      </c>
      <c r="CG255" s="35">
        <v>2098</v>
      </c>
      <c r="CH255" s="35">
        <v>2099</v>
      </c>
      <c r="CI255" s="35">
        <v>2100</v>
      </c>
    </row>
    <row r="256" spans="1:87" ht="14.25" customHeight="1" x14ac:dyDescent="0.35">
      <c r="A256" s="42" t="s">
        <v>228</v>
      </c>
      <c r="B256" s="284">
        <v>2.3948775955734955E-2</v>
      </c>
      <c r="C256" s="284">
        <v>2.3948775955734955E-2</v>
      </c>
      <c r="D256" s="284">
        <v>2.3948775955734955E-2</v>
      </c>
      <c r="E256" s="284">
        <v>2.3948775955734955E-2</v>
      </c>
      <c r="F256" s="284">
        <v>2.3948775955734955E-2</v>
      </c>
      <c r="G256" s="284">
        <v>2.3948775955734955E-2</v>
      </c>
      <c r="H256" s="284">
        <v>2.3948775955734955E-2</v>
      </c>
      <c r="I256" s="284">
        <v>2.3948775955734955E-2</v>
      </c>
      <c r="J256" s="284">
        <v>2.3948775955734955E-2</v>
      </c>
      <c r="K256" s="284">
        <v>2.3948775955734955E-2</v>
      </c>
      <c r="L256" s="284">
        <v>2.3948775955734955E-2</v>
      </c>
      <c r="M256" s="284">
        <v>2.3948775955734955E-2</v>
      </c>
      <c r="N256" s="284">
        <v>2.3948775955734955E-2</v>
      </c>
      <c r="O256" s="284">
        <v>2.3948775955734955E-2</v>
      </c>
      <c r="P256" s="284">
        <v>2.3948775955734955E-2</v>
      </c>
      <c r="Q256" s="284">
        <v>2.3948775955734955E-2</v>
      </c>
      <c r="R256" s="284">
        <v>2.3948775955734955E-2</v>
      </c>
      <c r="S256" s="284">
        <v>2.3948775955734955E-2</v>
      </c>
      <c r="T256" s="284">
        <v>2.3948775955734955E-2</v>
      </c>
      <c r="U256" s="284">
        <v>2.3948775955734955E-2</v>
      </c>
      <c r="V256" s="284">
        <v>2.3948775955734955E-2</v>
      </c>
      <c r="W256" s="284">
        <v>2.3948775955734955E-2</v>
      </c>
      <c r="X256" s="284">
        <v>2.3948775955734955E-2</v>
      </c>
      <c r="Y256" s="284">
        <v>2.3948775955734955E-2</v>
      </c>
      <c r="Z256" s="284">
        <v>2.3948775955734955E-2</v>
      </c>
      <c r="AA256" s="284">
        <v>2.3948775955734955E-2</v>
      </c>
      <c r="AB256" s="284">
        <v>2.3948775955734955E-2</v>
      </c>
      <c r="AC256" s="284">
        <v>2.3948775955734955E-2</v>
      </c>
      <c r="AD256" s="284">
        <v>2.3948775955734955E-2</v>
      </c>
      <c r="AE256" s="284">
        <v>2.3948775955734955E-2</v>
      </c>
      <c r="AF256" s="284">
        <v>2.3948775955734955E-2</v>
      </c>
      <c r="AG256" s="284">
        <v>2.3948775955734955E-2</v>
      </c>
      <c r="AH256" s="284">
        <v>2.3948775955734955E-2</v>
      </c>
      <c r="AI256" s="284">
        <v>2.3948775955734955E-2</v>
      </c>
      <c r="AJ256" s="284">
        <v>2.3948775955734955E-2</v>
      </c>
      <c r="AK256" s="284">
        <v>2.3948775955734955E-2</v>
      </c>
      <c r="AL256" s="284">
        <v>2.3948775955734955E-2</v>
      </c>
      <c r="AM256" s="284">
        <v>2.3948775955734955E-2</v>
      </c>
      <c r="AN256" s="284">
        <v>2.3948775955734955E-2</v>
      </c>
      <c r="AO256" s="284">
        <v>2.3948775955734955E-2</v>
      </c>
      <c r="AP256" s="284">
        <v>2.3948775955734955E-2</v>
      </c>
      <c r="AQ256" s="284">
        <v>2.3948775955734955E-2</v>
      </c>
      <c r="AR256" s="284">
        <v>2.3948775955734955E-2</v>
      </c>
      <c r="AS256" s="284">
        <v>2.3948775955734955E-2</v>
      </c>
      <c r="AT256" s="284">
        <v>2.3948775955734955E-2</v>
      </c>
      <c r="AU256" s="284">
        <v>2.3948775955734955E-2</v>
      </c>
      <c r="AV256" s="284">
        <v>2.3948775955734955E-2</v>
      </c>
      <c r="AW256" s="284">
        <v>2.3948775955734955E-2</v>
      </c>
      <c r="AX256" s="284">
        <v>2.3948775955734955E-2</v>
      </c>
      <c r="AY256" s="284">
        <v>2.3948775955734955E-2</v>
      </c>
      <c r="AZ256" s="284">
        <v>2.3948775955734955E-2</v>
      </c>
      <c r="BA256" s="284">
        <v>2.3948775955734955E-2</v>
      </c>
      <c r="BB256" s="284">
        <v>2.3948775955734955E-2</v>
      </c>
      <c r="BC256" s="284">
        <v>2.3948775955734955E-2</v>
      </c>
      <c r="BD256" s="284">
        <v>2.3948775955734955E-2</v>
      </c>
      <c r="BE256" s="284">
        <v>2.3948775955734955E-2</v>
      </c>
      <c r="BF256" s="284">
        <v>2.3948775955734955E-2</v>
      </c>
      <c r="BG256" s="284">
        <v>2.3948775955734955E-2</v>
      </c>
      <c r="BH256" s="284">
        <v>2.3948775955734955E-2</v>
      </c>
      <c r="BI256" s="284">
        <v>2.3948775955734955E-2</v>
      </c>
      <c r="BJ256" s="284">
        <v>2.3948775955734955E-2</v>
      </c>
      <c r="BK256" s="284">
        <v>2.3948775955734955E-2</v>
      </c>
      <c r="BL256" s="284">
        <v>2.3948775955734955E-2</v>
      </c>
      <c r="BM256" s="284">
        <v>2.3948775955734955E-2</v>
      </c>
      <c r="BN256" s="284">
        <v>2.3948775955734955E-2</v>
      </c>
      <c r="BO256" s="284">
        <v>2.3948775955734955E-2</v>
      </c>
      <c r="BP256" s="284">
        <v>2.3948775955734955E-2</v>
      </c>
      <c r="BQ256" s="284">
        <v>2.3948775955734955E-2</v>
      </c>
      <c r="BR256" s="284">
        <v>2.3948775955734955E-2</v>
      </c>
      <c r="BS256" s="284">
        <v>2.3948775955734955E-2</v>
      </c>
      <c r="BT256" s="284">
        <v>2.3948775955734955E-2</v>
      </c>
      <c r="BU256" s="284">
        <v>2.3948775955734955E-2</v>
      </c>
      <c r="BV256" s="284">
        <v>2.3948775955734955E-2</v>
      </c>
      <c r="BW256" s="284">
        <v>2.3948775955734955E-2</v>
      </c>
      <c r="BX256" s="284">
        <v>2.3948775955734955E-2</v>
      </c>
      <c r="BY256" s="284">
        <v>2.3948775955734955E-2</v>
      </c>
      <c r="BZ256" s="284">
        <v>2.3948775955734955E-2</v>
      </c>
      <c r="CA256" s="284">
        <v>2.3948775955734955E-2</v>
      </c>
      <c r="CB256" s="284">
        <v>2.3948775955734955E-2</v>
      </c>
      <c r="CC256" s="284">
        <v>2.3948775955734955E-2</v>
      </c>
      <c r="CD256" s="284">
        <v>2.3948775955734955E-2</v>
      </c>
      <c r="CE256" s="284">
        <v>2.3948775955734955E-2</v>
      </c>
      <c r="CF256" s="284">
        <v>2.3948775955734955E-2</v>
      </c>
      <c r="CG256" s="284">
        <v>2.3948775955734955E-2</v>
      </c>
      <c r="CH256" s="284">
        <v>2.3948775955734955E-2</v>
      </c>
      <c r="CI256" s="284">
        <v>2.3948775955734955E-2</v>
      </c>
    </row>
    <row r="257" spans="1:87" ht="14.25" customHeight="1" x14ac:dyDescent="0.35">
      <c r="A257" s="42" t="s">
        <v>95</v>
      </c>
      <c r="B257" s="284">
        <v>2.3293761446417788E-2</v>
      </c>
      <c r="C257" s="284">
        <v>2.3293761446417788E-2</v>
      </c>
      <c r="D257" s="284">
        <v>2.3293761446417788E-2</v>
      </c>
      <c r="E257" s="284">
        <v>2.3293761446417788E-2</v>
      </c>
      <c r="F257" s="284">
        <v>2.3293761446417788E-2</v>
      </c>
      <c r="G257" s="284">
        <v>2.3293761446417788E-2</v>
      </c>
      <c r="H257" s="284">
        <v>2.3293761446417788E-2</v>
      </c>
      <c r="I257" s="284">
        <v>2.3293761446417788E-2</v>
      </c>
      <c r="J257" s="284">
        <v>2.3293761446417788E-2</v>
      </c>
      <c r="K257" s="284">
        <v>2.3293761446417788E-2</v>
      </c>
      <c r="L257" s="284">
        <v>2.3293761446417788E-2</v>
      </c>
      <c r="M257" s="284">
        <v>2.3293761446417788E-2</v>
      </c>
      <c r="N257" s="284">
        <v>2.3293761446417788E-2</v>
      </c>
      <c r="O257" s="284">
        <v>2.3293761446417788E-2</v>
      </c>
      <c r="P257" s="284">
        <v>2.3293761446417788E-2</v>
      </c>
      <c r="Q257" s="284">
        <v>2.3293761446417788E-2</v>
      </c>
      <c r="R257" s="284">
        <v>2.3293761446417788E-2</v>
      </c>
      <c r="S257" s="284">
        <v>2.3293761446417788E-2</v>
      </c>
      <c r="T257" s="284">
        <v>2.3293761446417788E-2</v>
      </c>
      <c r="U257" s="284">
        <v>2.3293761446417788E-2</v>
      </c>
      <c r="V257" s="284">
        <v>2.3293761446417788E-2</v>
      </c>
      <c r="W257" s="284">
        <v>2.3293761446417788E-2</v>
      </c>
      <c r="X257" s="284">
        <v>2.3293761446417788E-2</v>
      </c>
      <c r="Y257" s="284">
        <v>2.3293761446417788E-2</v>
      </c>
      <c r="Z257" s="284">
        <v>2.3293761446417788E-2</v>
      </c>
      <c r="AA257" s="284">
        <v>2.3293761446417788E-2</v>
      </c>
      <c r="AB257" s="284">
        <v>2.3293761446417788E-2</v>
      </c>
      <c r="AC257" s="284">
        <v>2.3293761446417788E-2</v>
      </c>
      <c r="AD257" s="284">
        <v>2.3293761446417788E-2</v>
      </c>
      <c r="AE257" s="284">
        <v>2.3293761446417788E-2</v>
      </c>
      <c r="AF257" s="284">
        <v>2.3293761446417788E-2</v>
      </c>
      <c r="AG257" s="284">
        <v>2.3293761446417788E-2</v>
      </c>
      <c r="AH257" s="284">
        <v>2.3293761446417788E-2</v>
      </c>
      <c r="AI257" s="284">
        <v>2.3293761446417788E-2</v>
      </c>
      <c r="AJ257" s="284">
        <v>2.3293761446417788E-2</v>
      </c>
      <c r="AK257" s="284">
        <v>2.3293761446417788E-2</v>
      </c>
      <c r="AL257" s="284">
        <v>2.3293761446417788E-2</v>
      </c>
      <c r="AM257" s="284">
        <v>2.3293761446417788E-2</v>
      </c>
      <c r="AN257" s="284">
        <v>2.3293761446417788E-2</v>
      </c>
      <c r="AO257" s="284">
        <v>2.3293761446417788E-2</v>
      </c>
      <c r="AP257" s="284">
        <v>2.3293761446417788E-2</v>
      </c>
      <c r="AQ257" s="284">
        <v>2.3293761446417788E-2</v>
      </c>
      <c r="AR257" s="284">
        <v>2.3293761446417788E-2</v>
      </c>
      <c r="AS257" s="284">
        <v>2.3293761446417788E-2</v>
      </c>
      <c r="AT257" s="284">
        <v>2.3293761446417788E-2</v>
      </c>
      <c r="AU257" s="284">
        <v>2.3293761446417788E-2</v>
      </c>
      <c r="AV257" s="284">
        <v>2.3293761446417788E-2</v>
      </c>
      <c r="AW257" s="284">
        <v>2.3293761446417788E-2</v>
      </c>
      <c r="AX257" s="284">
        <v>2.3293761446417788E-2</v>
      </c>
      <c r="AY257" s="284">
        <v>2.3293761446417788E-2</v>
      </c>
      <c r="AZ257" s="284">
        <v>2.3293761446417788E-2</v>
      </c>
      <c r="BA257" s="284">
        <v>2.3293761446417788E-2</v>
      </c>
      <c r="BB257" s="284">
        <v>2.3293761446417788E-2</v>
      </c>
      <c r="BC257" s="284">
        <v>2.3293761446417788E-2</v>
      </c>
      <c r="BD257" s="284">
        <v>2.3293761446417788E-2</v>
      </c>
      <c r="BE257" s="284">
        <v>2.3293761446417788E-2</v>
      </c>
      <c r="BF257" s="284">
        <v>2.3293761446417788E-2</v>
      </c>
      <c r="BG257" s="284">
        <v>2.3293761446417788E-2</v>
      </c>
      <c r="BH257" s="284">
        <v>2.3293761446417788E-2</v>
      </c>
      <c r="BI257" s="284">
        <v>2.3293761446417788E-2</v>
      </c>
      <c r="BJ257" s="284">
        <v>2.3293761446417788E-2</v>
      </c>
      <c r="BK257" s="284">
        <v>2.3293761446417788E-2</v>
      </c>
      <c r="BL257" s="284">
        <v>2.3293761446417788E-2</v>
      </c>
      <c r="BM257" s="284">
        <v>2.3293761446417788E-2</v>
      </c>
      <c r="BN257" s="284">
        <v>2.3293761446417788E-2</v>
      </c>
      <c r="BO257" s="284">
        <v>2.3293761446417788E-2</v>
      </c>
      <c r="BP257" s="284">
        <v>2.3293761446417788E-2</v>
      </c>
      <c r="BQ257" s="284">
        <v>2.3293761446417788E-2</v>
      </c>
      <c r="BR257" s="284">
        <v>2.3293761446417788E-2</v>
      </c>
      <c r="BS257" s="284">
        <v>2.3293761446417788E-2</v>
      </c>
      <c r="BT257" s="284">
        <v>2.3293761446417788E-2</v>
      </c>
      <c r="BU257" s="284">
        <v>2.3293761446417788E-2</v>
      </c>
      <c r="BV257" s="284">
        <v>2.3293761446417788E-2</v>
      </c>
      <c r="BW257" s="284">
        <v>2.3293761446417788E-2</v>
      </c>
      <c r="BX257" s="284">
        <v>2.3293761446417788E-2</v>
      </c>
      <c r="BY257" s="284">
        <v>2.3293761446417788E-2</v>
      </c>
      <c r="BZ257" s="284">
        <v>2.3293761446417788E-2</v>
      </c>
      <c r="CA257" s="284">
        <v>2.3293761446417788E-2</v>
      </c>
      <c r="CB257" s="284">
        <v>2.3293761446417788E-2</v>
      </c>
      <c r="CC257" s="284">
        <v>2.3293761446417788E-2</v>
      </c>
      <c r="CD257" s="284">
        <v>2.3293761446417788E-2</v>
      </c>
      <c r="CE257" s="284">
        <v>2.3293761446417788E-2</v>
      </c>
      <c r="CF257" s="284">
        <v>2.3293761446417788E-2</v>
      </c>
      <c r="CG257" s="284">
        <v>2.3293761446417788E-2</v>
      </c>
      <c r="CH257" s="284">
        <v>2.3293761446417788E-2</v>
      </c>
      <c r="CI257" s="284">
        <v>2.3293761446417788E-2</v>
      </c>
    </row>
    <row r="258" spans="1:87" ht="14.25" customHeight="1" x14ac:dyDescent="0.35">
      <c r="A258" s="42" t="s">
        <v>96</v>
      </c>
      <c r="B258" s="284">
        <v>3.026424300341499E-2</v>
      </c>
      <c r="C258" s="284">
        <v>3.026424300341499E-2</v>
      </c>
      <c r="D258" s="284">
        <v>3.026424300341499E-2</v>
      </c>
      <c r="E258" s="284">
        <v>3.026424300341499E-2</v>
      </c>
      <c r="F258" s="284">
        <v>3.026424300341499E-2</v>
      </c>
      <c r="G258" s="284">
        <v>3.026424300341499E-2</v>
      </c>
      <c r="H258" s="284">
        <v>3.026424300341499E-2</v>
      </c>
      <c r="I258" s="284">
        <v>3.026424300341499E-2</v>
      </c>
      <c r="J258" s="284">
        <v>3.026424300341499E-2</v>
      </c>
      <c r="K258" s="284">
        <v>3.026424300341499E-2</v>
      </c>
      <c r="L258" s="284">
        <v>3.026424300341499E-2</v>
      </c>
      <c r="M258" s="284">
        <v>3.026424300341499E-2</v>
      </c>
      <c r="N258" s="284">
        <v>3.026424300341499E-2</v>
      </c>
      <c r="O258" s="284">
        <v>3.026424300341499E-2</v>
      </c>
      <c r="P258" s="284">
        <v>3.026424300341499E-2</v>
      </c>
      <c r="Q258" s="284">
        <v>3.026424300341499E-2</v>
      </c>
      <c r="R258" s="284">
        <v>3.026424300341499E-2</v>
      </c>
      <c r="S258" s="284">
        <v>3.026424300341499E-2</v>
      </c>
      <c r="T258" s="284">
        <v>3.026424300341499E-2</v>
      </c>
      <c r="U258" s="284">
        <v>3.026424300341499E-2</v>
      </c>
      <c r="V258" s="284">
        <v>3.026424300341499E-2</v>
      </c>
      <c r="W258" s="284">
        <v>3.026424300341499E-2</v>
      </c>
      <c r="X258" s="284">
        <v>3.026424300341499E-2</v>
      </c>
      <c r="Y258" s="284">
        <v>3.026424300341499E-2</v>
      </c>
      <c r="Z258" s="284">
        <v>3.026424300341499E-2</v>
      </c>
      <c r="AA258" s="284">
        <v>3.026424300341499E-2</v>
      </c>
      <c r="AB258" s="284">
        <v>3.026424300341499E-2</v>
      </c>
      <c r="AC258" s="284">
        <v>3.026424300341499E-2</v>
      </c>
      <c r="AD258" s="284">
        <v>3.026424300341499E-2</v>
      </c>
      <c r="AE258" s="284">
        <v>3.026424300341499E-2</v>
      </c>
      <c r="AF258" s="284">
        <v>3.026424300341499E-2</v>
      </c>
      <c r="AG258" s="284">
        <v>3.026424300341499E-2</v>
      </c>
      <c r="AH258" s="284">
        <v>3.026424300341499E-2</v>
      </c>
      <c r="AI258" s="284">
        <v>3.026424300341499E-2</v>
      </c>
      <c r="AJ258" s="284">
        <v>3.026424300341499E-2</v>
      </c>
      <c r="AK258" s="284">
        <v>3.026424300341499E-2</v>
      </c>
      <c r="AL258" s="284">
        <v>3.026424300341499E-2</v>
      </c>
      <c r="AM258" s="284">
        <v>3.026424300341499E-2</v>
      </c>
      <c r="AN258" s="284">
        <v>3.026424300341499E-2</v>
      </c>
      <c r="AO258" s="284">
        <v>3.026424300341499E-2</v>
      </c>
      <c r="AP258" s="284">
        <v>3.026424300341499E-2</v>
      </c>
      <c r="AQ258" s="284">
        <v>3.026424300341499E-2</v>
      </c>
      <c r="AR258" s="284">
        <v>3.026424300341499E-2</v>
      </c>
      <c r="AS258" s="284">
        <v>3.026424300341499E-2</v>
      </c>
      <c r="AT258" s="284">
        <v>3.026424300341499E-2</v>
      </c>
      <c r="AU258" s="284">
        <v>3.026424300341499E-2</v>
      </c>
      <c r="AV258" s="284">
        <v>3.026424300341499E-2</v>
      </c>
      <c r="AW258" s="284">
        <v>3.026424300341499E-2</v>
      </c>
      <c r="AX258" s="284">
        <v>3.026424300341499E-2</v>
      </c>
      <c r="AY258" s="284">
        <v>3.026424300341499E-2</v>
      </c>
      <c r="AZ258" s="284">
        <v>3.026424300341499E-2</v>
      </c>
      <c r="BA258" s="284">
        <v>3.026424300341499E-2</v>
      </c>
      <c r="BB258" s="284">
        <v>3.026424300341499E-2</v>
      </c>
      <c r="BC258" s="284">
        <v>3.026424300341499E-2</v>
      </c>
      <c r="BD258" s="284">
        <v>3.026424300341499E-2</v>
      </c>
      <c r="BE258" s="284">
        <v>3.026424300341499E-2</v>
      </c>
      <c r="BF258" s="284">
        <v>3.026424300341499E-2</v>
      </c>
      <c r="BG258" s="284">
        <v>3.026424300341499E-2</v>
      </c>
      <c r="BH258" s="284">
        <v>3.026424300341499E-2</v>
      </c>
      <c r="BI258" s="284">
        <v>3.026424300341499E-2</v>
      </c>
      <c r="BJ258" s="284">
        <v>3.026424300341499E-2</v>
      </c>
      <c r="BK258" s="284">
        <v>3.026424300341499E-2</v>
      </c>
      <c r="BL258" s="284">
        <v>3.026424300341499E-2</v>
      </c>
      <c r="BM258" s="284">
        <v>3.026424300341499E-2</v>
      </c>
      <c r="BN258" s="284">
        <v>3.026424300341499E-2</v>
      </c>
      <c r="BO258" s="284">
        <v>3.026424300341499E-2</v>
      </c>
      <c r="BP258" s="284">
        <v>3.026424300341499E-2</v>
      </c>
      <c r="BQ258" s="284">
        <v>3.026424300341499E-2</v>
      </c>
      <c r="BR258" s="284">
        <v>3.026424300341499E-2</v>
      </c>
      <c r="BS258" s="284">
        <v>3.026424300341499E-2</v>
      </c>
      <c r="BT258" s="284">
        <v>3.026424300341499E-2</v>
      </c>
      <c r="BU258" s="284">
        <v>3.026424300341499E-2</v>
      </c>
      <c r="BV258" s="284">
        <v>3.026424300341499E-2</v>
      </c>
      <c r="BW258" s="284">
        <v>3.026424300341499E-2</v>
      </c>
      <c r="BX258" s="284">
        <v>3.026424300341499E-2</v>
      </c>
      <c r="BY258" s="284">
        <v>3.026424300341499E-2</v>
      </c>
      <c r="BZ258" s="284">
        <v>3.026424300341499E-2</v>
      </c>
      <c r="CA258" s="284">
        <v>3.026424300341499E-2</v>
      </c>
      <c r="CB258" s="284">
        <v>3.026424300341499E-2</v>
      </c>
      <c r="CC258" s="284">
        <v>3.026424300341499E-2</v>
      </c>
      <c r="CD258" s="284">
        <v>3.026424300341499E-2</v>
      </c>
      <c r="CE258" s="284">
        <v>3.026424300341499E-2</v>
      </c>
      <c r="CF258" s="284">
        <v>3.026424300341499E-2</v>
      </c>
      <c r="CG258" s="284">
        <v>3.026424300341499E-2</v>
      </c>
      <c r="CH258" s="284">
        <v>3.026424300341499E-2</v>
      </c>
      <c r="CI258" s="284">
        <v>3.026424300341499E-2</v>
      </c>
    </row>
    <row r="259" spans="1:87" ht="14.25" customHeight="1" x14ac:dyDescent="0.35">
      <c r="A259" s="42" t="s">
        <v>97</v>
      </c>
      <c r="B259" s="284">
        <v>3.4884309991095326E-2</v>
      </c>
      <c r="C259" s="284">
        <v>3.4884309991095326E-2</v>
      </c>
      <c r="D259" s="284">
        <v>3.4884309991095326E-2</v>
      </c>
      <c r="E259" s="284">
        <v>3.4884309991095326E-2</v>
      </c>
      <c r="F259" s="284">
        <v>3.4884309991095326E-2</v>
      </c>
      <c r="G259" s="284">
        <v>3.4884309991095326E-2</v>
      </c>
      <c r="H259" s="284">
        <v>3.4884309991095326E-2</v>
      </c>
      <c r="I259" s="284">
        <v>3.4884309991095326E-2</v>
      </c>
      <c r="J259" s="284">
        <v>3.4884309991095326E-2</v>
      </c>
      <c r="K259" s="284">
        <v>3.4884309991095326E-2</v>
      </c>
      <c r="L259" s="284">
        <v>3.4884309991095326E-2</v>
      </c>
      <c r="M259" s="284">
        <v>3.4884309991095326E-2</v>
      </c>
      <c r="N259" s="284">
        <v>3.4884309991095326E-2</v>
      </c>
      <c r="O259" s="284">
        <v>3.4884309991095326E-2</v>
      </c>
      <c r="P259" s="284">
        <v>3.4884309991095326E-2</v>
      </c>
      <c r="Q259" s="284">
        <v>3.4884309991095326E-2</v>
      </c>
      <c r="R259" s="284">
        <v>3.4884309991095326E-2</v>
      </c>
      <c r="S259" s="284">
        <v>3.4884309991095326E-2</v>
      </c>
      <c r="T259" s="284">
        <v>3.4884309991095326E-2</v>
      </c>
      <c r="U259" s="284">
        <v>3.4884309991095326E-2</v>
      </c>
      <c r="V259" s="284">
        <v>3.4884309991095326E-2</v>
      </c>
      <c r="W259" s="284">
        <v>3.4884309991095326E-2</v>
      </c>
      <c r="X259" s="284">
        <v>3.4884309991095326E-2</v>
      </c>
      <c r="Y259" s="284">
        <v>3.4884309991095326E-2</v>
      </c>
      <c r="Z259" s="284">
        <v>3.4884309991095326E-2</v>
      </c>
      <c r="AA259" s="284">
        <v>3.4884309991095326E-2</v>
      </c>
      <c r="AB259" s="284">
        <v>3.4884309991095326E-2</v>
      </c>
      <c r="AC259" s="284">
        <v>3.4884309991095326E-2</v>
      </c>
      <c r="AD259" s="284">
        <v>3.4884309991095326E-2</v>
      </c>
      <c r="AE259" s="284">
        <v>3.4884309991095326E-2</v>
      </c>
      <c r="AF259" s="284">
        <v>3.4884309991095326E-2</v>
      </c>
      <c r="AG259" s="284">
        <v>3.4884309991095326E-2</v>
      </c>
      <c r="AH259" s="284">
        <v>3.4884309991095326E-2</v>
      </c>
      <c r="AI259" s="284">
        <v>3.4884309991095326E-2</v>
      </c>
      <c r="AJ259" s="284">
        <v>3.4884309991095326E-2</v>
      </c>
      <c r="AK259" s="284">
        <v>3.4884309991095326E-2</v>
      </c>
      <c r="AL259" s="284">
        <v>3.4884309991095326E-2</v>
      </c>
      <c r="AM259" s="284">
        <v>3.4884309991095326E-2</v>
      </c>
      <c r="AN259" s="284">
        <v>3.4884309991095326E-2</v>
      </c>
      <c r="AO259" s="284">
        <v>3.4884309991095326E-2</v>
      </c>
      <c r="AP259" s="284">
        <v>3.4884309991095326E-2</v>
      </c>
      <c r="AQ259" s="284">
        <v>3.4884309991095326E-2</v>
      </c>
      <c r="AR259" s="284">
        <v>3.4884309991095326E-2</v>
      </c>
      <c r="AS259" s="284">
        <v>3.4884309991095326E-2</v>
      </c>
      <c r="AT259" s="284">
        <v>3.4884309991095326E-2</v>
      </c>
      <c r="AU259" s="284">
        <v>3.4884309991095326E-2</v>
      </c>
      <c r="AV259" s="284">
        <v>3.4884309991095326E-2</v>
      </c>
      <c r="AW259" s="284">
        <v>3.4884309991095326E-2</v>
      </c>
      <c r="AX259" s="284">
        <v>3.4884309991095326E-2</v>
      </c>
      <c r="AY259" s="284">
        <v>3.4884309991095326E-2</v>
      </c>
      <c r="AZ259" s="284">
        <v>3.4884309991095326E-2</v>
      </c>
      <c r="BA259" s="284">
        <v>3.4884309991095326E-2</v>
      </c>
      <c r="BB259" s="284">
        <v>3.4884309991095326E-2</v>
      </c>
      <c r="BC259" s="284">
        <v>3.4884309991095326E-2</v>
      </c>
      <c r="BD259" s="284">
        <v>3.4884309991095326E-2</v>
      </c>
      <c r="BE259" s="284">
        <v>3.4884309991095326E-2</v>
      </c>
      <c r="BF259" s="284">
        <v>3.4884309991095326E-2</v>
      </c>
      <c r="BG259" s="284">
        <v>3.4884309991095326E-2</v>
      </c>
      <c r="BH259" s="284">
        <v>3.4884309991095326E-2</v>
      </c>
      <c r="BI259" s="284">
        <v>3.4884309991095326E-2</v>
      </c>
      <c r="BJ259" s="284">
        <v>3.4884309991095326E-2</v>
      </c>
      <c r="BK259" s="284">
        <v>3.4884309991095326E-2</v>
      </c>
      <c r="BL259" s="284">
        <v>3.4884309991095326E-2</v>
      </c>
      <c r="BM259" s="284">
        <v>3.4884309991095326E-2</v>
      </c>
      <c r="BN259" s="284">
        <v>3.4884309991095326E-2</v>
      </c>
      <c r="BO259" s="284">
        <v>3.4884309991095326E-2</v>
      </c>
      <c r="BP259" s="284">
        <v>3.4884309991095326E-2</v>
      </c>
      <c r="BQ259" s="284">
        <v>3.4884309991095326E-2</v>
      </c>
      <c r="BR259" s="284">
        <v>3.4884309991095326E-2</v>
      </c>
      <c r="BS259" s="284">
        <v>3.4884309991095326E-2</v>
      </c>
      <c r="BT259" s="284">
        <v>3.4884309991095326E-2</v>
      </c>
      <c r="BU259" s="284">
        <v>3.4884309991095326E-2</v>
      </c>
      <c r="BV259" s="284">
        <v>3.4884309991095326E-2</v>
      </c>
      <c r="BW259" s="284">
        <v>3.4884309991095326E-2</v>
      </c>
      <c r="BX259" s="284">
        <v>3.4884309991095326E-2</v>
      </c>
      <c r="BY259" s="284">
        <v>3.4884309991095326E-2</v>
      </c>
      <c r="BZ259" s="284">
        <v>3.4884309991095326E-2</v>
      </c>
      <c r="CA259" s="284">
        <v>3.4884309991095326E-2</v>
      </c>
      <c r="CB259" s="284">
        <v>3.4884309991095326E-2</v>
      </c>
      <c r="CC259" s="284">
        <v>3.4884309991095326E-2</v>
      </c>
      <c r="CD259" s="284">
        <v>3.4884309991095326E-2</v>
      </c>
      <c r="CE259" s="284">
        <v>3.4884309991095326E-2</v>
      </c>
      <c r="CF259" s="284">
        <v>3.4884309991095326E-2</v>
      </c>
      <c r="CG259" s="284">
        <v>3.4884309991095326E-2</v>
      </c>
      <c r="CH259" s="284">
        <v>3.4884309991095326E-2</v>
      </c>
      <c r="CI259" s="284">
        <v>3.4884309991095326E-2</v>
      </c>
    </row>
    <row r="260" spans="1:87" ht="14.25" customHeight="1" x14ac:dyDescent="0.35">
      <c r="A260" s="42" t="s">
        <v>98</v>
      </c>
      <c r="B260" s="284">
        <v>2.4878543478806824E-2</v>
      </c>
      <c r="C260" s="284">
        <v>2.4878543478806824E-2</v>
      </c>
      <c r="D260" s="284">
        <v>2.4878543478806824E-2</v>
      </c>
      <c r="E260" s="284">
        <v>2.4878543478806824E-2</v>
      </c>
      <c r="F260" s="284">
        <v>2.4878543478806824E-2</v>
      </c>
      <c r="G260" s="284">
        <v>2.4878543478806824E-2</v>
      </c>
      <c r="H260" s="284">
        <v>2.4878543478806824E-2</v>
      </c>
      <c r="I260" s="284">
        <v>2.4878543478806824E-2</v>
      </c>
      <c r="J260" s="284">
        <v>2.4878543478806824E-2</v>
      </c>
      <c r="K260" s="284">
        <v>2.4878543478806824E-2</v>
      </c>
      <c r="L260" s="284">
        <v>2.4878543478806824E-2</v>
      </c>
      <c r="M260" s="284">
        <v>2.4878543478806824E-2</v>
      </c>
      <c r="N260" s="284">
        <v>2.4878543478806824E-2</v>
      </c>
      <c r="O260" s="284">
        <v>2.4878543478806824E-2</v>
      </c>
      <c r="P260" s="284">
        <v>2.4878543478806824E-2</v>
      </c>
      <c r="Q260" s="284">
        <v>2.4878543478806824E-2</v>
      </c>
      <c r="R260" s="284">
        <v>2.4878543478806824E-2</v>
      </c>
      <c r="S260" s="284">
        <v>2.4878543478806824E-2</v>
      </c>
      <c r="T260" s="284">
        <v>2.4878543478806824E-2</v>
      </c>
      <c r="U260" s="284">
        <v>2.4878543478806824E-2</v>
      </c>
      <c r="V260" s="284">
        <v>2.4878543478806824E-2</v>
      </c>
      <c r="W260" s="284">
        <v>2.4878543478806824E-2</v>
      </c>
      <c r="X260" s="284">
        <v>2.4878543478806824E-2</v>
      </c>
      <c r="Y260" s="284">
        <v>2.4878543478806824E-2</v>
      </c>
      <c r="Z260" s="284">
        <v>2.4878543478806824E-2</v>
      </c>
      <c r="AA260" s="284">
        <v>2.4878543478806824E-2</v>
      </c>
      <c r="AB260" s="284">
        <v>2.4878543478806824E-2</v>
      </c>
      <c r="AC260" s="284">
        <v>2.4878543478806824E-2</v>
      </c>
      <c r="AD260" s="284">
        <v>2.4878543478806824E-2</v>
      </c>
      <c r="AE260" s="284">
        <v>2.4878543478806824E-2</v>
      </c>
      <c r="AF260" s="284">
        <v>2.4878543478806824E-2</v>
      </c>
      <c r="AG260" s="284">
        <v>2.4878543478806824E-2</v>
      </c>
      <c r="AH260" s="284">
        <v>2.4878543478806824E-2</v>
      </c>
      <c r="AI260" s="284">
        <v>2.4878543478806824E-2</v>
      </c>
      <c r="AJ260" s="284">
        <v>2.4878543478806824E-2</v>
      </c>
      <c r="AK260" s="284">
        <v>2.4878543478806824E-2</v>
      </c>
      <c r="AL260" s="284">
        <v>2.4878543478806824E-2</v>
      </c>
      <c r="AM260" s="284">
        <v>2.4878543478806824E-2</v>
      </c>
      <c r="AN260" s="284">
        <v>2.4878543478806824E-2</v>
      </c>
      <c r="AO260" s="284">
        <v>2.4878543478806824E-2</v>
      </c>
      <c r="AP260" s="284">
        <v>2.4878543478806824E-2</v>
      </c>
      <c r="AQ260" s="284">
        <v>2.4878543478806824E-2</v>
      </c>
      <c r="AR260" s="284">
        <v>2.4878543478806824E-2</v>
      </c>
      <c r="AS260" s="284">
        <v>2.4878543478806824E-2</v>
      </c>
      <c r="AT260" s="284">
        <v>2.4878543478806824E-2</v>
      </c>
      <c r="AU260" s="284">
        <v>2.4878543478806824E-2</v>
      </c>
      <c r="AV260" s="284">
        <v>2.4878543478806824E-2</v>
      </c>
      <c r="AW260" s="284">
        <v>2.4878543478806824E-2</v>
      </c>
      <c r="AX260" s="284">
        <v>2.4878543478806824E-2</v>
      </c>
      <c r="AY260" s="284">
        <v>2.4878543478806824E-2</v>
      </c>
      <c r="AZ260" s="284">
        <v>2.4878543478806824E-2</v>
      </c>
      <c r="BA260" s="284">
        <v>2.4878543478806824E-2</v>
      </c>
      <c r="BB260" s="284">
        <v>2.4878543478806824E-2</v>
      </c>
      <c r="BC260" s="284">
        <v>2.4878543478806824E-2</v>
      </c>
      <c r="BD260" s="284">
        <v>2.4878543478806824E-2</v>
      </c>
      <c r="BE260" s="284">
        <v>2.4878543478806824E-2</v>
      </c>
      <c r="BF260" s="284">
        <v>2.4878543478806824E-2</v>
      </c>
      <c r="BG260" s="284">
        <v>2.4878543478806824E-2</v>
      </c>
      <c r="BH260" s="284">
        <v>2.4878543478806824E-2</v>
      </c>
      <c r="BI260" s="284">
        <v>2.4878543478806824E-2</v>
      </c>
      <c r="BJ260" s="284">
        <v>2.4878543478806824E-2</v>
      </c>
      <c r="BK260" s="284">
        <v>2.4878543478806824E-2</v>
      </c>
      <c r="BL260" s="284">
        <v>2.4878543478806824E-2</v>
      </c>
      <c r="BM260" s="284">
        <v>2.4878543478806824E-2</v>
      </c>
      <c r="BN260" s="284">
        <v>2.4878543478806824E-2</v>
      </c>
      <c r="BO260" s="284">
        <v>2.4878543478806824E-2</v>
      </c>
      <c r="BP260" s="284">
        <v>2.4878543478806824E-2</v>
      </c>
      <c r="BQ260" s="284">
        <v>2.4878543478806824E-2</v>
      </c>
      <c r="BR260" s="284">
        <v>2.4878543478806824E-2</v>
      </c>
      <c r="BS260" s="284">
        <v>2.4878543478806824E-2</v>
      </c>
      <c r="BT260" s="284">
        <v>2.4878543478806824E-2</v>
      </c>
      <c r="BU260" s="284">
        <v>2.4878543478806824E-2</v>
      </c>
      <c r="BV260" s="284">
        <v>2.4878543478806824E-2</v>
      </c>
      <c r="BW260" s="284">
        <v>2.4878543478806824E-2</v>
      </c>
      <c r="BX260" s="284">
        <v>2.4878543478806824E-2</v>
      </c>
      <c r="BY260" s="284">
        <v>2.4878543478806824E-2</v>
      </c>
      <c r="BZ260" s="284">
        <v>2.4878543478806824E-2</v>
      </c>
      <c r="CA260" s="284">
        <v>2.4878543478806824E-2</v>
      </c>
      <c r="CB260" s="284">
        <v>2.4878543478806824E-2</v>
      </c>
      <c r="CC260" s="284">
        <v>2.4878543478806824E-2</v>
      </c>
      <c r="CD260" s="284">
        <v>2.4878543478806824E-2</v>
      </c>
      <c r="CE260" s="284">
        <v>2.4878543478806824E-2</v>
      </c>
      <c r="CF260" s="284">
        <v>2.4878543478806824E-2</v>
      </c>
      <c r="CG260" s="284">
        <v>2.4878543478806824E-2</v>
      </c>
      <c r="CH260" s="284">
        <v>2.4878543478806824E-2</v>
      </c>
      <c r="CI260" s="284">
        <v>2.4878543478806824E-2</v>
      </c>
    </row>
    <row r="261" spans="1:87" ht="14.25" customHeight="1" x14ac:dyDescent="0.35">
      <c r="A261" s="42" t="s">
        <v>163</v>
      </c>
      <c r="B261" s="284">
        <v>2.273106152519639E-2</v>
      </c>
      <c r="C261" s="284">
        <v>2.273106152519639E-2</v>
      </c>
      <c r="D261" s="284">
        <v>2.273106152519639E-2</v>
      </c>
      <c r="E261" s="284">
        <v>2.273106152519639E-2</v>
      </c>
      <c r="F261" s="284">
        <v>2.273106152519639E-2</v>
      </c>
      <c r="G261" s="284">
        <v>2.273106152519639E-2</v>
      </c>
      <c r="H261" s="284">
        <v>2.273106152519639E-2</v>
      </c>
      <c r="I261" s="284">
        <v>2.273106152519639E-2</v>
      </c>
      <c r="J261" s="284">
        <v>2.273106152519639E-2</v>
      </c>
      <c r="K261" s="284">
        <v>2.273106152519639E-2</v>
      </c>
      <c r="L261" s="284">
        <v>2.273106152519639E-2</v>
      </c>
      <c r="M261" s="284">
        <v>2.273106152519639E-2</v>
      </c>
      <c r="N261" s="284">
        <v>2.273106152519639E-2</v>
      </c>
      <c r="O261" s="284">
        <v>2.273106152519639E-2</v>
      </c>
      <c r="P261" s="284">
        <v>2.273106152519639E-2</v>
      </c>
      <c r="Q261" s="284">
        <v>2.273106152519639E-2</v>
      </c>
      <c r="R261" s="284">
        <v>2.273106152519639E-2</v>
      </c>
      <c r="S261" s="284">
        <v>2.273106152519639E-2</v>
      </c>
      <c r="T261" s="284">
        <v>2.273106152519639E-2</v>
      </c>
      <c r="U261" s="284">
        <v>2.273106152519639E-2</v>
      </c>
      <c r="V261" s="284">
        <v>2.273106152519639E-2</v>
      </c>
      <c r="W261" s="284">
        <v>2.273106152519639E-2</v>
      </c>
      <c r="X261" s="284">
        <v>2.273106152519639E-2</v>
      </c>
      <c r="Y261" s="284">
        <v>2.273106152519639E-2</v>
      </c>
      <c r="Z261" s="284">
        <v>2.273106152519639E-2</v>
      </c>
      <c r="AA261" s="284">
        <v>2.273106152519639E-2</v>
      </c>
      <c r="AB261" s="284">
        <v>2.273106152519639E-2</v>
      </c>
      <c r="AC261" s="284">
        <v>2.273106152519639E-2</v>
      </c>
      <c r="AD261" s="284">
        <v>2.273106152519639E-2</v>
      </c>
      <c r="AE261" s="284">
        <v>2.273106152519639E-2</v>
      </c>
      <c r="AF261" s="284">
        <v>2.273106152519639E-2</v>
      </c>
      <c r="AG261" s="284">
        <v>2.273106152519639E-2</v>
      </c>
      <c r="AH261" s="284">
        <v>2.273106152519639E-2</v>
      </c>
      <c r="AI261" s="284">
        <v>2.273106152519639E-2</v>
      </c>
      <c r="AJ261" s="284">
        <v>2.273106152519639E-2</v>
      </c>
      <c r="AK261" s="284">
        <v>2.273106152519639E-2</v>
      </c>
      <c r="AL261" s="284">
        <v>2.273106152519639E-2</v>
      </c>
      <c r="AM261" s="284">
        <v>2.273106152519639E-2</v>
      </c>
      <c r="AN261" s="284">
        <v>2.273106152519639E-2</v>
      </c>
      <c r="AO261" s="284">
        <v>2.273106152519639E-2</v>
      </c>
      <c r="AP261" s="284">
        <v>2.273106152519639E-2</v>
      </c>
      <c r="AQ261" s="284">
        <v>2.273106152519639E-2</v>
      </c>
      <c r="AR261" s="284">
        <v>2.273106152519639E-2</v>
      </c>
      <c r="AS261" s="284">
        <v>2.273106152519639E-2</v>
      </c>
      <c r="AT261" s="284">
        <v>2.273106152519639E-2</v>
      </c>
      <c r="AU261" s="284">
        <v>2.273106152519639E-2</v>
      </c>
      <c r="AV261" s="284">
        <v>2.273106152519639E-2</v>
      </c>
      <c r="AW261" s="284">
        <v>2.273106152519639E-2</v>
      </c>
      <c r="AX261" s="284">
        <v>2.273106152519639E-2</v>
      </c>
      <c r="AY261" s="284">
        <v>2.273106152519639E-2</v>
      </c>
      <c r="AZ261" s="284">
        <v>2.273106152519639E-2</v>
      </c>
      <c r="BA261" s="284">
        <v>2.273106152519639E-2</v>
      </c>
      <c r="BB261" s="284">
        <v>2.273106152519639E-2</v>
      </c>
      <c r="BC261" s="284">
        <v>2.273106152519639E-2</v>
      </c>
      <c r="BD261" s="284">
        <v>2.273106152519639E-2</v>
      </c>
      <c r="BE261" s="284">
        <v>2.273106152519639E-2</v>
      </c>
      <c r="BF261" s="284">
        <v>2.273106152519639E-2</v>
      </c>
      <c r="BG261" s="284">
        <v>2.273106152519639E-2</v>
      </c>
      <c r="BH261" s="284">
        <v>2.273106152519639E-2</v>
      </c>
      <c r="BI261" s="284">
        <v>2.273106152519639E-2</v>
      </c>
      <c r="BJ261" s="284">
        <v>2.273106152519639E-2</v>
      </c>
      <c r="BK261" s="284">
        <v>2.273106152519639E-2</v>
      </c>
      <c r="BL261" s="284">
        <v>2.273106152519639E-2</v>
      </c>
      <c r="BM261" s="284">
        <v>2.273106152519639E-2</v>
      </c>
      <c r="BN261" s="284">
        <v>2.273106152519639E-2</v>
      </c>
      <c r="BO261" s="284">
        <v>2.273106152519639E-2</v>
      </c>
      <c r="BP261" s="284">
        <v>2.273106152519639E-2</v>
      </c>
      <c r="BQ261" s="284">
        <v>2.273106152519639E-2</v>
      </c>
      <c r="BR261" s="284">
        <v>2.273106152519639E-2</v>
      </c>
      <c r="BS261" s="284">
        <v>2.273106152519639E-2</v>
      </c>
      <c r="BT261" s="284">
        <v>2.273106152519639E-2</v>
      </c>
      <c r="BU261" s="284">
        <v>2.273106152519639E-2</v>
      </c>
      <c r="BV261" s="284">
        <v>2.273106152519639E-2</v>
      </c>
      <c r="BW261" s="284">
        <v>2.273106152519639E-2</v>
      </c>
      <c r="BX261" s="284">
        <v>2.273106152519639E-2</v>
      </c>
      <c r="BY261" s="284">
        <v>2.273106152519639E-2</v>
      </c>
      <c r="BZ261" s="284">
        <v>2.273106152519639E-2</v>
      </c>
      <c r="CA261" s="284">
        <v>2.273106152519639E-2</v>
      </c>
      <c r="CB261" s="284">
        <v>2.273106152519639E-2</v>
      </c>
      <c r="CC261" s="284">
        <v>2.273106152519639E-2</v>
      </c>
      <c r="CD261" s="284">
        <v>2.273106152519639E-2</v>
      </c>
      <c r="CE261" s="284">
        <v>2.273106152519639E-2</v>
      </c>
      <c r="CF261" s="284">
        <v>2.273106152519639E-2</v>
      </c>
      <c r="CG261" s="284">
        <v>2.273106152519639E-2</v>
      </c>
      <c r="CH261" s="284">
        <v>2.273106152519639E-2</v>
      </c>
      <c r="CI261" s="284">
        <v>2.273106152519639E-2</v>
      </c>
    </row>
    <row r="262" spans="1:87" ht="14.25" customHeight="1" x14ac:dyDescent="0.35">
      <c r="A262" s="42" t="s">
        <v>100</v>
      </c>
      <c r="B262" s="284">
        <v>3.0029157254255607E-2</v>
      </c>
      <c r="C262" s="284">
        <v>3.0029157254255607E-2</v>
      </c>
      <c r="D262" s="284">
        <v>3.0029157254255607E-2</v>
      </c>
      <c r="E262" s="284">
        <v>3.0029157254255607E-2</v>
      </c>
      <c r="F262" s="284">
        <v>3.0029157254255607E-2</v>
      </c>
      <c r="G262" s="284">
        <v>3.0029157254255607E-2</v>
      </c>
      <c r="H262" s="284">
        <v>3.0029157254255607E-2</v>
      </c>
      <c r="I262" s="284">
        <v>3.0029157254255607E-2</v>
      </c>
      <c r="J262" s="284">
        <v>3.0029157254255607E-2</v>
      </c>
      <c r="K262" s="284">
        <v>3.0029157254255607E-2</v>
      </c>
      <c r="L262" s="284">
        <v>3.0029157254255607E-2</v>
      </c>
      <c r="M262" s="284">
        <v>3.0029157254255607E-2</v>
      </c>
      <c r="N262" s="284">
        <v>3.0029157254255607E-2</v>
      </c>
      <c r="O262" s="284">
        <v>3.0029157254255607E-2</v>
      </c>
      <c r="P262" s="284">
        <v>3.0029157254255607E-2</v>
      </c>
      <c r="Q262" s="284">
        <v>3.0029157254255607E-2</v>
      </c>
      <c r="R262" s="284">
        <v>3.0029157254255607E-2</v>
      </c>
      <c r="S262" s="284">
        <v>3.0029157254255607E-2</v>
      </c>
      <c r="T262" s="284">
        <v>3.0029157254255607E-2</v>
      </c>
      <c r="U262" s="284">
        <v>3.0029157254255607E-2</v>
      </c>
      <c r="V262" s="284">
        <v>3.0029157254255607E-2</v>
      </c>
      <c r="W262" s="284">
        <v>3.0029157254255607E-2</v>
      </c>
      <c r="X262" s="284">
        <v>3.0029157254255607E-2</v>
      </c>
      <c r="Y262" s="284">
        <v>3.0029157254255607E-2</v>
      </c>
      <c r="Z262" s="284">
        <v>3.0029157254255607E-2</v>
      </c>
      <c r="AA262" s="284">
        <v>3.0029157254255607E-2</v>
      </c>
      <c r="AB262" s="284">
        <v>3.0029157254255607E-2</v>
      </c>
      <c r="AC262" s="284">
        <v>3.0029157254255607E-2</v>
      </c>
      <c r="AD262" s="284">
        <v>3.0029157254255607E-2</v>
      </c>
      <c r="AE262" s="284">
        <v>3.0029157254255607E-2</v>
      </c>
      <c r="AF262" s="284">
        <v>3.0029157254255607E-2</v>
      </c>
      <c r="AG262" s="284">
        <v>3.0029157254255607E-2</v>
      </c>
      <c r="AH262" s="284">
        <v>3.0029157254255607E-2</v>
      </c>
      <c r="AI262" s="284">
        <v>3.0029157254255607E-2</v>
      </c>
      <c r="AJ262" s="284">
        <v>3.0029157254255607E-2</v>
      </c>
      <c r="AK262" s="284">
        <v>3.0029157254255607E-2</v>
      </c>
      <c r="AL262" s="284">
        <v>3.0029157254255607E-2</v>
      </c>
      <c r="AM262" s="284">
        <v>3.0029157254255607E-2</v>
      </c>
      <c r="AN262" s="284">
        <v>3.0029157254255607E-2</v>
      </c>
      <c r="AO262" s="284">
        <v>3.0029157254255607E-2</v>
      </c>
      <c r="AP262" s="284">
        <v>3.0029157254255607E-2</v>
      </c>
      <c r="AQ262" s="284">
        <v>3.0029157254255607E-2</v>
      </c>
      <c r="AR262" s="284">
        <v>3.0029157254255607E-2</v>
      </c>
      <c r="AS262" s="284">
        <v>3.0029157254255607E-2</v>
      </c>
      <c r="AT262" s="284">
        <v>3.0029157254255607E-2</v>
      </c>
      <c r="AU262" s="284">
        <v>3.0029157254255607E-2</v>
      </c>
      <c r="AV262" s="284">
        <v>3.0029157254255607E-2</v>
      </c>
      <c r="AW262" s="284">
        <v>3.0029157254255607E-2</v>
      </c>
      <c r="AX262" s="284">
        <v>3.0029157254255607E-2</v>
      </c>
      <c r="AY262" s="284">
        <v>3.0029157254255607E-2</v>
      </c>
      <c r="AZ262" s="284">
        <v>3.0029157254255607E-2</v>
      </c>
      <c r="BA262" s="284">
        <v>3.0029157254255607E-2</v>
      </c>
      <c r="BB262" s="284">
        <v>3.0029157254255607E-2</v>
      </c>
      <c r="BC262" s="284">
        <v>3.0029157254255607E-2</v>
      </c>
      <c r="BD262" s="284">
        <v>3.0029157254255607E-2</v>
      </c>
      <c r="BE262" s="284">
        <v>3.0029157254255607E-2</v>
      </c>
      <c r="BF262" s="284">
        <v>3.0029157254255607E-2</v>
      </c>
      <c r="BG262" s="284">
        <v>3.0029157254255607E-2</v>
      </c>
      <c r="BH262" s="284">
        <v>3.0029157254255607E-2</v>
      </c>
      <c r="BI262" s="284">
        <v>3.0029157254255607E-2</v>
      </c>
      <c r="BJ262" s="284">
        <v>3.0029157254255607E-2</v>
      </c>
      <c r="BK262" s="284">
        <v>3.0029157254255607E-2</v>
      </c>
      <c r="BL262" s="284">
        <v>3.0029157254255607E-2</v>
      </c>
      <c r="BM262" s="284">
        <v>3.0029157254255607E-2</v>
      </c>
      <c r="BN262" s="284">
        <v>3.0029157254255607E-2</v>
      </c>
      <c r="BO262" s="284">
        <v>3.0029157254255607E-2</v>
      </c>
      <c r="BP262" s="284">
        <v>3.0029157254255607E-2</v>
      </c>
      <c r="BQ262" s="284">
        <v>3.0029157254255607E-2</v>
      </c>
      <c r="BR262" s="284">
        <v>3.0029157254255607E-2</v>
      </c>
      <c r="BS262" s="284">
        <v>3.0029157254255607E-2</v>
      </c>
      <c r="BT262" s="284">
        <v>3.0029157254255607E-2</v>
      </c>
      <c r="BU262" s="284">
        <v>3.0029157254255607E-2</v>
      </c>
      <c r="BV262" s="284">
        <v>3.0029157254255607E-2</v>
      </c>
      <c r="BW262" s="284">
        <v>3.0029157254255607E-2</v>
      </c>
      <c r="BX262" s="284">
        <v>3.0029157254255607E-2</v>
      </c>
      <c r="BY262" s="284">
        <v>3.0029157254255607E-2</v>
      </c>
      <c r="BZ262" s="284">
        <v>3.0029157254255607E-2</v>
      </c>
      <c r="CA262" s="284">
        <v>3.0029157254255607E-2</v>
      </c>
      <c r="CB262" s="284">
        <v>3.0029157254255607E-2</v>
      </c>
      <c r="CC262" s="284">
        <v>3.0029157254255607E-2</v>
      </c>
      <c r="CD262" s="284">
        <v>3.0029157254255607E-2</v>
      </c>
      <c r="CE262" s="284">
        <v>3.0029157254255607E-2</v>
      </c>
      <c r="CF262" s="284">
        <v>3.0029157254255607E-2</v>
      </c>
      <c r="CG262" s="284">
        <v>3.0029157254255607E-2</v>
      </c>
      <c r="CH262" s="284">
        <v>3.0029157254255607E-2</v>
      </c>
      <c r="CI262" s="284">
        <v>3.0029157254255607E-2</v>
      </c>
    </row>
    <row r="263" spans="1:87" ht="14.25" customHeight="1" x14ac:dyDescent="0.35">
      <c r="A263" s="42" t="s">
        <v>101</v>
      </c>
      <c r="B263" s="284">
        <v>4.548512612168331E-3</v>
      </c>
      <c r="C263" s="284">
        <v>4.548512612168331E-3</v>
      </c>
      <c r="D263" s="284">
        <v>4.548512612168331E-3</v>
      </c>
      <c r="E263" s="284">
        <v>4.548512612168331E-3</v>
      </c>
      <c r="F263" s="284">
        <v>4.548512612168331E-3</v>
      </c>
      <c r="G263" s="284">
        <v>4.548512612168331E-3</v>
      </c>
      <c r="H263" s="284">
        <v>4.548512612168331E-3</v>
      </c>
      <c r="I263" s="284">
        <v>4.548512612168331E-3</v>
      </c>
      <c r="J263" s="284">
        <v>4.548512612168331E-3</v>
      </c>
      <c r="K263" s="284">
        <v>4.548512612168331E-3</v>
      </c>
      <c r="L263" s="284">
        <v>4.548512612168331E-3</v>
      </c>
      <c r="M263" s="284">
        <v>4.548512612168331E-3</v>
      </c>
      <c r="N263" s="284">
        <v>4.548512612168331E-3</v>
      </c>
      <c r="O263" s="284">
        <v>4.548512612168331E-3</v>
      </c>
      <c r="P263" s="284">
        <v>4.548512612168331E-3</v>
      </c>
      <c r="Q263" s="284">
        <v>4.548512612168331E-3</v>
      </c>
      <c r="R263" s="284">
        <v>4.548512612168331E-3</v>
      </c>
      <c r="S263" s="284">
        <v>4.548512612168331E-3</v>
      </c>
      <c r="T263" s="284">
        <v>4.548512612168331E-3</v>
      </c>
      <c r="U263" s="284">
        <v>4.548512612168331E-3</v>
      </c>
      <c r="V263" s="284">
        <v>4.548512612168331E-3</v>
      </c>
      <c r="W263" s="284">
        <v>4.548512612168331E-3</v>
      </c>
      <c r="X263" s="284">
        <v>4.548512612168331E-3</v>
      </c>
      <c r="Y263" s="284">
        <v>4.548512612168331E-3</v>
      </c>
      <c r="Z263" s="284">
        <v>4.548512612168331E-3</v>
      </c>
      <c r="AA263" s="284">
        <v>4.548512612168331E-3</v>
      </c>
      <c r="AB263" s="284">
        <v>4.548512612168331E-3</v>
      </c>
      <c r="AC263" s="284">
        <v>4.548512612168331E-3</v>
      </c>
      <c r="AD263" s="284">
        <v>4.548512612168331E-3</v>
      </c>
      <c r="AE263" s="284">
        <v>4.548512612168331E-3</v>
      </c>
      <c r="AF263" s="284">
        <v>4.548512612168331E-3</v>
      </c>
      <c r="AG263" s="284">
        <v>4.548512612168331E-3</v>
      </c>
      <c r="AH263" s="284">
        <v>4.548512612168331E-3</v>
      </c>
      <c r="AI263" s="284">
        <v>4.548512612168331E-3</v>
      </c>
      <c r="AJ263" s="284">
        <v>4.548512612168331E-3</v>
      </c>
      <c r="AK263" s="284">
        <v>4.548512612168331E-3</v>
      </c>
      <c r="AL263" s="284">
        <v>4.548512612168331E-3</v>
      </c>
      <c r="AM263" s="284">
        <v>4.548512612168331E-3</v>
      </c>
      <c r="AN263" s="284">
        <v>4.548512612168331E-3</v>
      </c>
      <c r="AO263" s="284">
        <v>4.548512612168331E-3</v>
      </c>
      <c r="AP263" s="284">
        <v>4.548512612168331E-3</v>
      </c>
      <c r="AQ263" s="284">
        <v>4.548512612168331E-3</v>
      </c>
      <c r="AR263" s="284">
        <v>4.548512612168331E-3</v>
      </c>
      <c r="AS263" s="284">
        <v>4.548512612168331E-3</v>
      </c>
      <c r="AT263" s="284">
        <v>4.548512612168331E-3</v>
      </c>
      <c r="AU263" s="284">
        <v>4.548512612168331E-3</v>
      </c>
      <c r="AV263" s="284">
        <v>4.548512612168331E-3</v>
      </c>
      <c r="AW263" s="284">
        <v>4.548512612168331E-3</v>
      </c>
      <c r="AX263" s="284">
        <v>4.548512612168331E-3</v>
      </c>
      <c r="AY263" s="284">
        <v>4.548512612168331E-3</v>
      </c>
      <c r="AZ263" s="284">
        <v>4.548512612168331E-3</v>
      </c>
      <c r="BA263" s="284">
        <v>4.548512612168331E-3</v>
      </c>
      <c r="BB263" s="284">
        <v>4.548512612168331E-3</v>
      </c>
      <c r="BC263" s="284">
        <v>4.548512612168331E-3</v>
      </c>
      <c r="BD263" s="284">
        <v>4.548512612168331E-3</v>
      </c>
      <c r="BE263" s="284">
        <v>4.548512612168331E-3</v>
      </c>
      <c r="BF263" s="284">
        <v>4.548512612168331E-3</v>
      </c>
      <c r="BG263" s="284">
        <v>4.548512612168331E-3</v>
      </c>
      <c r="BH263" s="284">
        <v>4.548512612168331E-3</v>
      </c>
      <c r="BI263" s="284">
        <v>4.548512612168331E-3</v>
      </c>
      <c r="BJ263" s="284">
        <v>4.548512612168331E-3</v>
      </c>
      <c r="BK263" s="284">
        <v>4.548512612168331E-3</v>
      </c>
      <c r="BL263" s="284">
        <v>4.548512612168331E-3</v>
      </c>
      <c r="BM263" s="284">
        <v>4.548512612168331E-3</v>
      </c>
      <c r="BN263" s="284">
        <v>4.548512612168331E-3</v>
      </c>
      <c r="BO263" s="284">
        <v>4.548512612168331E-3</v>
      </c>
      <c r="BP263" s="284">
        <v>4.548512612168331E-3</v>
      </c>
      <c r="BQ263" s="284">
        <v>4.548512612168331E-3</v>
      </c>
      <c r="BR263" s="284">
        <v>4.548512612168331E-3</v>
      </c>
      <c r="BS263" s="284">
        <v>4.548512612168331E-3</v>
      </c>
      <c r="BT263" s="284">
        <v>4.548512612168331E-3</v>
      </c>
      <c r="BU263" s="284">
        <v>4.548512612168331E-3</v>
      </c>
      <c r="BV263" s="284">
        <v>4.548512612168331E-3</v>
      </c>
      <c r="BW263" s="284">
        <v>4.548512612168331E-3</v>
      </c>
      <c r="BX263" s="284">
        <v>4.548512612168331E-3</v>
      </c>
      <c r="BY263" s="284">
        <v>4.548512612168331E-3</v>
      </c>
      <c r="BZ263" s="284">
        <v>4.548512612168331E-3</v>
      </c>
      <c r="CA263" s="284">
        <v>4.548512612168331E-3</v>
      </c>
      <c r="CB263" s="284">
        <v>4.548512612168331E-3</v>
      </c>
      <c r="CC263" s="284">
        <v>4.548512612168331E-3</v>
      </c>
      <c r="CD263" s="284">
        <v>4.548512612168331E-3</v>
      </c>
      <c r="CE263" s="284">
        <v>4.548512612168331E-3</v>
      </c>
      <c r="CF263" s="284">
        <v>4.548512612168331E-3</v>
      </c>
      <c r="CG263" s="284">
        <v>4.548512612168331E-3</v>
      </c>
      <c r="CH263" s="284">
        <v>4.548512612168331E-3</v>
      </c>
      <c r="CI263" s="284">
        <v>4.548512612168331E-3</v>
      </c>
    </row>
    <row r="264" spans="1:87" ht="14.25" customHeight="1" x14ac:dyDescent="0.35">
      <c r="A264" s="42" t="s">
        <v>102</v>
      </c>
      <c r="B264" s="284">
        <v>1.6517281862651445E-2</v>
      </c>
      <c r="C264" s="284">
        <v>1.6517281862651445E-2</v>
      </c>
      <c r="D264" s="284">
        <v>1.6517281862651445E-2</v>
      </c>
      <c r="E264" s="284">
        <v>1.6517281862651445E-2</v>
      </c>
      <c r="F264" s="284">
        <v>1.6517281862651445E-2</v>
      </c>
      <c r="G264" s="284">
        <v>1.6517281862651445E-2</v>
      </c>
      <c r="H264" s="284">
        <v>1.6517281862651445E-2</v>
      </c>
      <c r="I264" s="284">
        <v>1.6517281862651445E-2</v>
      </c>
      <c r="J264" s="284">
        <v>1.6517281862651445E-2</v>
      </c>
      <c r="K264" s="284">
        <v>1.6517281862651445E-2</v>
      </c>
      <c r="L264" s="284">
        <v>1.6517281862651445E-2</v>
      </c>
      <c r="M264" s="284">
        <v>1.6517281862651445E-2</v>
      </c>
      <c r="N264" s="284">
        <v>1.6517281862651445E-2</v>
      </c>
      <c r="O264" s="284">
        <v>1.6517281862651445E-2</v>
      </c>
      <c r="P264" s="284">
        <v>1.6517281862651445E-2</v>
      </c>
      <c r="Q264" s="284">
        <v>1.6517281862651445E-2</v>
      </c>
      <c r="R264" s="284">
        <v>1.6517281862651445E-2</v>
      </c>
      <c r="S264" s="284">
        <v>1.6517281862651445E-2</v>
      </c>
      <c r="T264" s="284">
        <v>1.6517281862651445E-2</v>
      </c>
      <c r="U264" s="284">
        <v>1.6517281862651445E-2</v>
      </c>
      <c r="V264" s="284">
        <v>1.6517281862651445E-2</v>
      </c>
      <c r="W264" s="284">
        <v>1.6517281862651445E-2</v>
      </c>
      <c r="X264" s="284">
        <v>1.6517281862651445E-2</v>
      </c>
      <c r="Y264" s="284">
        <v>1.6517281862651445E-2</v>
      </c>
      <c r="Z264" s="284">
        <v>1.6517281862651445E-2</v>
      </c>
      <c r="AA264" s="284">
        <v>1.6517281862651445E-2</v>
      </c>
      <c r="AB264" s="284">
        <v>1.6517281862651445E-2</v>
      </c>
      <c r="AC264" s="284">
        <v>1.6517281862651445E-2</v>
      </c>
      <c r="AD264" s="284">
        <v>1.6517281862651445E-2</v>
      </c>
      <c r="AE264" s="284">
        <v>1.6517281862651445E-2</v>
      </c>
      <c r="AF264" s="284">
        <v>1.6517281862651445E-2</v>
      </c>
      <c r="AG264" s="284">
        <v>1.6517281862651445E-2</v>
      </c>
      <c r="AH264" s="284">
        <v>1.6517281862651445E-2</v>
      </c>
      <c r="AI264" s="284">
        <v>1.6517281862651445E-2</v>
      </c>
      <c r="AJ264" s="284">
        <v>1.6517281862651445E-2</v>
      </c>
      <c r="AK264" s="284">
        <v>1.6517281862651445E-2</v>
      </c>
      <c r="AL264" s="284">
        <v>1.6517281862651445E-2</v>
      </c>
      <c r="AM264" s="284">
        <v>1.6517281862651445E-2</v>
      </c>
      <c r="AN264" s="284">
        <v>1.6517281862651445E-2</v>
      </c>
      <c r="AO264" s="284">
        <v>1.6517281862651445E-2</v>
      </c>
      <c r="AP264" s="284">
        <v>1.6517281862651445E-2</v>
      </c>
      <c r="AQ264" s="284">
        <v>1.6517281862651445E-2</v>
      </c>
      <c r="AR264" s="284">
        <v>1.6517281862651445E-2</v>
      </c>
      <c r="AS264" s="284">
        <v>1.6517281862651445E-2</v>
      </c>
      <c r="AT264" s="284">
        <v>1.6517281862651445E-2</v>
      </c>
      <c r="AU264" s="284">
        <v>1.6517281862651445E-2</v>
      </c>
      <c r="AV264" s="284">
        <v>1.6517281862651445E-2</v>
      </c>
      <c r="AW264" s="284">
        <v>1.6517281862651445E-2</v>
      </c>
      <c r="AX264" s="284">
        <v>1.6517281862651445E-2</v>
      </c>
      <c r="AY264" s="284">
        <v>1.6517281862651445E-2</v>
      </c>
      <c r="AZ264" s="284">
        <v>1.6517281862651445E-2</v>
      </c>
      <c r="BA264" s="284">
        <v>1.6517281862651445E-2</v>
      </c>
      <c r="BB264" s="284">
        <v>1.6517281862651445E-2</v>
      </c>
      <c r="BC264" s="284">
        <v>1.6517281862651445E-2</v>
      </c>
      <c r="BD264" s="284">
        <v>1.6517281862651445E-2</v>
      </c>
      <c r="BE264" s="284">
        <v>1.6517281862651445E-2</v>
      </c>
      <c r="BF264" s="284">
        <v>1.6517281862651445E-2</v>
      </c>
      <c r="BG264" s="284">
        <v>1.6517281862651445E-2</v>
      </c>
      <c r="BH264" s="284">
        <v>1.6517281862651445E-2</v>
      </c>
      <c r="BI264" s="284">
        <v>1.6517281862651445E-2</v>
      </c>
      <c r="BJ264" s="284">
        <v>1.6517281862651445E-2</v>
      </c>
      <c r="BK264" s="284">
        <v>1.6517281862651445E-2</v>
      </c>
      <c r="BL264" s="284">
        <v>1.6517281862651445E-2</v>
      </c>
      <c r="BM264" s="284">
        <v>1.6517281862651445E-2</v>
      </c>
      <c r="BN264" s="284">
        <v>1.6517281862651445E-2</v>
      </c>
      <c r="BO264" s="284">
        <v>1.6517281862651445E-2</v>
      </c>
      <c r="BP264" s="284">
        <v>1.6517281862651445E-2</v>
      </c>
      <c r="BQ264" s="284">
        <v>1.6517281862651445E-2</v>
      </c>
      <c r="BR264" s="284">
        <v>1.6517281862651445E-2</v>
      </c>
      <c r="BS264" s="284">
        <v>1.6517281862651445E-2</v>
      </c>
      <c r="BT264" s="284">
        <v>1.6517281862651445E-2</v>
      </c>
      <c r="BU264" s="284">
        <v>1.6517281862651445E-2</v>
      </c>
      <c r="BV264" s="284">
        <v>1.6517281862651445E-2</v>
      </c>
      <c r="BW264" s="284">
        <v>1.6517281862651445E-2</v>
      </c>
      <c r="BX264" s="284">
        <v>1.6517281862651445E-2</v>
      </c>
      <c r="BY264" s="284">
        <v>1.6517281862651445E-2</v>
      </c>
      <c r="BZ264" s="284">
        <v>1.6517281862651445E-2</v>
      </c>
      <c r="CA264" s="284">
        <v>1.6517281862651445E-2</v>
      </c>
      <c r="CB264" s="284">
        <v>1.6517281862651445E-2</v>
      </c>
      <c r="CC264" s="284">
        <v>1.6517281862651445E-2</v>
      </c>
      <c r="CD264" s="284">
        <v>1.6517281862651445E-2</v>
      </c>
      <c r="CE264" s="284">
        <v>1.6517281862651445E-2</v>
      </c>
      <c r="CF264" s="284">
        <v>1.6517281862651445E-2</v>
      </c>
      <c r="CG264" s="284">
        <v>1.6517281862651445E-2</v>
      </c>
      <c r="CH264" s="284">
        <v>1.6517281862651445E-2</v>
      </c>
      <c r="CI264" s="284">
        <v>1.6517281862651445E-2</v>
      </c>
    </row>
    <row r="265" spans="1:87" ht="14.25" customHeight="1" x14ac:dyDescent="0.35">
      <c r="A265" s="42" t="s">
        <v>103</v>
      </c>
      <c r="B265" s="284">
        <v>1.7936119797595695E-2</v>
      </c>
      <c r="C265" s="284">
        <v>1.7936119797595695E-2</v>
      </c>
      <c r="D265" s="284">
        <v>1.7936119797595695E-2</v>
      </c>
      <c r="E265" s="284">
        <v>1.7936119797595695E-2</v>
      </c>
      <c r="F265" s="284">
        <v>1.7936119797595695E-2</v>
      </c>
      <c r="G265" s="284">
        <v>1.7936119797595695E-2</v>
      </c>
      <c r="H265" s="284">
        <v>1.7936119797595695E-2</v>
      </c>
      <c r="I265" s="284">
        <v>1.7936119797595695E-2</v>
      </c>
      <c r="J265" s="284">
        <v>1.7936119797595695E-2</v>
      </c>
      <c r="K265" s="284">
        <v>1.7936119797595695E-2</v>
      </c>
      <c r="L265" s="284">
        <v>1.7936119797595695E-2</v>
      </c>
      <c r="M265" s="284">
        <v>1.7936119797595695E-2</v>
      </c>
      <c r="N265" s="284">
        <v>1.7936119797595695E-2</v>
      </c>
      <c r="O265" s="284">
        <v>1.7936119797595695E-2</v>
      </c>
      <c r="P265" s="284">
        <v>1.7936119797595695E-2</v>
      </c>
      <c r="Q265" s="284">
        <v>1.7936119797595695E-2</v>
      </c>
      <c r="R265" s="284">
        <v>1.7936119797595695E-2</v>
      </c>
      <c r="S265" s="284">
        <v>1.7936119797595695E-2</v>
      </c>
      <c r="T265" s="284">
        <v>1.7936119797595695E-2</v>
      </c>
      <c r="U265" s="284">
        <v>1.7936119797595695E-2</v>
      </c>
      <c r="V265" s="284">
        <v>1.7936119797595695E-2</v>
      </c>
      <c r="W265" s="284">
        <v>1.7936119797595695E-2</v>
      </c>
      <c r="X265" s="284">
        <v>1.7936119797595695E-2</v>
      </c>
      <c r="Y265" s="284">
        <v>1.7936119797595695E-2</v>
      </c>
      <c r="Z265" s="284">
        <v>1.7936119797595695E-2</v>
      </c>
      <c r="AA265" s="284">
        <v>1.7936119797595695E-2</v>
      </c>
      <c r="AB265" s="284">
        <v>1.7936119797595695E-2</v>
      </c>
      <c r="AC265" s="284">
        <v>1.7936119797595695E-2</v>
      </c>
      <c r="AD265" s="284">
        <v>1.7936119797595695E-2</v>
      </c>
      <c r="AE265" s="284">
        <v>1.7936119797595695E-2</v>
      </c>
      <c r="AF265" s="284">
        <v>1.7936119797595695E-2</v>
      </c>
      <c r="AG265" s="284">
        <v>1.7936119797595695E-2</v>
      </c>
      <c r="AH265" s="284">
        <v>1.7936119797595695E-2</v>
      </c>
      <c r="AI265" s="284">
        <v>1.7936119797595695E-2</v>
      </c>
      <c r="AJ265" s="284">
        <v>1.7936119797595695E-2</v>
      </c>
      <c r="AK265" s="284">
        <v>1.7936119797595695E-2</v>
      </c>
      <c r="AL265" s="284">
        <v>1.7936119797595695E-2</v>
      </c>
      <c r="AM265" s="284">
        <v>1.7936119797595695E-2</v>
      </c>
      <c r="AN265" s="284">
        <v>1.7936119797595695E-2</v>
      </c>
      <c r="AO265" s="284">
        <v>1.7936119797595695E-2</v>
      </c>
      <c r="AP265" s="284">
        <v>1.7936119797595695E-2</v>
      </c>
      <c r="AQ265" s="284">
        <v>1.7936119797595695E-2</v>
      </c>
      <c r="AR265" s="284">
        <v>1.7936119797595695E-2</v>
      </c>
      <c r="AS265" s="284">
        <v>1.7936119797595695E-2</v>
      </c>
      <c r="AT265" s="284">
        <v>1.7936119797595695E-2</v>
      </c>
      <c r="AU265" s="284">
        <v>1.7936119797595695E-2</v>
      </c>
      <c r="AV265" s="284">
        <v>1.7936119797595695E-2</v>
      </c>
      <c r="AW265" s="284">
        <v>1.7936119797595695E-2</v>
      </c>
      <c r="AX265" s="284">
        <v>1.7936119797595695E-2</v>
      </c>
      <c r="AY265" s="284">
        <v>1.7936119797595695E-2</v>
      </c>
      <c r="AZ265" s="284">
        <v>1.7936119797595695E-2</v>
      </c>
      <c r="BA265" s="284">
        <v>1.7936119797595695E-2</v>
      </c>
      <c r="BB265" s="284">
        <v>1.7936119797595695E-2</v>
      </c>
      <c r="BC265" s="284">
        <v>1.7936119797595695E-2</v>
      </c>
      <c r="BD265" s="284">
        <v>1.7936119797595695E-2</v>
      </c>
      <c r="BE265" s="284">
        <v>1.7936119797595695E-2</v>
      </c>
      <c r="BF265" s="284">
        <v>1.7936119797595695E-2</v>
      </c>
      <c r="BG265" s="284">
        <v>1.7936119797595695E-2</v>
      </c>
      <c r="BH265" s="284">
        <v>1.7936119797595695E-2</v>
      </c>
      <c r="BI265" s="284">
        <v>1.7936119797595695E-2</v>
      </c>
      <c r="BJ265" s="284">
        <v>1.7936119797595695E-2</v>
      </c>
      <c r="BK265" s="284">
        <v>1.7936119797595695E-2</v>
      </c>
      <c r="BL265" s="284">
        <v>1.7936119797595695E-2</v>
      </c>
      <c r="BM265" s="284">
        <v>1.7936119797595695E-2</v>
      </c>
      <c r="BN265" s="284">
        <v>1.7936119797595695E-2</v>
      </c>
      <c r="BO265" s="284">
        <v>1.7936119797595695E-2</v>
      </c>
      <c r="BP265" s="284">
        <v>1.7936119797595695E-2</v>
      </c>
      <c r="BQ265" s="284">
        <v>1.7936119797595695E-2</v>
      </c>
      <c r="BR265" s="284">
        <v>1.7936119797595695E-2</v>
      </c>
      <c r="BS265" s="284">
        <v>1.7936119797595695E-2</v>
      </c>
      <c r="BT265" s="284">
        <v>1.7936119797595695E-2</v>
      </c>
      <c r="BU265" s="284">
        <v>1.7936119797595695E-2</v>
      </c>
      <c r="BV265" s="284">
        <v>1.7936119797595695E-2</v>
      </c>
      <c r="BW265" s="284">
        <v>1.7936119797595695E-2</v>
      </c>
      <c r="BX265" s="284">
        <v>1.7936119797595695E-2</v>
      </c>
      <c r="BY265" s="284">
        <v>1.7936119797595695E-2</v>
      </c>
      <c r="BZ265" s="284">
        <v>1.7936119797595695E-2</v>
      </c>
      <c r="CA265" s="284">
        <v>1.7936119797595695E-2</v>
      </c>
      <c r="CB265" s="284">
        <v>1.7936119797595695E-2</v>
      </c>
      <c r="CC265" s="284">
        <v>1.7936119797595695E-2</v>
      </c>
      <c r="CD265" s="284">
        <v>1.7936119797595695E-2</v>
      </c>
      <c r="CE265" s="284">
        <v>1.7936119797595695E-2</v>
      </c>
      <c r="CF265" s="284">
        <v>1.7936119797595695E-2</v>
      </c>
      <c r="CG265" s="284">
        <v>1.7936119797595695E-2</v>
      </c>
      <c r="CH265" s="284">
        <v>1.7936119797595695E-2</v>
      </c>
      <c r="CI265" s="284">
        <v>1.7936119797595695E-2</v>
      </c>
    </row>
    <row r="266" spans="1:87" ht="14.25" customHeight="1" x14ac:dyDescent="0.35">
      <c r="A266" s="42" t="s">
        <v>104</v>
      </c>
      <c r="B266" s="284">
        <v>1.6106652544500166E-2</v>
      </c>
      <c r="C266" s="284">
        <v>1.6106652544500166E-2</v>
      </c>
      <c r="D266" s="284">
        <v>1.6106652544500166E-2</v>
      </c>
      <c r="E266" s="284">
        <v>1.6106652544500166E-2</v>
      </c>
      <c r="F266" s="284">
        <v>1.6106652544500166E-2</v>
      </c>
      <c r="G266" s="284">
        <v>1.6106652544500166E-2</v>
      </c>
      <c r="H266" s="284">
        <v>1.6106652544500166E-2</v>
      </c>
      <c r="I266" s="284">
        <v>1.6106652544500166E-2</v>
      </c>
      <c r="J266" s="284">
        <v>1.6106652544500166E-2</v>
      </c>
      <c r="K266" s="284">
        <v>1.6106652544500166E-2</v>
      </c>
      <c r="L266" s="284">
        <v>1.6106652544500166E-2</v>
      </c>
      <c r="M266" s="284">
        <v>1.6106652544500166E-2</v>
      </c>
      <c r="N266" s="284">
        <v>1.6106652544500166E-2</v>
      </c>
      <c r="O266" s="284">
        <v>1.6106652544500166E-2</v>
      </c>
      <c r="P266" s="284">
        <v>1.6106652544500166E-2</v>
      </c>
      <c r="Q266" s="284">
        <v>1.6106652544500166E-2</v>
      </c>
      <c r="R266" s="284">
        <v>1.6106652544500166E-2</v>
      </c>
      <c r="S266" s="284">
        <v>1.6106652544500166E-2</v>
      </c>
      <c r="T266" s="284">
        <v>1.6106652544500166E-2</v>
      </c>
      <c r="U266" s="284">
        <v>1.6106652544500166E-2</v>
      </c>
      <c r="V266" s="284">
        <v>1.6106652544500166E-2</v>
      </c>
      <c r="W266" s="284">
        <v>1.6106652544500166E-2</v>
      </c>
      <c r="X266" s="284">
        <v>1.6106652544500166E-2</v>
      </c>
      <c r="Y266" s="284">
        <v>1.6106652544500166E-2</v>
      </c>
      <c r="Z266" s="284">
        <v>1.6106652544500166E-2</v>
      </c>
      <c r="AA266" s="284">
        <v>1.6106652544500166E-2</v>
      </c>
      <c r="AB266" s="284">
        <v>1.6106652544500166E-2</v>
      </c>
      <c r="AC266" s="284">
        <v>1.6106652544500166E-2</v>
      </c>
      <c r="AD266" s="284">
        <v>1.6106652544500166E-2</v>
      </c>
      <c r="AE266" s="284">
        <v>1.6106652544500166E-2</v>
      </c>
      <c r="AF266" s="284">
        <v>1.6106652544500166E-2</v>
      </c>
      <c r="AG266" s="284">
        <v>1.6106652544500166E-2</v>
      </c>
      <c r="AH266" s="284">
        <v>1.6106652544500166E-2</v>
      </c>
      <c r="AI266" s="284">
        <v>1.6106652544500166E-2</v>
      </c>
      <c r="AJ266" s="284">
        <v>1.6106652544500166E-2</v>
      </c>
      <c r="AK266" s="284">
        <v>1.6106652544500166E-2</v>
      </c>
      <c r="AL266" s="284">
        <v>1.6106652544500166E-2</v>
      </c>
      <c r="AM266" s="284">
        <v>1.6106652544500166E-2</v>
      </c>
      <c r="AN266" s="284">
        <v>1.6106652544500166E-2</v>
      </c>
      <c r="AO266" s="284">
        <v>1.6106652544500166E-2</v>
      </c>
      <c r="AP266" s="284">
        <v>1.6106652544500166E-2</v>
      </c>
      <c r="AQ266" s="284">
        <v>1.6106652544500166E-2</v>
      </c>
      <c r="AR266" s="284">
        <v>1.6106652544500166E-2</v>
      </c>
      <c r="AS266" s="284">
        <v>1.6106652544500166E-2</v>
      </c>
      <c r="AT266" s="284">
        <v>1.6106652544500166E-2</v>
      </c>
      <c r="AU266" s="284">
        <v>1.6106652544500166E-2</v>
      </c>
      <c r="AV266" s="284">
        <v>1.6106652544500166E-2</v>
      </c>
      <c r="AW266" s="284">
        <v>1.6106652544500166E-2</v>
      </c>
      <c r="AX266" s="284">
        <v>1.6106652544500166E-2</v>
      </c>
      <c r="AY266" s="284">
        <v>1.6106652544500166E-2</v>
      </c>
      <c r="AZ266" s="284">
        <v>1.6106652544500166E-2</v>
      </c>
      <c r="BA266" s="284">
        <v>1.6106652544500166E-2</v>
      </c>
      <c r="BB266" s="284">
        <v>1.6106652544500166E-2</v>
      </c>
      <c r="BC266" s="284">
        <v>1.6106652544500166E-2</v>
      </c>
      <c r="BD266" s="284">
        <v>1.6106652544500166E-2</v>
      </c>
      <c r="BE266" s="284">
        <v>1.6106652544500166E-2</v>
      </c>
      <c r="BF266" s="284">
        <v>1.6106652544500166E-2</v>
      </c>
      <c r="BG266" s="284">
        <v>1.6106652544500166E-2</v>
      </c>
      <c r="BH266" s="284">
        <v>1.6106652544500166E-2</v>
      </c>
      <c r="BI266" s="284">
        <v>1.6106652544500166E-2</v>
      </c>
      <c r="BJ266" s="284">
        <v>1.6106652544500166E-2</v>
      </c>
      <c r="BK266" s="284">
        <v>1.6106652544500166E-2</v>
      </c>
      <c r="BL266" s="284">
        <v>1.6106652544500166E-2</v>
      </c>
      <c r="BM266" s="284">
        <v>1.6106652544500166E-2</v>
      </c>
      <c r="BN266" s="284">
        <v>1.6106652544500166E-2</v>
      </c>
      <c r="BO266" s="284">
        <v>1.6106652544500166E-2</v>
      </c>
      <c r="BP266" s="284">
        <v>1.6106652544500166E-2</v>
      </c>
      <c r="BQ266" s="284">
        <v>1.6106652544500166E-2</v>
      </c>
      <c r="BR266" s="284">
        <v>1.6106652544500166E-2</v>
      </c>
      <c r="BS266" s="284">
        <v>1.6106652544500166E-2</v>
      </c>
      <c r="BT266" s="284">
        <v>1.6106652544500166E-2</v>
      </c>
      <c r="BU266" s="284">
        <v>1.6106652544500166E-2</v>
      </c>
      <c r="BV266" s="284">
        <v>1.6106652544500166E-2</v>
      </c>
      <c r="BW266" s="284">
        <v>1.6106652544500166E-2</v>
      </c>
      <c r="BX266" s="284">
        <v>1.6106652544500166E-2</v>
      </c>
      <c r="BY266" s="284">
        <v>1.6106652544500166E-2</v>
      </c>
      <c r="BZ266" s="284">
        <v>1.6106652544500166E-2</v>
      </c>
      <c r="CA266" s="284">
        <v>1.6106652544500166E-2</v>
      </c>
      <c r="CB266" s="284">
        <v>1.6106652544500166E-2</v>
      </c>
      <c r="CC266" s="284">
        <v>1.6106652544500166E-2</v>
      </c>
      <c r="CD266" s="284">
        <v>1.6106652544500166E-2</v>
      </c>
      <c r="CE266" s="284">
        <v>1.6106652544500166E-2</v>
      </c>
      <c r="CF266" s="284">
        <v>1.6106652544500166E-2</v>
      </c>
      <c r="CG266" s="284">
        <v>1.6106652544500166E-2</v>
      </c>
      <c r="CH266" s="284">
        <v>1.6106652544500166E-2</v>
      </c>
      <c r="CI266" s="284">
        <v>1.6106652544500166E-2</v>
      </c>
    </row>
    <row r="267" spans="1:87" ht="14.25" customHeight="1" x14ac:dyDescent="0.35">
      <c r="A267" s="42" t="s">
        <v>105</v>
      </c>
      <c r="B267" s="284">
        <v>1.6411687730554389E-2</v>
      </c>
      <c r="C267" s="284">
        <v>1.6411687730554389E-2</v>
      </c>
      <c r="D267" s="284">
        <v>1.6411687730554389E-2</v>
      </c>
      <c r="E267" s="284">
        <v>1.6411687730554389E-2</v>
      </c>
      <c r="F267" s="284">
        <v>1.6411687730554389E-2</v>
      </c>
      <c r="G267" s="284">
        <v>1.6411687730554389E-2</v>
      </c>
      <c r="H267" s="284">
        <v>1.6411687730554389E-2</v>
      </c>
      <c r="I267" s="284">
        <v>1.6411687730554389E-2</v>
      </c>
      <c r="J267" s="284">
        <v>1.6411687730554389E-2</v>
      </c>
      <c r="K267" s="284">
        <v>1.6411687730554389E-2</v>
      </c>
      <c r="L267" s="284">
        <v>1.6411687730554389E-2</v>
      </c>
      <c r="M267" s="284">
        <v>1.6411687730554389E-2</v>
      </c>
      <c r="N267" s="284">
        <v>1.6411687730554389E-2</v>
      </c>
      <c r="O267" s="284">
        <v>1.6411687730554389E-2</v>
      </c>
      <c r="P267" s="284">
        <v>1.6411687730554389E-2</v>
      </c>
      <c r="Q267" s="284">
        <v>1.6411687730554389E-2</v>
      </c>
      <c r="R267" s="284">
        <v>1.6411687730554389E-2</v>
      </c>
      <c r="S267" s="284">
        <v>1.6411687730554389E-2</v>
      </c>
      <c r="T267" s="284">
        <v>1.6411687730554389E-2</v>
      </c>
      <c r="U267" s="284">
        <v>1.6411687730554389E-2</v>
      </c>
      <c r="V267" s="284">
        <v>1.6411687730554389E-2</v>
      </c>
      <c r="W267" s="284">
        <v>1.6411687730554389E-2</v>
      </c>
      <c r="X267" s="284">
        <v>1.6411687730554389E-2</v>
      </c>
      <c r="Y267" s="284">
        <v>1.6411687730554389E-2</v>
      </c>
      <c r="Z267" s="284">
        <v>1.6411687730554389E-2</v>
      </c>
      <c r="AA267" s="284">
        <v>1.6411687730554389E-2</v>
      </c>
      <c r="AB267" s="284">
        <v>1.6411687730554389E-2</v>
      </c>
      <c r="AC267" s="284">
        <v>1.6411687730554389E-2</v>
      </c>
      <c r="AD267" s="284">
        <v>1.6411687730554389E-2</v>
      </c>
      <c r="AE267" s="284">
        <v>1.6411687730554389E-2</v>
      </c>
      <c r="AF267" s="284">
        <v>1.6411687730554389E-2</v>
      </c>
      <c r="AG267" s="284">
        <v>1.6411687730554389E-2</v>
      </c>
      <c r="AH267" s="284">
        <v>1.6411687730554389E-2</v>
      </c>
      <c r="AI267" s="284">
        <v>1.6411687730554389E-2</v>
      </c>
      <c r="AJ267" s="284">
        <v>1.6411687730554389E-2</v>
      </c>
      <c r="AK267" s="284">
        <v>1.6411687730554389E-2</v>
      </c>
      <c r="AL267" s="284">
        <v>1.6411687730554389E-2</v>
      </c>
      <c r="AM267" s="284">
        <v>1.6411687730554389E-2</v>
      </c>
      <c r="AN267" s="284">
        <v>1.6411687730554389E-2</v>
      </c>
      <c r="AO267" s="284">
        <v>1.6411687730554389E-2</v>
      </c>
      <c r="AP267" s="284">
        <v>1.6411687730554389E-2</v>
      </c>
      <c r="AQ267" s="284">
        <v>1.6411687730554389E-2</v>
      </c>
      <c r="AR267" s="284">
        <v>1.6411687730554389E-2</v>
      </c>
      <c r="AS267" s="284">
        <v>1.6411687730554389E-2</v>
      </c>
      <c r="AT267" s="284">
        <v>1.6411687730554389E-2</v>
      </c>
      <c r="AU267" s="284">
        <v>1.6411687730554389E-2</v>
      </c>
      <c r="AV267" s="284">
        <v>1.6411687730554389E-2</v>
      </c>
      <c r="AW267" s="284">
        <v>1.6411687730554389E-2</v>
      </c>
      <c r="AX267" s="284">
        <v>1.6411687730554389E-2</v>
      </c>
      <c r="AY267" s="284">
        <v>1.6411687730554389E-2</v>
      </c>
      <c r="AZ267" s="284">
        <v>1.6411687730554389E-2</v>
      </c>
      <c r="BA267" s="284">
        <v>1.6411687730554389E-2</v>
      </c>
      <c r="BB267" s="284">
        <v>1.6411687730554389E-2</v>
      </c>
      <c r="BC267" s="284">
        <v>1.6411687730554389E-2</v>
      </c>
      <c r="BD267" s="284">
        <v>1.6411687730554389E-2</v>
      </c>
      <c r="BE267" s="284">
        <v>1.6411687730554389E-2</v>
      </c>
      <c r="BF267" s="284">
        <v>1.6411687730554389E-2</v>
      </c>
      <c r="BG267" s="284">
        <v>1.6411687730554389E-2</v>
      </c>
      <c r="BH267" s="284">
        <v>1.6411687730554389E-2</v>
      </c>
      <c r="BI267" s="284">
        <v>1.6411687730554389E-2</v>
      </c>
      <c r="BJ267" s="284">
        <v>1.6411687730554389E-2</v>
      </c>
      <c r="BK267" s="284">
        <v>1.6411687730554389E-2</v>
      </c>
      <c r="BL267" s="284">
        <v>1.6411687730554389E-2</v>
      </c>
      <c r="BM267" s="284">
        <v>1.6411687730554389E-2</v>
      </c>
      <c r="BN267" s="284">
        <v>1.6411687730554389E-2</v>
      </c>
      <c r="BO267" s="284">
        <v>1.6411687730554389E-2</v>
      </c>
      <c r="BP267" s="284">
        <v>1.6411687730554389E-2</v>
      </c>
      <c r="BQ267" s="284">
        <v>1.6411687730554389E-2</v>
      </c>
      <c r="BR267" s="284">
        <v>1.6411687730554389E-2</v>
      </c>
      <c r="BS267" s="284">
        <v>1.6411687730554389E-2</v>
      </c>
      <c r="BT267" s="284">
        <v>1.6411687730554389E-2</v>
      </c>
      <c r="BU267" s="284">
        <v>1.6411687730554389E-2</v>
      </c>
      <c r="BV267" s="284">
        <v>1.6411687730554389E-2</v>
      </c>
      <c r="BW267" s="284">
        <v>1.6411687730554389E-2</v>
      </c>
      <c r="BX267" s="284">
        <v>1.6411687730554389E-2</v>
      </c>
      <c r="BY267" s="284">
        <v>1.6411687730554389E-2</v>
      </c>
      <c r="BZ267" s="284">
        <v>1.6411687730554389E-2</v>
      </c>
      <c r="CA267" s="284">
        <v>1.6411687730554389E-2</v>
      </c>
      <c r="CB267" s="284">
        <v>1.6411687730554389E-2</v>
      </c>
      <c r="CC267" s="284">
        <v>1.6411687730554389E-2</v>
      </c>
      <c r="CD267" s="284">
        <v>1.6411687730554389E-2</v>
      </c>
      <c r="CE267" s="284">
        <v>1.6411687730554389E-2</v>
      </c>
      <c r="CF267" s="284">
        <v>1.6411687730554389E-2</v>
      </c>
      <c r="CG267" s="284">
        <v>1.6411687730554389E-2</v>
      </c>
      <c r="CH267" s="284">
        <v>1.6411687730554389E-2</v>
      </c>
      <c r="CI267" s="284">
        <v>1.6411687730554389E-2</v>
      </c>
    </row>
    <row r="268" spans="1:87" ht="14.25" customHeight="1" x14ac:dyDescent="0.35">
      <c r="A268" s="42" t="s">
        <v>106</v>
      </c>
      <c r="B268" s="284">
        <v>3.9897471342092282E-2</v>
      </c>
      <c r="C268" s="284">
        <v>3.9897471342092282E-2</v>
      </c>
      <c r="D268" s="284">
        <v>3.9897471342092282E-2</v>
      </c>
      <c r="E268" s="284">
        <v>3.9897471342092282E-2</v>
      </c>
      <c r="F268" s="284">
        <v>3.9897471342092282E-2</v>
      </c>
      <c r="G268" s="284">
        <v>3.9897471342092282E-2</v>
      </c>
      <c r="H268" s="284">
        <v>3.9897471342092282E-2</v>
      </c>
      <c r="I268" s="284">
        <v>3.9897471342092282E-2</v>
      </c>
      <c r="J268" s="284">
        <v>3.9897471342092282E-2</v>
      </c>
      <c r="K268" s="284">
        <v>3.9897471342092282E-2</v>
      </c>
      <c r="L268" s="284">
        <v>3.9897471342092282E-2</v>
      </c>
      <c r="M268" s="284">
        <v>3.9897471342092282E-2</v>
      </c>
      <c r="N268" s="284">
        <v>3.9897471342092282E-2</v>
      </c>
      <c r="O268" s="284">
        <v>3.9897471342092282E-2</v>
      </c>
      <c r="P268" s="284">
        <v>3.9897471342092282E-2</v>
      </c>
      <c r="Q268" s="284">
        <v>3.9897471342092282E-2</v>
      </c>
      <c r="R268" s="284">
        <v>3.9897471342092282E-2</v>
      </c>
      <c r="S268" s="284">
        <v>3.9897471342092282E-2</v>
      </c>
      <c r="T268" s="284">
        <v>3.9897471342092282E-2</v>
      </c>
      <c r="U268" s="284">
        <v>3.9897471342092282E-2</v>
      </c>
      <c r="V268" s="284">
        <v>3.9897471342092282E-2</v>
      </c>
      <c r="W268" s="284">
        <v>3.9897471342092282E-2</v>
      </c>
      <c r="X268" s="284">
        <v>3.9897471342092282E-2</v>
      </c>
      <c r="Y268" s="284">
        <v>3.9897471342092282E-2</v>
      </c>
      <c r="Z268" s="284">
        <v>3.9897471342092282E-2</v>
      </c>
      <c r="AA268" s="284">
        <v>3.9897471342092282E-2</v>
      </c>
      <c r="AB268" s="284">
        <v>3.9897471342092282E-2</v>
      </c>
      <c r="AC268" s="284">
        <v>3.9897471342092282E-2</v>
      </c>
      <c r="AD268" s="284">
        <v>3.9897471342092282E-2</v>
      </c>
      <c r="AE268" s="284">
        <v>3.9897471342092282E-2</v>
      </c>
      <c r="AF268" s="284">
        <v>3.9897471342092282E-2</v>
      </c>
      <c r="AG268" s="284">
        <v>3.9897471342092282E-2</v>
      </c>
      <c r="AH268" s="284">
        <v>3.9897471342092282E-2</v>
      </c>
      <c r="AI268" s="284">
        <v>3.9897471342092282E-2</v>
      </c>
      <c r="AJ268" s="284">
        <v>3.9897471342092282E-2</v>
      </c>
      <c r="AK268" s="284">
        <v>3.9897471342092282E-2</v>
      </c>
      <c r="AL268" s="284">
        <v>3.9897471342092282E-2</v>
      </c>
      <c r="AM268" s="284">
        <v>3.9897471342092282E-2</v>
      </c>
      <c r="AN268" s="284">
        <v>3.9897471342092282E-2</v>
      </c>
      <c r="AO268" s="284">
        <v>3.9897471342092282E-2</v>
      </c>
      <c r="AP268" s="284">
        <v>3.9897471342092282E-2</v>
      </c>
      <c r="AQ268" s="284">
        <v>3.9897471342092282E-2</v>
      </c>
      <c r="AR268" s="284">
        <v>3.9897471342092282E-2</v>
      </c>
      <c r="AS268" s="284">
        <v>3.9897471342092282E-2</v>
      </c>
      <c r="AT268" s="284">
        <v>3.9897471342092282E-2</v>
      </c>
      <c r="AU268" s="284">
        <v>3.9897471342092282E-2</v>
      </c>
      <c r="AV268" s="284">
        <v>3.9897471342092282E-2</v>
      </c>
      <c r="AW268" s="284">
        <v>3.9897471342092282E-2</v>
      </c>
      <c r="AX268" s="284">
        <v>3.9897471342092282E-2</v>
      </c>
      <c r="AY268" s="284">
        <v>3.9897471342092282E-2</v>
      </c>
      <c r="AZ268" s="284">
        <v>3.9897471342092282E-2</v>
      </c>
      <c r="BA268" s="284">
        <v>3.9897471342092282E-2</v>
      </c>
      <c r="BB268" s="284">
        <v>3.9897471342092282E-2</v>
      </c>
      <c r="BC268" s="284">
        <v>3.9897471342092282E-2</v>
      </c>
      <c r="BD268" s="284">
        <v>3.9897471342092282E-2</v>
      </c>
      <c r="BE268" s="284">
        <v>3.9897471342092282E-2</v>
      </c>
      <c r="BF268" s="284">
        <v>3.9897471342092282E-2</v>
      </c>
      <c r="BG268" s="284">
        <v>3.9897471342092282E-2</v>
      </c>
      <c r="BH268" s="284">
        <v>3.9897471342092282E-2</v>
      </c>
      <c r="BI268" s="284">
        <v>3.9897471342092282E-2</v>
      </c>
      <c r="BJ268" s="284">
        <v>3.9897471342092282E-2</v>
      </c>
      <c r="BK268" s="284">
        <v>3.9897471342092282E-2</v>
      </c>
      <c r="BL268" s="284">
        <v>3.9897471342092282E-2</v>
      </c>
      <c r="BM268" s="284">
        <v>3.9897471342092282E-2</v>
      </c>
      <c r="BN268" s="284">
        <v>3.9897471342092282E-2</v>
      </c>
      <c r="BO268" s="284">
        <v>3.9897471342092282E-2</v>
      </c>
      <c r="BP268" s="284">
        <v>3.9897471342092282E-2</v>
      </c>
      <c r="BQ268" s="284">
        <v>3.9897471342092282E-2</v>
      </c>
      <c r="BR268" s="284">
        <v>3.9897471342092282E-2</v>
      </c>
      <c r="BS268" s="284">
        <v>3.9897471342092282E-2</v>
      </c>
      <c r="BT268" s="284">
        <v>3.9897471342092282E-2</v>
      </c>
      <c r="BU268" s="284">
        <v>3.9897471342092282E-2</v>
      </c>
      <c r="BV268" s="284">
        <v>3.9897471342092282E-2</v>
      </c>
      <c r="BW268" s="284">
        <v>3.9897471342092282E-2</v>
      </c>
      <c r="BX268" s="284">
        <v>3.9897471342092282E-2</v>
      </c>
      <c r="BY268" s="284">
        <v>3.9897471342092282E-2</v>
      </c>
      <c r="BZ268" s="284">
        <v>3.9897471342092282E-2</v>
      </c>
      <c r="CA268" s="284">
        <v>3.9897471342092282E-2</v>
      </c>
      <c r="CB268" s="284">
        <v>3.9897471342092282E-2</v>
      </c>
      <c r="CC268" s="284">
        <v>3.9897471342092282E-2</v>
      </c>
      <c r="CD268" s="284">
        <v>3.9897471342092282E-2</v>
      </c>
      <c r="CE268" s="284">
        <v>3.9897471342092282E-2</v>
      </c>
      <c r="CF268" s="284">
        <v>3.9897471342092282E-2</v>
      </c>
      <c r="CG268" s="284">
        <v>3.9897471342092282E-2</v>
      </c>
      <c r="CH268" s="284">
        <v>3.9897471342092282E-2</v>
      </c>
      <c r="CI268" s="284">
        <v>3.9897471342092282E-2</v>
      </c>
    </row>
    <row r="269" spans="1:87" ht="14.25" customHeight="1" x14ac:dyDescent="0.35">
      <c r="A269" s="42" t="s">
        <v>107</v>
      </c>
      <c r="B269" s="284">
        <v>2.812919002220712E-2</v>
      </c>
      <c r="C269" s="284">
        <v>2.812919002220712E-2</v>
      </c>
      <c r="D269" s="284">
        <v>2.812919002220712E-2</v>
      </c>
      <c r="E269" s="284">
        <v>2.812919002220712E-2</v>
      </c>
      <c r="F269" s="284">
        <v>2.812919002220712E-2</v>
      </c>
      <c r="G269" s="284">
        <v>2.812919002220712E-2</v>
      </c>
      <c r="H269" s="284">
        <v>2.812919002220712E-2</v>
      </c>
      <c r="I269" s="284">
        <v>2.812919002220712E-2</v>
      </c>
      <c r="J269" s="284">
        <v>2.812919002220712E-2</v>
      </c>
      <c r="K269" s="284">
        <v>2.812919002220712E-2</v>
      </c>
      <c r="L269" s="284">
        <v>2.812919002220712E-2</v>
      </c>
      <c r="M269" s="284">
        <v>2.812919002220712E-2</v>
      </c>
      <c r="N269" s="284">
        <v>2.812919002220712E-2</v>
      </c>
      <c r="O269" s="284">
        <v>2.812919002220712E-2</v>
      </c>
      <c r="P269" s="284">
        <v>2.812919002220712E-2</v>
      </c>
      <c r="Q269" s="284">
        <v>2.812919002220712E-2</v>
      </c>
      <c r="R269" s="284">
        <v>2.812919002220712E-2</v>
      </c>
      <c r="S269" s="284">
        <v>2.812919002220712E-2</v>
      </c>
      <c r="T269" s="284">
        <v>2.812919002220712E-2</v>
      </c>
      <c r="U269" s="284">
        <v>2.812919002220712E-2</v>
      </c>
      <c r="V269" s="284">
        <v>2.812919002220712E-2</v>
      </c>
      <c r="W269" s="284">
        <v>2.812919002220712E-2</v>
      </c>
      <c r="X269" s="284">
        <v>2.812919002220712E-2</v>
      </c>
      <c r="Y269" s="284">
        <v>2.812919002220712E-2</v>
      </c>
      <c r="Z269" s="284">
        <v>2.812919002220712E-2</v>
      </c>
      <c r="AA269" s="284">
        <v>2.812919002220712E-2</v>
      </c>
      <c r="AB269" s="284">
        <v>2.812919002220712E-2</v>
      </c>
      <c r="AC269" s="284">
        <v>2.812919002220712E-2</v>
      </c>
      <c r="AD269" s="284">
        <v>2.812919002220712E-2</v>
      </c>
      <c r="AE269" s="284">
        <v>2.812919002220712E-2</v>
      </c>
      <c r="AF269" s="284">
        <v>2.812919002220712E-2</v>
      </c>
      <c r="AG269" s="284">
        <v>2.812919002220712E-2</v>
      </c>
      <c r="AH269" s="284">
        <v>2.812919002220712E-2</v>
      </c>
      <c r="AI269" s="284">
        <v>2.812919002220712E-2</v>
      </c>
      <c r="AJ269" s="284">
        <v>2.812919002220712E-2</v>
      </c>
      <c r="AK269" s="284">
        <v>2.812919002220712E-2</v>
      </c>
      <c r="AL269" s="284">
        <v>2.812919002220712E-2</v>
      </c>
      <c r="AM269" s="284">
        <v>2.812919002220712E-2</v>
      </c>
      <c r="AN269" s="284">
        <v>2.812919002220712E-2</v>
      </c>
      <c r="AO269" s="284">
        <v>2.812919002220712E-2</v>
      </c>
      <c r="AP269" s="284">
        <v>2.812919002220712E-2</v>
      </c>
      <c r="AQ269" s="284">
        <v>2.812919002220712E-2</v>
      </c>
      <c r="AR269" s="284">
        <v>2.812919002220712E-2</v>
      </c>
      <c r="AS269" s="284">
        <v>2.812919002220712E-2</v>
      </c>
      <c r="AT269" s="284">
        <v>2.812919002220712E-2</v>
      </c>
      <c r="AU269" s="284">
        <v>2.812919002220712E-2</v>
      </c>
      <c r="AV269" s="284">
        <v>2.812919002220712E-2</v>
      </c>
      <c r="AW269" s="284">
        <v>2.812919002220712E-2</v>
      </c>
      <c r="AX269" s="284">
        <v>2.812919002220712E-2</v>
      </c>
      <c r="AY269" s="284">
        <v>2.812919002220712E-2</v>
      </c>
      <c r="AZ269" s="284">
        <v>2.812919002220712E-2</v>
      </c>
      <c r="BA269" s="284">
        <v>2.812919002220712E-2</v>
      </c>
      <c r="BB269" s="284">
        <v>2.812919002220712E-2</v>
      </c>
      <c r="BC269" s="284">
        <v>2.812919002220712E-2</v>
      </c>
      <c r="BD269" s="284">
        <v>2.812919002220712E-2</v>
      </c>
      <c r="BE269" s="284">
        <v>2.812919002220712E-2</v>
      </c>
      <c r="BF269" s="284">
        <v>2.812919002220712E-2</v>
      </c>
      <c r="BG269" s="284">
        <v>2.812919002220712E-2</v>
      </c>
      <c r="BH269" s="284">
        <v>2.812919002220712E-2</v>
      </c>
      <c r="BI269" s="284">
        <v>2.812919002220712E-2</v>
      </c>
      <c r="BJ269" s="284">
        <v>2.812919002220712E-2</v>
      </c>
      <c r="BK269" s="284">
        <v>2.812919002220712E-2</v>
      </c>
      <c r="BL269" s="284">
        <v>2.812919002220712E-2</v>
      </c>
      <c r="BM269" s="284">
        <v>2.812919002220712E-2</v>
      </c>
      <c r="BN269" s="284">
        <v>2.812919002220712E-2</v>
      </c>
      <c r="BO269" s="284">
        <v>2.812919002220712E-2</v>
      </c>
      <c r="BP269" s="284">
        <v>2.812919002220712E-2</v>
      </c>
      <c r="BQ269" s="284">
        <v>2.812919002220712E-2</v>
      </c>
      <c r="BR269" s="284">
        <v>2.812919002220712E-2</v>
      </c>
      <c r="BS269" s="284">
        <v>2.812919002220712E-2</v>
      </c>
      <c r="BT269" s="284">
        <v>2.812919002220712E-2</v>
      </c>
      <c r="BU269" s="284">
        <v>2.812919002220712E-2</v>
      </c>
      <c r="BV269" s="284">
        <v>2.812919002220712E-2</v>
      </c>
      <c r="BW269" s="284">
        <v>2.812919002220712E-2</v>
      </c>
      <c r="BX269" s="284">
        <v>2.812919002220712E-2</v>
      </c>
      <c r="BY269" s="284">
        <v>2.812919002220712E-2</v>
      </c>
      <c r="BZ269" s="284">
        <v>2.812919002220712E-2</v>
      </c>
      <c r="CA269" s="284">
        <v>2.812919002220712E-2</v>
      </c>
      <c r="CB269" s="284">
        <v>2.812919002220712E-2</v>
      </c>
      <c r="CC269" s="284">
        <v>2.812919002220712E-2</v>
      </c>
      <c r="CD269" s="284">
        <v>2.812919002220712E-2</v>
      </c>
      <c r="CE269" s="284">
        <v>2.812919002220712E-2</v>
      </c>
      <c r="CF269" s="284">
        <v>2.812919002220712E-2</v>
      </c>
      <c r="CG269" s="284">
        <v>2.812919002220712E-2</v>
      </c>
      <c r="CH269" s="284">
        <v>2.812919002220712E-2</v>
      </c>
      <c r="CI269" s="284">
        <v>2.812919002220712E-2</v>
      </c>
    </row>
    <row r="270" spans="1:87" ht="14.25" customHeight="1" x14ac:dyDescent="0.35">
      <c r="A270" s="42" t="s">
        <v>108</v>
      </c>
      <c r="B270" s="284">
        <v>2.5816321519216312E-2</v>
      </c>
      <c r="C270" s="284">
        <v>2.5816321519216312E-2</v>
      </c>
      <c r="D270" s="284">
        <v>2.5816321519216312E-2</v>
      </c>
      <c r="E270" s="284">
        <v>2.5816321519216312E-2</v>
      </c>
      <c r="F270" s="284">
        <v>2.5816321519216312E-2</v>
      </c>
      <c r="G270" s="284">
        <v>2.5816321519216312E-2</v>
      </c>
      <c r="H270" s="284">
        <v>2.5816321519216312E-2</v>
      </c>
      <c r="I270" s="284">
        <v>2.5816321519216312E-2</v>
      </c>
      <c r="J270" s="284">
        <v>2.5816321519216312E-2</v>
      </c>
      <c r="K270" s="284">
        <v>2.5816321519216312E-2</v>
      </c>
      <c r="L270" s="284">
        <v>2.5816321519216312E-2</v>
      </c>
      <c r="M270" s="284">
        <v>2.5816321519216312E-2</v>
      </c>
      <c r="N270" s="284">
        <v>2.5816321519216312E-2</v>
      </c>
      <c r="O270" s="284">
        <v>2.5816321519216312E-2</v>
      </c>
      <c r="P270" s="284">
        <v>2.5816321519216312E-2</v>
      </c>
      <c r="Q270" s="284">
        <v>2.5816321519216312E-2</v>
      </c>
      <c r="R270" s="284">
        <v>2.5816321519216312E-2</v>
      </c>
      <c r="S270" s="284">
        <v>2.5816321519216312E-2</v>
      </c>
      <c r="T270" s="284">
        <v>2.5816321519216312E-2</v>
      </c>
      <c r="U270" s="284">
        <v>2.5816321519216312E-2</v>
      </c>
      <c r="V270" s="284">
        <v>2.5816321519216312E-2</v>
      </c>
      <c r="W270" s="284">
        <v>2.5816321519216312E-2</v>
      </c>
      <c r="X270" s="284">
        <v>2.5816321519216312E-2</v>
      </c>
      <c r="Y270" s="284">
        <v>2.5816321519216312E-2</v>
      </c>
      <c r="Z270" s="284">
        <v>2.5816321519216312E-2</v>
      </c>
      <c r="AA270" s="284">
        <v>2.5816321519216312E-2</v>
      </c>
      <c r="AB270" s="284">
        <v>2.5816321519216312E-2</v>
      </c>
      <c r="AC270" s="284">
        <v>2.5816321519216312E-2</v>
      </c>
      <c r="AD270" s="284">
        <v>2.5816321519216312E-2</v>
      </c>
      <c r="AE270" s="284">
        <v>2.5816321519216312E-2</v>
      </c>
      <c r="AF270" s="284">
        <v>2.5816321519216312E-2</v>
      </c>
      <c r="AG270" s="284">
        <v>2.5816321519216312E-2</v>
      </c>
      <c r="AH270" s="284">
        <v>2.5816321519216312E-2</v>
      </c>
      <c r="AI270" s="284">
        <v>2.5816321519216312E-2</v>
      </c>
      <c r="AJ270" s="284">
        <v>2.5816321519216312E-2</v>
      </c>
      <c r="AK270" s="284">
        <v>2.5816321519216312E-2</v>
      </c>
      <c r="AL270" s="284">
        <v>2.5816321519216312E-2</v>
      </c>
      <c r="AM270" s="284">
        <v>2.5816321519216312E-2</v>
      </c>
      <c r="AN270" s="284">
        <v>2.5816321519216312E-2</v>
      </c>
      <c r="AO270" s="284">
        <v>2.5816321519216312E-2</v>
      </c>
      <c r="AP270" s="284">
        <v>2.5816321519216312E-2</v>
      </c>
      <c r="AQ270" s="284">
        <v>2.5816321519216312E-2</v>
      </c>
      <c r="AR270" s="284">
        <v>2.5816321519216312E-2</v>
      </c>
      <c r="AS270" s="284">
        <v>2.5816321519216312E-2</v>
      </c>
      <c r="AT270" s="284">
        <v>2.5816321519216312E-2</v>
      </c>
      <c r="AU270" s="284">
        <v>2.5816321519216312E-2</v>
      </c>
      <c r="AV270" s="284">
        <v>2.5816321519216312E-2</v>
      </c>
      <c r="AW270" s="284">
        <v>2.5816321519216312E-2</v>
      </c>
      <c r="AX270" s="284">
        <v>2.5816321519216312E-2</v>
      </c>
      <c r="AY270" s="284">
        <v>2.5816321519216312E-2</v>
      </c>
      <c r="AZ270" s="284">
        <v>2.5816321519216312E-2</v>
      </c>
      <c r="BA270" s="284">
        <v>2.5816321519216312E-2</v>
      </c>
      <c r="BB270" s="284">
        <v>2.5816321519216312E-2</v>
      </c>
      <c r="BC270" s="284">
        <v>2.5816321519216312E-2</v>
      </c>
      <c r="BD270" s="284">
        <v>2.5816321519216312E-2</v>
      </c>
      <c r="BE270" s="284">
        <v>2.5816321519216312E-2</v>
      </c>
      <c r="BF270" s="284">
        <v>2.5816321519216312E-2</v>
      </c>
      <c r="BG270" s="284">
        <v>2.5816321519216312E-2</v>
      </c>
      <c r="BH270" s="284">
        <v>2.5816321519216312E-2</v>
      </c>
      <c r="BI270" s="284">
        <v>2.5816321519216312E-2</v>
      </c>
      <c r="BJ270" s="284">
        <v>2.5816321519216312E-2</v>
      </c>
      <c r="BK270" s="284">
        <v>2.5816321519216312E-2</v>
      </c>
      <c r="BL270" s="284">
        <v>2.5816321519216312E-2</v>
      </c>
      <c r="BM270" s="284">
        <v>2.5816321519216312E-2</v>
      </c>
      <c r="BN270" s="284">
        <v>2.5816321519216312E-2</v>
      </c>
      <c r="BO270" s="284">
        <v>2.5816321519216312E-2</v>
      </c>
      <c r="BP270" s="284">
        <v>2.5816321519216312E-2</v>
      </c>
      <c r="BQ270" s="284">
        <v>2.5816321519216312E-2</v>
      </c>
      <c r="BR270" s="284">
        <v>2.5816321519216312E-2</v>
      </c>
      <c r="BS270" s="284">
        <v>2.5816321519216312E-2</v>
      </c>
      <c r="BT270" s="284">
        <v>2.5816321519216312E-2</v>
      </c>
      <c r="BU270" s="284">
        <v>2.5816321519216312E-2</v>
      </c>
      <c r="BV270" s="284">
        <v>2.5816321519216312E-2</v>
      </c>
      <c r="BW270" s="284">
        <v>2.5816321519216312E-2</v>
      </c>
      <c r="BX270" s="284">
        <v>2.5816321519216312E-2</v>
      </c>
      <c r="BY270" s="284">
        <v>2.5816321519216312E-2</v>
      </c>
      <c r="BZ270" s="284">
        <v>2.5816321519216312E-2</v>
      </c>
      <c r="CA270" s="284">
        <v>2.5816321519216312E-2</v>
      </c>
      <c r="CB270" s="284">
        <v>2.5816321519216312E-2</v>
      </c>
      <c r="CC270" s="284">
        <v>2.5816321519216312E-2</v>
      </c>
      <c r="CD270" s="284">
        <v>2.5816321519216312E-2</v>
      </c>
      <c r="CE270" s="284">
        <v>2.5816321519216312E-2</v>
      </c>
      <c r="CF270" s="284">
        <v>2.5816321519216312E-2</v>
      </c>
      <c r="CG270" s="284">
        <v>2.5816321519216312E-2</v>
      </c>
      <c r="CH270" s="284">
        <v>2.5816321519216312E-2</v>
      </c>
      <c r="CI270" s="284">
        <v>2.5816321519216312E-2</v>
      </c>
    </row>
    <row r="271" spans="1:87" ht="14.25" customHeight="1" x14ac:dyDescent="0.35">
      <c r="A271" s="42" t="s">
        <v>109</v>
      </c>
      <c r="B271" s="284">
        <v>2.7546475840816355E-2</v>
      </c>
      <c r="C271" s="284">
        <v>2.7546475840816355E-2</v>
      </c>
      <c r="D271" s="284">
        <v>2.7546475840816355E-2</v>
      </c>
      <c r="E271" s="284">
        <v>2.7546475840816355E-2</v>
      </c>
      <c r="F271" s="284">
        <v>2.7546475840816355E-2</v>
      </c>
      <c r="G271" s="284">
        <v>2.7546475840816355E-2</v>
      </c>
      <c r="H271" s="284">
        <v>2.7546475840816355E-2</v>
      </c>
      <c r="I271" s="284">
        <v>2.7546475840816355E-2</v>
      </c>
      <c r="J271" s="284">
        <v>2.7546475840816355E-2</v>
      </c>
      <c r="K271" s="284">
        <v>2.7546475840816355E-2</v>
      </c>
      <c r="L271" s="284">
        <v>2.7546475840816355E-2</v>
      </c>
      <c r="M271" s="284">
        <v>2.7546475840816355E-2</v>
      </c>
      <c r="N271" s="284">
        <v>2.7546475840816355E-2</v>
      </c>
      <c r="O271" s="284">
        <v>2.7546475840816355E-2</v>
      </c>
      <c r="P271" s="284">
        <v>2.7546475840816355E-2</v>
      </c>
      <c r="Q271" s="284">
        <v>2.7546475840816355E-2</v>
      </c>
      <c r="R271" s="284">
        <v>2.7546475840816355E-2</v>
      </c>
      <c r="S271" s="284">
        <v>2.7546475840816355E-2</v>
      </c>
      <c r="T271" s="284">
        <v>2.7546475840816355E-2</v>
      </c>
      <c r="U271" s="284">
        <v>2.7546475840816355E-2</v>
      </c>
      <c r="V271" s="284">
        <v>2.7546475840816355E-2</v>
      </c>
      <c r="W271" s="284">
        <v>2.7546475840816355E-2</v>
      </c>
      <c r="X271" s="284">
        <v>2.7546475840816355E-2</v>
      </c>
      <c r="Y271" s="284">
        <v>2.7546475840816355E-2</v>
      </c>
      <c r="Z271" s="284">
        <v>2.7546475840816355E-2</v>
      </c>
      <c r="AA271" s="284">
        <v>2.7546475840816355E-2</v>
      </c>
      <c r="AB271" s="284">
        <v>2.7546475840816355E-2</v>
      </c>
      <c r="AC271" s="284">
        <v>2.7546475840816355E-2</v>
      </c>
      <c r="AD271" s="284">
        <v>2.7546475840816355E-2</v>
      </c>
      <c r="AE271" s="284">
        <v>2.7546475840816355E-2</v>
      </c>
      <c r="AF271" s="284">
        <v>2.7546475840816355E-2</v>
      </c>
      <c r="AG271" s="284">
        <v>2.7546475840816355E-2</v>
      </c>
      <c r="AH271" s="284">
        <v>2.7546475840816355E-2</v>
      </c>
      <c r="AI271" s="284">
        <v>2.7546475840816355E-2</v>
      </c>
      <c r="AJ271" s="284">
        <v>2.7546475840816355E-2</v>
      </c>
      <c r="AK271" s="284">
        <v>2.7546475840816355E-2</v>
      </c>
      <c r="AL271" s="284">
        <v>2.7546475840816355E-2</v>
      </c>
      <c r="AM271" s="284">
        <v>2.7546475840816355E-2</v>
      </c>
      <c r="AN271" s="284">
        <v>2.7546475840816355E-2</v>
      </c>
      <c r="AO271" s="284">
        <v>2.7546475840816355E-2</v>
      </c>
      <c r="AP271" s="284">
        <v>2.7546475840816355E-2</v>
      </c>
      <c r="AQ271" s="284">
        <v>2.7546475840816355E-2</v>
      </c>
      <c r="AR271" s="284">
        <v>2.7546475840816355E-2</v>
      </c>
      <c r="AS271" s="284">
        <v>2.7546475840816355E-2</v>
      </c>
      <c r="AT271" s="284">
        <v>2.7546475840816355E-2</v>
      </c>
      <c r="AU271" s="284">
        <v>2.7546475840816355E-2</v>
      </c>
      <c r="AV271" s="284">
        <v>2.7546475840816355E-2</v>
      </c>
      <c r="AW271" s="284">
        <v>2.7546475840816355E-2</v>
      </c>
      <c r="AX271" s="284">
        <v>2.7546475840816355E-2</v>
      </c>
      <c r="AY271" s="284">
        <v>2.7546475840816355E-2</v>
      </c>
      <c r="AZ271" s="284">
        <v>2.7546475840816355E-2</v>
      </c>
      <c r="BA271" s="284">
        <v>2.7546475840816355E-2</v>
      </c>
      <c r="BB271" s="284">
        <v>2.7546475840816355E-2</v>
      </c>
      <c r="BC271" s="284">
        <v>2.7546475840816355E-2</v>
      </c>
      <c r="BD271" s="284">
        <v>2.7546475840816355E-2</v>
      </c>
      <c r="BE271" s="284">
        <v>2.7546475840816355E-2</v>
      </c>
      <c r="BF271" s="284">
        <v>2.7546475840816355E-2</v>
      </c>
      <c r="BG271" s="284">
        <v>2.7546475840816355E-2</v>
      </c>
      <c r="BH271" s="284">
        <v>2.7546475840816355E-2</v>
      </c>
      <c r="BI271" s="284">
        <v>2.7546475840816355E-2</v>
      </c>
      <c r="BJ271" s="284">
        <v>2.7546475840816355E-2</v>
      </c>
      <c r="BK271" s="284">
        <v>2.7546475840816355E-2</v>
      </c>
      <c r="BL271" s="284">
        <v>2.7546475840816355E-2</v>
      </c>
      <c r="BM271" s="284">
        <v>2.7546475840816355E-2</v>
      </c>
      <c r="BN271" s="284">
        <v>2.7546475840816355E-2</v>
      </c>
      <c r="BO271" s="284">
        <v>2.7546475840816355E-2</v>
      </c>
      <c r="BP271" s="284">
        <v>2.7546475840816355E-2</v>
      </c>
      <c r="BQ271" s="284">
        <v>2.7546475840816355E-2</v>
      </c>
      <c r="BR271" s="284">
        <v>2.7546475840816355E-2</v>
      </c>
      <c r="BS271" s="284">
        <v>2.7546475840816355E-2</v>
      </c>
      <c r="BT271" s="284">
        <v>2.7546475840816355E-2</v>
      </c>
      <c r="BU271" s="284">
        <v>2.7546475840816355E-2</v>
      </c>
      <c r="BV271" s="284">
        <v>2.7546475840816355E-2</v>
      </c>
      <c r="BW271" s="284">
        <v>2.7546475840816355E-2</v>
      </c>
      <c r="BX271" s="284">
        <v>2.7546475840816355E-2</v>
      </c>
      <c r="BY271" s="284">
        <v>2.7546475840816355E-2</v>
      </c>
      <c r="BZ271" s="284">
        <v>2.7546475840816355E-2</v>
      </c>
      <c r="CA271" s="284">
        <v>2.7546475840816355E-2</v>
      </c>
      <c r="CB271" s="284">
        <v>2.7546475840816355E-2</v>
      </c>
      <c r="CC271" s="284">
        <v>2.7546475840816355E-2</v>
      </c>
      <c r="CD271" s="284">
        <v>2.7546475840816355E-2</v>
      </c>
      <c r="CE271" s="284">
        <v>2.7546475840816355E-2</v>
      </c>
      <c r="CF271" s="284">
        <v>2.7546475840816355E-2</v>
      </c>
      <c r="CG271" s="284">
        <v>2.7546475840816355E-2</v>
      </c>
      <c r="CH271" s="284">
        <v>2.7546475840816355E-2</v>
      </c>
      <c r="CI271" s="284">
        <v>2.7546475840816355E-2</v>
      </c>
    </row>
    <row r="272" spans="1:87" ht="14.25" customHeight="1" x14ac:dyDescent="0.35">
      <c r="A272" s="42" t="s">
        <v>229</v>
      </c>
      <c r="B272" s="284">
        <v>3.2053259530075547E-2</v>
      </c>
      <c r="C272" s="284">
        <v>3.2053259530075547E-2</v>
      </c>
      <c r="D272" s="284">
        <v>3.2053259530075547E-2</v>
      </c>
      <c r="E272" s="284">
        <v>3.2053259530075547E-2</v>
      </c>
      <c r="F272" s="284">
        <v>3.2053259530075547E-2</v>
      </c>
      <c r="G272" s="284">
        <v>3.2053259530075547E-2</v>
      </c>
      <c r="H272" s="284">
        <v>3.2053259530075547E-2</v>
      </c>
      <c r="I272" s="284">
        <v>3.2053259530075547E-2</v>
      </c>
      <c r="J272" s="284">
        <v>3.2053259530075547E-2</v>
      </c>
      <c r="K272" s="284">
        <v>3.2053259530075547E-2</v>
      </c>
      <c r="L272" s="284">
        <v>3.2053259530075547E-2</v>
      </c>
      <c r="M272" s="284">
        <v>3.2053259530075547E-2</v>
      </c>
      <c r="N272" s="284">
        <v>3.2053259530075547E-2</v>
      </c>
      <c r="O272" s="284">
        <v>3.2053259530075547E-2</v>
      </c>
      <c r="P272" s="284">
        <v>3.2053259530075547E-2</v>
      </c>
      <c r="Q272" s="284">
        <v>3.2053259530075547E-2</v>
      </c>
      <c r="R272" s="284">
        <v>3.2053259530075547E-2</v>
      </c>
      <c r="S272" s="284">
        <v>3.2053259530075547E-2</v>
      </c>
      <c r="T272" s="284">
        <v>3.2053259530075547E-2</v>
      </c>
      <c r="U272" s="284">
        <v>3.2053259530075547E-2</v>
      </c>
      <c r="V272" s="284">
        <v>3.2053259530075547E-2</v>
      </c>
      <c r="W272" s="284">
        <v>3.2053259530075547E-2</v>
      </c>
      <c r="X272" s="284">
        <v>3.2053259530075547E-2</v>
      </c>
      <c r="Y272" s="284">
        <v>3.2053259530075547E-2</v>
      </c>
      <c r="Z272" s="284">
        <v>3.2053259530075547E-2</v>
      </c>
      <c r="AA272" s="284">
        <v>3.2053259530075547E-2</v>
      </c>
      <c r="AB272" s="284">
        <v>3.2053259530075547E-2</v>
      </c>
      <c r="AC272" s="284">
        <v>3.2053259530075547E-2</v>
      </c>
      <c r="AD272" s="284">
        <v>3.2053259530075547E-2</v>
      </c>
      <c r="AE272" s="284">
        <v>3.2053259530075547E-2</v>
      </c>
      <c r="AF272" s="284">
        <v>3.2053259530075547E-2</v>
      </c>
      <c r="AG272" s="284">
        <v>3.2053259530075547E-2</v>
      </c>
      <c r="AH272" s="284">
        <v>3.2053259530075547E-2</v>
      </c>
      <c r="AI272" s="284">
        <v>3.2053259530075547E-2</v>
      </c>
      <c r="AJ272" s="284">
        <v>3.2053259530075547E-2</v>
      </c>
      <c r="AK272" s="284">
        <v>3.2053259530075547E-2</v>
      </c>
      <c r="AL272" s="284">
        <v>3.2053259530075547E-2</v>
      </c>
      <c r="AM272" s="284">
        <v>3.2053259530075547E-2</v>
      </c>
      <c r="AN272" s="284">
        <v>3.2053259530075547E-2</v>
      </c>
      <c r="AO272" s="284">
        <v>3.2053259530075547E-2</v>
      </c>
      <c r="AP272" s="284">
        <v>3.2053259530075547E-2</v>
      </c>
      <c r="AQ272" s="284">
        <v>3.2053259530075547E-2</v>
      </c>
      <c r="AR272" s="284">
        <v>3.2053259530075547E-2</v>
      </c>
      <c r="AS272" s="284">
        <v>3.2053259530075547E-2</v>
      </c>
      <c r="AT272" s="284">
        <v>3.2053259530075547E-2</v>
      </c>
      <c r="AU272" s="284">
        <v>3.2053259530075547E-2</v>
      </c>
      <c r="AV272" s="284">
        <v>3.2053259530075547E-2</v>
      </c>
      <c r="AW272" s="284">
        <v>3.2053259530075547E-2</v>
      </c>
      <c r="AX272" s="284">
        <v>3.2053259530075547E-2</v>
      </c>
      <c r="AY272" s="284">
        <v>3.2053259530075547E-2</v>
      </c>
      <c r="AZ272" s="284">
        <v>3.2053259530075547E-2</v>
      </c>
      <c r="BA272" s="284">
        <v>3.2053259530075547E-2</v>
      </c>
      <c r="BB272" s="284">
        <v>3.2053259530075547E-2</v>
      </c>
      <c r="BC272" s="284">
        <v>3.2053259530075547E-2</v>
      </c>
      <c r="BD272" s="284">
        <v>3.2053259530075547E-2</v>
      </c>
      <c r="BE272" s="284">
        <v>3.2053259530075547E-2</v>
      </c>
      <c r="BF272" s="284">
        <v>3.2053259530075547E-2</v>
      </c>
      <c r="BG272" s="284">
        <v>3.2053259530075547E-2</v>
      </c>
      <c r="BH272" s="284">
        <v>3.2053259530075547E-2</v>
      </c>
      <c r="BI272" s="284">
        <v>3.2053259530075547E-2</v>
      </c>
      <c r="BJ272" s="284">
        <v>3.2053259530075547E-2</v>
      </c>
      <c r="BK272" s="284">
        <v>3.2053259530075547E-2</v>
      </c>
      <c r="BL272" s="284">
        <v>3.2053259530075547E-2</v>
      </c>
      <c r="BM272" s="284">
        <v>3.2053259530075547E-2</v>
      </c>
      <c r="BN272" s="284">
        <v>3.2053259530075547E-2</v>
      </c>
      <c r="BO272" s="284">
        <v>3.2053259530075547E-2</v>
      </c>
      <c r="BP272" s="284">
        <v>3.2053259530075547E-2</v>
      </c>
      <c r="BQ272" s="284">
        <v>3.2053259530075547E-2</v>
      </c>
      <c r="BR272" s="284">
        <v>3.2053259530075547E-2</v>
      </c>
      <c r="BS272" s="284">
        <v>3.2053259530075547E-2</v>
      </c>
      <c r="BT272" s="284">
        <v>3.2053259530075547E-2</v>
      </c>
      <c r="BU272" s="284">
        <v>3.2053259530075547E-2</v>
      </c>
      <c r="BV272" s="284">
        <v>3.2053259530075547E-2</v>
      </c>
      <c r="BW272" s="284">
        <v>3.2053259530075547E-2</v>
      </c>
      <c r="BX272" s="284">
        <v>3.2053259530075547E-2</v>
      </c>
      <c r="BY272" s="284">
        <v>3.2053259530075547E-2</v>
      </c>
      <c r="BZ272" s="284">
        <v>3.2053259530075547E-2</v>
      </c>
      <c r="CA272" s="284">
        <v>3.2053259530075547E-2</v>
      </c>
      <c r="CB272" s="284">
        <v>3.2053259530075547E-2</v>
      </c>
      <c r="CC272" s="284">
        <v>3.2053259530075547E-2</v>
      </c>
      <c r="CD272" s="284">
        <v>3.2053259530075547E-2</v>
      </c>
      <c r="CE272" s="284">
        <v>3.2053259530075547E-2</v>
      </c>
      <c r="CF272" s="284">
        <v>3.2053259530075547E-2</v>
      </c>
      <c r="CG272" s="284">
        <v>3.2053259530075547E-2</v>
      </c>
      <c r="CH272" s="284">
        <v>3.2053259530075547E-2</v>
      </c>
      <c r="CI272" s="284">
        <v>3.2053259530075547E-2</v>
      </c>
    </row>
    <row r="273" spans="1:87" ht="14.25" customHeight="1" x14ac:dyDescent="0.35">
      <c r="A273" s="42" t="s">
        <v>111</v>
      </c>
      <c r="B273" s="284">
        <v>1.3790986710177948E-2</v>
      </c>
      <c r="C273" s="284">
        <v>1.3790986710177948E-2</v>
      </c>
      <c r="D273" s="284">
        <v>1.3790986710177948E-2</v>
      </c>
      <c r="E273" s="284">
        <v>1.3790986710177948E-2</v>
      </c>
      <c r="F273" s="284">
        <v>1.3790986710177948E-2</v>
      </c>
      <c r="G273" s="284">
        <v>1.3790986710177948E-2</v>
      </c>
      <c r="H273" s="284">
        <v>1.3790986710177948E-2</v>
      </c>
      <c r="I273" s="284">
        <v>1.3790986710177948E-2</v>
      </c>
      <c r="J273" s="284">
        <v>1.3790986710177948E-2</v>
      </c>
      <c r="K273" s="284">
        <v>1.3790986710177948E-2</v>
      </c>
      <c r="L273" s="284">
        <v>1.3790986710177948E-2</v>
      </c>
      <c r="M273" s="284">
        <v>1.3790986710177948E-2</v>
      </c>
      <c r="N273" s="284">
        <v>1.3790986710177948E-2</v>
      </c>
      <c r="O273" s="284">
        <v>1.3790986710177948E-2</v>
      </c>
      <c r="P273" s="284">
        <v>1.3790986710177948E-2</v>
      </c>
      <c r="Q273" s="284">
        <v>1.3790986710177948E-2</v>
      </c>
      <c r="R273" s="284">
        <v>1.3790986710177948E-2</v>
      </c>
      <c r="S273" s="284">
        <v>1.3790986710177948E-2</v>
      </c>
      <c r="T273" s="284">
        <v>1.3790986710177948E-2</v>
      </c>
      <c r="U273" s="284">
        <v>1.3790986710177948E-2</v>
      </c>
      <c r="V273" s="284">
        <v>1.3790986710177948E-2</v>
      </c>
      <c r="W273" s="284">
        <v>1.3790986710177948E-2</v>
      </c>
      <c r="X273" s="284">
        <v>1.3790986710177948E-2</v>
      </c>
      <c r="Y273" s="284">
        <v>1.3790986710177948E-2</v>
      </c>
      <c r="Z273" s="284">
        <v>1.3790986710177948E-2</v>
      </c>
      <c r="AA273" s="284">
        <v>1.3790986710177948E-2</v>
      </c>
      <c r="AB273" s="284">
        <v>1.3790986710177948E-2</v>
      </c>
      <c r="AC273" s="284">
        <v>1.3790986710177948E-2</v>
      </c>
      <c r="AD273" s="284">
        <v>1.3790986710177948E-2</v>
      </c>
      <c r="AE273" s="284">
        <v>1.3790986710177948E-2</v>
      </c>
      <c r="AF273" s="284">
        <v>1.3790986710177948E-2</v>
      </c>
      <c r="AG273" s="284">
        <v>1.3790986710177948E-2</v>
      </c>
      <c r="AH273" s="284">
        <v>1.3790986710177948E-2</v>
      </c>
      <c r="AI273" s="284">
        <v>1.3790986710177948E-2</v>
      </c>
      <c r="AJ273" s="284">
        <v>1.3790986710177948E-2</v>
      </c>
      <c r="AK273" s="284">
        <v>1.3790986710177948E-2</v>
      </c>
      <c r="AL273" s="284">
        <v>1.3790986710177948E-2</v>
      </c>
      <c r="AM273" s="284">
        <v>1.3790986710177948E-2</v>
      </c>
      <c r="AN273" s="284">
        <v>1.3790986710177948E-2</v>
      </c>
      <c r="AO273" s="284">
        <v>1.3790986710177948E-2</v>
      </c>
      <c r="AP273" s="284">
        <v>1.3790986710177948E-2</v>
      </c>
      <c r="AQ273" s="284">
        <v>1.3790986710177948E-2</v>
      </c>
      <c r="AR273" s="284">
        <v>1.3790986710177948E-2</v>
      </c>
      <c r="AS273" s="284">
        <v>1.3790986710177948E-2</v>
      </c>
      <c r="AT273" s="284">
        <v>1.3790986710177948E-2</v>
      </c>
      <c r="AU273" s="284">
        <v>1.3790986710177948E-2</v>
      </c>
      <c r="AV273" s="284">
        <v>1.3790986710177948E-2</v>
      </c>
      <c r="AW273" s="284">
        <v>1.3790986710177948E-2</v>
      </c>
      <c r="AX273" s="284">
        <v>1.3790986710177948E-2</v>
      </c>
      <c r="AY273" s="284">
        <v>1.3790986710177948E-2</v>
      </c>
      <c r="AZ273" s="284">
        <v>1.3790986710177948E-2</v>
      </c>
      <c r="BA273" s="284">
        <v>1.3790986710177948E-2</v>
      </c>
      <c r="BB273" s="284">
        <v>1.3790986710177948E-2</v>
      </c>
      <c r="BC273" s="284">
        <v>1.3790986710177948E-2</v>
      </c>
      <c r="BD273" s="284">
        <v>1.3790986710177948E-2</v>
      </c>
      <c r="BE273" s="284">
        <v>1.3790986710177948E-2</v>
      </c>
      <c r="BF273" s="284">
        <v>1.3790986710177948E-2</v>
      </c>
      <c r="BG273" s="284">
        <v>1.3790986710177948E-2</v>
      </c>
      <c r="BH273" s="284">
        <v>1.3790986710177948E-2</v>
      </c>
      <c r="BI273" s="284">
        <v>1.3790986710177948E-2</v>
      </c>
      <c r="BJ273" s="284">
        <v>1.3790986710177948E-2</v>
      </c>
      <c r="BK273" s="284">
        <v>1.3790986710177948E-2</v>
      </c>
      <c r="BL273" s="284">
        <v>1.3790986710177948E-2</v>
      </c>
      <c r="BM273" s="284">
        <v>1.3790986710177948E-2</v>
      </c>
      <c r="BN273" s="284">
        <v>1.3790986710177948E-2</v>
      </c>
      <c r="BO273" s="284">
        <v>1.3790986710177948E-2</v>
      </c>
      <c r="BP273" s="284">
        <v>1.3790986710177948E-2</v>
      </c>
      <c r="BQ273" s="284">
        <v>1.3790986710177948E-2</v>
      </c>
      <c r="BR273" s="284">
        <v>1.3790986710177948E-2</v>
      </c>
      <c r="BS273" s="284">
        <v>1.3790986710177948E-2</v>
      </c>
      <c r="BT273" s="284">
        <v>1.3790986710177948E-2</v>
      </c>
      <c r="BU273" s="284">
        <v>1.3790986710177948E-2</v>
      </c>
      <c r="BV273" s="284">
        <v>1.3790986710177948E-2</v>
      </c>
      <c r="BW273" s="284">
        <v>1.3790986710177948E-2</v>
      </c>
      <c r="BX273" s="284">
        <v>1.3790986710177948E-2</v>
      </c>
      <c r="BY273" s="284">
        <v>1.3790986710177948E-2</v>
      </c>
      <c r="BZ273" s="284">
        <v>1.3790986710177948E-2</v>
      </c>
      <c r="CA273" s="284">
        <v>1.3790986710177948E-2</v>
      </c>
      <c r="CB273" s="284">
        <v>1.3790986710177948E-2</v>
      </c>
      <c r="CC273" s="284">
        <v>1.3790986710177948E-2</v>
      </c>
      <c r="CD273" s="284">
        <v>1.3790986710177948E-2</v>
      </c>
      <c r="CE273" s="284">
        <v>1.3790986710177948E-2</v>
      </c>
      <c r="CF273" s="284">
        <v>1.3790986710177948E-2</v>
      </c>
      <c r="CG273" s="284">
        <v>1.3790986710177948E-2</v>
      </c>
      <c r="CH273" s="284">
        <v>1.3790986710177948E-2</v>
      </c>
      <c r="CI273" s="284">
        <v>1.3790986710177948E-2</v>
      </c>
    </row>
    <row r="274" spans="1:87" ht="14.25" customHeight="1" x14ac:dyDescent="0.35">
      <c r="A274" s="42" t="s">
        <v>112</v>
      </c>
      <c r="B274" s="284">
        <v>3.5064400357692302E-2</v>
      </c>
      <c r="C274" s="284">
        <v>3.5064400357692302E-2</v>
      </c>
      <c r="D274" s="284">
        <v>3.5064400357692302E-2</v>
      </c>
      <c r="E274" s="284">
        <v>3.5064400357692302E-2</v>
      </c>
      <c r="F274" s="284">
        <v>3.5064400357692302E-2</v>
      </c>
      <c r="G274" s="284">
        <v>3.5064400357692302E-2</v>
      </c>
      <c r="H274" s="284">
        <v>3.5064400357692302E-2</v>
      </c>
      <c r="I274" s="284">
        <v>3.5064400357692302E-2</v>
      </c>
      <c r="J274" s="284">
        <v>3.5064400357692302E-2</v>
      </c>
      <c r="K274" s="284">
        <v>3.5064400357692302E-2</v>
      </c>
      <c r="L274" s="284">
        <v>3.5064400357692302E-2</v>
      </c>
      <c r="M274" s="284">
        <v>3.5064400357692302E-2</v>
      </c>
      <c r="N274" s="284">
        <v>3.5064400357692302E-2</v>
      </c>
      <c r="O274" s="284">
        <v>3.5064400357692302E-2</v>
      </c>
      <c r="P274" s="284">
        <v>3.5064400357692302E-2</v>
      </c>
      <c r="Q274" s="284">
        <v>3.5064400357692302E-2</v>
      </c>
      <c r="R274" s="284">
        <v>3.5064400357692302E-2</v>
      </c>
      <c r="S274" s="284">
        <v>3.5064400357692302E-2</v>
      </c>
      <c r="T274" s="284">
        <v>3.5064400357692302E-2</v>
      </c>
      <c r="U274" s="284">
        <v>3.5064400357692302E-2</v>
      </c>
      <c r="V274" s="284">
        <v>3.5064400357692302E-2</v>
      </c>
      <c r="W274" s="284">
        <v>3.5064400357692302E-2</v>
      </c>
      <c r="X274" s="284">
        <v>3.5064400357692302E-2</v>
      </c>
      <c r="Y274" s="284">
        <v>3.5064400357692302E-2</v>
      </c>
      <c r="Z274" s="284">
        <v>3.5064400357692302E-2</v>
      </c>
      <c r="AA274" s="284">
        <v>3.5064400357692302E-2</v>
      </c>
      <c r="AB274" s="284">
        <v>3.5064400357692302E-2</v>
      </c>
      <c r="AC274" s="284">
        <v>3.5064400357692302E-2</v>
      </c>
      <c r="AD274" s="284">
        <v>3.5064400357692302E-2</v>
      </c>
      <c r="AE274" s="284">
        <v>3.5064400357692302E-2</v>
      </c>
      <c r="AF274" s="284">
        <v>3.5064400357692302E-2</v>
      </c>
      <c r="AG274" s="284">
        <v>3.5064400357692302E-2</v>
      </c>
      <c r="AH274" s="284">
        <v>3.5064400357692302E-2</v>
      </c>
      <c r="AI274" s="284">
        <v>3.5064400357692302E-2</v>
      </c>
      <c r="AJ274" s="284">
        <v>3.5064400357692302E-2</v>
      </c>
      <c r="AK274" s="284">
        <v>3.5064400357692302E-2</v>
      </c>
      <c r="AL274" s="284">
        <v>3.5064400357692302E-2</v>
      </c>
      <c r="AM274" s="284">
        <v>3.5064400357692302E-2</v>
      </c>
      <c r="AN274" s="284">
        <v>3.5064400357692302E-2</v>
      </c>
      <c r="AO274" s="284">
        <v>3.5064400357692302E-2</v>
      </c>
      <c r="AP274" s="284">
        <v>3.5064400357692302E-2</v>
      </c>
      <c r="AQ274" s="284">
        <v>3.5064400357692302E-2</v>
      </c>
      <c r="AR274" s="284">
        <v>3.5064400357692302E-2</v>
      </c>
      <c r="AS274" s="284">
        <v>3.5064400357692302E-2</v>
      </c>
      <c r="AT274" s="284">
        <v>3.5064400357692302E-2</v>
      </c>
      <c r="AU274" s="284">
        <v>3.5064400357692302E-2</v>
      </c>
      <c r="AV274" s="284">
        <v>3.5064400357692302E-2</v>
      </c>
      <c r="AW274" s="284">
        <v>3.5064400357692302E-2</v>
      </c>
      <c r="AX274" s="284">
        <v>3.5064400357692302E-2</v>
      </c>
      <c r="AY274" s="284">
        <v>3.5064400357692302E-2</v>
      </c>
      <c r="AZ274" s="284">
        <v>3.5064400357692302E-2</v>
      </c>
      <c r="BA274" s="284">
        <v>3.5064400357692302E-2</v>
      </c>
      <c r="BB274" s="284">
        <v>3.5064400357692302E-2</v>
      </c>
      <c r="BC274" s="284">
        <v>3.5064400357692302E-2</v>
      </c>
      <c r="BD274" s="284">
        <v>3.5064400357692302E-2</v>
      </c>
      <c r="BE274" s="284">
        <v>3.5064400357692302E-2</v>
      </c>
      <c r="BF274" s="284">
        <v>3.5064400357692302E-2</v>
      </c>
      <c r="BG274" s="284">
        <v>3.5064400357692302E-2</v>
      </c>
      <c r="BH274" s="284">
        <v>3.5064400357692302E-2</v>
      </c>
      <c r="BI274" s="284">
        <v>3.5064400357692302E-2</v>
      </c>
      <c r="BJ274" s="284">
        <v>3.5064400357692302E-2</v>
      </c>
      <c r="BK274" s="284">
        <v>3.5064400357692302E-2</v>
      </c>
      <c r="BL274" s="284">
        <v>3.5064400357692302E-2</v>
      </c>
      <c r="BM274" s="284">
        <v>3.5064400357692302E-2</v>
      </c>
      <c r="BN274" s="284">
        <v>3.5064400357692302E-2</v>
      </c>
      <c r="BO274" s="284">
        <v>3.5064400357692302E-2</v>
      </c>
      <c r="BP274" s="284">
        <v>3.5064400357692302E-2</v>
      </c>
      <c r="BQ274" s="284">
        <v>3.5064400357692302E-2</v>
      </c>
      <c r="BR274" s="284">
        <v>3.5064400357692302E-2</v>
      </c>
      <c r="BS274" s="284">
        <v>3.5064400357692302E-2</v>
      </c>
      <c r="BT274" s="284">
        <v>3.5064400357692302E-2</v>
      </c>
      <c r="BU274" s="284">
        <v>3.5064400357692302E-2</v>
      </c>
      <c r="BV274" s="284">
        <v>3.5064400357692302E-2</v>
      </c>
      <c r="BW274" s="284">
        <v>3.5064400357692302E-2</v>
      </c>
      <c r="BX274" s="284">
        <v>3.5064400357692302E-2</v>
      </c>
      <c r="BY274" s="284">
        <v>3.5064400357692302E-2</v>
      </c>
      <c r="BZ274" s="284">
        <v>3.5064400357692302E-2</v>
      </c>
      <c r="CA274" s="284">
        <v>3.5064400357692302E-2</v>
      </c>
      <c r="CB274" s="284">
        <v>3.5064400357692302E-2</v>
      </c>
      <c r="CC274" s="284">
        <v>3.5064400357692302E-2</v>
      </c>
      <c r="CD274" s="284">
        <v>3.5064400357692302E-2</v>
      </c>
      <c r="CE274" s="284">
        <v>3.5064400357692302E-2</v>
      </c>
      <c r="CF274" s="284">
        <v>3.5064400357692302E-2</v>
      </c>
      <c r="CG274" s="284">
        <v>3.5064400357692302E-2</v>
      </c>
      <c r="CH274" s="284">
        <v>3.5064400357692302E-2</v>
      </c>
      <c r="CI274" s="284">
        <v>3.5064400357692302E-2</v>
      </c>
    </row>
    <row r="275" spans="1:87" ht="14.25" customHeight="1" x14ac:dyDescent="0.35">
      <c r="A275" s="42" t="s">
        <v>113</v>
      </c>
      <c r="B275" s="284">
        <v>1.6460110498593316E-2</v>
      </c>
      <c r="C275" s="284">
        <v>1.6460110498593316E-2</v>
      </c>
      <c r="D275" s="284">
        <v>1.6460110498593316E-2</v>
      </c>
      <c r="E275" s="284">
        <v>1.6460110498593316E-2</v>
      </c>
      <c r="F275" s="284">
        <v>1.6460110498593316E-2</v>
      </c>
      <c r="G275" s="284">
        <v>1.6460110498593316E-2</v>
      </c>
      <c r="H275" s="284">
        <v>1.6460110498593316E-2</v>
      </c>
      <c r="I275" s="284">
        <v>1.6460110498593316E-2</v>
      </c>
      <c r="J275" s="284">
        <v>1.6460110498593316E-2</v>
      </c>
      <c r="K275" s="284">
        <v>1.6460110498593316E-2</v>
      </c>
      <c r="L275" s="284">
        <v>1.6460110498593316E-2</v>
      </c>
      <c r="M275" s="284">
        <v>1.6460110498593316E-2</v>
      </c>
      <c r="N275" s="284">
        <v>1.6460110498593316E-2</v>
      </c>
      <c r="O275" s="284">
        <v>1.6460110498593316E-2</v>
      </c>
      <c r="P275" s="284">
        <v>1.6460110498593316E-2</v>
      </c>
      <c r="Q275" s="284">
        <v>1.6460110498593316E-2</v>
      </c>
      <c r="R275" s="284">
        <v>1.6460110498593316E-2</v>
      </c>
      <c r="S275" s="284">
        <v>1.6460110498593316E-2</v>
      </c>
      <c r="T275" s="284">
        <v>1.6460110498593316E-2</v>
      </c>
      <c r="U275" s="284">
        <v>1.6460110498593316E-2</v>
      </c>
      <c r="V275" s="284">
        <v>1.6460110498593316E-2</v>
      </c>
      <c r="W275" s="284">
        <v>1.6460110498593316E-2</v>
      </c>
      <c r="X275" s="284">
        <v>1.6460110498593316E-2</v>
      </c>
      <c r="Y275" s="284">
        <v>1.6460110498593316E-2</v>
      </c>
      <c r="Z275" s="284">
        <v>1.6460110498593316E-2</v>
      </c>
      <c r="AA275" s="284">
        <v>1.6460110498593316E-2</v>
      </c>
      <c r="AB275" s="284">
        <v>1.6460110498593316E-2</v>
      </c>
      <c r="AC275" s="284">
        <v>1.6460110498593316E-2</v>
      </c>
      <c r="AD275" s="284">
        <v>1.6460110498593316E-2</v>
      </c>
      <c r="AE275" s="284">
        <v>1.6460110498593316E-2</v>
      </c>
      <c r="AF275" s="284">
        <v>1.6460110498593316E-2</v>
      </c>
      <c r="AG275" s="284">
        <v>1.6460110498593316E-2</v>
      </c>
      <c r="AH275" s="284">
        <v>1.6460110498593316E-2</v>
      </c>
      <c r="AI275" s="284">
        <v>1.6460110498593316E-2</v>
      </c>
      <c r="AJ275" s="284">
        <v>1.6460110498593316E-2</v>
      </c>
      <c r="AK275" s="284">
        <v>1.6460110498593316E-2</v>
      </c>
      <c r="AL275" s="284">
        <v>1.6460110498593316E-2</v>
      </c>
      <c r="AM275" s="284">
        <v>1.6460110498593316E-2</v>
      </c>
      <c r="AN275" s="284">
        <v>1.6460110498593316E-2</v>
      </c>
      <c r="AO275" s="284">
        <v>1.6460110498593316E-2</v>
      </c>
      <c r="AP275" s="284">
        <v>1.6460110498593316E-2</v>
      </c>
      <c r="AQ275" s="284">
        <v>1.6460110498593316E-2</v>
      </c>
      <c r="AR275" s="284">
        <v>1.6460110498593316E-2</v>
      </c>
      <c r="AS275" s="284">
        <v>1.6460110498593316E-2</v>
      </c>
      <c r="AT275" s="284">
        <v>1.6460110498593316E-2</v>
      </c>
      <c r="AU275" s="284">
        <v>1.6460110498593316E-2</v>
      </c>
      <c r="AV275" s="284">
        <v>1.6460110498593316E-2</v>
      </c>
      <c r="AW275" s="284">
        <v>1.6460110498593316E-2</v>
      </c>
      <c r="AX275" s="284">
        <v>1.6460110498593316E-2</v>
      </c>
      <c r="AY275" s="284">
        <v>1.6460110498593316E-2</v>
      </c>
      <c r="AZ275" s="284">
        <v>1.6460110498593316E-2</v>
      </c>
      <c r="BA275" s="284">
        <v>1.6460110498593316E-2</v>
      </c>
      <c r="BB275" s="284">
        <v>1.6460110498593316E-2</v>
      </c>
      <c r="BC275" s="284">
        <v>1.6460110498593316E-2</v>
      </c>
      <c r="BD275" s="284">
        <v>1.6460110498593316E-2</v>
      </c>
      <c r="BE275" s="284">
        <v>1.6460110498593316E-2</v>
      </c>
      <c r="BF275" s="284">
        <v>1.6460110498593316E-2</v>
      </c>
      <c r="BG275" s="284">
        <v>1.6460110498593316E-2</v>
      </c>
      <c r="BH275" s="284">
        <v>1.6460110498593316E-2</v>
      </c>
      <c r="BI275" s="284">
        <v>1.6460110498593316E-2</v>
      </c>
      <c r="BJ275" s="284">
        <v>1.6460110498593316E-2</v>
      </c>
      <c r="BK275" s="284">
        <v>1.6460110498593316E-2</v>
      </c>
      <c r="BL275" s="284">
        <v>1.6460110498593316E-2</v>
      </c>
      <c r="BM275" s="284">
        <v>1.6460110498593316E-2</v>
      </c>
      <c r="BN275" s="284">
        <v>1.6460110498593316E-2</v>
      </c>
      <c r="BO275" s="284">
        <v>1.6460110498593316E-2</v>
      </c>
      <c r="BP275" s="284">
        <v>1.6460110498593316E-2</v>
      </c>
      <c r="BQ275" s="284">
        <v>1.6460110498593316E-2</v>
      </c>
      <c r="BR275" s="284">
        <v>1.6460110498593316E-2</v>
      </c>
      <c r="BS275" s="284">
        <v>1.6460110498593316E-2</v>
      </c>
      <c r="BT275" s="284">
        <v>1.6460110498593316E-2</v>
      </c>
      <c r="BU275" s="284">
        <v>1.6460110498593316E-2</v>
      </c>
      <c r="BV275" s="284">
        <v>1.6460110498593316E-2</v>
      </c>
      <c r="BW275" s="284">
        <v>1.6460110498593316E-2</v>
      </c>
      <c r="BX275" s="284">
        <v>1.6460110498593316E-2</v>
      </c>
      <c r="BY275" s="284">
        <v>1.6460110498593316E-2</v>
      </c>
      <c r="BZ275" s="284">
        <v>1.6460110498593316E-2</v>
      </c>
      <c r="CA275" s="284">
        <v>1.6460110498593316E-2</v>
      </c>
      <c r="CB275" s="284">
        <v>1.6460110498593316E-2</v>
      </c>
      <c r="CC275" s="284">
        <v>1.6460110498593316E-2</v>
      </c>
      <c r="CD275" s="284">
        <v>1.6460110498593316E-2</v>
      </c>
      <c r="CE275" s="284">
        <v>1.6460110498593316E-2</v>
      </c>
      <c r="CF275" s="284">
        <v>1.6460110498593316E-2</v>
      </c>
      <c r="CG275" s="284">
        <v>1.6460110498593316E-2</v>
      </c>
      <c r="CH275" s="284">
        <v>1.6460110498593316E-2</v>
      </c>
      <c r="CI275" s="284">
        <v>1.6460110498593316E-2</v>
      </c>
    </row>
    <row r="276" spans="1:87" ht="14.25" customHeight="1" x14ac:dyDescent="0.35">
      <c r="A276" s="42" t="s">
        <v>114</v>
      </c>
      <c r="B276" s="284">
        <v>3.054933599058194E-2</v>
      </c>
      <c r="C276" s="284">
        <v>3.054933599058194E-2</v>
      </c>
      <c r="D276" s="284">
        <v>3.054933599058194E-2</v>
      </c>
      <c r="E276" s="284">
        <v>3.054933599058194E-2</v>
      </c>
      <c r="F276" s="284">
        <v>3.054933599058194E-2</v>
      </c>
      <c r="G276" s="284">
        <v>3.054933599058194E-2</v>
      </c>
      <c r="H276" s="284">
        <v>3.054933599058194E-2</v>
      </c>
      <c r="I276" s="284">
        <v>3.054933599058194E-2</v>
      </c>
      <c r="J276" s="284">
        <v>3.054933599058194E-2</v>
      </c>
      <c r="K276" s="284">
        <v>3.054933599058194E-2</v>
      </c>
      <c r="L276" s="284">
        <v>3.054933599058194E-2</v>
      </c>
      <c r="M276" s="284">
        <v>3.054933599058194E-2</v>
      </c>
      <c r="N276" s="284">
        <v>3.054933599058194E-2</v>
      </c>
      <c r="O276" s="284">
        <v>3.054933599058194E-2</v>
      </c>
      <c r="P276" s="284">
        <v>3.054933599058194E-2</v>
      </c>
      <c r="Q276" s="284">
        <v>3.054933599058194E-2</v>
      </c>
      <c r="R276" s="284">
        <v>3.054933599058194E-2</v>
      </c>
      <c r="S276" s="284">
        <v>3.054933599058194E-2</v>
      </c>
      <c r="T276" s="284">
        <v>3.054933599058194E-2</v>
      </c>
      <c r="U276" s="284">
        <v>3.054933599058194E-2</v>
      </c>
      <c r="V276" s="284">
        <v>3.054933599058194E-2</v>
      </c>
      <c r="W276" s="284">
        <v>3.054933599058194E-2</v>
      </c>
      <c r="X276" s="284">
        <v>3.054933599058194E-2</v>
      </c>
      <c r="Y276" s="284">
        <v>3.054933599058194E-2</v>
      </c>
      <c r="Z276" s="284">
        <v>3.054933599058194E-2</v>
      </c>
      <c r="AA276" s="284">
        <v>3.054933599058194E-2</v>
      </c>
      <c r="AB276" s="284">
        <v>3.054933599058194E-2</v>
      </c>
      <c r="AC276" s="284">
        <v>3.054933599058194E-2</v>
      </c>
      <c r="AD276" s="284">
        <v>3.054933599058194E-2</v>
      </c>
      <c r="AE276" s="284">
        <v>3.054933599058194E-2</v>
      </c>
      <c r="AF276" s="284">
        <v>3.054933599058194E-2</v>
      </c>
      <c r="AG276" s="284">
        <v>3.054933599058194E-2</v>
      </c>
      <c r="AH276" s="284">
        <v>3.054933599058194E-2</v>
      </c>
      <c r="AI276" s="284">
        <v>3.054933599058194E-2</v>
      </c>
      <c r="AJ276" s="284">
        <v>3.054933599058194E-2</v>
      </c>
      <c r="AK276" s="284">
        <v>3.054933599058194E-2</v>
      </c>
      <c r="AL276" s="284">
        <v>3.054933599058194E-2</v>
      </c>
      <c r="AM276" s="284">
        <v>3.054933599058194E-2</v>
      </c>
      <c r="AN276" s="284">
        <v>3.054933599058194E-2</v>
      </c>
      <c r="AO276" s="284">
        <v>3.054933599058194E-2</v>
      </c>
      <c r="AP276" s="284">
        <v>3.054933599058194E-2</v>
      </c>
      <c r="AQ276" s="284">
        <v>3.054933599058194E-2</v>
      </c>
      <c r="AR276" s="284">
        <v>3.054933599058194E-2</v>
      </c>
      <c r="AS276" s="284">
        <v>3.054933599058194E-2</v>
      </c>
      <c r="AT276" s="284">
        <v>3.054933599058194E-2</v>
      </c>
      <c r="AU276" s="284">
        <v>3.054933599058194E-2</v>
      </c>
      <c r="AV276" s="284">
        <v>3.054933599058194E-2</v>
      </c>
      <c r="AW276" s="284">
        <v>3.054933599058194E-2</v>
      </c>
      <c r="AX276" s="284">
        <v>3.054933599058194E-2</v>
      </c>
      <c r="AY276" s="284">
        <v>3.054933599058194E-2</v>
      </c>
      <c r="AZ276" s="284">
        <v>3.054933599058194E-2</v>
      </c>
      <c r="BA276" s="284">
        <v>3.054933599058194E-2</v>
      </c>
      <c r="BB276" s="284">
        <v>3.054933599058194E-2</v>
      </c>
      <c r="BC276" s="284">
        <v>3.054933599058194E-2</v>
      </c>
      <c r="BD276" s="284">
        <v>3.054933599058194E-2</v>
      </c>
      <c r="BE276" s="284">
        <v>3.054933599058194E-2</v>
      </c>
      <c r="BF276" s="284">
        <v>3.054933599058194E-2</v>
      </c>
      <c r="BG276" s="284">
        <v>3.054933599058194E-2</v>
      </c>
      <c r="BH276" s="284">
        <v>3.054933599058194E-2</v>
      </c>
      <c r="BI276" s="284">
        <v>3.054933599058194E-2</v>
      </c>
      <c r="BJ276" s="284">
        <v>3.054933599058194E-2</v>
      </c>
      <c r="BK276" s="284">
        <v>3.054933599058194E-2</v>
      </c>
      <c r="BL276" s="284">
        <v>3.054933599058194E-2</v>
      </c>
      <c r="BM276" s="284">
        <v>3.054933599058194E-2</v>
      </c>
      <c r="BN276" s="284">
        <v>3.054933599058194E-2</v>
      </c>
      <c r="BO276" s="284">
        <v>3.054933599058194E-2</v>
      </c>
      <c r="BP276" s="284">
        <v>3.054933599058194E-2</v>
      </c>
      <c r="BQ276" s="284">
        <v>3.054933599058194E-2</v>
      </c>
      <c r="BR276" s="284">
        <v>3.054933599058194E-2</v>
      </c>
      <c r="BS276" s="284">
        <v>3.054933599058194E-2</v>
      </c>
      <c r="BT276" s="284">
        <v>3.054933599058194E-2</v>
      </c>
      <c r="BU276" s="284">
        <v>3.054933599058194E-2</v>
      </c>
      <c r="BV276" s="284">
        <v>3.054933599058194E-2</v>
      </c>
      <c r="BW276" s="284">
        <v>3.054933599058194E-2</v>
      </c>
      <c r="BX276" s="284">
        <v>3.054933599058194E-2</v>
      </c>
      <c r="BY276" s="284">
        <v>3.054933599058194E-2</v>
      </c>
      <c r="BZ276" s="284">
        <v>3.054933599058194E-2</v>
      </c>
      <c r="CA276" s="284">
        <v>3.054933599058194E-2</v>
      </c>
      <c r="CB276" s="284">
        <v>3.054933599058194E-2</v>
      </c>
      <c r="CC276" s="284">
        <v>3.054933599058194E-2</v>
      </c>
      <c r="CD276" s="284">
        <v>3.054933599058194E-2</v>
      </c>
      <c r="CE276" s="284">
        <v>3.054933599058194E-2</v>
      </c>
      <c r="CF276" s="284">
        <v>3.054933599058194E-2</v>
      </c>
      <c r="CG276" s="284">
        <v>3.054933599058194E-2</v>
      </c>
      <c r="CH276" s="284">
        <v>3.054933599058194E-2</v>
      </c>
      <c r="CI276" s="284">
        <v>3.054933599058194E-2</v>
      </c>
    </row>
    <row r="277" spans="1:87" ht="14.25" customHeight="1" x14ac:dyDescent="0.35">
      <c r="A277" s="42" t="s">
        <v>115</v>
      </c>
      <c r="B277" s="284">
        <v>2.9910391225914598E-2</v>
      </c>
      <c r="C277" s="284">
        <v>2.9910391225914598E-2</v>
      </c>
      <c r="D277" s="284">
        <v>2.9910391225914598E-2</v>
      </c>
      <c r="E277" s="284">
        <v>2.9910391225914598E-2</v>
      </c>
      <c r="F277" s="284">
        <v>2.9910391225914598E-2</v>
      </c>
      <c r="G277" s="284">
        <v>2.9910391225914598E-2</v>
      </c>
      <c r="H277" s="284">
        <v>2.9910391225914598E-2</v>
      </c>
      <c r="I277" s="284">
        <v>2.9910391225914598E-2</v>
      </c>
      <c r="J277" s="284">
        <v>2.9910391225914598E-2</v>
      </c>
      <c r="K277" s="284">
        <v>2.9910391225914598E-2</v>
      </c>
      <c r="L277" s="284">
        <v>2.9910391225914598E-2</v>
      </c>
      <c r="M277" s="284">
        <v>2.9910391225914598E-2</v>
      </c>
      <c r="N277" s="284">
        <v>2.9910391225914598E-2</v>
      </c>
      <c r="O277" s="284">
        <v>2.9910391225914598E-2</v>
      </c>
      <c r="P277" s="284">
        <v>2.9910391225914598E-2</v>
      </c>
      <c r="Q277" s="284">
        <v>2.9910391225914598E-2</v>
      </c>
      <c r="R277" s="284">
        <v>2.9910391225914598E-2</v>
      </c>
      <c r="S277" s="284">
        <v>2.9910391225914598E-2</v>
      </c>
      <c r="T277" s="284">
        <v>2.9910391225914598E-2</v>
      </c>
      <c r="U277" s="284">
        <v>2.9910391225914598E-2</v>
      </c>
      <c r="V277" s="284">
        <v>2.9910391225914598E-2</v>
      </c>
      <c r="W277" s="284">
        <v>2.9910391225914598E-2</v>
      </c>
      <c r="X277" s="284">
        <v>2.9910391225914598E-2</v>
      </c>
      <c r="Y277" s="284">
        <v>2.9910391225914598E-2</v>
      </c>
      <c r="Z277" s="284">
        <v>2.9910391225914598E-2</v>
      </c>
      <c r="AA277" s="284">
        <v>2.9910391225914598E-2</v>
      </c>
      <c r="AB277" s="284">
        <v>2.9910391225914598E-2</v>
      </c>
      <c r="AC277" s="284">
        <v>2.9910391225914598E-2</v>
      </c>
      <c r="AD277" s="284">
        <v>2.9910391225914598E-2</v>
      </c>
      <c r="AE277" s="284">
        <v>2.9910391225914598E-2</v>
      </c>
      <c r="AF277" s="284">
        <v>2.9910391225914598E-2</v>
      </c>
      <c r="AG277" s="284">
        <v>2.9910391225914598E-2</v>
      </c>
      <c r="AH277" s="284">
        <v>2.9910391225914598E-2</v>
      </c>
      <c r="AI277" s="284">
        <v>2.9910391225914598E-2</v>
      </c>
      <c r="AJ277" s="284">
        <v>2.9910391225914598E-2</v>
      </c>
      <c r="AK277" s="284">
        <v>2.9910391225914598E-2</v>
      </c>
      <c r="AL277" s="284">
        <v>2.9910391225914598E-2</v>
      </c>
      <c r="AM277" s="284">
        <v>2.9910391225914598E-2</v>
      </c>
      <c r="AN277" s="284">
        <v>2.9910391225914598E-2</v>
      </c>
      <c r="AO277" s="284">
        <v>2.9910391225914598E-2</v>
      </c>
      <c r="AP277" s="284">
        <v>2.9910391225914598E-2</v>
      </c>
      <c r="AQ277" s="284">
        <v>2.9910391225914598E-2</v>
      </c>
      <c r="AR277" s="284">
        <v>2.9910391225914598E-2</v>
      </c>
      <c r="AS277" s="284">
        <v>2.9910391225914598E-2</v>
      </c>
      <c r="AT277" s="284">
        <v>2.9910391225914598E-2</v>
      </c>
      <c r="AU277" s="284">
        <v>2.9910391225914598E-2</v>
      </c>
      <c r="AV277" s="284">
        <v>2.9910391225914598E-2</v>
      </c>
      <c r="AW277" s="284">
        <v>2.9910391225914598E-2</v>
      </c>
      <c r="AX277" s="284">
        <v>2.9910391225914598E-2</v>
      </c>
      <c r="AY277" s="284">
        <v>2.9910391225914598E-2</v>
      </c>
      <c r="AZ277" s="284">
        <v>2.9910391225914598E-2</v>
      </c>
      <c r="BA277" s="284">
        <v>2.9910391225914598E-2</v>
      </c>
      <c r="BB277" s="284">
        <v>2.9910391225914598E-2</v>
      </c>
      <c r="BC277" s="284">
        <v>2.9910391225914598E-2</v>
      </c>
      <c r="BD277" s="284">
        <v>2.9910391225914598E-2</v>
      </c>
      <c r="BE277" s="284">
        <v>2.9910391225914598E-2</v>
      </c>
      <c r="BF277" s="284">
        <v>2.9910391225914598E-2</v>
      </c>
      <c r="BG277" s="284">
        <v>2.9910391225914598E-2</v>
      </c>
      <c r="BH277" s="284">
        <v>2.9910391225914598E-2</v>
      </c>
      <c r="BI277" s="284">
        <v>2.9910391225914598E-2</v>
      </c>
      <c r="BJ277" s="284">
        <v>2.9910391225914598E-2</v>
      </c>
      <c r="BK277" s="284">
        <v>2.9910391225914598E-2</v>
      </c>
      <c r="BL277" s="284">
        <v>2.9910391225914598E-2</v>
      </c>
      <c r="BM277" s="284">
        <v>2.9910391225914598E-2</v>
      </c>
      <c r="BN277" s="284">
        <v>2.9910391225914598E-2</v>
      </c>
      <c r="BO277" s="284">
        <v>2.9910391225914598E-2</v>
      </c>
      <c r="BP277" s="284">
        <v>2.9910391225914598E-2</v>
      </c>
      <c r="BQ277" s="284">
        <v>2.9910391225914598E-2</v>
      </c>
      <c r="BR277" s="284">
        <v>2.9910391225914598E-2</v>
      </c>
      <c r="BS277" s="284">
        <v>2.9910391225914598E-2</v>
      </c>
      <c r="BT277" s="284">
        <v>2.9910391225914598E-2</v>
      </c>
      <c r="BU277" s="284">
        <v>2.9910391225914598E-2</v>
      </c>
      <c r="BV277" s="284">
        <v>2.9910391225914598E-2</v>
      </c>
      <c r="BW277" s="284">
        <v>2.9910391225914598E-2</v>
      </c>
      <c r="BX277" s="284">
        <v>2.9910391225914598E-2</v>
      </c>
      <c r="BY277" s="284">
        <v>2.9910391225914598E-2</v>
      </c>
      <c r="BZ277" s="284">
        <v>2.9910391225914598E-2</v>
      </c>
      <c r="CA277" s="284">
        <v>2.9910391225914598E-2</v>
      </c>
      <c r="CB277" s="284">
        <v>2.9910391225914598E-2</v>
      </c>
      <c r="CC277" s="284">
        <v>2.9910391225914598E-2</v>
      </c>
      <c r="CD277" s="284">
        <v>2.9910391225914598E-2</v>
      </c>
      <c r="CE277" s="284">
        <v>2.9910391225914598E-2</v>
      </c>
      <c r="CF277" s="284">
        <v>2.9910391225914598E-2</v>
      </c>
      <c r="CG277" s="284">
        <v>2.9910391225914598E-2</v>
      </c>
      <c r="CH277" s="284">
        <v>2.9910391225914598E-2</v>
      </c>
      <c r="CI277" s="284">
        <v>2.9910391225914598E-2</v>
      </c>
    </row>
    <row r="278" spans="1:87" ht="14.25" customHeight="1" x14ac:dyDescent="0.35">
      <c r="A278" s="42" t="s">
        <v>116</v>
      </c>
      <c r="B278" s="284">
        <v>3.7131311793774463E-2</v>
      </c>
      <c r="C278" s="284">
        <v>3.7131311793774463E-2</v>
      </c>
      <c r="D278" s="284">
        <v>3.7131311793774463E-2</v>
      </c>
      <c r="E278" s="284">
        <v>3.7131311793774463E-2</v>
      </c>
      <c r="F278" s="284">
        <v>3.7131311793774463E-2</v>
      </c>
      <c r="G278" s="284">
        <v>3.7131311793774463E-2</v>
      </c>
      <c r="H278" s="284">
        <v>3.7131311793774463E-2</v>
      </c>
      <c r="I278" s="284">
        <v>3.7131311793774463E-2</v>
      </c>
      <c r="J278" s="284">
        <v>3.7131311793774463E-2</v>
      </c>
      <c r="K278" s="284">
        <v>3.7131311793774463E-2</v>
      </c>
      <c r="L278" s="284">
        <v>3.7131311793774463E-2</v>
      </c>
      <c r="M278" s="284">
        <v>3.7131311793774463E-2</v>
      </c>
      <c r="N278" s="284">
        <v>3.7131311793774463E-2</v>
      </c>
      <c r="O278" s="284">
        <v>3.7131311793774463E-2</v>
      </c>
      <c r="P278" s="284">
        <v>3.7131311793774463E-2</v>
      </c>
      <c r="Q278" s="284">
        <v>3.7131311793774463E-2</v>
      </c>
      <c r="R278" s="284">
        <v>3.7131311793774463E-2</v>
      </c>
      <c r="S278" s="284">
        <v>3.7131311793774463E-2</v>
      </c>
      <c r="T278" s="284">
        <v>3.7131311793774463E-2</v>
      </c>
      <c r="U278" s="284">
        <v>3.7131311793774463E-2</v>
      </c>
      <c r="V278" s="284">
        <v>3.7131311793774463E-2</v>
      </c>
      <c r="W278" s="284">
        <v>3.7131311793774463E-2</v>
      </c>
      <c r="X278" s="284">
        <v>3.7131311793774463E-2</v>
      </c>
      <c r="Y278" s="284">
        <v>3.7131311793774463E-2</v>
      </c>
      <c r="Z278" s="284">
        <v>3.7131311793774463E-2</v>
      </c>
      <c r="AA278" s="284">
        <v>3.7131311793774463E-2</v>
      </c>
      <c r="AB278" s="284">
        <v>3.7131311793774463E-2</v>
      </c>
      <c r="AC278" s="284">
        <v>3.7131311793774463E-2</v>
      </c>
      <c r="AD278" s="284">
        <v>3.7131311793774463E-2</v>
      </c>
      <c r="AE278" s="284">
        <v>3.7131311793774463E-2</v>
      </c>
      <c r="AF278" s="284">
        <v>3.7131311793774463E-2</v>
      </c>
      <c r="AG278" s="284">
        <v>3.7131311793774463E-2</v>
      </c>
      <c r="AH278" s="284">
        <v>3.7131311793774463E-2</v>
      </c>
      <c r="AI278" s="284">
        <v>3.7131311793774463E-2</v>
      </c>
      <c r="AJ278" s="284">
        <v>3.7131311793774463E-2</v>
      </c>
      <c r="AK278" s="284">
        <v>3.7131311793774463E-2</v>
      </c>
      <c r="AL278" s="284">
        <v>3.7131311793774463E-2</v>
      </c>
      <c r="AM278" s="284">
        <v>3.7131311793774463E-2</v>
      </c>
      <c r="AN278" s="284">
        <v>3.7131311793774463E-2</v>
      </c>
      <c r="AO278" s="284">
        <v>3.7131311793774463E-2</v>
      </c>
      <c r="AP278" s="284">
        <v>3.7131311793774463E-2</v>
      </c>
      <c r="AQ278" s="284">
        <v>3.7131311793774463E-2</v>
      </c>
      <c r="AR278" s="284">
        <v>3.7131311793774463E-2</v>
      </c>
      <c r="AS278" s="284">
        <v>3.7131311793774463E-2</v>
      </c>
      <c r="AT278" s="284">
        <v>3.7131311793774463E-2</v>
      </c>
      <c r="AU278" s="284">
        <v>3.7131311793774463E-2</v>
      </c>
      <c r="AV278" s="284">
        <v>3.7131311793774463E-2</v>
      </c>
      <c r="AW278" s="284">
        <v>3.7131311793774463E-2</v>
      </c>
      <c r="AX278" s="284">
        <v>3.7131311793774463E-2</v>
      </c>
      <c r="AY278" s="284">
        <v>3.7131311793774463E-2</v>
      </c>
      <c r="AZ278" s="284">
        <v>3.7131311793774463E-2</v>
      </c>
      <c r="BA278" s="284">
        <v>3.7131311793774463E-2</v>
      </c>
      <c r="BB278" s="284">
        <v>3.7131311793774463E-2</v>
      </c>
      <c r="BC278" s="284">
        <v>3.7131311793774463E-2</v>
      </c>
      <c r="BD278" s="284">
        <v>3.7131311793774463E-2</v>
      </c>
      <c r="BE278" s="284">
        <v>3.7131311793774463E-2</v>
      </c>
      <c r="BF278" s="284">
        <v>3.7131311793774463E-2</v>
      </c>
      <c r="BG278" s="284">
        <v>3.7131311793774463E-2</v>
      </c>
      <c r="BH278" s="284">
        <v>3.7131311793774463E-2</v>
      </c>
      <c r="BI278" s="284">
        <v>3.7131311793774463E-2</v>
      </c>
      <c r="BJ278" s="284">
        <v>3.7131311793774463E-2</v>
      </c>
      <c r="BK278" s="284">
        <v>3.7131311793774463E-2</v>
      </c>
      <c r="BL278" s="284">
        <v>3.7131311793774463E-2</v>
      </c>
      <c r="BM278" s="284">
        <v>3.7131311793774463E-2</v>
      </c>
      <c r="BN278" s="284">
        <v>3.7131311793774463E-2</v>
      </c>
      <c r="BO278" s="284">
        <v>3.7131311793774463E-2</v>
      </c>
      <c r="BP278" s="284">
        <v>3.7131311793774463E-2</v>
      </c>
      <c r="BQ278" s="284">
        <v>3.7131311793774463E-2</v>
      </c>
      <c r="BR278" s="284">
        <v>3.7131311793774463E-2</v>
      </c>
      <c r="BS278" s="284">
        <v>3.7131311793774463E-2</v>
      </c>
      <c r="BT278" s="284">
        <v>3.7131311793774463E-2</v>
      </c>
      <c r="BU278" s="284">
        <v>3.7131311793774463E-2</v>
      </c>
      <c r="BV278" s="284">
        <v>3.7131311793774463E-2</v>
      </c>
      <c r="BW278" s="284">
        <v>3.7131311793774463E-2</v>
      </c>
      <c r="BX278" s="284">
        <v>3.7131311793774463E-2</v>
      </c>
      <c r="BY278" s="284">
        <v>3.7131311793774463E-2</v>
      </c>
      <c r="BZ278" s="284">
        <v>3.7131311793774463E-2</v>
      </c>
      <c r="CA278" s="284">
        <v>3.7131311793774463E-2</v>
      </c>
      <c r="CB278" s="284">
        <v>3.7131311793774463E-2</v>
      </c>
      <c r="CC278" s="284">
        <v>3.7131311793774463E-2</v>
      </c>
      <c r="CD278" s="284">
        <v>3.7131311793774463E-2</v>
      </c>
      <c r="CE278" s="284">
        <v>3.7131311793774463E-2</v>
      </c>
      <c r="CF278" s="284">
        <v>3.7131311793774463E-2</v>
      </c>
      <c r="CG278" s="284">
        <v>3.7131311793774463E-2</v>
      </c>
      <c r="CH278" s="284">
        <v>3.7131311793774463E-2</v>
      </c>
      <c r="CI278" s="284">
        <v>3.7131311793774463E-2</v>
      </c>
    </row>
    <row r="279" spans="1:87" ht="14.25" customHeight="1" x14ac:dyDescent="0.35">
      <c r="A279" s="42" t="s">
        <v>117</v>
      </c>
      <c r="B279" s="284">
        <v>2.8964901068639356E-2</v>
      </c>
      <c r="C279" s="284">
        <v>2.8964901068639356E-2</v>
      </c>
      <c r="D279" s="284">
        <v>2.8964901068639356E-2</v>
      </c>
      <c r="E279" s="284">
        <v>2.8964901068639356E-2</v>
      </c>
      <c r="F279" s="284">
        <v>2.8964901068639356E-2</v>
      </c>
      <c r="G279" s="284">
        <v>2.8964901068639356E-2</v>
      </c>
      <c r="H279" s="284">
        <v>2.8964901068639356E-2</v>
      </c>
      <c r="I279" s="284">
        <v>2.8964901068639356E-2</v>
      </c>
      <c r="J279" s="284">
        <v>2.8964901068639356E-2</v>
      </c>
      <c r="K279" s="284">
        <v>2.8964901068639356E-2</v>
      </c>
      <c r="L279" s="284">
        <v>2.8964901068639356E-2</v>
      </c>
      <c r="M279" s="284">
        <v>2.8964901068639356E-2</v>
      </c>
      <c r="N279" s="284">
        <v>2.8964901068639356E-2</v>
      </c>
      <c r="O279" s="284">
        <v>2.8964901068639356E-2</v>
      </c>
      <c r="P279" s="284">
        <v>2.8964901068639356E-2</v>
      </c>
      <c r="Q279" s="284">
        <v>2.8964901068639356E-2</v>
      </c>
      <c r="R279" s="284">
        <v>2.8964901068639356E-2</v>
      </c>
      <c r="S279" s="284">
        <v>2.8964901068639356E-2</v>
      </c>
      <c r="T279" s="284">
        <v>2.8964901068639356E-2</v>
      </c>
      <c r="U279" s="284">
        <v>2.8964901068639356E-2</v>
      </c>
      <c r="V279" s="284">
        <v>2.8964901068639356E-2</v>
      </c>
      <c r="W279" s="284">
        <v>2.8964901068639356E-2</v>
      </c>
      <c r="X279" s="284">
        <v>2.8964901068639356E-2</v>
      </c>
      <c r="Y279" s="284">
        <v>2.8964901068639356E-2</v>
      </c>
      <c r="Z279" s="284">
        <v>2.8964901068639356E-2</v>
      </c>
      <c r="AA279" s="284">
        <v>2.8964901068639356E-2</v>
      </c>
      <c r="AB279" s="284">
        <v>2.8964901068639356E-2</v>
      </c>
      <c r="AC279" s="284">
        <v>2.8964901068639356E-2</v>
      </c>
      <c r="AD279" s="284">
        <v>2.8964901068639356E-2</v>
      </c>
      <c r="AE279" s="284">
        <v>2.8964901068639356E-2</v>
      </c>
      <c r="AF279" s="284">
        <v>2.8964901068639356E-2</v>
      </c>
      <c r="AG279" s="284">
        <v>2.8964901068639356E-2</v>
      </c>
      <c r="AH279" s="284">
        <v>2.8964901068639356E-2</v>
      </c>
      <c r="AI279" s="284">
        <v>2.8964901068639356E-2</v>
      </c>
      <c r="AJ279" s="284">
        <v>2.8964901068639356E-2</v>
      </c>
      <c r="AK279" s="284">
        <v>2.8964901068639356E-2</v>
      </c>
      <c r="AL279" s="284">
        <v>2.8964901068639356E-2</v>
      </c>
      <c r="AM279" s="284">
        <v>2.8964901068639356E-2</v>
      </c>
      <c r="AN279" s="284">
        <v>2.8964901068639356E-2</v>
      </c>
      <c r="AO279" s="284">
        <v>2.8964901068639356E-2</v>
      </c>
      <c r="AP279" s="284">
        <v>2.8964901068639356E-2</v>
      </c>
      <c r="AQ279" s="284">
        <v>2.8964901068639356E-2</v>
      </c>
      <c r="AR279" s="284">
        <v>2.8964901068639356E-2</v>
      </c>
      <c r="AS279" s="284">
        <v>2.8964901068639356E-2</v>
      </c>
      <c r="AT279" s="284">
        <v>2.8964901068639356E-2</v>
      </c>
      <c r="AU279" s="284">
        <v>2.8964901068639356E-2</v>
      </c>
      <c r="AV279" s="284">
        <v>2.8964901068639356E-2</v>
      </c>
      <c r="AW279" s="284">
        <v>2.8964901068639356E-2</v>
      </c>
      <c r="AX279" s="284">
        <v>2.8964901068639356E-2</v>
      </c>
      <c r="AY279" s="284">
        <v>2.8964901068639356E-2</v>
      </c>
      <c r="AZ279" s="284">
        <v>2.8964901068639356E-2</v>
      </c>
      <c r="BA279" s="284">
        <v>2.8964901068639356E-2</v>
      </c>
      <c r="BB279" s="284">
        <v>2.8964901068639356E-2</v>
      </c>
      <c r="BC279" s="284">
        <v>2.8964901068639356E-2</v>
      </c>
      <c r="BD279" s="284">
        <v>2.8964901068639356E-2</v>
      </c>
      <c r="BE279" s="284">
        <v>2.8964901068639356E-2</v>
      </c>
      <c r="BF279" s="284">
        <v>2.8964901068639356E-2</v>
      </c>
      <c r="BG279" s="284">
        <v>2.8964901068639356E-2</v>
      </c>
      <c r="BH279" s="284">
        <v>2.8964901068639356E-2</v>
      </c>
      <c r="BI279" s="284">
        <v>2.8964901068639356E-2</v>
      </c>
      <c r="BJ279" s="284">
        <v>2.8964901068639356E-2</v>
      </c>
      <c r="BK279" s="284">
        <v>2.8964901068639356E-2</v>
      </c>
      <c r="BL279" s="284">
        <v>2.8964901068639356E-2</v>
      </c>
      <c r="BM279" s="284">
        <v>2.8964901068639356E-2</v>
      </c>
      <c r="BN279" s="284">
        <v>2.8964901068639356E-2</v>
      </c>
      <c r="BO279" s="284">
        <v>2.8964901068639356E-2</v>
      </c>
      <c r="BP279" s="284">
        <v>2.8964901068639356E-2</v>
      </c>
      <c r="BQ279" s="284">
        <v>2.8964901068639356E-2</v>
      </c>
      <c r="BR279" s="284">
        <v>2.8964901068639356E-2</v>
      </c>
      <c r="BS279" s="284">
        <v>2.8964901068639356E-2</v>
      </c>
      <c r="BT279" s="284">
        <v>2.8964901068639356E-2</v>
      </c>
      <c r="BU279" s="284">
        <v>2.8964901068639356E-2</v>
      </c>
      <c r="BV279" s="284">
        <v>2.8964901068639356E-2</v>
      </c>
      <c r="BW279" s="284">
        <v>2.8964901068639356E-2</v>
      </c>
      <c r="BX279" s="284">
        <v>2.8964901068639356E-2</v>
      </c>
      <c r="BY279" s="284">
        <v>2.8964901068639356E-2</v>
      </c>
      <c r="BZ279" s="284">
        <v>2.8964901068639356E-2</v>
      </c>
      <c r="CA279" s="284">
        <v>2.8964901068639356E-2</v>
      </c>
      <c r="CB279" s="284">
        <v>2.8964901068639356E-2</v>
      </c>
      <c r="CC279" s="284">
        <v>2.8964901068639356E-2</v>
      </c>
      <c r="CD279" s="284">
        <v>2.8964901068639356E-2</v>
      </c>
      <c r="CE279" s="284">
        <v>2.8964901068639356E-2</v>
      </c>
      <c r="CF279" s="284">
        <v>2.8964901068639356E-2</v>
      </c>
      <c r="CG279" s="284">
        <v>2.8964901068639356E-2</v>
      </c>
      <c r="CH279" s="284">
        <v>2.8964901068639356E-2</v>
      </c>
      <c r="CI279" s="284">
        <v>2.8964901068639356E-2</v>
      </c>
    </row>
    <row r="280" spans="1:87" ht="14.25" customHeight="1" x14ac:dyDescent="0.35">
      <c r="A280" s="42" t="s">
        <v>118</v>
      </c>
      <c r="B280" s="284">
        <v>3.4594937625721973E-2</v>
      </c>
      <c r="C280" s="284">
        <v>3.4594937625721973E-2</v>
      </c>
      <c r="D280" s="284">
        <v>3.4594937625721973E-2</v>
      </c>
      <c r="E280" s="284">
        <v>3.4594937625721973E-2</v>
      </c>
      <c r="F280" s="284">
        <v>3.4594937625721973E-2</v>
      </c>
      <c r="G280" s="284">
        <v>3.4594937625721973E-2</v>
      </c>
      <c r="H280" s="284">
        <v>3.4594937625721973E-2</v>
      </c>
      <c r="I280" s="284">
        <v>3.4594937625721973E-2</v>
      </c>
      <c r="J280" s="284">
        <v>3.4594937625721973E-2</v>
      </c>
      <c r="K280" s="284">
        <v>3.4594937625721973E-2</v>
      </c>
      <c r="L280" s="284">
        <v>3.4594937625721973E-2</v>
      </c>
      <c r="M280" s="284">
        <v>3.4594937625721973E-2</v>
      </c>
      <c r="N280" s="284">
        <v>3.4594937625721973E-2</v>
      </c>
      <c r="O280" s="284">
        <v>3.4594937625721973E-2</v>
      </c>
      <c r="P280" s="284">
        <v>3.4594937625721973E-2</v>
      </c>
      <c r="Q280" s="284">
        <v>3.4594937625721973E-2</v>
      </c>
      <c r="R280" s="284">
        <v>3.4594937625721973E-2</v>
      </c>
      <c r="S280" s="284">
        <v>3.4594937625721973E-2</v>
      </c>
      <c r="T280" s="284">
        <v>3.4594937625721973E-2</v>
      </c>
      <c r="U280" s="284">
        <v>3.4594937625721973E-2</v>
      </c>
      <c r="V280" s="284">
        <v>3.4594937625721973E-2</v>
      </c>
      <c r="W280" s="284">
        <v>3.4594937625721973E-2</v>
      </c>
      <c r="X280" s="284">
        <v>3.4594937625721973E-2</v>
      </c>
      <c r="Y280" s="284">
        <v>3.4594937625721973E-2</v>
      </c>
      <c r="Z280" s="284">
        <v>3.4594937625721973E-2</v>
      </c>
      <c r="AA280" s="284">
        <v>3.4594937625721973E-2</v>
      </c>
      <c r="AB280" s="284">
        <v>3.4594937625721973E-2</v>
      </c>
      <c r="AC280" s="284">
        <v>3.4594937625721973E-2</v>
      </c>
      <c r="AD280" s="284">
        <v>3.4594937625721973E-2</v>
      </c>
      <c r="AE280" s="284">
        <v>3.4594937625721973E-2</v>
      </c>
      <c r="AF280" s="284">
        <v>3.4594937625721973E-2</v>
      </c>
      <c r="AG280" s="284">
        <v>3.4594937625721973E-2</v>
      </c>
      <c r="AH280" s="284">
        <v>3.4594937625721973E-2</v>
      </c>
      <c r="AI280" s="284">
        <v>3.4594937625721973E-2</v>
      </c>
      <c r="AJ280" s="284">
        <v>3.4594937625721973E-2</v>
      </c>
      <c r="AK280" s="284">
        <v>3.4594937625721973E-2</v>
      </c>
      <c r="AL280" s="284">
        <v>3.4594937625721973E-2</v>
      </c>
      <c r="AM280" s="284">
        <v>3.4594937625721973E-2</v>
      </c>
      <c r="AN280" s="284">
        <v>3.4594937625721973E-2</v>
      </c>
      <c r="AO280" s="284">
        <v>3.4594937625721973E-2</v>
      </c>
      <c r="AP280" s="284">
        <v>3.4594937625721973E-2</v>
      </c>
      <c r="AQ280" s="284">
        <v>3.4594937625721973E-2</v>
      </c>
      <c r="AR280" s="284">
        <v>3.4594937625721973E-2</v>
      </c>
      <c r="AS280" s="284">
        <v>3.4594937625721973E-2</v>
      </c>
      <c r="AT280" s="284">
        <v>3.4594937625721973E-2</v>
      </c>
      <c r="AU280" s="284">
        <v>3.4594937625721973E-2</v>
      </c>
      <c r="AV280" s="284">
        <v>3.4594937625721973E-2</v>
      </c>
      <c r="AW280" s="284">
        <v>3.4594937625721973E-2</v>
      </c>
      <c r="AX280" s="284">
        <v>3.4594937625721973E-2</v>
      </c>
      <c r="AY280" s="284">
        <v>3.4594937625721973E-2</v>
      </c>
      <c r="AZ280" s="284">
        <v>3.4594937625721973E-2</v>
      </c>
      <c r="BA280" s="284">
        <v>3.4594937625721973E-2</v>
      </c>
      <c r="BB280" s="284">
        <v>3.4594937625721973E-2</v>
      </c>
      <c r="BC280" s="284">
        <v>3.4594937625721973E-2</v>
      </c>
      <c r="BD280" s="284">
        <v>3.4594937625721973E-2</v>
      </c>
      <c r="BE280" s="284">
        <v>3.4594937625721973E-2</v>
      </c>
      <c r="BF280" s="284">
        <v>3.4594937625721973E-2</v>
      </c>
      <c r="BG280" s="284">
        <v>3.4594937625721973E-2</v>
      </c>
      <c r="BH280" s="284">
        <v>3.4594937625721973E-2</v>
      </c>
      <c r="BI280" s="284">
        <v>3.4594937625721973E-2</v>
      </c>
      <c r="BJ280" s="284">
        <v>3.4594937625721973E-2</v>
      </c>
      <c r="BK280" s="284">
        <v>3.4594937625721973E-2</v>
      </c>
      <c r="BL280" s="284">
        <v>3.4594937625721973E-2</v>
      </c>
      <c r="BM280" s="284">
        <v>3.4594937625721973E-2</v>
      </c>
      <c r="BN280" s="284">
        <v>3.4594937625721973E-2</v>
      </c>
      <c r="BO280" s="284">
        <v>3.4594937625721973E-2</v>
      </c>
      <c r="BP280" s="284">
        <v>3.4594937625721973E-2</v>
      </c>
      <c r="BQ280" s="284">
        <v>3.4594937625721973E-2</v>
      </c>
      <c r="BR280" s="284">
        <v>3.4594937625721973E-2</v>
      </c>
      <c r="BS280" s="284">
        <v>3.4594937625721973E-2</v>
      </c>
      <c r="BT280" s="284">
        <v>3.4594937625721973E-2</v>
      </c>
      <c r="BU280" s="284">
        <v>3.4594937625721973E-2</v>
      </c>
      <c r="BV280" s="284">
        <v>3.4594937625721973E-2</v>
      </c>
      <c r="BW280" s="284">
        <v>3.4594937625721973E-2</v>
      </c>
      <c r="BX280" s="284">
        <v>3.4594937625721973E-2</v>
      </c>
      <c r="BY280" s="284">
        <v>3.4594937625721973E-2</v>
      </c>
      <c r="BZ280" s="284">
        <v>3.4594937625721973E-2</v>
      </c>
      <c r="CA280" s="284">
        <v>3.4594937625721973E-2</v>
      </c>
      <c r="CB280" s="284">
        <v>3.4594937625721973E-2</v>
      </c>
      <c r="CC280" s="284">
        <v>3.4594937625721973E-2</v>
      </c>
      <c r="CD280" s="284">
        <v>3.4594937625721973E-2</v>
      </c>
      <c r="CE280" s="284">
        <v>3.4594937625721973E-2</v>
      </c>
      <c r="CF280" s="284">
        <v>3.4594937625721973E-2</v>
      </c>
      <c r="CG280" s="284">
        <v>3.4594937625721973E-2</v>
      </c>
      <c r="CH280" s="284">
        <v>3.4594937625721973E-2</v>
      </c>
      <c r="CI280" s="284">
        <v>3.4594937625721973E-2</v>
      </c>
    </row>
    <row r="281" spans="1:87" ht="14.25" customHeight="1" x14ac:dyDescent="0.35">
      <c r="A281" s="42" t="s">
        <v>119</v>
      </c>
      <c r="B281" s="284">
        <v>2.6034626003318375E-2</v>
      </c>
      <c r="C281" s="284">
        <v>2.6034626003318375E-2</v>
      </c>
      <c r="D281" s="284">
        <v>2.6034626003318375E-2</v>
      </c>
      <c r="E281" s="284">
        <v>2.6034626003318375E-2</v>
      </c>
      <c r="F281" s="284">
        <v>2.6034626003318375E-2</v>
      </c>
      <c r="G281" s="284">
        <v>2.6034626003318375E-2</v>
      </c>
      <c r="H281" s="284">
        <v>2.6034626003318375E-2</v>
      </c>
      <c r="I281" s="284">
        <v>2.6034626003318375E-2</v>
      </c>
      <c r="J281" s="284">
        <v>2.6034626003318375E-2</v>
      </c>
      <c r="K281" s="284">
        <v>2.6034626003318375E-2</v>
      </c>
      <c r="L281" s="284">
        <v>2.6034626003318375E-2</v>
      </c>
      <c r="M281" s="284">
        <v>2.6034626003318375E-2</v>
      </c>
      <c r="N281" s="284">
        <v>2.6034626003318375E-2</v>
      </c>
      <c r="O281" s="284">
        <v>2.6034626003318375E-2</v>
      </c>
      <c r="P281" s="284">
        <v>2.6034626003318375E-2</v>
      </c>
      <c r="Q281" s="284">
        <v>2.6034626003318375E-2</v>
      </c>
      <c r="R281" s="284">
        <v>2.6034626003318375E-2</v>
      </c>
      <c r="S281" s="284">
        <v>2.6034626003318375E-2</v>
      </c>
      <c r="T281" s="284">
        <v>2.6034626003318375E-2</v>
      </c>
      <c r="U281" s="284">
        <v>2.6034626003318375E-2</v>
      </c>
      <c r="V281" s="284">
        <v>2.6034626003318375E-2</v>
      </c>
      <c r="W281" s="284">
        <v>2.6034626003318375E-2</v>
      </c>
      <c r="X281" s="284">
        <v>2.6034626003318375E-2</v>
      </c>
      <c r="Y281" s="284">
        <v>2.6034626003318375E-2</v>
      </c>
      <c r="Z281" s="284">
        <v>2.6034626003318375E-2</v>
      </c>
      <c r="AA281" s="284">
        <v>2.6034626003318375E-2</v>
      </c>
      <c r="AB281" s="284">
        <v>2.6034626003318375E-2</v>
      </c>
      <c r="AC281" s="284">
        <v>2.6034626003318375E-2</v>
      </c>
      <c r="AD281" s="284">
        <v>2.6034626003318375E-2</v>
      </c>
      <c r="AE281" s="284">
        <v>2.6034626003318375E-2</v>
      </c>
      <c r="AF281" s="284">
        <v>2.6034626003318375E-2</v>
      </c>
      <c r="AG281" s="284">
        <v>2.6034626003318375E-2</v>
      </c>
      <c r="AH281" s="284">
        <v>2.6034626003318375E-2</v>
      </c>
      <c r="AI281" s="284">
        <v>2.6034626003318375E-2</v>
      </c>
      <c r="AJ281" s="284">
        <v>2.6034626003318375E-2</v>
      </c>
      <c r="AK281" s="284">
        <v>2.6034626003318375E-2</v>
      </c>
      <c r="AL281" s="284">
        <v>2.6034626003318375E-2</v>
      </c>
      <c r="AM281" s="284">
        <v>2.6034626003318375E-2</v>
      </c>
      <c r="AN281" s="284">
        <v>2.6034626003318375E-2</v>
      </c>
      <c r="AO281" s="284">
        <v>2.6034626003318375E-2</v>
      </c>
      <c r="AP281" s="284">
        <v>2.6034626003318375E-2</v>
      </c>
      <c r="AQ281" s="284">
        <v>2.6034626003318375E-2</v>
      </c>
      <c r="AR281" s="284">
        <v>2.6034626003318375E-2</v>
      </c>
      <c r="AS281" s="284">
        <v>2.6034626003318375E-2</v>
      </c>
      <c r="AT281" s="284">
        <v>2.6034626003318375E-2</v>
      </c>
      <c r="AU281" s="284">
        <v>2.6034626003318375E-2</v>
      </c>
      <c r="AV281" s="284">
        <v>2.6034626003318375E-2</v>
      </c>
      <c r="AW281" s="284">
        <v>2.6034626003318375E-2</v>
      </c>
      <c r="AX281" s="284">
        <v>2.6034626003318375E-2</v>
      </c>
      <c r="AY281" s="284">
        <v>2.6034626003318375E-2</v>
      </c>
      <c r="AZ281" s="284">
        <v>2.6034626003318375E-2</v>
      </c>
      <c r="BA281" s="284">
        <v>2.6034626003318375E-2</v>
      </c>
      <c r="BB281" s="284">
        <v>2.6034626003318375E-2</v>
      </c>
      <c r="BC281" s="284">
        <v>2.6034626003318375E-2</v>
      </c>
      <c r="BD281" s="284">
        <v>2.6034626003318375E-2</v>
      </c>
      <c r="BE281" s="284">
        <v>2.6034626003318375E-2</v>
      </c>
      <c r="BF281" s="284">
        <v>2.6034626003318375E-2</v>
      </c>
      <c r="BG281" s="284">
        <v>2.6034626003318375E-2</v>
      </c>
      <c r="BH281" s="284">
        <v>2.6034626003318375E-2</v>
      </c>
      <c r="BI281" s="284">
        <v>2.6034626003318375E-2</v>
      </c>
      <c r="BJ281" s="284">
        <v>2.6034626003318375E-2</v>
      </c>
      <c r="BK281" s="284">
        <v>2.6034626003318375E-2</v>
      </c>
      <c r="BL281" s="284">
        <v>2.6034626003318375E-2</v>
      </c>
      <c r="BM281" s="284">
        <v>2.6034626003318375E-2</v>
      </c>
      <c r="BN281" s="284">
        <v>2.6034626003318375E-2</v>
      </c>
      <c r="BO281" s="284">
        <v>2.6034626003318375E-2</v>
      </c>
      <c r="BP281" s="284">
        <v>2.6034626003318375E-2</v>
      </c>
      <c r="BQ281" s="284">
        <v>2.6034626003318375E-2</v>
      </c>
      <c r="BR281" s="284">
        <v>2.6034626003318375E-2</v>
      </c>
      <c r="BS281" s="284">
        <v>2.6034626003318375E-2</v>
      </c>
      <c r="BT281" s="284">
        <v>2.6034626003318375E-2</v>
      </c>
      <c r="BU281" s="284">
        <v>2.6034626003318375E-2</v>
      </c>
      <c r="BV281" s="284">
        <v>2.6034626003318375E-2</v>
      </c>
      <c r="BW281" s="284">
        <v>2.6034626003318375E-2</v>
      </c>
      <c r="BX281" s="284">
        <v>2.6034626003318375E-2</v>
      </c>
      <c r="BY281" s="284">
        <v>2.6034626003318375E-2</v>
      </c>
      <c r="BZ281" s="284">
        <v>2.6034626003318375E-2</v>
      </c>
      <c r="CA281" s="284">
        <v>2.6034626003318375E-2</v>
      </c>
      <c r="CB281" s="284">
        <v>2.6034626003318375E-2</v>
      </c>
      <c r="CC281" s="284">
        <v>2.6034626003318375E-2</v>
      </c>
      <c r="CD281" s="284">
        <v>2.6034626003318375E-2</v>
      </c>
      <c r="CE281" s="284">
        <v>2.6034626003318375E-2</v>
      </c>
      <c r="CF281" s="284">
        <v>2.6034626003318375E-2</v>
      </c>
      <c r="CG281" s="284">
        <v>2.6034626003318375E-2</v>
      </c>
      <c r="CH281" s="284">
        <v>2.6034626003318375E-2</v>
      </c>
      <c r="CI281" s="284">
        <v>2.6034626003318375E-2</v>
      </c>
    </row>
    <row r="282" spans="1:87" ht="14.25" customHeight="1" x14ac:dyDescent="0.35">
      <c r="A282" s="42" t="s">
        <v>120</v>
      </c>
      <c r="B282" s="284">
        <v>1.134224954512701E-2</v>
      </c>
      <c r="C282" s="284">
        <v>1.134224954512701E-2</v>
      </c>
      <c r="D282" s="284">
        <v>1.134224954512701E-2</v>
      </c>
      <c r="E282" s="284">
        <v>1.134224954512701E-2</v>
      </c>
      <c r="F282" s="284">
        <v>1.134224954512701E-2</v>
      </c>
      <c r="G282" s="284">
        <v>1.134224954512701E-2</v>
      </c>
      <c r="H282" s="284">
        <v>1.134224954512701E-2</v>
      </c>
      <c r="I282" s="284">
        <v>1.134224954512701E-2</v>
      </c>
      <c r="J282" s="284">
        <v>1.134224954512701E-2</v>
      </c>
      <c r="K282" s="284">
        <v>1.134224954512701E-2</v>
      </c>
      <c r="L282" s="284">
        <v>1.134224954512701E-2</v>
      </c>
      <c r="M282" s="284">
        <v>1.134224954512701E-2</v>
      </c>
      <c r="N282" s="284">
        <v>1.134224954512701E-2</v>
      </c>
      <c r="O282" s="284">
        <v>1.134224954512701E-2</v>
      </c>
      <c r="P282" s="284">
        <v>1.134224954512701E-2</v>
      </c>
      <c r="Q282" s="284">
        <v>1.134224954512701E-2</v>
      </c>
      <c r="R282" s="284">
        <v>1.134224954512701E-2</v>
      </c>
      <c r="S282" s="284">
        <v>1.134224954512701E-2</v>
      </c>
      <c r="T282" s="284">
        <v>1.134224954512701E-2</v>
      </c>
      <c r="U282" s="284">
        <v>1.134224954512701E-2</v>
      </c>
      <c r="V282" s="284">
        <v>1.134224954512701E-2</v>
      </c>
      <c r="W282" s="284">
        <v>1.134224954512701E-2</v>
      </c>
      <c r="X282" s="284">
        <v>1.134224954512701E-2</v>
      </c>
      <c r="Y282" s="284">
        <v>1.134224954512701E-2</v>
      </c>
      <c r="Z282" s="284">
        <v>1.134224954512701E-2</v>
      </c>
      <c r="AA282" s="284">
        <v>1.134224954512701E-2</v>
      </c>
      <c r="AB282" s="284">
        <v>1.134224954512701E-2</v>
      </c>
      <c r="AC282" s="284">
        <v>1.134224954512701E-2</v>
      </c>
      <c r="AD282" s="284">
        <v>1.134224954512701E-2</v>
      </c>
      <c r="AE282" s="284">
        <v>1.134224954512701E-2</v>
      </c>
      <c r="AF282" s="284">
        <v>1.134224954512701E-2</v>
      </c>
      <c r="AG282" s="284">
        <v>1.134224954512701E-2</v>
      </c>
      <c r="AH282" s="284">
        <v>1.134224954512701E-2</v>
      </c>
      <c r="AI282" s="284">
        <v>1.134224954512701E-2</v>
      </c>
      <c r="AJ282" s="284">
        <v>1.134224954512701E-2</v>
      </c>
      <c r="AK282" s="284">
        <v>1.134224954512701E-2</v>
      </c>
      <c r="AL282" s="284">
        <v>1.134224954512701E-2</v>
      </c>
      <c r="AM282" s="284">
        <v>1.134224954512701E-2</v>
      </c>
      <c r="AN282" s="284">
        <v>1.134224954512701E-2</v>
      </c>
      <c r="AO282" s="284">
        <v>1.134224954512701E-2</v>
      </c>
      <c r="AP282" s="284">
        <v>1.134224954512701E-2</v>
      </c>
      <c r="AQ282" s="284">
        <v>1.134224954512701E-2</v>
      </c>
      <c r="AR282" s="284">
        <v>1.134224954512701E-2</v>
      </c>
      <c r="AS282" s="284">
        <v>1.134224954512701E-2</v>
      </c>
      <c r="AT282" s="284">
        <v>1.134224954512701E-2</v>
      </c>
      <c r="AU282" s="284">
        <v>1.134224954512701E-2</v>
      </c>
      <c r="AV282" s="284">
        <v>1.134224954512701E-2</v>
      </c>
      <c r="AW282" s="284">
        <v>1.134224954512701E-2</v>
      </c>
      <c r="AX282" s="284">
        <v>1.134224954512701E-2</v>
      </c>
      <c r="AY282" s="284">
        <v>1.134224954512701E-2</v>
      </c>
      <c r="AZ282" s="284">
        <v>1.134224954512701E-2</v>
      </c>
      <c r="BA282" s="284">
        <v>1.134224954512701E-2</v>
      </c>
      <c r="BB282" s="284">
        <v>1.134224954512701E-2</v>
      </c>
      <c r="BC282" s="284">
        <v>1.134224954512701E-2</v>
      </c>
      <c r="BD282" s="284">
        <v>1.134224954512701E-2</v>
      </c>
      <c r="BE282" s="284">
        <v>1.134224954512701E-2</v>
      </c>
      <c r="BF282" s="284">
        <v>1.134224954512701E-2</v>
      </c>
      <c r="BG282" s="284">
        <v>1.134224954512701E-2</v>
      </c>
      <c r="BH282" s="284">
        <v>1.134224954512701E-2</v>
      </c>
      <c r="BI282" s="284">
        <v>1.134224954512701E-2</v>
      </c>
      <c r="BJ282" s="284">
        <v>1.134224954512701E-2</v>
      </c>
      <c r="BK282" s="284">
        <v>1.134224954512701E-2</v>
      </c>
      <c r="BL282" s="284">
        <v>1.134224954512701E-2</v>
      </c>
      <c r="BM282" s="284">
        <v>1.134224954512701E-2</v>
      </c>
      <c r="BN282" s="284">
        <v>1.134224954512701E-2</v>
      </c>
      <c r="BO282" s="284">
        <v>1.134224954512701E-2</v>
      </c>
      <c r="BP282" s="284">
        <v>1.134224954512701E-2</v>
      </c>
      <c r="BQ282" s="284">
        <v>1.134224954512701E-2</v>
      </c>
      <c r="BR282" s="284">
        <v>1.134224954512701E-2</v>
      </c>
      <c r="BS282" s="284">
        <v>1.134224954512701E-2</v>
      </c>
      <c r="BT282" s="284">
        <v>1.134224954512701E-2</v>
      </c>
      <c r="BU282" s="284">
        <v>1.134224954512701E-2</v>
      </c>
      <c r="BV282" s="284">
        <v>1.134224954512701E-2</v>
      </c>
      <c r="BW282" s="284">
        <v>1.134224954512701E-2</v>
      </c>
      <c r="BX282" s="284">
        <v>1.134224954512701E-2</v>
      </c>
      <c r="BY282" s="284">
        <v>1.134224954512701E-2</v>
      </c>
      <c r="BZ282" s="284">
        <v>1.134224954512701E-2</v>
      </c>
      <c r="CA282" s="284">
        <v>1.134224954512701E-2</v>
      </c>
      <c r="CB282" s="284">
        <v>1.134224954512701E-2</v>
      </c>
      <c r="CC282" s="284">
        <v>1.134224954512701E-2</v>
      </c>
      <c r="CD282" s="284">
        <v>1.134224954512701E-2</v>
      </c>
      <c r="CE282" s="284">
        <v>1.134224954512701E-2</v>
      </c>
      <c r="CF282" s="284">
        <v>1.134224954512701E-2</v>
      </c>
      <c r="CG282" s="284">
        <v>1.134224954512701E-2</v>
      </c>
      <c r="CH282" s="284">
        <v>1.134224954512701E-2</v>
      </c>
      <c r="CI282" s="284">
        <v>1.134224954512701E-2</v>
      </c>
    </row>
    <row r="283" spans="1:87" ht="14.25" customHeight="1" x14ac:dyDescent="0.35">
      <c r="A283" s="42" t="s">
        <v>83</v>
      </c>
      <c r="B283" s="284">
        <v>2.5395390837131594E-2</v>
      </c>
      <c r="C283" s="284">
        <v>2.5395390837131594E-2</v>
      </c>
      <c r="D283" s="284">
        <v>2.5395390837131594E-2</v>
      </c>
      <c r="E283" s="284">
        <v>2.5395390837131594E-2</v>
      </c>
      <c r="F283" s="284">
        <v>2.5395390837131594E-2</v>
      </c>
      <c r="G283" s="284">
        <v>2.5395390837131594E-2</v>
      </c>
      <c r="H283" s="284">
        <v>2.5395390837131594E-2</v>
      </c>
      <c r="I283" s="284">
        <v>2.5395390837131594E-2</v>
      </c>
      <c r="J283" s="284">
        <v>2.5395390837131594E-2</v>
      </c>
      <c r="K283" s="284">
        <v>2.5395390837131594E-2</v>
      </c>
      <c r="L283" s="284">
        <v>2.5395390837131594E-2</v>
      </c>
      <c r="M283" s="284">
        <v>2.5395390837131594E-2</v>
      </c>
      <c r="N283" s="284">
        <v>2.5395390837131594E-2</v>
      </c>
      <c r="O283" s="284">
        <v>2.5395390837131594E-2</v>
      </c>
      <c r="P283" s="284">
        <v>2.5395390837131594E-2</v>
      </c>
      <c r="Q283" s="284">
        <v>2.5395390837131594E-2</v>
      </c>
      <c r="R283" s="284">
        <v>2.5395390837131594E-2</v>
      </c>
      <c r="S283" s="284">
        <v>2.5395390837131594E-2</v>
      </c>
      <c r="T283" s="284">
        <v>2.5395390837131594E-2</v>
      </c>
      <c r="U283" s="284">
        <v>2.5395390837131594E-2</v>
      </c>
      <c r="V283" s="284">
        <v>2.5395390837131594E-2</v>
      </c>
      <c r="W283" s="284">
        <v>2.5395390837131594E-2</v>
      </c>
      <c r="X283" s="284">
        <v>2.5395390837131594E-2</v>
      </c>
      <c r="Y283" s="284">
        <v>2.5395390837131594E-2</v>
      </c>
      <c r="Z283" s="284">
        <v>2.5395390837131594E-2</v>
      </c>
      <c r="AA283" s="284">
        <v>2.5395390837131594E-2</v>
      </c>
      <c r="AB283" s="284">
        <v>2.5395390837131594E-2</v>
      </c>
      <c r="AC283" s="284">
        <v>2.5395390837131594E-2</v>
      </c>
      <c r="AD283" s="284">
        <v>2.5395390837131594E-2</v>
      </c>
      <c r="AE283" s="284">
        <v>2.5395390837131594E-2</v>
      </c>
      <c r="AF283" s="284">
        <v>2.5395390837131594E-2</v>
      </c>
      <c r="AG283" s="284">
        <v>2.5395390837131594E-2</v>
      </c>
      <c r="AH283" s="284">
        <v>2.5395390837131594E-2</v>
      </c>
      <c r="AI283" s="284">
        <v>2.5395390837131594E-2</v>
      </c>
      <c r="AJ283" s="284">
        <v>2.5395390837131594E-2</v>
      </c>
      <c r="AK283" s="284">
        <v>2.5395390837131594E-2</v>
      </c>
      <c r="AL283" s="284">
        <v>2.5395390837131594E-2</v>
      </c>
      <c r="AM283" s="284">
        <v>2.5395390837131594E-2</v>
      </c>
      <c r="AN283" s="284">
        <v>2.5395390837131594E-2</v>
      </c>
      <c r="AO283" s="284">
        <v>2.5395390837131594E-2</v>
      </c>
      <c r="AP283" s="284">
        <v>2.5395390837131594E-2</v>
      </c>
      <c r="AQ283" s="284">
        <v>2.5395390837131594E-2</v>
      </c>
      <c r="AR283" s="284">
        <v>2.5395390837131594E-2</v>
      </c>
      <c r="AS283" s="284">
        <v>2.5395390837131594E-2</v>
      </c>
      <c r="AT283" s="284">
        <v>2.5395390837131594E-2</v>
      </c>
      <c r="AU283" s="284">
        <v>2.5395390837131594E-2</v>
      </c>
      <c r="AV283" s="284">
        <v>2.5395390837131594E-2</v>
      </c>
      <c r="AW283" s="284">
        <v>2.5395390837131594E-2</v>
      </c>
      <c r="AX283" s="284">
        <v>2.5395390837131594E-2</v>
      </c>
      <c r="AY283" s="284">
        <v>2.5395390837131594E-2</v>
      </c>
      <c r="AZ283" s="284">
        <v>2.5395390837131594E-2</v>
      </c>
      <c r="BA283" s="284">
        <v>2.5395390837131594E-2</v>
      </c>
      <c r="BB283" s="284">
        <v>2.5395390837131594E-2</v>
      </c>
      <c r="BC283" s="284">
        <v>2.5395390837131594E-2</v>
      </c>
      <c r="BD283" s="284">
        <v>2.5395390837131594E-2</v>
      </c>
      <c r="BE283" s="284">
        <v>2.5395390837131594E-2</v>
      </c>
      <c r="BF283" s="284">
        <v>2.5395390837131594E-2</v>
      </c>
      <c r="BG283" s="284">
        <v>2.5395390837131594E-2</v>
      </c>
      <c r="BH283" s="284">
        <v>2.5395390837131594E-2</v>
      </c>
      <c r="BI283" s="284">
        <v>2.5395390837131594E-2</v>
      </c>
      <c r="BJ283" s="284">
        <v>2.5395390837131594E-2</v>
      </c>
      <c r="BK283" s="284">
        <v>2.5395390837131594E-2</v>
      </c>
      <c r="BL283" s="284">
        <v>2.5395390837131594E-2</v>
      </c>
      <c r="BM283" s="284">
        <v>2.5395390837131594E-2</v>
      </c>
      <c r="BN283" s="284">
        <v>2.5395390837131594E-2</v>
      </c>
      <c r="BO283" s="284">
        <v>2.5395390837131594E-2</v>
      </c>
      <c r="BP283" s="284">
        <v>2.5395390837131594E-2</v>
      </c>
      <c r="BQ283" s="284">
        <v>2.5395390837131594E-2</v>
      </c>
      <c r="BR283" s="284">
        <v>2.5395390837131594E-2</v>
      </c>
      <c r="BS283" s="284">
        <v>2.5395390837131594E-2</v>
      </c>
      <c r="BT283" s="284">
        <v>2.5395390837131594E-2</v>
      </c>
      <c r="BU283" s="284">
        <v>2.5395390837131594E-2</v>
      </c>
      <c r="BV283" s="284">
        <v>2.5395390837131594E-2</v>
      </c>
      <c r="BW283" s="284">
        <v>2.5395390837131594E-2</v>
      </c>
      <c r="BX283" s="284">
        <v>2.5395390837131594E-2</v>
      </c>
      <c r="BY283" s="284">
        <v>2.5395390837131594E-2</v>
      </c>
      <c r="BZ283" s="284">
        <v>2.5395390837131594E-2</v>
      </c>
      <c r="CA283" s="284">
        <v>2.5395390837131594E-2</v>
      </c>
      <c r="CB283" s="284">
        <v>2.5395390837131594E-2</v>
      </c>
      <c r="CC283" s="284">
        <v>2.5395390837131594E-2</v>
      </c>
      <c r="CD283" s="284">
        <v>2.5395390837131594E-2</v>
      </c>
      <c r="CE283" s="284">
        <v>2.5395390837131594E-2</v>
      </c>
      <c r="CF283" s="284">
        <v>2.5395390837131594E-2</v>
      </c>
      <c r="CG283" s="284">
        <v>2.5395390837131594E-2</v>
      </c>
      <c r="CH283" s="284">
        <v>2.5395390837131594E-2</v>
      </c>
      <c r="CI283" s="284">
        <v>2.5395390837131594E-2</v>
      </c>
    </row>
    <row r="284" spans="1:87" ht="14.25" customHeight="1" x14ac:dyDescent="0.35">
      <c r="A284" s="42" t="s">
        <v>144</v>
      </c>
      <c r="B284" s="284">
        <v>2.9587745608660083E-2</v>
      </c>
      <c r="C284" s="284">
        <v>2.9587745608660083E-2</v>
      </c>
      <c r="D284" s="284">
        <v>2.9587745608660083E-2</v>
      </c>
      <c r="E284" s="284">
        <v>2.9587745608660083E-2</v>
      </c>
      <c r="F284" s="284">
        <v>2.9587745608660083E-2</v>
      </c>
      <c r="G284" s="284">
        <v>2.9587745608660083E-2</v>
      </c>
      <c r="H284" s="284">
        <v>2.9587745608660083E-2</v>
      </c>
      <c r="I284" s="284">
        <v>2.9587745608660083E-2</v>
      </c>
      <c r="J284" s="284">
        <v>2.9587745608660083E-2</v>
      </c>
      <c r="K284" s="284">
        <v>2.9587745608660083E-2</v>
      </c>
      <c r="L284" s="284">
        <v>2.9587745608660083E-2</v>
      </c>
      <c r="M284" s="284">
        <v>2.9587745608660083E-2</v>
      </c>
      <c r="N284" s="284">
        <v>2.9587745608660083E-2</v>
      </c>
      <c r="O284" s="284">
        <v>2.9587745608660083E-2</v>
      </c>
      <c r="P284" s="284">
        <v>2.9587745608660083E-2</v>
      </c>
      <c r="Q284" s="284">
        <v>2.9587745608660083E-2</v>
      </c>
      <c r="R284" s="284">
        <v>2.9587745608660083E-2</v>
      </c>
      <c r="S284" s="284">
        <v>2.9587745608660083E-2</v>
      </c>
      <c r="T284" s="284">
        <v>2.9587745608660083E-2</v>
      </c>
      <c r="U284" s="284">
        <v>2.9587745608660083E-2</v>
      </c>
      <c r="V284" s="284">
        <v>2.9587745608660083E-2</v>
      </c>
      <c r="W284" s="284">
        <v>2.9587745608660083E-2</v>
      </c>
      <c r="X284" s="284">
        <v>2.9587745608660083E-2</v>
      </c>
      <c r="Y284" s="284">
        <v>2.9587745608660083E-2</v>
      </c>
      <c r="Z284" s="284">
        <v>2.9587745608660083E-2</v>
      </c>
      <c r="AA284" s="284">
        <v>2.9587745608660083E-2</v>
      </c>
      <c r="AB284" s="284">
        <v>2.9587745608660083E-2</v>
      </c>
      <c r="AC284" s="284">
        <v>2.9587745608660083E-2</v>
      </c>
      <c r="AD284" s="284">
        <v>2.9587745608660083E-2</v>
      </c>
      <c r="AE284" s="284">
        <v>2.9587745608660083E-2</v>
      </c>
      <c r="AF284" s="284">
        <v>2.9587745608660083E-2</v>
      </c>
      <c r="AG284" s="284">
        <v>2.9587745608660083E-2</v>
      </c>
      <c r="AH284" s="284">
        <v>2.9587745608660083E-2</v>
      </c>
      <c r="AI284" s="284">
        <v>2.9587745608660083E-2</v>
      </c>
      <c r="AJ284" s="284">
        <v>2.9587745608660083E-2</v>
      </c>
      <c r="AK284" s="284">
        <v>2.9587745608660083E-2</v>
      </c>
      <c r="AL284" s="284">
        <v>2.9587745608660083E-2</v>
      </c>
      <c r="AM284" s="284">
        <v>2.9587745608660083E-2</v>
      </c>
      <c r="AN284" s="284">
        <v>2.9587745608660083E-2</v>
      </c>
      <c r="AO284" s="284">
        <v>2.9587745608660083E-2</v>
      </c>
      <c r="AP284" s="284">
        <v>2.9587745608660083E-2</v>
      </c>
      <c r="AQ284" s="284">
        <v>2.9587745608660083E-2</v>
      </c>
      <c r="AR284" s="284">
        <v>2.9587745608660083E-2</v>
      </c>
      <c r="AS284" s="284">
        <v>2.9587745608660083E-2</v>
      </c>
      <c r="AT284" s="284">
        <v>2.9587745608660083E-2</v>
      </c>
      <c r="AU284" s="284">
        <v>2.9587745608660083E-2</v>
      </c>
      <c r="AV284" s="284">
        <v>2.9587745608660083E-2</v>
      </c>
      <c r="AW284" s="284">
        <v>2.9587745608660083E-2</v>
      </c>
      <c r="AX284" s="284">
        <v>2.9587745608660083E-2</v>
      </c>
      <c r="AY284" s="284">
        <v>2.9587745608660083E-2</v>
      </c>
      <c r="AZ284" s="284">
        <v>2.9587745608660083E-2</v>
      </c>
      <c r="BA284" s="284">
        <v>2.9587745608660083E-2</v>
      </c>
      <c r="BB284" s="284">
        <v>2.9587745608660083E-2</v>
      </c>
      <c r="BC284" s="284">
        <v>2.9587745608660083E-2</v>
      </c>
      <c r="BD284" s="284">
        <v>2.9587745608660083E-2</v>
      </c>
      <c r="BE284" s="284">
        <v>2.9587745608660083E-2</v>
      </c>
      <c r="BF284" s="284">
        <v>2.9587745608660083E-2</v>
      </c>
      <c r="BG284" s="284">
        <v>2.9587745608660083E-2</v>
      </c>
      <c r="BH284" s="284">
        <v>2.9587745608660083E-2</v>
      </c>
      <c r="BI284" s="284">
        <v>2.9587745608660083E-2</v>
      </c>
      <c r="BJ284" s="284">
        <v>2.9587745608660083E-2</v>
      </c>
      <c r="BK284" s="284">
        <v>2.9587745608660083E-2</v>
      </c>
      <c r="BL284" s="284">
        <v>2.9587745608660083E-2</v>
      </c>
      <c r="BM284" s="284">
        <v>2.9587745608660083E-2</v>
      </c>
      <c r="BN284" s="284">
        <v>2.9587745608660083E-2</v>
      </c>
      <c r="BO284" s="284">
        <v>2.9587745608660083E-2</v>
      </c>
      <c r="BP284" s="284">
        <v>2.9587745608660083E-2</v>
      </c>
      <c r="BQ284" s="284">
        <v>2.9587745608660083E-2</v>
      </c>
      <c r="BR284" s="284">
        <v>2.9587745608660083E-2</v>
      </c>
      <c r="BS284" s="284">
        <v>2.9587745608660083E-2</v>
      </c>
      <c r="BT284" s="284">
        <v>2.9587745608660083E-2</v>
      </c>
      <c r="BU284" s="284">
        <v>2.9587745608660083E-2</v>
      </c>
      <c r="BV284" s="284">
        <v>2.9587745608660083E-2</v>
      </c>
      <c r="BW284" s="284">
        <v>2.9587745608660083E-2</v>
      </c>
      <c r="BX284" s="284">
        <v>2.9587745608660083E-2</v>
      </c>
      <c r="BY284" s="284">
        <v>2.9587745608660083E-2</v>
      </c>
      <c r="BZ284" s="284">
        <v>2.9587745608660083E-2</v>
      </c>
      <c r="CA284" s="284">
        <v>2.9587745608660083E-2</v>
      </c>
      <c r="CB284" s="284">
        <v>2.9587745608660083E-2</v>
      </c>
      <c r="CC284" s="284">
        <v>2.9587745608660083E-2</v>
      </c>
      <c r="CD284" s="284">
        <v>2.9587745608660083E-2</v>
      </c>
      <c r="CE284" s="284">
        <v>2.9587745608660083E-2</v>
      </c>
      <c r="CF284" s="284">
        <v>2.9587745608660083E-2</v>
      </c>
      <c r="CG284" s="284">
        <v>2.9587745608660083E-2</v>
      </c>
      <c r="CH284" s="284">
        <v>2.9587745608660083E-2</v>
      </c>
      <c r="CI284" s="284">
        <v>2.9587745608660083E-2</v>
      </c>
    </row>
    <row r="285" spans="1:87" ht="14.25" customHeight="1" x14ac:dyDescent="0.35">
      <c r="A285" s="42" t="s">
        <v>164</v>
      </c>
      <c r="B285" s="284">
        <v>1.0811877489353465E-2</v>
      </c>
      <c r="C285" s="284">
        <v>1.0811877489353465E-2</v>
      </c>
      <c r="D285" s="284">
        <v>1.0811877489353465E-2</v>
      </c>
      <c r="E285" s="284">
        <v>1.0811877489353465E-2</v>
      </c>
      <c r="F285" s="284">
        <v>1.0811877489353465E-2</v>
      </c>
      <c r="G285" s="284">
        <v>1.0811877489353465E-2</v>
      </c>
      <c r="H285" s="284">
        <v>1.0811877489353465E-2</v>
      </c>
      <c r="I285" s="284">
        <v>1.0811877489353465E-2</v>
      </c>
      <c r="J285" s="284">
        <v>1.0811877489353465E-2</v>
      </c>
      <c r="K285" s="284">
        <v>1.0811877489353465E-2</v>
      </c>
      <c r="L285" s="284">
        <v>1.0811877489353465E-2</v>
      </c>
      <c r="M285" s="284">
        <v>1.0811877489353465E-2</v>
      </c>
      <c r="N285" s="284">
        <v>1.0811877489353465E-2</v>
      </c>
      <c r="O285" s="284">
        <v>1.0811877489353465E-2</v>
      </c>
      <c r="P285" s="284">
        <v>1.0811877489353465E-2</v>
      </c>
      <c r="Q285" s="284">
        <v>1.0811877489353465E-2</v>
      </c>
      <c r="R285" s="284">
        <v>1.0811877489353465E-2</v>
      </c>
      <c r="S285" s="284">
        <v>1.0811877489353465E-2</v>
      </c>
      <c r="T285" s="284">
        <v>1.0811877489353465E-2</v>
      </c>
      <c r="U285" s="284">
        <v>1.0811877489353465E-2</v>
      </c>
      <c r="V285" s="284">
        <v>1.0811877489353465E-2</v>
      </c>
      <c r="W285" s="284">
        <v>1.0811877489353465E-2</v>
      </c>
      <c r="X285" s="284">
        <v>1.0811877489353465E-2</v>
      </c>
      <c r="Y285" s="284">
        <v>1.0811877489353465E-2</v>
      </c>
      <c r="Z285" s="284">
        <v>1.0811877489353465E-2</v>
      </c>
      <c r="AA285" s="284">
        <v>1.0811877489353465E-2</v>
      </c>
      <c r="AB285" s="284">
        <v>1.0811877489353465E-2</v>
      </c>
      <c r="AC285" s="284">
        <v>1.0811877489353465E-2</v>
      </c>
      <c r="AD285" s="284">
        <v>1.0811877489353465E-2</v>
      </c>
      <c r="AE285" s="284">
        <v>1.0811877489353465E-2</v>
      </c>
      <c r="AF285" s="284">
        <v>1.0811877489353465E-2</v>
      </c>
      <c r="AG285" s="284">
        <v>1.0811877489353465E-2</v>
      </c>
      <c r="AH285" s="284">
        <v>1.0811877489353465E-2</v>
      </c>
      <c r="AI285" s="284">
        <v>1.0811877489353465E-2</v>
      </c>
      <c r="AJ285" s="284">
        <v>1.0811877489353465E-2</v>
      </c>
      <c r="AK285" s="284">
        <v>1.0811877489353465E-2</v>
      </c>
      <c r="AL285" s="284">
        <v>1.0811877489353465E-2</v>
      </c>
      <c r="AM285" s="284">
        <v>1.0811877489353465E-2</v>
      </c>
      <c r="AN285" s="284">
        <v>1.0811877489353465E-2</v>
      </c>
      <c r="AO285" s="284">
        <v>1.0811877489353465E-2</v>
      </c>
      <c r="AP285" s="284">
        <v>1.0811877489353465E-2</v>
      </c>
      <c r="AQ285" s="284">
        <v>1.0811877489353465E-2</v>
      </c>
      <c r="AR285" s="284">
        <v>1.0811877489353465E-2</v>
      </c>
      <c r="AS285" s="284">
        <v>1.0811877489353465E-2</v>
      </c>
      <c r="AT285" s="284">
        <v>1.0811877489353465E-2</v>
      </c>
      <c r="AU285" s="284">
        <v>1.0811877489353465E-2</v>
      </c>
      <c r="AV285" s="284">
        <v>1.0811877489353465E-2</v>
      </c>
      <c r="AW285" s="284">
        <v>1.0811877489353465E-2</v>
      </c>
      <c r="AX285" s="284">
        <v>1.0811877489353465E-2</v>
      </c>
      <c r="AY285" s="284">
        <v>1.0811877489353465E-2</v>
      </c>
      <c r="AZ285" s="284">
        <v>1.0811877489353465E-2</v>
      </c>
      <c r="BA285" s="284">
        <v>1.0811877489353465E-2</v>
      </c>
      <c r="BB285" s="284">
        <v>1.0811877489353465E-2</v>
      </c>
      <c r="BC285" s="284">
        <v>1.0811877489353465E-2</v>
      </c>
      <c r="BD285" s="284">
        <v>1.0811877489353465E-2</v>
      </c>
      <c r="BE285" s="284">
        <v>1.0811877489353465E-2</v>
      </c>
      <c r="BF285" s="284">
        <v>1.0811877489353465E-2</v>
      </c>
      <c r="BG285" s="284">
        <v>1.0811877489353465E-2</v>
      </c>
      <c r="BH285" s="284">
        <v>1.0811877489353465E-2</v>
      </c>
      <c r="BI285" s="284">
        <v>1.0811877489353465E-2</v>
      </c>
      <c r="BJ285" s="284">
        <v>1.0811877489353465E-2</v>
      </c>
      <c r="BK285" s="284">
        <v>1.0811877489353465E-2</v>
      </c>
      <c r="BL285" s="284">
        <v>1.0811877489353465E-2</v>
      </c>
      <c r="BM285" s="284">
        <v>1.0811877489353465E-2</v>
      </c>
      <c r="BN285" s="284">
        <v>1.0811877489353465E-2</v>
      </c>
      <c r="BO285" s="284">
        <v>1.0811877489353465E-2</v>
      </c>
      <c r="BP285" s="284">
        <v>1.0811877489353465E-2</v>
      </c>
      <c r="BQ285" s="284">
        <v>1.0811877489353465E-2</v>
      </c>
      <c r="BR285" s="284">
        <v>1.0811877489353465E-2</v>
      </c>
      <c r="BS285" s="284">
        <v>1.0811877489353465E-2</v>
      </c>
      <c r="BT285" s="284">
        <v>1.0811877489353465E-2</v>
      </c>
      <c r="BU285" s="284">
        <v>1.0811877489353465E-2</v>
      </c>
      <c r="BV285" s="284">
        <v>1.0811877489353465E-2</v>
      </c>
      <c r="BW285" s="284">
        <v>1.0811877489353465E-2</v>
      </c>
      <c r="BX285" s="284">
        <v>1.0811877489353465E-2</v>
      </c>
      <c r="BY285" s="284">
        <v>1.0811877489353465E-2</v>
      </c>
      <c r="BZ285" s="284">
        <v>1.0811877489353465E-2</v>
      </c>
      <c r="CA285" s="284">
        <v>1.0811877489353465E-2</v>
      </c>
      <c r="CB285" s="284">
        <v>1.0811877489353465E-2</v>
      </c>
      <c r="CC285" s="284">
        <v>1.0811877489353465E-2</v>
      </c>
      <c r="CD285" s="284">
        <v>1.0811877489353465E-2</v>
      </c>
      <c r="CE285" s="284">
        <v>1.0811877489353465E-2</v>
      </c>
      <c r="CF285" s="284">
        <v>1.0811877489353465E-2</v>
      </c>
      <c r="CG285" s="284">
        <v>1.0811877489353465E-2</v>
      </c>
      <c r="CH285" s="284">
        <v>1.0811877489353465E-2</v>
      </c>
      <c r="CI285" s="284">
        <v>1.0811877489353465E-2</v>
      </c>
    </row>
    <row r="286" spans="1:87" ht="14.25" customHeight="1" x14ac:dyDescent="0.35">
      <c r="A286" s="42" t="s">
        <v>145</v>
      </c>
      <c r="B286" s="284">
        <v>1.0811877489353463E-2</v>
      </c>
      <c r="C286" s="284">
        <v>1.0811877489353463E-2</v>
      </c>
      <c r="D286" s="284">
        <v>1.0811877489353463E-2</v>
      </c>
      <c r="E286" s="284">
        <v>1.0811877489353463E-2</v>
      </c>
      <c r="F286" s="284">
        <v>1.0811877489353463E-2</v>
      </c>
      <c r="G286" s="284">
        <v>1.0811877489353463E-2</v>
      </c>
      <c r="H286" s="284">
        <v>1.0811877489353463E-2</v>
      </c>
      <c r="I286" s="284">
        <v>1.0811877489353463E-2</v>
      </c>
      <c r="J286" s="284">
        <v>1.0811877489353463E-2</v>
      </c>
      <c r="K286" s="284">
        <v>1.0811877489353463E-2</v>
      </c>
      <c r="L286" s="284">
        <v>1.0811877489353463E-2</v>
      </c>
      <c r="M286" s="284">
        <v>1.0811877489353463E-2</v>
      </c>
      <c r="N286" s="284">
        <v>1.0811877489353463E-2</v>
      </c>
      <c r="O286" s="284">
        <v>1.0811877489353463E-2</v>
      </c>
      <c r="P286" s="284">
        <v>1.0811877489353463E-2</v>
      </c>
      <c r="Q286" s="284">
        <v>1.0811877489353463E-2</v>
      </c>
      <c r="R286" s="284">
        <v>1.0811877489353463E-2</v>
      </c>
      <c r="S286" s="284">
        <v>1.0811877489353463E-2</v>
      </c>
      <c r="T286" s="284">
        <v>1.0811877489353463E-2</v>
      </c>
      <c r="U286" s="284">
        <v>1.0811877489353463E-2</v>
      </c>
      <c r="V286" s="284">
        <v>1.0811877489353463E-2</v>
      </c>
      <c r="W286" s="284">
        <v>1.0811877489353463E-2</v>
      </c>
      <c r="X286" s="284">
        <v>1.0811877489353463E-2</v>
      </c>
      <c r="Y286" s="284">
        <v>1.0811877489353463E-2</v>
      </c>
      <c r="Z286" s="284">
        <v>1.0811877489353463E-2</v>
      </c>
      <c r="AA286" s="284">
        <v>1.0811877489353463E-2</v>
      </c>
      <c r="AB286" s="284">
        <v>1.0811877489353463E-2</v>
      </c>
      <c r="AC286" s="284">
        <v>1.0811877489353463E-2</v>
      </c>
      <c r="AD286" s="284">
        <v>1.0811877489353463E-2</v>
      </c>
      <c r="AE286" s="284">
        <v>1.0811877489353463E-2</v>
      </c>
      <c r="AF286" s="284">
        <v>1.0811877489353463E-2</v>
      </c>
      <c r="AG286" s="284">
        <v>1.0811877489353463E-2</v>
      </c>
      <c r="AH286" s="284">
        <v>1.0811877489353463E-2</v>
      </c>
      <c r="AI286" s="284">
        <v>1.0811877489353463E-2</v>
      </c>
      <c r="AJ286" s="284">
        <v>1.0811877489353463E-2</v>
      </c>
      <c r="AK286" s="284">
        <v>1.0811877489353463E-2</v>
      </c>
      <c r="AL286" s="284">
        <v>1.0811877489353463E-2</v>
      </c>
      <c r="AM286" s="284">
        <v>1.0811877489353463E-2</v>
      </c>
      <c r="AN286" s="284">
        <v>1.0811877489353463E-2</v>
      </c>
      <c r="AO286" s="284">
        <v>1.0811877489353463E-2</v>
      </c>
      <c r="AP286" s="284">
        <v>1.0811877489353463E-2</v>
      </c>
      <c r="AQ286" s="284">
        <v>1.0811877489353463E-2</v>
      </c>
      <c r="AR286" s="284">
        <v>1.0811877489353463E-2</v>
      </c>
      <c r="AS286" s="284">
        <v>1.0811877489353463E-2</v>
      </c>
      <c r="AT286" s="284">
        <v>1.0811877489353463E-2</v>
      </c>
      <c r="AU286" s="284">
        <v>1.0811877489353463E-2</v>
      </c>
      <c r="AV286" s="284">
        <v>1.0811877489353463E-2</v>
      </c>
      <c r="AW286" s="284">
        <v>1.0811877489353463E-2</v>
      </c>
      <c r="AX286" s="284">
        <v>1.0811877489353463E-2</v>
      </c>
      <c r="AY286" s="284">
        <v>1.0811877489353463E-2</v>
      </c>
      <c r="AZ286" s="284">
        <v>1.0811877489353463E-2</v>
      </c>
      <c r="BA286" s="284">
        <v>1.0811877489353463E-2</v>
      </c>
      <c r="BB286" s="284">
        <v>1.0811877489353463E-2</v>
      </c>
      <c r="BC286" s="284">
        <v>1.0811877489353463E-2</v>
      </c>
      <c r="BD286" s="284">
        <v>1.0811877489353463E-2</v>
      </c>
      <c r="BE286" s="284">
        <v>1.0811877489353463E-2</v>
      </c>
      <c r="BF286" s="284">
        <v>1.0811877489353463E-2</v>
      </c>
      <c r="BG286" s="284">
        <v>1.0811877489353463E-2</v>
      </c>
      <c r="BH286" s="284">
        <v>1.0811877489353463E-2</v>
      </c>
      <c r="BI286" s="284">
        <v>1.0811877489353463E-2</v>
      </c>
      <c r="BJ286" s="284">
        <v>1.0811877489353463E-2</v>
      </c>
      <c r="BK286" s="284">
        <v>1.0811877489353463E-2</v>
      </c>
      <c r="BL286" s="284">
        <v>1.0811877489353463E-2</v>
      </c>
      <c r="BM286" s="284">
        <v>1.0811877489353463E-2</v>
      </c>
      <c r="BN286" s="284">
        <v>1.0811877489353463E-2</v>
      </c>
      <c r="BO286" s="284">
        <v>1.0811877489353463E-2</v>
      </c>
      <c r="BP286" s="284">
        <v>1.0811877489353463E-2</v>
      </c>
      <c r="BQ286" s="284">
        <v>1.0811877489353463E-2</v>
      </c>
      <c r="BR286" s="284">
        <v>1.0811877489353463E-2</v>
      </c>
      <c r="BS286" s="284">
        <v>1.0811877489353463E-2</v>
      </c>
      <c r="BT286" s="284">
        <v>1.0811877489353463E-2</v>
      </c>
      <c r="BU286" s="284">
        <v>1.0811877489353463E-2</v>
      </c>
      <c r="BV286" s="284">
        <v>1.0811877489353463E-2</v>
      </c>
      <c r="BW286" s="284">
        <v>1.0811877489353463E-2</v>
      </c>
      <c r="BX286" s="284">
        <v>1.0811877489353463E-2</v>
      </c>
      <c r="BY286" s="284">
        <v>1.0811877489353463E-2</v>
      </c>
      <c r="BZ286" s="284">
        <v>1.0811877489353463E-2</v>
      </c>
      <c r="CA286" s="284">
        <v>1.0811877489353463E-2</v>
      </c>
      <c r="CB286" s="284">
        <v>1.0811877489353463E-2</v>
      </c>
      <c r="CC286" s="284">
        <v>1.0811877489353463E-2</v>
      </c>
      <c r="CD286" s="284">
        <v>1.0811877489353463E-2</v>
      </c>
      <c r="CE286" s="284">
        <v>1.0811877489353463E-2</v>
      </c>
      <c r="CF286" s="284">
        <v>1.0811877489353463E-2</v>
      </c>
      <c r="CG286" s="284">
        <v>1.0811877489353463E-2</v>
      </c>
      <c r="CH286" s="284">
        <v>1.0811877489353463E-2</v>
      </c>
      <c r="CI286" s="284">
        <v>1.0811877489353463E-2</v>
      </c>
    </row>
    <row r="287" spans="1:87" ht="14.25" customHeight="1" x14ac:dyDescent="0.35">
      <c r="A287" s="42" t="s">
        <v>87</v>
      </c>
      <c r="B287" s="285">
        <v>0.10341107367621212</v>
      </c>
      <c r="C287" s="285">
        <f>+B287*($N$287/$B$287)^(1/($N$255-$B$255))</f>
        <v>9.3278144374830091E-2</v>
      </c>
      <c r="D287" s="285">
        <f t="shared" ref="D287:M287" si="0">+C287*($N$287/$B$287)^(1/($N$255-$B$255))</f>
        <v>8.4138109282711301E-2</v>
      </c>
      <c r="E287" s="285">
        <f t="shared" si="0"/>
        <v>7.589367778610856E-2</v>
      </c>
      <c r="F287" s="285">
        <f t="shared" si="0"/>
        <v>6.8457092475754058E-2</v>
      </c>
      <c r="G287" s="285">
        <f t="shared" si="0"/>
        <v>6.17491950178191E-2</v>
      </c>
      <c r="H287" s="285">
        <f t="shared" si="0"/>
        <v>5.5698583557271579E-2</v>
      </c>
      <c r="I287" s="285">
        <f t="shared" si="0"/>
        <v>5.0240852684656334E-2</v>
      </c>
      <c r="J287" s="285">
        <f t="shared" si="0"/>
        <v>4.5317907876165492E-2</v>
      </c>
      <c r="K287" s="285">
        <f t="shared" si="0"/>
        <v>4.0877347109592961E-2</v>
      </c>
      <c r="L287" s="285">
        <f t="shared" si="0"/>
        <v>3.6871903073817131E-2</v>
      </c>
      <c r="M287" s="285">
        <f t="shared" si="0"/>
        <v>3.3258940034440576E-2</v>
      </c>
      <c r="N287" s="285">
        <v>0.03</v>
      </c>
      <c r="O287" s="284">
        <f>+N287</f>
        <v>0.03</v>
      </c>
      <c r="P287" s="284">
        <f t="shared" ref="P287:CA287" si="1">+O287</f>
        <v>0.03</v>
      </c>
      <c r="Q287" s="284">
        <f t="shared" si="1"/>
        <v>0.03</v>
      </c>
      <c r="R287" s="284">
        <f t="shared" si="1"/>
        <v>0.03</v>
      </c>
      <c r="S287" s="284">
        <f t="shared" si="1"/>
        <v>0.03</v>
      </c>
      <c r="T287" s="284">
        <f t="shared" si="1"/>
        <v>0.03</v>
      </c>
      <c r="U287" s="284">
        <f t="shared" si="1"/>
        <v>0.03</v>
      </c>
      <c r="V287" s="284">
        <f t="shared" si="1"/>
        <v>0.03</v>
      </c>
      <c r="W287" s="284">
        <f t="shared" si="1"/>
        <v>0.03</v>
      </c>
      <c r="X287" s="284">
        <f t="shared" si="1"/>
        <v>0.03</v>
      </c>
      <c r="Y287" s="284">
        <f t="shared" si="1"/>
        <v>0.03</v>
      </c>
      <c r="Z287" s="284">
        <f t="shared" si="1"/>
        <v>0.03</v>
      </c>
      <c r="AA287" s="284">
        <f t="shared" si="1"/>
        <v>0.03</v>
      </c>
      <c r="AB287" s="284">
        <f t="shared" si="1"/>
        <v>0.03</v>
      </c>
      <c r="AC287" s="284">
        <f t="shared" si="1"/>
        <v>0.03</v>
      </c>
      <c r="AD287" s="284">
        <f t="shared" si="1"/>
        <v>0.03</v>
      </c>
      <c r="AE287" s="284">
        <f t="shared" si="1"/>
        <v>0.03</v>
      </c>
      <c r="AF287" s="284">
        <f t="shared" si="1"/>
        <v>0.03</v>
      </c>
      <c r="AG287" s="284">
        <f t="shared" si="1"/>
        <v>0.03</v>
      </c>
      <c r="AH287" s="284">
        <f t="shared" si="1"/>
        <v>0.03</v>
      </c>
      <c r="AI287" s="284">
        <f t="shared" si="1"/>
        <v>0.03</v>
      </c>
      <c r="AJ287" s="284">
        <f t="shared" si="1"/>
        <v>0.03</v>
      </c>
      <c r="AK287" s="284">
        <f t="shared" si="1"/>
        <v>0.03</v>
      </c>
      <c r="AL287" s="284">
        <f t="shared" si="1"/>
        <v>0.03</v>
      </c>
      <c r="AM287" s="284">
        <f t="shared" si="1"/>
        <v>0.03</v>
      </c>
      <c r="AN287" s="284">
        <f t="shared" si="1"/>
        <v>0.03</v>
      </c>
      <c r="AO287" s="284">
        <f t="shared" si="1"/>
        <v>0.03</v>
      </c>
      <c r="AP287" s="284">
        <f t="shared" si="1"/>
        <v>0.03</v>
      </c>
      <c r="AQ287" s="284">
        <f t="shared" si="1"/>
        <v>0.03</v>
      </c>
      <c r="AR287" s="284">
        <f t="shared" si="1"/>
        <v>0.03</v>
      </c>
      <c r="AS287" s="284">
        <f t="shared" si="1"/>
        <v>0.03</v>
      </c>
      <c r="AT287" s="284">
        <f t="shared" si="1"/>
        <v>0.03</v>
      </c>
      <c r="AU287" s="284">
        <f t="shared" si="1"/>
        <v>0.03</v>
      </c>
      <c r="AV287" s="284">
        <f t="shared" si="1"/>
        <v>0.03</v>
      </c>
      <c r="AW287" s="284">
        <f t="shared" si="1"/>
        <v>0.03</v>
      </c>
      <c r="AX287" s="284">
        <f t="shared" si="1"/>
        <v>0.03</v>
      </c>
      <c r="AY287" s="284">
        <f t="shared" si="1"/>
        <v>0.03</v>
      </c>
      <c r="AZ287" s="284">
        <f t="shared" si="1"/>
        <v>0.03</v>
      </c>
      <c r="BA287" s="284">
        <f t="shared" si="1"/>
        <v>0.03</v>
      </c>
      <c r="BB287" s="284">
        <f t="shared" si="1"/>
        <v>0.03</v>
      </c>
      <c r="BC287" s="284">
        <f t="shared" si="1"/>
        <v>0.03</v>
      </c>
      <c r="BD287" s="284">
        <f t="shared" si="1"/>
        <v>0.03</v>
      </c>
      <c r="BE287" s="284">
        <f t="shared" si="1"/>
        <v>0.03</v>
      </c>
      <c r="BF287" s="284">
        <f t="shared" si="1"/>
        <v>0.03</v>
      </c>
      <c r="BG287" s="284">
        <f t="shared" si="1"/>
        <v>0.03</v>
      </c>
      <c r="BH287" s="284">
        <f t="shared" si="1"/>
        <v>0.03</v>
      </c>
      <c r="BI287" s="284">
        <f t="shared" si="1"/>
        <v>0.03</v>
      </c>
      <c r="BJ287" s="284">
        <f t="shared" si="1"/>
        <v>0.03</v>
      </c>
      <c r="BK287" s="284">
        <f t="shared" si="1"/>
        <v>0.03</v>
      </c>
      <c r="BL287" s="284">
        <f t="shared" si="1"/>
        <v>0.03</v>
      </c>
      <c r="BM287" s="284">
        <f t="shared" si="1"/>
        <v>0.03</v>
      </c>
      <c r="BN287" s="284">
        <f t="shared" si="1"/>
        <v>0.03</v>
      </c>
      <c r="BO287" s="284">
        <f t="shared" si="1"/>
        <v>0.03</v>
      </c>
      <c r="BP287" s="284">
        <f t="shared" si="1"/>
        <v>0.03</v>
      </c>
      <c r="BQ287" s="284">
        <f t="shared" si="1"/>
        <v>0.03</v>
      </c>
      <c r="BR287" s="284">
        <f t="shared" si="1"/>
        <v>0.03</v>
      </c>
      <c r="BS287" s="284">
        <f t="shared" si="1"/>
        <v>0.03</v>
      </c>
      <c r="BT287" s="284">
        <f t="shared" si="1"/>
        <v>0.03</v>
      </c>
      <c r="BU287" s="284">
        <f t="shared" si="1"/>
        <v>0.03</v>
      </c>
      <c r="BV287" s="284">
        <f t="shared" si="1"/>
        <v>0.03</v>
      </c>
      <c r="BW287" s="284">
        <f t="shared" si="1"/>
        <v>0.03</v>
      </c>
      <c r="BX287" s="284">
        <f t="shared" si="1"/>
        <v>0.03</v>
      </c>
      <c r="BY287" s="284">
        <f t="shared" si="1"/>
        <v>0.03</v>
      </c>
      <c r="BZ287" s="284">
        <f t="shared" si="1"/>
        <v>0.03</v>
      </c>
      <c r="CA287" s="284">
        <f t="shared" si="1"/>
        <v>0.03</v>
      </c>
      <c r="CB287" s="284">
        <f t="shared" ref="CB287:CI287" si="2">+CA287</f>
        <v>0.03</v>
      </c>
      <c r="CC287" s="284">
        <f t="shared" si="2"/>
        <v>0.03</v>
      </c>
      <c r="CD287" s="284">
        <f t="shared" si="2"/>
        <v>0.03</v>
      </c>
      <c r="CE287" s="284">
        <f t="shared" si="2"/>
        <v>0.03</v>
      </c>
      <c r="CF287" s="284">
        <f t="shared" si="2"/>
        <v>0.03</v>
      </c>
      <c r="CG287" s="284">
        <f t="shared" si="2"/>
        <v>0.03</v>
      </c>
      <c r="CH287" s="284">
        <f t="shared" si="2"/>
        <v>0.03</v>
      </c>
      <c r="CI287" s="284">
        <f t="shared" si="2"/>
        <v>0.03</v>
      </c>
    </row>
    <row r="288" spans="1:87" ht="14.25" customHeight="1" x14ac:dyDescent="0.35">
      <c r="A288" s="42" t="s">
        <v>146</v>
      </c>
      <c r="B288" s="284">
        <v>3.3621711885731938E-2</v>
      </c>
      <c r="C288" s="284">
        <v>3.3621711885731938E-2</v>
      </c>
      <c r="D288" s="284">
        <v>3.3621711885731938E-2</v>
      </c>
      <c r="E288" s="284">
        <v>3.3621711885731938E-2</v>
      </c>
      <c r="F288" s="284">
        <v>3.3621711885731938E-2</v>
      </c>
      <c r="G288" s="284">
        <v>3.3621711885731938E-2</v>
      </c>
      <c r="H288" s="284">
        <v>3.3621711885731938E-2</v>
      </c>
      <c r="I288" s="284">
        <v>3.3621711885731938E-2</v>
      </c>
      <c r="J288" s="284">
        <v>3.3621711885731938E-2</v>
      </c>
      <c r="K288" s="284">
        <v>3.3621711885731938E-2</v>
      </c>
      <c r="L288" s="284">
        <v>3.3621711885731938E-2</v>
      </c>
      <c r="M288" s="284">
        <v>3.3621711885731938E-2</v>
      </c>
      <c r="N288" s="284">
        <v>3.3621711885731938E-2</v>
      </c>
      <c r="O288" s="284">
        <v>3.3621711885731938E-2</v>
      </c>
      <c r="P288" s="284">
        <v>3.3621711885731938E-2</v>
      </c>
      <c r="Q288" s="284">
        <v>3.3621711885731938E-2</v>
      </c>
      <c r="R288" s="284">
        <v>3.3621711885731938E-2</v>
      </c>
      <c r="S288" s="284">
        <v>3.3621711885731938E-2</v>
      </c>
      <c r="T288" s="284">
        <v>3.3621711885731938E-2</v>
      </c>
      <c r="U288" s="284">
        <v>3.3621711885731938E-2</v>
      </c>
      <c r="V288" s="284">
        <v>3.3621711885731938E-2</v>
      </c>
      <c r="W288" s="284">
        <v>3.3621711885731938E-2</v>
      </c>
      <c r="X288" s="284">
        <v>3.3621711885731938E-2</v>
      </c>
      <c r="Y288" s="284">
        <v>3.3621711885731938E-2</v>
      </c>
      <c r="Z288" s="284">
        <v>3.3621711885731938E-2</v>
      </c>
      <c r="AA288" s="284">
        <v>3.3621711885731938E-2</v>
      </c>
      <c r="AB288" s="284">
        <v>3.3621711885731938E-2</v>
      </c>
      <c r="AC288" s="284">
        <v>3.3621711885731938E-2</v>
      </c>
      <c r="AD288" s="284">
        <v>3.3621711885731938E-2</v>
      </c>
      <c r="AE288" s="284">
        <v>3.3621711885731938E-2</v>
      </c>
      <c r="AF288" s="284">
        <v>3.3621711885731938E-2</v>
      </c>
      <c r="AG288" s="284">
        <v>3.3621711885731938E-2</v>
      </c>
      <c r="AH288" s="284">
        <v>3.3621711885731938E-2</v>
      </c>
      <c r="AI288" s="284">
        <v>3.3621711885731938E-2</v>
      </c>
      <c r="AJ288" s="284">
        <v>3.3621711885731938E-2</v>
      </c>
      <c r="AK288" s="284">
        <v>3.3621711885731938E-2</v>
      </c>
      <c r="AL288" s="284">
        <v>3.3621711885731938E-2</v>
      </c>
      <c r="AM288" s="284">
        <v>3.3621711885731938E-2</v>
      </c>
      <c r="AN288" s="284">
        <v>3.3621711885731938E-2</v>
      </c>
      <c r="AO288" s="284">
        <v>3.3621711885731938E-2</v>
      </c>
      <c r="AP288" s="284">
        <v>3.3621711885731938E-2</v>
      </c>
      <c r="AQ288" s="284">
        <v>3.3621711885731938E-2</v>
      </c>
      <c r="AR288" s="284">
        <v>3.3621711885731938E-2</v>
      </c>
      <c r="AS288" s="284">
        <v>3.3621711885731938E-2</v>
      </c>
      <c r="AT288" s="284">
        <v>3.3621711885731938E-2</v>
      </c>
      <c r="AU288" s="284">
        <v>3.3621711885731938E-2</v>
      </c>
      <c r="AV288" s="284">
        <v>3.3621711885731938E-2</v>
      </c>
      <c r="AW288" s="284">
        <v>3.3621711885731938E-2</v>
      </c>
      <c r="AX288" s="284">
        <v>3.3621711885731938E-2</v>
      </c>
      <c r="AY288" s="284">
        <v>3.3621711885731938E-2</v>
      </c>
      <c r="AZ288" s="284">
        <v>3.3621711885731938E-2</v>
      </c>
      <c r="BA288" s="284">
        <v>3.3621711885731938E-2</v>
      </c>
      <c r="BB288" s="284">
        <v>3.3621711885731938E-2</v>
      </c>
      <c r="BC288" s="284">
        <v>3.3621711885731938E-2</v>
      </c>
      <c r="BD288" s="284">
        <v>3.3621711885731938E-2</v>
      </c>
      <c r="BE288" s="284">
        <v>3.3621711885731938E-2</v>
      </c>
      <c r="BF288" s="284">
        <v>3.3621711885731938E-2</v>
      </c>
      <c r="BG288" s="284">
        <v>3.3621711885731938E-2</v>
      </c>
      <c r="BH288" s="284">
        <v>3.3621711885731938E-2</v>
      </c>
      <c r="BI288" s="284">
        <v>3.3621711885731938E-2</v>
      </c>
      <c r="BJ288" s="284">
        <v>3.3621711885731938E-2</v>
      </c>
      <c r="BK288" s="284">
        <v>3.3621711885731938E-2</v>
      </c>
      <c r="BL288" s="284">
        <v>3.3621711885731938E-2</v>
      </c>
      <c r="BM288" s="284">
        <v>3.3621711885731938E-2</v>
      </c>
      <c r="BN288" s="284">
        <v>3.3621711885731938E-2</v>
      </c>
      <c r="BO288" s="284">
        <v>3.3621711885731938E-2</v>
      </c>
      <c r="BP288" s="284">
        <v>3.3621711885731938E-2</v>
      </c>
      <c r="BQ288" s="284">
        <v>3.3621711885731938E-2</v>
      </c>
      <c r="BR288" s="284">
        <v>3.3621711885731938E-2</v>
      </c>
      <c r="BS288" s="284">
        <v>3.3621711885731938E-2</v>
      </c>
      <c r="BT288" s="284">
        <v>3.3621711885731938E-2</v>
      </c>
      <c r="BU288" s="284">
        <v>3.3621711885731938E-2</v>
      </c>
      <c r="BV288" s="284">
        <v>3.3621711885731938E-2</v>
      </c>
      <c r="BW288" s="284">
        <v>3.3621711885731938E-2</v>
      </c>
      <c r="BX288" s="284">
        <v>3.3621711885731938E-2</v>
      </c>
      <c r="BY288" s="284">
        <v>3.3621711885731938E-2</v>
      </c>
      <c r="BZ288" s="284">
        <v>3.3621711885731938E-2</v>
      </c>
      <c r="CA288" s="284">
        <v>3.3621711885731938E-2</v>
      </c>
      <c r="CB288" s="284">
        <v>3.3621711885731938E-2</v>
      </c>
      <c r="CC288" s="284">
        <v>3.3621711885731938E-2</v>
      </c>
      <c r="CD288" s="284">
        <v>3.3621711885731938E-2</v>
      </c>
      <c r="CE288" s="284">
        <v>3.3621711885731938E-2</v>
      </c>
      <c r="CF288" s="284">
        <v>3.3621711885731938E-2</v>
      </c>
      <c r="CG288" s="284">
        <v>3.3621711885731938E-2</v>
      </c>
      <c r="CH288" s="284">
        <v>3.3621711885731938E-2</v>
      </c>
      <c r="CI288" s="284">
        <v>3.3621711885731938E-2</v>
      </c>
    </row>
    <row r="289" spans="1:87" ht="14.25" customHeight="1" x14ac:dyDescent="0.35">
      <c r="A289" s="42" t="s">
        <v>89</v>
      </c>
      <c r="B289" s="284">
        <v>3.6942074372105643E-2</v>
      </c>
      <c r="C289" s="284">
        <v>3.6942074372105643E-2</v>
      </c>
      <c r="D289" s="284">
        <v>3.6942074372105643E-2</v>
      </c>
      <c r="E289" s="284">
        <v>3.6942074372105643E-2</v>
      </c>
      <c r="F289" s="284">
        <v>3.6942074372105643E-2</v>
      </c>
      <c r="G289" s="284">
        <v>3.6942074372105643E-2</v>
      </c>
      <c r="H289" s="284">
        <v>3.6942074372105643E-2</v>
      </c>
      <c r="I289" s="284">
        <v>3.6942074372105643E-2</v>
      </c>
      <c r="J289" s="284">
        <v>3.6942074372105643E-2</v>
      </c>
      <c r="K289" s="284">
        <v>3.6942074372105643E-2</v>
      </c>
      <c r="L289" s="284">
        <v>3.6942074372105643E-2</v>
      </c>
      <c r="M289" s="284">
        <v>3.6942074372105643E-2</v>
      </c>
      <c r="N289" s="284">
        <v>3.6942074372105643E-2</v>
      </c>
      <c r="O289" s="284">
        <v>3.6942074372105643E-2</v>
      </c>
      <c r="P289" s="284">
        <v>3.6942074372105643E-2</v>
      </c>
      <c r="Q289" s="284">
        <v>3.6942074372105643E-2</v>
      </c>
      <c r="R289" s="284">
        <v>3.6942074372105643E-2</v>
      </c>
      <c r="S289" s="284">
        <v>3.6942074372105643E-2</v>
      </c>
      <c r="T289" s="284">
        <v>3.6942074372105643E-2</v>
      </c>
      <c r="U289" s="284">
        <v>3.6942074372105643E-2</v>
      </c>
      <c r="V289" s="284">
        <v>3.6942074372105643E-2</v>
      </c>
      <c r="W289" s="284">
        <v>3.6942074372105643E-2</v>
      </c>
      <c r="X289" s="284">
        <v>3.6942074372105643E-2</v>
      </c>
      <c r="Y289" s="284">
        <v>3.6942074372105643E-2</v>
      </c>
      <c r="Z289" s="284">
        <v>3.6942074372105643E-2</v>
      </c>
      <c r="AA289" s="284">
        <v>3.6942074372105643E-2</v>
      </c>
      <c r="AB289" s="284">
        <v>3.6942074372105643E-2</v>
      </c>
      <c r="AC289" s="284">
        <v>3.6942074372105643E-2</v>
      </c>
      <c r="AD289" s="284">
        <v>3.6942074372105643E-2</v>
      </c>
      <c r="AE289" s="284">
        <v>3.6942074372105643E-2</v>
      </c>
      <c r="AF289" s="284">
        <v>3.6942074372105643E-2</v>
      </c>
      <c r="AG289" s="284">
        <v>3.6942074372105643E-2</v>
      </c>
      <c r="AH289" s="284">
        <v>3.6942074372105643E-2</v>
      </c>
      <c r="AI289" s="284">
        <v>3.6942074372105643E-2</v>
      </c>
      <c r="AJ289" s="284">
        <v>3.6942074372105643E-2</v>
      </c>
      <c r="AK289" s="284">
        <v>3.6942074372105643E-2</v>
      </c>
      <c r="AL289" s="284">
        <v>3.6942074372105643E-2</v>
      </c>
      <c r="AM289" s="284">
        <v>3.6942074372105643E-2</v>
      </c>
      <c r="AN289" s="284">
        <v>3.6942074372105643E-2</v>
      </c>
      <c r="AO289" s="284">
        <v>3.6942074372105643E-2</v>
      </c>
      <c r="AP289" s="284">
        <v>3.6942074372105643E-2</v>
      </c>
      <c r="AQ289" s="284">
        <v>3.6942074372105643E-2</v>
      </c>
      <c r="AR289" s="284">
        <v>3.6942074372105643E-2</v>
      </c>
      <c r="AS289" s="284">
        <v>3.6942074372105643E-2</v>
      </c>
      <c r="AT289" s="284">
        <v>3.6942074372105643E-2</v>
      </c>
      <c r="AU289" s="284">
        <v>3.6942074372105643E-2</v>
      </c>
      <c r="AV289" s="284">
        <v>3.6942074372105643E-2</v>
      </c>
      <c r="AW289" s="284">
        <v>3.6942074372105643E-2</v>
      </c>
      <c r="AX289" s="284">
        <v>3.6942074372105643E-2</v>
      </c>
      <c r="AY289" s="284">
        <v>3.6942074372105643E-2</v>
      </c>
      <c r="AZ289" s="284">
        <v>3.6942074372105643E-2</v>
      </c>
      <c r="BA289" s="284">
        <v>3.6942074372105643E-2</v>
      </c>
      <c r="BB289" s="284">
        <v>3.6942074372105643E-2</v>
      </c>
      <c r="BC289" s="284">
        <v>3.6942074372105643E-2</v>
      </c>
      <c r="BD289" s="284">
        <v>3.6942074372105643E-2</v>
      </c>
      <c r="BE289" s="284">
        <v>3.6942074372105643E-2</v>
      </c>
      <c r="BF289" s="284">
        <v>3.6942074372105643E-2</v>
      </c>
      <c r="BG289" s="284">
        <v>3.6942074372105643E-2</v>
      </c>
      <c r="BH289" s="284">
        <v>3.6942074372105643E-2</v>
      </c>
      <c r="BI289" s="284">
        <v>3.6942074372105643E-2</v>
      </c>
      <c r="BJ289" s="284">
        <v>3.6942074372105643E-2</v>
      </c>
      <c r="BK289" s="284">
        <v>3.6942074372105643E-2</v>
      </c>
      <c r="BL289" s="284">
        <v>3.6942074372105643E-2</v>
      </c>
      <c r="BM289" s="284">
        <v>3.6942074372105643E-2</v>
      </c>
      <c r="BN289" s="284">
        <v>3.6942074372105643E-2</v>
      </c>
      <c r="BO289" s="284">
        <v>3.6942074372105643E-2</v>
      </c>
      <c r="BP289" s="284">
        <v>3.6942074372105643E-2</v>
      </c>
      <c r="BQ289" s="284">
        <v>3.6942074372105643E-2</v>
      </c>
      <c r="BR289" s="284">
        <v>3.6942074372105643E-2</v>
      </c>
      <c r="BS289" s="284">
        <v>3.6942074372105643E-2</v>
      </c>
      <c r="BT289" s="284">
        <v>3.6942074372105643E-2</v>
      </c>
      <c r="BU289" s="284">
        <v>3.6942074372105643E-2</v>
      </c>
      <c r="BV289" s="284">
        <v>3.6942074372105643E-2</v>
      </c>
      <c r="BW289" s="284">
        <v>3.6942074372105643E-2</v>
      </c>
      <c r="BX289" s="284">
        <v>3.6942074372105643E-2</v>
      </c>
      <c r="BY289" s="284">
        <v>3.6942074372105643E-2</v>
      </c>
      <c r="BZ289" s="284">
        <v>3.6942074372105643E-2</v>
      </c>
      <c r="CA289" s="284">
        <v>3.6942074372105643E-2</v>
      </c>
      <c r="CB289" s="284">
        <v>3.6942074372105643E-2</v>
      </c>
      <c r="CC289" s="284">
        <v>3.6942074372105643E-2</v>
      </c>
      <c r="CD289" s="284">
        <v>3.6942074372105643E-2</v>
      </c>
      <c r="CE289" s="284">
        <v>3.6942074372105643E-2</v>
      </c>
      <c r="CF289" s="284">
        <v>3.6942074372105643E-2</v>
      </c>
      <c r="CG289" s="284">
        <v>3.6942074372105643E-2</v>
      </c>
      <c r="CH289" s="284">
        <v>3.6942074372105643E-2</v>
      </c>
      <c r="CI289" s="284">
        <v>3.6942074372105643E-2</v>
      </c>
    </row>
    <row r="290" spans="1:87" ht="14.25" customHeight="1" x14ac:dyDescent="0.35">
      <c r="A290" s="42" t="s">
        <v>90</v>
      </c>
      <c r="B290" s="284">
        <v>2.0915974785411733E-2</v>
      </c>
      <c r="C290" s="284">
        <v>2.0915974785411733E-2</v>
      </c>
      <c r="D290" s="284">
        <v>2.0915974785411733E-2</v>
      </c>
      <c r="E290" s="284">
        <v>2.0915974785411733E-2</v>
      </c>
      <c r="F290" s="284">
        <v>2.0915974785411733E-2</v>
      </c>
      <c r="G290" s="284">
        <v>2.0915974785411733E-2</v>
      </c>
      <c r="H290" s="284">
        <v>2.0915974785411733E-2</v>
      </c>
      <c r="I290" s="284">
        <v>2.0915974785411733E-2</v>
      </c>
      <c r="J290" s="284">
        <v>2.0915974785411733E-2</v>
      </c>
      <c r="K290" s="284">
        <v>2.0915974785411733E-2</v>
      </c>
      <c r="L290" s="284">
        <v>2.0915974785411733E-2</v>
      </c>
      <c r="M290" s="284">
        <v>2.0915974785411733E-2</v>
      </c>
      <c r="N290" s="284">
        <v>2.0915974785411733E-2</v>
      </c>
      <c r="O290" s="284">
        <v>2.0915974785411733E-2</v>
      </c>
      <c r="P290" s="284">
        <v>2.0915974785411733E-2</v>
      </c>
      <c r="Q290" s="284">
        <v>2.0915974785411733E-2</v>
      </c>
      <c r="R290" s="284">
        <v>2.0915974785411733E-2</v>
      </c>
      <c r="S290" s="284">
        <v>2.0915974785411733E-2</v>
      </c>
      <c r="T290" s="284">
        <v>2.0915974785411733E-2</v>
      </c>
      <c r="U290" s="284">
        <v>2.0915974785411733E-2</v>
      </c>
      <c r="V290" s="284">
        <v>2.0915974785411733E-2</v>
      </c>
      <c r="W290" s="284">
        <v>2.0915974785411733E-2</v>
      </c>
      <c r="X290" s="284">
        <v>2.0915974785411733E-2</v>
      </c>
      <c r="Y290" s="284">
        <v>2.0915974785411733E-2</v>
      </c>
      <c r="Z290" s="284">
        <v>2.0915974785411733E-2</v>
      </c>
      <c r="AA290" s="284">
        <v>2.0915974785411733E-2</v>
      </c>
      <c r="AB290" s="284">
        <v>2.0915974785411733E-2</v>
      </c>
      <c r="AC290" s="284">
        <v>2.0915974785411733E-2</v>
      </c>
      <c r="AD290" s="284">
        <v>2.0915974785411733E-2</v>
      </c>
      <c r="AE290" s="284">
        <v>2.0915974785411733E-2</v>
      </c>
      <c r="AF290" s="284">
        <v>2.0915974785411733E-2</v>
      </c>
      <c r="AG290" s="284">
        <v>2.0915974785411733E-2</v>
      </c>
      <c r="AH290" s="284">
        <v>2.0915974785411733E-2</v>
      </c>
      <c r="AI290" s="284">
        <v>2.0915974785411733E-2</v>
      </c>
      <c r="AJ290" s="284">
        <v>2.0915974785411733E-2</v>
      </c>
      <c r="AK290" s="284">
        <v>2.0915974785411733E-2</v>
      </c>
      <c r="AL290" s="284">
        <v>2.0915974785411733E-2</v>
      </c>
      <c r="AM290" s="284">
        <v>2.0915974785411733E-2</v>
      </c>
      <c r="AN290" s="284">
        <v>2.0915974785411733E-2</v>
      </c>
      <c r="AO290" s="284">
        <v>2.0915974785411733E-2</v>
      </c>
      <c r="AP290" s="284">
        <v>2.0915974785411733E-2</v>
      </c>
      <c r="AQ290" s="284">
        <v>2.0915974785411733E-2</v>
      </c>
      <c r="AR290" s="284">
        <v>2.0915974785411733E-2</v>
      </c>
      <c r="AS290" s="284">
        <v>2.0915974785411733E-2</v>
      </c>
      <c r="AT290" s="284">
        <v>2.0915974785411733E-2</v>
      </c>
      <c r="AU290" s="284">
        <v>2.0915974785411733E-2</v>
      </c>
      <c r="AV290" s="284">
        <v>2.0915974785411733E-2</v>
      </c>
      <c r="AW290" s="284">
        <v>2.0915974785411733E-2</v>
      </c>
      <c r="AX290" s="284">
        <v>2.0915974785411733E-2</v>
      </c>
      <c r="AY290" s="284">
        <v>2.0915974785411733E-2</v>
      </c>
      <c r="AZ290" s="284">
        <v>2.0915974785411733E-2</v>
      </c>
      <c r="BA290" s="284">
        <v>2.0915974785411733E-2</v>
      </c>
      <c r="BB290" s="284">
        <v>2.0915974785411733E-2</v>
      </c>
      <c r="BC290" s="284">
        <v>2.0915974785411733E-2</v>
      </c>
      <c r="BD290" s="284">
        <v>2.0915974785411733E-2</v>
      </c>
      <c r="BE290" s="284">
        <v>2.0915974785411733E-2</v>
      </c>
      <c r="BF290" s="284">
        <v>2.0915974785411733E-2</v>
      </c>
      <c r="BG290" s="284">
        <v>2.0915974785411733E-2</v>
      </c>
      <c r="BH290" s="284">
        <v>2.0915974785411733E-2</v>
      </c>
      <c r="BI290" s="284">
        <v>2.0915974785411733E-2</v>
      </c>
      <c r="BJ290" s="284">
        <v>2.0915974785411733E-2</v>
      </c>
      <c r="BK290" s="284">
        <v>2.0915974785411733E-2</v>
      </c>
      <c r="BL290" s="284">
        <v>2.0915974785411733E-2</v>
      </c>
      <c r="BM290" s="284">
        <v>2.0915974785411733E-2</v>
      </c>
      <c r="BN290" s="284">
        <v>2.0915974785411733E-2</v>
      </c>
      <c r="BO290" s="284">
        <v>2.0915974785411733E-2</v>
      </c>
      <c r="BP290" s="284">
        <v>2.0915974785411733E-2</v>
      </c>
      <c r="BQ290" s="284">
        <v>2.0915974785411733E-2</v>
      </c>
      <c r="BR290" s="284">
        <v>2.0915974785411733E-2</v>
      </c>
      <c r="BS290" s="284">
        <v>2.0915974785411733E-2</v>
      </c>
      <c r="BT290" s="284">
        <v>2.0915974785411733E-2</v>
      </c>
      <c r="BU290" s="284">
        <v>2.0915974785411733E-2</v>
      </c>
      <c r="BV290" s="284">
        <v>2.0915974785411733E-2</v>
      </c>
      <c r="BW290" s="284">
        <v>2.0915974785411733E-2</v>
      </c>
      <c r="BX290" s="284">
        <v>2.0915974785411733E-2</v>
      </c>
      <c r="BY290" s="284">
        <v>2.0915974785411733E-2</v>
      </c>
      <c r="BZ290" s="284">
        <v>2.0915974785411733E-2</v>
      </c>
      <c r="CA290" s="284">
        <v>2.0915974785411733E-2</v>
      </c>
      <c r="CB290" s="284">
        <v>2.0915974785411733E-2</v>
      </c>
      <c r="CC290" s="284">
        <v>2.0915974785411733E-2</v>
      </c>
      <c r="CD290" s="284">
        <v>2.0915974785411733E-2</v>
      </c>
      <c r="CE290" s="284">
        <v>2.0915974785411733E-2</v>
      </c>
      <c r="CF290" s="284">
        <v>2.0915974785411733E-2</v>
      </c>
      <c r="CG290" s="284">
        <v>2.0915974785411733E-2</v>
      </c>
      <c r="CH290" s="284">
        <v>2.0915974785411733E-2</v>
      </c>
      <c r="CI290" s="284">
        <v>2.0915974785411733E-2</v>
      </c>
    </row>
    <row r="292" spans="1:87" ht="14.25" customHeight="1" x14ac:dyDescent="0.35">
      <c r="A292" s="143" t="s">
        <v>1226</v>
      </c>
    </row>
    <row r="293" spans="1:87" ht="14.25" customHeight="1" x14ac:dyDescent="0.35">
      <c r="A293" s="34" t="s">
        <v>1227</v>
      </c>
      <c r="B293" s="2"/>
    </row>
    <row r="294" spans="1:87" ht="14.25" customHeight="1" x14ac:dyDescent="0.35">
      <c r="A294" s="38" t="s">
        <v>1211</v>
      </c>
      <c r="B294" s="9" t="s">
        <v>169</v>
      </c>
    </row>
    <row r="295" spans="1:87" ht="14.25" customHeight="1" x14ac:dyDescent="0.35">
      <c r="A295" s="271">
        <v>0</v>
      </c>
      <c r="B295" s="272" t="s">
        <v>1305</v>
      </c>
    </row>
    <row r="296" spans="1:87" ht="14.25" customHeight="1" x14ac:dyDescent="0.35">
      <c r="A296" s="271">
        <v>1</v>
      </c>
      <c r="B296" s="272" t="s">
        <v>1287</v>
      </c>
    </row>
    <row r="297" spans="1:87" ht="14.25" customHeight="1" x14ac:dyDescent="0.35">
      <c r="A297" s="39" t="s">
        <v>170</v>
      </c>
      <c r="B297" s="40">
        <v>1</v>
      </c>
    </row>
    <row r="298" spans="1:87" ht="14" customHeight="1" x14ac:dyDescent="0.35">
      <c r="A298" s="44"/>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row>
    <row r="299" spans="1:87" ht="14.25" customHeight="1" x14ac:dyDescent="0.35">
      <c r="A299" s="14" t="s">
        <v>649</v>
      </c>
      <c r="B299" s="279" t="s">
        <v>1289</v>
      </c>
    </row>
    <row r="300" spans="1:87" ht="14.25" customHeight="1" x14ac:dyDescent="0.35">
      <c r="A300" s="74" t="s">
        <v>380</v>
      </c>
      <c r="B300" s="273" t="s">
        <v>12</v>
      </c>
    </row>
    <row r="301" spans="1:87" ht="14.25" customHeight="1" x14ac:dyDescent="0.35">
      <c r="A301" s="74" t="s">
        <v>127</v>
      </c>
      <c r="B301" s="93">
        <v>2015</v>
      </c>
    </row>
    <row r="303" spans="1:87" ht="14.25" customHeight="1" x14ac:dyDescent="0.35">
      <c r="A303" s="94" t="s">
        <v>1228</v>
      </c>
    </row>
    <row r="304" spans="1:87" ht="14.25" customHeight="1" x14ac:dyDescent="0.35">
      <c r="A304" s="4" t="s">
        <v>1225</v>
      </c>
      <c r="B304" s="35">
        <v>2015</v>
      </c>
      <c r="C304" s="35">
        <f t="shared" ref="C304:BN304" si="3">+B304+1</f>
        <v>2016</v>
      </c>
      <c r="D304" s="35">
        <f t="shared" si="3"/>
        <v>2017</v>
      </c>
      <c r="E304" s="35">
        <f t="shared" si="3"/>
        <v>2018</v>
      </c>
      <c r="F304" s="35">
        <f t="shared" si="3"/>
        <v>2019</v>
      </c>
      <c r="G304" s="35">
        <f t="shared" si="3"/>
        <v>2020</v>
      </c>
      <c r="H304" s="35">
        <f t="shared" si="3"/>
        <v>2021</v>
      </c>
      <c r="I304" s="35">
        <f t="shared" si="3"/>
        <v>2022</v>
      </c>
      <c r="J304" s="35">
        <f t="shared" si="3"/>
        <v>2023</v>
      </c>
      <c r="K304" s="35">
        <f t="shared" si="3"/>
        <v>2024</v>
      </c>
      <c r="L304" s="35">
        <f t="shared" si="3"/>
        <v>2025</v>
      </c>
      <c r="M304" s="35">
        <f t="shared" si="3"/>
        <v>2026</v>
      </c>
      <c r="N304" s="35">
        <f t="shared" si="3"/>
        <v>2027</v>
      </c>
      <c r="O304" s="35">
        <f t="shared" si="3"/>
        <v>2028</v>
      </c>
      <c r="P304" s="35">
        <f t="shared" si="3"/>
        <v>2029</v>
      </c>
      <c r="Q304" s="35">
        <f t="shared" si="3"/>
        <v>2030</v>
      </c>
      <c r="R304" s="35">
        <f t="shared" si="3"/>
        <v>2031</v>
      </c>
      <c r="S304" s="35">
        <f t="shared" si="3"/>
        <v>2032</v>
      </c>
      <c r="T304" s="35">
        <f t="shared" si="3"/>
        <v>2033</v>
      </c>
      <c r="U304" s="35">
        <f t="shared" si="3"/>
        <v>2034</v>
      </c>
      <c r="V304" s="35">
        <f t="shared" si="3"/>
        <v>2035</v>
      </c>
      <c r="W304" s="35">
        <f t="shared" si="3"/>
        <v>2036</v>
      </c>
      <c r="X304" s="35">
        <f t="shared" si="3"/>
        <v>2037</v>
      </c>
      <c r="Y304" s="35">
        <f t="shared" si="3"/>
        <v>2038</v>
      </c>
      <c r="Z304" s="35">
        <f t="shared" si="3"/>
        <v>2039</v>
      </c>
      <c r="AA304" s="35">
        <f t="shared" si="3"/>
        <v>2040</v>
      </c>
      <c r="AB304" s="35">
        <f t="shared" si="3"/>
        <v>2041</v>
      </c>
      <c r="AC304" s="35">
        <f t="shared" si="3"/>
        <v>2042</v>
      </c>
      <c r="AD304" s="35">
        <f t="shared" si="3"/>
        <v>2043</v>
      </c>
      <c r="AE304" s="35">
        <f t="shared" si="3"/>
        <v>2044</v>
      </c>
      <c r="AF304" s="35">
        <f t="shared" si="3"/>
        <v>2045</v>
      </c>
      <c r="AG304" s="35">
        <f t="shared" si="3"/>
        <v>2046</v>
      </c>
      <c r="AH304" s="35">
        <f t="shared" si="3"/>
        <v>2047</v>
      </c>
      <c r="AI304" s="35">
        <f t="shared" si="3"/>
        <v>2048</v>
      </c>
      <c r="AJ304" s="35">
        <f t="shared" si="3"/>
        <v>2049</v>
      </c>
      <c r="AK304" s="35">
        <f t="shared" si="3"/>
        <v>2050</v>
      </c>
      <c r="AL304" s="35">
        <f t="shared" si="3"/>
        <v>2051</v>
      </c>
      <c r="AM304" s="35">
        <f t="shared" si="3"/>
        <v>2052</v>
      </c>
      <c r="AN304" s="35">
        <f t="shared" si="3"/>
        <v>2053</v>
      </c>
      <c r="AO304" s="35">
        <f t="shared" si="3"/>
        <v>2054</v>
      </c>
      <c r="AP304" s="35">
        <f t="shared" si="3"/>
        <v>2055</v>
      </c>
      <c r="AQ304" s="35">
        <f t="shared" si="3"/>
        <v>2056</v>
      </c>
      <c r="AR304" s="35">
        <f t="shared" si="3"/>
        <v>2057</v>
      </c>
      <c r="AS304" s="35">
        <f t="shared" si="3"/>
        <v>2058</v>
      </c>
      <c r="AT304" s="35">
        <f t="shared" si="3"/>
        <v>2059</v>
      </c>
      <c r="AU304" s="35">
        <f t="shared" si="3"/>
        <v>2060</v>
      </c>
      <c r="AV304" s="35">
        <f t="shared" si="3"/>
        <v>2061</v>
      </c>
      <c r="AW304" s="35">
        <f t="shared" si="3"/>
        <v>2062</v>
      </c>
      <c r="AX304" s="35">
        <f t="shared" si="3"/>
        <v>2063</v>
      </c>
      <c r="AY304" s="35">
        <f t="shared" si="3"/>
        <v>2064</v>
      </c>
      <c r="AZ304" s="35">
        <f t="shared" si="3"/>
        <v>2065</v>
      </c>
      <c r="BA304" s="35">
        <f t="shared" si="3"/>
        <v>2066</v>
      </c>
      <c r="BB304" s="35">
        <f t="shared" si="3"/>
        <v>2067</v>
      </c>
      <c r="BC304" s="35">
        <f t="shared" si="3"/>
        <v>2068</v>
      </c>
      <c r="BD304" s="35">
        <f t="shared" si="3"/>
        <v>2069</v>
      </c>
      <c r="BE304" s="35">
        <f t="shared" si="3"/>
        <v>2070</v>
      </c>
      <c r="BF304" s="35">
        <f t="shared" si="3"/>
        <v>2071</v>
      </c>
      <c r="BG304" s="35">
        <f t="shared" si="3"/>
        <v>2072</v>
      </c>
      <c r="BH304" s="35">
        <f t="shared" si="3"/>
        <v>2073</v>
      </c>
      <c r="BI304" s="35">
        <f t="shared" si="3"/>
        <v>2074</v>
      </c>
      <c r="BJ304" s="35">
        <f t="shared" si="3"/>
        <v>2075</v>
      </c>
      <c r="BK304" s="35">
        <f t="shared" si="3"/>
        <v>2076</v>
      </c>
      <c r="BL304" s="35">
        <f t="shared" si="3"/>
        <v>2077</v>
      </c>
      <c r="BM304" s="35">
        <f t="shared" si="3"/>
        <v>2078</v>
      </c>
      <c r="BN304" s="35">
        <f t="shared" si="3"/>
        <v>2079</v>
      </c>
      <c r="BO304" s="35">
        <f t="shared" ref="BO304:CI304" si="4">+BN304+1</f>
        <v>2080</v>
      </c>
      <c r="BP304" s="35">
        <f t="shared" si="4"/>
        <v>2081</v>
      </c>
      <c r="BQ304" s="35">
        <f t="shared" si="4"/>
        <v>2082</v>
      </c>
      <c r="BR304" s="35">
        <f t="shared" si="4"/>
        <v>2083</v>
      </c>
      <c r="BS304" s="35">
        <f t="shared" si="4"/>
        <v>2084</v>
      </c>
      <c r="BT304" s="35">
        <f t="shared" si="4"/>
        <v>2085</v>
      </c>
      <c r="BU304" s="35">
        <f t="shared" si="4"/>
        <v>2086</v>
      </c>
      <c r="BV304" s="35">
        <f t="shared" si="4"/>
        <v>2087</v>
      </c>
      <c r="BW304" s="35">
        <f t="shared" si="4"/>
        <v>2088</v>
      </c>
      <c r="BX304" s="35">
        <f t="shared" si="4"/>
        <v>2089</v>
      </c>
      <c r="BY304" s="35">
        <f t="shared" si="4"/>
        <v>2090</v>
      </c>
      <c r="BZ304" s="35">
        <f t="shared" si="4"/>
        <v>2091</v>
      </c>
      <c r="CA304" s="35">
        <f t="shared" si="4"/>
        <v>2092</v>
      </c>
      <c r="CB304" s="35">
        <f t="shared" si="4"/>
        <v>2093</v>
      </c>
      <c r="CC304" s="35">
        <f t="shared" si="4"/>
        <v>2094</v>
      </c>
      <c r="CD304" s="35">
        <f t="shared" si="4"/>
        <v>2095</v>
      </c>
      <c r="CE304" s="35">
        <f t="shared" si="4"/>
        <v>2096</v>
      </c>
      <c r="CF304" s="35">
        <f t="shared" si="4"/>
        <v>2097</v>
      </c>
      <c r="CG304" s="35">
        <f t="shared" si="4"/>
        <v>2098</v>
      </c>
      <c r="CH304" s="35">
        <f t="shared" si="4"/>
        <v>2099</v>
      </c>
      <c r="CI304" s="35">
        <f t="shared" si="4"/>
        <v>2100</v>
      </c>
    </row>
    <row r="305" spans="1:87" ht="14.25" customHeight="1" x14ac:dyDescent="0.35">
      <c r="A305" s="42" t="s">
        <v>228</v>
      </c>
      <c r="B305" s="537">
        <v>-1.0229372218108638E-2</v>
      </c>
      <c r="C305" s="538">
        <f t="shared" ref="C305:C311" si="5">+B305</f>
        <v>-1.0229372218108638E-2</v>
      </c>
      <c r="D305" s="539">
        <f t="shared" ref="D305:S306" si="6">C305+($AK305-$C305)/($AK$304-$C$304)</f>
        <v>-1.0810861270517207E-2</v>
      </c>
      <c r="E305" s="539">
        <f t="shared" si="6"/>
        <v>-1.1392350322925777E-2</v>
      </c>
      <c r="F305" s="539">
        <f t="shared" si="6"/>
        <v>-1.1973839375334347E-2</v>
      </c>
      <c r="G305" s="539">
        <f t="shared" si="6"/>
        <v>-1.2555328427742917E-2</v>
      </c>
      <c r="H305" s="539">
        <f t="shared" si="6"/>
        <v>-1.3136817480151487E-2</v>
      </c>
      <c r="I305" s="539">
        <f t="shared" si="6"/>
        <v>-1.3718306532560056E-2</v>
      </c>
      <c r="J305" s="539">
        <f t="shared" si="6"/>
        <v>-1.4299795584968626E-2</v>
      </c>
      <c r="K305" s="539">
        <f t="shared" si="6"/>
        <v>-1.4881284637377196E-2</v>
      </c>
      <c r="L305" s="539">
        <f t="shared" si="6"/>
        <v>-1.5462773689785766E-2</v>
      </c>
      <c r="M305" s="539">
        <f t="shared" si="6"/>
        <v>-1.6044262742194334E-2</v>
      </c>
      <c r="N305" s="539">
        <f t="shared" si="6"/>
        <v>-1.6625751794602902E-2</v>
      </c>
      <c r="O305" s="539">
        <f t="shared" si="6"/>
        <v>-1.720724084701147E-2</v>
      </c>
      <c r="P305" s="539">
        <f t="shared" si="6"/>
        <v>-1.7788729899420038E-2</v>
      </c>
      <c r="Q305" s="539">
        <f t="shared" si="6"/>
        <v>-1.8370218951828606E-2</v>
      </c>
      <c r="R305" s="539">
        <f t="shared" si="6"/>
        <v>-1.8951708004237174E-2</v>
      </c>
      <c r="S305" s="539">
        <f t="shared" si="6"/>
        <v>-1.9533197056645742E-2</v>
      </c>
      <c r="T305" s="539">
        <f t="shared" ref="T305:AI306" si="7">S305+($AK305-$C305)/($AK$304-$C$304)</f>
        <v>-2.011468610905431E-2</v>
      </c>
      <c r="U305" s="539">
        <f t="shared" si="7"/>
        <v>-2.0696175161462878E-2</v>
      </c>
      <c r="V305" s="539">
        <f t="shared" si="7"/>
        <v>-2.1277664213871447E-2</v>
      </c>
      <c r="W305" s="539">
        <f t="shared" si="7"/>
        <v>-2.1859153266280015E-2</v>
      </c>
      <c r="X305" s="539">
        <f t="shared" si="7"/>
        <v>-2.2440642318688583E-2</v>
      </c>
      <c r="Y305" s="539">
        <f t="shared" si="7"/>
        <v>-2.3022131371097151E-2</v>
      </c>
      <c r="Z305" s="539">
        <f t="shared" si="7"/>
        <v>-2.3603620423505719E-2</v>
      </c>
      <c r="AA305" s="539">
        <f t="shared" si="7"/>
        <v>-2.4185109475914287E-2</v>
      </c>
      <c r="AB305" s="539">
        <f t="shared" si="7"/>
        <v>-2.4766598528322855E-2</v>
      </c>
      <c r="AC305" s="539">
        <f t="shared" si="7"/>
        <v>-2.5348087580731423E-2</v>
      </c>
      <c r="AD305" s="539">
        <f t="shared" si="7"/>
        <v>-2.5929576633139991E-2</v>
      </c>
      <c r="AE305" s="539">
        <f t="shared" si="7"/>
        <v>-2.6511065685548559E-2</v>
      </c>
      <c r="AF305" s="539">
        <f t="shared" si="7"/>
        <v>-2.7092554737957127E-2</v>
      </c>
      <c r="AG305" s="539">
        <f t="shared" si="7"/>
        <v>-2.7674043790365695E-2</v>
      </c>
      <c r="AH305" s="539">
        <f t="shared" si="7"/>
        <v>-2.8255532842774263E-2</v>
      </c>
      <c r="AI305" s="539">
        <f t="shared" si="7"/>
        <v>-2.8837021895182832E-2</v>
      </c>
      <c r="AJ305" s="539">
        <f t="shared" ref="D305:AJ314" si="8">AI305+($AK305-$C305)/($AK$304-$C$304)</f>
        <v>-2.94185109475914E-2</v>
      </c>
      <c r="AK305" s="540">
        <v>-0.03</v>
      </c>
      <c r="AL305" s="539">
        <f t="shared" ref="AL305:CH310" si="9">+AK305+($CI305-$AK305)/($CI$304-$AK$304)</f>
        <v>-0.03</v>
      </c>
      <c r="AM305" s="539">
        <f t="shared" si="9"/>
        <v>-0.03</v>
      </c>
      <c r="AN305" s="539">
        <f t="shared" si="9"/>
        <v>-0.03</v>
      </c>
      <c r="AO305" s="539">
        <f t="shared" si="9"/>
        <v>-0.03</v>
      </c>
      <c r="AP305" s="539">
        <f t="shared" si="9"/>
        <v>-0.03</v>
      </c>
      <c r="AQ305" s="539">
        <f t="shared" si="9"/>
        <v>-0.03</v>
      </c>
      <c r="AR305" s="539">
        <f t="shared" si="9"/>
        <v>-0.03</v>
      </c>
      <c r="AS305" s="539">
        <f t="shared" si="9"/>
        <v>-0.03</v>
      </c>
      <c r="AT305" s="539">
        <f t="shared" si="9"/>
        <v>-0.03</v>
      </c>
      <c r="AU305" s="539">
        <f t="shared" si="9"/>
        <v>-0.03</v>
      </c>
      <c r="AV305" s="539">
        <f t="shared" si="9"/>
        <v>-0.03</v>
      </c>
      <c r="AW305" s="539">
        <f t="shared" si="9"/>
        <v>-0.03</v>
      </c>
      <c r="AX305" s="539">
        <f t="shared" si="9"/>
        <v>-0.03</v>
      </c>
      <c r="AY305" s="539">
        <f t="shared" si="9"/>
        <v>-0.03</v>
      </c>
      <c r="AZ305" s="539">
        <f t="shared" si="9"/>
        <v>-0.03</v>
      </c>
      <c r="BA305" s="539">
        <f t="shared" si="9"/>
        <v>-0.03</v>
      </c>
      <c r="BB305" s="539">
        <f t="shared" si="9"/>
        <v>-0.03</v>
      </c>
      <c r="BC305" s="539">
        <f t="shared" si="9"/>
        <v>-0.03</v>
      </c>
      <c r="BD305" s="539">
        <f t="shared" si="9"/>
        <v>-0.03</v>
      </c>
      <c r="BE305" s="539">
        <f t="shared" si="9"/>
        <v>-0.03</v>
      </c>
      <c r="BF305" s="539">
        <f t="shared" si="9"/>
        <v>-0.03</v>
      </c>
      <c r="BG305" s="539">
        <f t="shared" si="9"/>
        <v>-0.03</v>
      </c>
      <c r="BH305" s="539">
        <f t="shared" si="9"/>
        <v>-0.03</v>
      </c>
      <c r="BI305" s="539">
        <f t="shared" si="9"/>
        <v>-0.03</v>
      </c>
      <c r="BJ305" s="539">
        <f t="shared" si="9"/>
        <v>-0.03</v>
      </c>
      <c r="BK305" s="539">
        <f t="shared" si="9"/>
        <v>-0.03</v>
      </c>
      <c r="BL305" s="539">
        <f t="shared" si="9"/>
        <v>-0.03</v>
      </c>
      <c r="BM305" s="539">
        <f t="shared" si="9"/>
        <v>-0.03</v>
      </c>
      <c r="BN305" s="539">
        <f t="shared" si="9"/>
        <v>-0.03</v>
      </c>
      <c r="BO305" s="539">
        <f t="shared" si="9"/>
        <v>-0.03</v>
      </c>
      <c r="BP305" s="539">
        <f t="shared" si="9"/>
        <v>-0.03</v>
      </c>
      <c r="BQ305" s="539">
        <f t="shared" si="9"/>
        <v>-0.03</v>
      </c>
      <c r="BR305" s="539">
        <f t="shared" si="9"/>
        <v>-0.03</v>
      </c>
      <c r="BS305" s="539">
        <f t="shared" si="9"/>
        <v>-0.03</v>
      </c>
      <c r="BT305" s="539">
        <f t="shared" si="9"/>
        <v>-0.03</v>
      </c>
      <c r="BU305" s="539">
        <f t="shared" si="9"/>
        <v>-0.03</v>
      </c>
      <c r="BV305" s="539">
        <f t="shared" si="9"/>
        <v>-0.03</v>
      </c>
      <c r="BW305" s="539">
        <f t="shared" si="9"/>
        <v>-0.03</v>
      </c>
      <c r="BX305" s="539">
        <f t="shared" si="9"/>
        <v>-0.03</v>
      </c>
      <c r="BY305" s="539">
        <f t="shared" si="9"/>
        <v>-0.03</v>
      </c>
      <c r="BZ305" s="539">
        <f t="shared" si="9"/>
        <v>-0.03</v>
      </c>
      <c r="CA305" s="539">
        <f t="shared" si="9"/>
        <v>-0.03</v>
      </c>
      <c r="CB305" s="539">
        <f t="shared" si="9"/>
        <v>-0.03</v>
      </c>
      <c r="CC305" s="539">
        <f t="shared" si="9"/>
        <v>-0.03</v>
      </c>
      <c r="CD305" s="539">
        <f t="shared" si="9"/>
        <v>-0.03</v>
      </c>
      <c r="CE305" s="539">
        <f t="shared" si="9"/>
        <v>-0.03</v>
      </c>
      <c r="CF305" s="539">
        <f t="shared" si="9"/>
        <v>-0.03</v>
      </c>
      <c r="CG305" s="539">
        <f t="shared" si="9"/>
        <v>-0.03</v>
      </c>
      <c r="CH305" s="539">
        <f t="shared" si="9"/>
        <v>-0.03</v>
      </c>
      <c r="CI305" s="539">
        <v>-0.03</v>
      </c>
    </row>
    <row r="306" spans="1:87" ht="14.25" customHeight="1" x14ac:dyDescent="0.35">
      <c r="A306" s="42" t="s">
        <v>95</v>
      </c>
      <c r="B306" s="539">
        <v>-2.4437482657075748E-2</v>
      </c>
      <c r="C306" s="538">
        <f t="shared" si="5"/>
        <v>-2.4437482657075748E-2</v>
      </c>
      <c r="D306" s="539">
        <f t="shared" si="6"/>
        <v>-2.4601086108338225E-2</v>
      </c>
      <c r="E306" s="539">
        <f t="shared" si="6"/>
        <v>-2.4764689559600702E-2</v>
      </c>
      <c r="F306" s="539">
        <f t="shared" si="6"/>
        <v>-2.4928293010863179E-2</v>
      </c>
      <c r="G306" s="539">
        <f t="shared" si="6"/>
        <v>-2.5091896462125656E-2</v>
      </c>
      <c r="H306" s="539">
        <f t="shared" si="6"/>
        <v>-2.5255499913388133E-2</v>
      </c>
      <c r="I306" s="539">
        <f t="shared" si="6"/>
        <v>-2.541910336465061E-2</v>
      </c>
      <c r="J306" s="539">
        <f t="shared" si="6"/>
        <v>-2.5582706815913087E-2</v>
      </c>
      <c r="K306" s="539">
        <f t="shared" si="6"/>
        <v>-2.5746310267175564E-2</v>
      </c>
      <c r="L306" s="539">
        <f t="shared" si="6"/>
        <v>-2.5909913718438041E-2</v>
      </c>
      <c r="M306" s="539">
        <f t="shared" si="6"/>
        <v>-2.6073517169700518E-2</v>
      </c>
      <c r="N306" s="539">
        <f t="shared" si="6"/>
        <v>-2.6237120620962995E-2</v>
      </c>
      <c r="O306" s="539">
        <f t="shared" si="6"/>
        <v>-2.6400724072225473E-2</v>
      </c>
      <c r="P306" s="539">
        <f t="shared" si="6"/>
        <v>-2.656432752348795E-2</v>
      </c>
      <c r="Q306" s="539">
        <f t="shared" si="6"/>
        <v>-2.6727930974750427E-2</v>
      </c>
      <c r="R306" s="539">
        <f t="shared" si="6"/>
        <v>-2.6891534426012904E-2</v>
      </c>
      <c r="S306" s="539">
        <f t="shared" si="6"/>
        <v>-2.7055137877275381E-2</v>
      </c>
      <c r="T306" s="539">
        <f t="shared" si="7"/>
        <v>-2.7218741328537858E-2</v>
      </c>
      <c r="U306" s="539">
        <f t="shared" si="7"/>
        <v>-2.7382344779800335E-2</v>
      </c>
      <c r="V306" s="539">
        <f t="shared" si="7"/>
        <v>-2.7545948231062812E-2</v>
      </c>
      <c r="W306" s="539">
        <f t="shared" si="7"/>
        <v>-2.7709551682325289E-2</v>
      </c>
      <c r="X306" s="539">
        <f t="shared" si="7"/>
        <v>-2.7873155133587766E-2</v>
      </c>
      <c r="Y306" s="539">
        <f t="shared" si="7"/>
        <v>-2.8036758584850243E-2</v>
      </c>
      <c r="Z306" s="539">
        <f t="shared" si="7"/>
        <v>-2.820036203611272E-2</v>
      </c>
      <c r="AA306" s="539">
        <f t="shared" si="7"/>
        <v>-2.8363965487375197E-2</v>
      </c>
      <c r="AB306" s="539">
        <f t="shared" si="7"/>
        <v>-2.8527568938637674E-2</v>
      </c>
      <c r="AC306" s="539">
        <f t="shared" si="7"/>
        <v>-2.8691172389900151E-2</v>
      </c>
      <c r="AD306" s="539">
        <f t="shared" si="7"/>
        <v>-2.8854775841162628E-2</v>
      </c>
      <c r="AE306" s="539">
        <f t="shared" si="7"/>
        <v>-2.9018379292425105E-2</v>
      </c>
      <c r="AF306" s="539">
        <f t="shared" si="7"/>
        <v>-2.9181982743687582E-2</v>
      </c>
      <c r="AG306" s="539">
        <f t="shared" si="7"/>
        <v>-2.9345586194950059E-2</v>
      </c>
      <c r="AH306" s="539">
        <f t="shared" si="7"/>
        <v>-2.9509189646212537E-2</v>
      </c>
      <c r="AI306" s="539">
        <f t="shared" si="7"/>
        <v>-2.9672793097475014E-2</v>
      </c>
      <c r="AJ306" s="539">
        <f t="shared" si="8"/>
        <v>-2.9836396548737491E-2</v>
      </c>
      <c r="AK306" s="540">
        <v>-0.03</v>
      </c>
      <c r="AL306" s="539">
        <f t="shared" si="9"/>
        <v>-0.03</v>
      </c>
      <c r="AM306" s="539">
        <f t="shared" si="9"/>
        <v>-0.03</v>
      </c>
      <c r="AN306" s="539">
        <f t="shared" si="9"/>
        <v>-0.03</v>
      </c>
      <c r="AO306" s="539">
        <f t="shared" si="9"/>
        <v>-0.03</v>
      </c>
      <c r="AP306" s="539">
        <f t="shared" si="9"/>
        <v>-0.03</v>
      </c>
      <c r="AQ306" s="539">
        <f t="shared" si="9"/>
        <v>-0.03</v>
      </c>
      <c r="AR306" s="539">
        <f t="shared" si="9"/>
        <v>-0.03</v>
      </c>
      <c r="AS306" s="539">
        <f t="shared" si="9"/>
        <v>-0.03</v>
      </c>
      <c r="AT306" s="539">
        <f t="shared" si="9"/>
        <v>-0.03</v>
      </c>
      <c r="AU306" s="539">
        <f t="shared" si="9"/>
        <v>-0.03</v>
      </c>
      <c r="AV306" s="539">
        <f t="shared" si="9"/>
        <v>-0.03</v>
      </c>
      <c r="AW306" s="539">
        <f t="shared" si="9"/>
        <v>-0.03</v>
      </c>
      <c r="AX306" s="539">
        <f t="shared" si="9"/>
        <v>-0.03</v>
      </c>
      <c r="AY306" s="539">
        <f t="shared" si="9"/>
        <v>-0.03</v>
      </c>
      <c r="AZ306" s="539">
        <f t="shared" si="9"/>
        <v>-0.03</v>
      </c>
      <c r="BA306" s="539">
        <f t="shared" si="9"/>
        <v>-0.03</v>
      </c>
      <c r="BB306" s="539">
        <f t="shared" si="9"/>
        <v>-0.03</v>
      </c>
      <c r="BC306" s="539">
        <f t="shared" si="9"/>
        <v>-0.03</v>
      </c>
      <c r="BD306" s="539">
        <f t="shared" si="9"/>
        <v>-0.03</v>
      </c>
      <c r="BE306" s="539">
        <f t="shared" si="9"/>
        <v>-0.03</v>
      </c>
      <c r="BF306" s="539">
        <f t="shared" si="9"/>
        <v>-0.03</v>
      </c>
      <c r="BG306" s="539">
        <f t="shared" si="9"/>
        <v>-0.03</v>
      </c>
      <c r="BH306" s="539">
        <f t="shared" si="9"/>
        <v>-0.03</v>
      </c>
      <c r="BI306" s="539">
        <f t="shared" si="9"/>
        <v>-0.03</v>
      </c>
      <c r="BJ306" s="539">
        <f t="shared" si="9"/>
        <v>-0.03</v>
      </c>
      <c r="BK306" s="539">
        <f t="shared" si="9"/>
        <v>-0.03</v>
      </c>
      <c r="BL306" s="539">
        <f t="shared" si="9"/>
        <v>-0.03</v>
      </c>
      <c r="BM306" s="539">
        <f t="shared" si="9"/>
        <v>-0.03</v>
      </c>
      <c r="BN306" s="539">
        <f t="shared" si="9"/>
        <v>-0.03</v>
      </c>
      <c r="BO306" s="539">
        <f t="shared" si="9"/>
        <v>-0.03</v>
      </c>
      <c r="BP306" s="539">
        <f t="shared" si="9"/>
        <v>-0.03</v>
      </c>
      <c r="BQ306" s="539">
        <f t="shared" si="9"/>
        <v>-0.03</v>
      </c>
      <c r="BR306" s="539">
        <f t="shared" si="9"/>
        <v>-0.03</v>
      </c>
      <c r="BS306" s="539">
        <f t="shared" si="9"/>
        <v>-0.03</v>
      </c>
      <c r="BT306" s="539">
        <f t="shared" si="9"/>
        <v>-0.03</v>
      </c>
      <c r="BU306" s="539">
        <f t="shared" si="9"/>
        <v>-0.03</v>
      </c>
      <c r="BV306" s="539">
        <f t="shared" si="9"/>
        <v>-0.03</v>
      </c>
      <c r="BW306" s="539">
        <f t="shared" si="9"/>
        <v>-0.03</v>
      </c>
      <c r="BX306" s="539">
        <f t="shared" si="9"/>
        <v>-0.03</v>
      </c>
      <c r="BY306" s="539">
        <f t="shared" si="9"/>
        <v>-0.03</v>
      </c>
      <c r="BZ306" s="539">
        <f t="shared" si="9"/>
        <v>-0.03</v>
      </c>
      <c r="CA306" s="539">
        <f t="shared" si="9"/>
        <v>-0.03</v>
      </c>
      <c r="CB306" s="539">
        <f t="shared" si="9"/>
        <v>-0.03</v>
      </c>
      <c r="CC306" s="539">
        <f t="shared" si="9"/>
        <v>-0.03</v>
      </c>
      <c r="CD306" s="539">
        <f t="shared" si="9"/>
        <v>-0.03</v>
      </c>
      <c r="CE306" s="539">
        <f t="shared" si="9"/>
        <v>-0.03</v>
      </c>
      <c r="CF306" s="539">
        <f t="shared" si="9"/>
        <v>-0.03</v>
      </c>
      <c r="CG306" s="539">
        <f t="shared" si="9"/>
        <v>-0.03</v>
      </c>
      <c r="CH306" s="539">
        <f t="shared" si="9"/>
        <v>-0.03</v>
      </c>
      <c r="CI306" s="539">
        <v>-0.03</v>
      </c>
    </row>
    <row r="307" spans="1:87" ht="14.25" customHeight="1" x14ac:dyDescent="0.35">
      <c r="A307" s="42" t="s">
        <v>96</v>
      </c>
      <c r="B307" s="539">
        <v>-1.7607958140227167E-2</v>
      </c>
      <c r="C307" s="538">
        <f t="shared" si="5"/>
        <v>-1.7607958140227167E-2</v>
      </c>
      <c r="D307" s="539">
        <f t="shared" si="8"/>
        <v>-1.797242995963225E-2</v>
      </c>
      <c r="E307" s="539">
        <f t="shared" si="8"/>
        <v>-1.8336901779037334E-2</v>
      </c>
      <c r="F307" s="539">
        <f t="shared" si="8"/>
        <v>-1.8701373598442417E-2</v>
      </c>
      <c r="G307" s="539">
        <f t="shared" si="8"/>
        <v>-1.9065845417847501E-2</v>
      </c>
      <c r="H307" s="539">
        <f t="shared" si="8"/>
        <v>-1.9430317237252585E-2</v>
      </c>
      <c r="I307" s="539">
        <f t="shared" si="8"/>
        <v>-1.9794789056657668E-2</v>
      </c>
      <c r="J307" s="539">
        <f t="shared" si="8"/>
        <v>-2.0159260876062752E-2</v>
      </c>
      <c r="K307" s="539">
        <f t="shared" si="8"/>
        <v>-2.0523732695467835E-2</v>
      </c>
      <c r="L307" s="539">
        <f t="shared" si="8"/>
        <v>-2.0888204514872919E-2</v>
      </c>
      <c r="M307" s="539">
        <f t="shared" si="8"/>
        <v>-2.1252676334278003E-2</v>
      </c>
      <c r="N307" s="539">
        <f t="shared" si="8"/>
        <v>-2.1617148153683086E-2</v>
      </c>
      <c r="O307" s="539">
        <f t="shared" si="8"/>
        <v>-2.198161997308817E-2</v>
      </c>
      <c r="P307" s="539">
        <f t="shared" si="8"/>
        <v>-2.2346091792493254E-2</v>
      </c>
      <c r="Q307" s="539">
        <f t="shared" si="8"/>
        <v>-2.2710563611898337E-2</v>
      </c>
      <c r="R307" s="539">
        <f t="shared" si="8"/>
        <v>-2.3075035431303421E-2</v>
      </c>
      <c r="S307" s="539">
        <f t="shared" si="8"/>
        <v>-2.3439507250708504E-2</v>
      </c>
      <c r="T307" s="539">
        <f t="shared" si="8"/>
        <v>-2.3803979070113588E-2</v>
      </c>
      <c r="U307" s="539">
        <f t="shared" si="8"/>
        <v>-2.4168450889518672E-2</v>
      </c>
      <c r="V307" s="539">
        <f t="shared" si="8"/>
        <v>-2.4532922708923755E-2</v>
      </c>
      <c r="W307" s="539">
        <f t="shared" si="8"/>
        <v>-2.4897394528328839E-2</v>
      </c>
      <c r="X307" s="539">
        <f t="shared" si="8"/>
        <v>-2.5261866347733922E-2</v>
      </c>
      <c r="Y307" s="539">
        <f t="shared" si="8"/>
        <v>-2.5626338167139006E-2</v>
      </c>
      <c r="Z307" s="539">
        <f t="shared" si="8"/>
        <v>-2.599080998654409E-2</v>
      </c>
      <c r="AA307" s="539">
        <f t="shared" si="8"/>
        <v>-2.6355281805949173E-2</v>
      </c>
      <c r="AB307" s="539">
        <f t="shared" si="8"/>
        <v>-2.6719753625354257E-2</v>
      </c>
      <c r="AC307" s="539">
        <f t="shared" si="8"/>
        <v>-2.708422544475934E-2</v>
      </c>
      <c r="AD307" s="539">
        <f t="shared" si="8"/>
        <v>-2.7448697264164424E-2</v>
      </c>
      <c r="AE307" s="539">
        <f t="shared" si="8"/>
        <v>-2.7813169083569508E-2</v>
      </c>
      <c r="AF307" s="539">
        <f t="shared" si="8"/>
        <v>-2.8177640902974591E-2</v>
      </c>
      <c r="AG307" s="539">
        <f t="shared" si="8"/>
        <v>-2.8542112722379675E-2</v>
      </c>
      <c r="AH307" s="539">
        <f t="shared" si="8"/>
        <v>-2.8906584541784758E-2</v>
      </c>
      <c r="AI307" s="539">
        <f t="shared" si="8"/>
        <v>-2.9271056361189842E-2</v>
      </c>
      <c r="AJ307" s="539">
        <f t="shared" si="8"/>
        <v>-2.9635528180594926E-2</v>
      </c>
      <c r="AK307" s="540">
        <v>-0.03</v>
      </c>
      <c r="AL307" s="539">
        <f t="shared" si="9"/>
        <v>-0.03</v>
      </c>
      <c r="AM307" s="539">
        <f t="shared" si="9"/>
        <v>-0.03</v>
      </c>
      <c r="AN307" s="539">
        <f t="shared" si="9"/>
        <v>-0.03</v>
      </c>
      <c r="AO307" s="539">
        <f t="shared" si="9"/>
        <v>-0.03</v>
      </c>
      <c r="AP307" s="539">
        <f t="shared" si="9"/>
        <v>-0.03</v>
      </c>
      <c r="AQ307" s="539">
        <f t="shared" si="9"/>
        <v>-0.03</v>
      </c>
      <c r="AR307" s="539">
        <f t="shared" si="9"/>
        <v>-0.03</v>
      </c>
      <c r="AS307" s="539">
        <f t="shared" si="9"/>
        <v>-0.03</v>
      </c>
      <c r="AT307" s="539">
        <f t="shared" si="9"/>
        <v>-0.03</v>
      </c>
      <c r="AU307" s="539">
        <f t="shared" si="9"/>
        <v>-0.03</v>
      </c>
      <c r="AV307" s="539">
        <f t="shared" si="9"/>
        <v>-0.03</v>
      </c>
      <c r="AW307" s="539">
        <f t="shared" si="9"/>
        <v>-0.03</v>
      </c>
      <c r="AX307" s="539">
        <f t="shared" si="9"/>
        <v>-0.03</v>
      </c>
      <c r="AY307" s="539">
        <f t="shared" si="9"/>
        <v>-0.03</v>
      </c>
      <c r="AZ307" s="539">
        <f t="shared" si="9"/>
        <v>-0.03</v>
      </c>
      <c r="BA307" s="539">
        <f t="shared" si="9"/>
        <v>-0.03</v>
      </c>
      <c r="BB307" s="539">
        <f t="shared" si="9"/>
        <v>-0.03</v>
      </c>
      <c r="BC307" s="539">
        <f t="shared" si="9"/>
        <v>-0.03</v>
      </c>
      <c r="BD307" s="539">
        <f t="shared" si="9"/>
        <v>-0.03</v>
      </c>
      <c r="BE307" s="539">
        <f t="shared" si="9"/>
        <v>-0.03</v>
      </c>
      <c r="BF307" s="539">
        <f t="shared" si="9"/>
        <v>-0.03</v>
      </c>
      <c r="BG307" s="539">
        <f t="shared" si="9"/>
        <v>-0.03</v>
      </c>
      <c r="BH307" s="539">
        <f t="shared" si="9"/>
        <v>-0.03</v>
      </c>
      <c r="BI307" s="539">
        <f t="shared" si="9"/>
        <v>-0.03</v>
      </c>
      <c r="BJ307" s="539">
        <f t="shared" si="9"/>
        <v>-0.03</v>
      </c>
      <c r="BK307" s="539">
        <f t="shared" si="9"/>
        <v>-0.03</v>
      </c>
      <c r="BL307" s="539">
        <f t="shared" si="9"/>
        <v>-0.03</v>
      </c>
      <c r="BM307" s="539">
        <f t="shared" si="9"/>
        <v>-0.03</v>
      </c>
      <c r="BN307" s="539">
        <f t="shared" si="9"/>
        <v>-0.03</v>
      </c>
      <c r="BO307" s="539">
        <f t="shared" si="9"/>
        <v>-0.03</v>
      </c>
      <c r="BP307" s="539">
        <f t="shared" si="9"/>
        <v>-0.03</v>
      </c>
      <c r="BQ307" s="539">
        <f t="shared" si="9"/>
        <v>-0.03</v>
      </c>
      <c r="BR307" s="539">
        <f t="shared" si="9"/>
        <v>-0.03</v>
      </c>
      <c r="BS307" s="539">
        <f t="shared" si="9"/>
        <v>-0.03</v>
      </c>
      <c r="BT307" s="539">
        <f t="shared" si="9"/>
        <v>-0.03</v>
      </c>
      <c r="BU307" s="539">
        <f t="shared" si="9"/>
        <v>-0.03</v>
      </c>
      <c r="BV307" s="539">
        <f t="shared" si="9"/>
        <v>-0.03</v>
      </c>
      <c r="BW307" s="539">
        <f t="shared" si="9"/>
        <v>-0.03</v>
      </c>
      <c r="BX307" s="539">
        <f t="shared" si="9"/>
        <v>-0.03</v>
      </c>
      <c r="BY307" s="539">
        <f t="shared" si="9"/>
        <v>-0.03</v>
      </c>
      <c r="BZ307" s="539">
        <f t="shared" si="9"/>
        <v>-0.03</v>
      </c>
      <c r="CA307" s="539">
        <f t="shared" si="9"/>
        <v>-0.03</v>
      </c>
      <c r="CB307" s="539">
        <f t="shared" si="9"/>
        <v>-0.03</v>
      </c>
      <c r="CC307" s="539">
        <f t="shared" si="9"/>
        <v>-0.03</v>
      </c>
      <c r="CD307" s="539">
        <f t="shared" si="9"/>
        <v>-0.03</v>
      </c>
      <c r="CE307" s="539">
        <f t="shared" si="9"/>
        <v>-0.03</v>
      </c>
      <c r="CF307" s="539">
        <f t="shared" si="9"/>
        <v>-0.03</v>
      </c>
      <c r="CG307" s="539">
        <f t="shared" si="9"/>
        <v>-0.03</v>
      </c>
      <c r="CH307" s="539">
        <f t="shared" si="9"/>
        <v>-0.03</v>
      </c>
      <c r="CI307" s="539">
        <v>-0.03</v>
      </c>
    </row>
    <row r="308" spans="1:87" ht="14.25" customHeight="1" x14ac:dyDescent="0.35">
      <c r="A308" s="42" t="s">
        <v>97</v>
      </c>
      <c r="B308" s="539">
        <v>-3.3290256115789174E-2</v>
      </c>
      <c r="C308" s="538">
        <f t="shared" si="5"/>
        <v>-3.3290256115789174E-2</v>
      </c>
      <c r="D308" s="539">
        <f t="shared" si="8"/>
        <v>-3.3193483877089494E-2</v>
      </c>
      <c r="E308" s="539">
        <f t="shared" si="8"/>
        <v>-3.3096711638389814E-2</v>
      </c>
      <c r="F308" s="539">
        <f t="shared" si="8"/>
        <v>-3.2999939399690134E-2</v>
      </c>
      <c r="G308" s="539">
        <f t="shared" si="8"/>
        <v>-3.2903167160990454E-2</v>
      </c>
      <c r="H308" s="539">
        <f t="shared" si="8"/>
        <v>-3.2806394922290774E-2</v>
      </c>
      <c r="I308" s="539">
        <f t="shared" si="8"/>
        <v>-3.2709622683591094E-2</v>
      </c>
      <c r="J308" s="539">
        <f t="shared" si="8"/>
        <v>-3.2612850444891414E-2</v>
      </c>
      <c r="K308" s="539">
        <f t="shared" si="8"/>
        <v>-3.2516078206191734E-2</v>
      </c>
      <c r="L308" s="539">
        <f t="shared" si="8"/>
        <v>-3.2419305967492054E-2</v>
      </c>
      <c r="M308" s="539">
        <f t="shared" si="8"/>
        <v>-3.2322533728792374E-2</v>
      </c>
      <c r="N308" s="539">
        <f t="shared" si="8"/>
        <v>-3.2225761490092694E-2</v>
      </c>
      <c r="O308" s="539">
        <f t="shared" si="8"/>
        <v>-3.2128989251393014E-2</v>
      </c>
      <c r="P308" s="539">
        <f t="shared" si="8"/>
        <v>-3.2032217012693334E-2</v>
      </c>
      <c r="Q308" s="539">
        <f t="shared" si="8"/>
        <v>-3.1935444773993654E-2</v>
      </c>
      <c r="R308" s="539">
        <f t="shared" si="8"/>
        <v>-3.1838672535293974E-2</v>
      </c>
      <c r="S308" s="539">
        <f t="shared" si="8"/>
        <v>-3.1741900296594294E-2</v>
      </c>
      <c r="T308" s="539">
        <f t="shared" si="8"/>
        <v>-3.1645128057894614E-2</v>
      </c>
      <c r="U308" s="539">
        <f t="shared" si="8"/>
        <v>-3.1548355819194934E-2</v>
      </c>
      <c r="V308" s="539">
        <f t="shared" si="8"/>
        <v>-3.1451583580495254E-2</v>
      </c>
      <c r="W308" s="539">
        <f t="shared" si="8"/>
        <v>-3.1354811341795574E-2</v>
      </c>
      <c r="X308" s="539">
        <f t="shared" si="8"/>
        <v>-3.1258039103095894E-2</v>
      </c>
      <c r="Y308" s="539">
        <f t="shared" si="8"/>
        <v>-3.1161266864396214E-2</v>
      </c>
      <c r="Z308" s="539">
        <f t="shared" si="8"/>
        <v>-3.1064494625696534E-2</v>
      </c>
      <c r="AA308" s="539">
        <f t="shared" si="8"/>
        <v>-3.0967722386996854E-2</v>
      </c>
      <c r="AB308" s="539">
        <f t="shared" si="8"/>
        <v>-3.0870950148297174E-2</v>
      </c>
      <c r="AC308" s="539">
        <f t="shared" si="8"/>
        <v>-3.0774177909597494E-2</v>
      </c>
      <c r="AD308" s="539">
        <f t="shared" si="8"/>
        <v>-3.0677405670897814E-2</v>
      </c>
      <c r="AE308" s="539">
        <f t="shared" si="8"/>
        <v>-3.0580633432198134E-2</v>
      </c>
      <c r="AF308" s="539">
        <f t="shared" si="8"/>
        <v>-3.0483861193498454E-2</v>
      </c>
      <c r="AG308" s="539">
        <f t="shared" si="8"/>
        <v>-3.0387088954798774E-2</v>
      </c>
      <c r="AH308" s="539">
        <f t="shared" si="8"/>
        <v>-3.0290316716099094E-2</v>
      </c>
      <c r="AI308" s="539">
        <f t="shared" si="8"/>
        <v>-3.0193544477399414E-2</v>
      </c>
      <c r="AJ308" s="539">
        <f t="shared" si="8"/>
        <v>-3.0096772238699734E-2</v>
      </c>
      <c r="AK308" s="540">
        <v>-0.03</v>
      </c>
      <c r="AL308" s="539">
        <f t="shared" si="9"/>
        <v>-0.03</v>
      </c>
      <c r="AM308" s="539">
        <f t="shared" si="9"/>
        <v>-0.03</v>
      </c>
      <c r="AN308" s="539">
        <f t="shared" si="9"/>
        <v>-0.03</v>
      </c>
      <c r="AO308" s="539">
        <f t="shared" si="9"/>
        <v>-0.03</v>
      </c>
      <c r="AP308" s="539">
        <f t="shared" si="9"/>
        <v>-0.03</v>
      </c>
      <c r="AQ308" s="539">
        <f t="shared" si="9"/>
        <v>-0.03</v>
      </c>
      <c r="AR308" s="539">
        <f t="shared" si="9"/>
        <v>-0.03</v>
      </c>
      <c r="AS308" s="539">
        <f t="shared" si="9"/>
        <v>-0.03</v>
      </c>
      <c r="AT308" s="539">
        <f t="shared" si="9"/>
        <v>-0.03</v>
      </c>
      <c r="AU308" s="539">
        <f t="shared" si="9"/>
        <v>-0.03</v>
      </c>
      <c r="AV308" s="539">
        <f t="shared" si="9"/>
        <v>-0.03</v>
      </c>
      <c r="AW308" s="539">
        <f t="shared" si="9"/>
        <v>-0.03</v>
      </c>
      <c r="AX308" s="539">
        <f t="shared" si="9"/>
        <v>-0.03</v>
      </c>
      <c r="AY308" s="539">
        <f t="shared" si="9"/>
        <v>-0.03</v>
      </c>
      <c r="AZ308" s="539">
        <f t="shared" si="9"/>
        <v>-0.03</v>
      </c>
      <c r="BA308" s="539">
        <f t="shared" si="9"/>
        <v>-0.03</v>
      </c>
      <c r="BB308" s="539">
        <f t="shared" si="9"/>
        <v>-0.03</v>
      </c>
      <c r="BC308" s="539">
        <f t="shared" si="9"/>
        <v>-0.03</v>
      </c>
      <c r="BD308" s="539">
        <f t="shared" si="9"/>
        <v>-0.03</v>
      </c>
      <c r="BE308" s="539">
        <f t="shared" si="9"/>
        <v>-0.03</v>
      </c>
      <c r="BF308" s="539">
        <f t="shared" si="9"/>
        <v>-0.03</v>
      </c>
      <c r="BG308" s="539">
        <f t="shared" si="9"/>
        <v>-0.03</v>
      </c>
      <c r="BH308" s="539">
        <f t="shared" si="9"/>
        <v>-0.03</v>
      </c>
      <c r="BI308" s="539">
        <f t="shared" si="9"/>
        <v>-0.03</v>
      </c>
      <c r="BJ308" s="539">
        <f t="shared" si="9"/>
        <v>-0.03</v>
      </c>
      <c r="BK308" s="539">
        <f t="shared" si="9"/>
        <v>-0.03</v>
      </c>
      <c r="BL308" s="539">
        <f t="shared" si="9"/>
        <v>-0.03</v>
      </c>
      <c r="BM308" s="539">
        <f t="shared" si="9"/>
        <v>-0.03</v>
      </c>
      <c r="BN308" s="539">
        <f t="shared" si="9"/>
        <v>-0.03</v>
      </c>
      <c r="BO308" s="539">
        <f t="shared" si="9"/>
        <v>-0.03</v>
      </c>
      <c r="BP308" s="539">
        <f t="shared" si="9"/>
        <v>-0.03</v>
      </c>
      <c r="BQ308" s="539">
        <f t="shared" si="9"/>
        <v>-0.03</v>
      </c>
      <c r="BR308" s="539">
        <f t="shared" si="9"/>
        <v>-0.03</v>
      </c>
      <c r="BS308" s="539">
        <f t="shared" si="9"/>
        <v>-0.03</v>
      </c>
      <c r="BT308" s="539">
        <f t="shared" si="9"/>
        <v>-0.03</v>
      </c>
      <c r="BU308" s="539">
        <f t="shared" si="9"/>
        <v>-0.03</v>
      </c>
      <c r="BV308" s="539">
        <f t="shared" si="9"/>
        <v>-0.03</v>
      </c>
      <c r="BW308" s="539">
        <f t="shared" si="9"/>
        <v>-0.03</v>
      </c>
      <c r="BX308" s="539">
        <f t="shared" si="9"/>
        <v>-0.03</v>
      </c>
      <c r="BY308" s="539">
        <f t="shared" si="9"/>
        <v>-0.03</v>
      </c>
      <c r="BZ308" s="539">
        <f t="shared" si="9"/>
        <v>-0.03</v>
      </c>
      <c r="CA308" s="539">
        <f t="shared" si="9"/>
        <v>-0.03</v>
      </c>
      <c r="CB308" s="539">
        <f t="shared" si="9"/>
        <v>-0.03</v>
      </c>
      <c r="CC308" s="539">
        <f t="shared" si="9"/>
        <v>-0.03</v>
      </c>
      <c r="CD308" s="539">
        <f t="shared" si="9"/>
        <v>-0.03</v>
      </c>
      <c r="CE308" s="539">
        <f t="shared" si="9"/>
        <v>-0.03</v>
      </c>
      <c r="CF308" s="539">
        <f t="shared" si="9"/>
        <v>-0.03</v>
      </c>
      <c r="CG308" s="539">
        <f t="shared" si="9"/>
        <v>-0.03</v>
      </c>
      <c r="CH308" s="539">
        <f t="shared" si="9"/>
        <v>-0.03</v>
      </c>
      <c r="CI308" s="539">
        <v>-0.03</v>
      </c>
    </row>
    <row r="309" spans="1:87" ht="14.25" customHeight="1" x14ac:dyDescent="0.35">
      <c r="A309" s="42" t="s">
        <v>98</v>
      </c>
      <c r="B309" s="539">
        <v>-9.5085158710504613E-3</v>
      </c>
      <c r="C309" s="538">
        <f t="shared" si="5"/>
        <v>-9.5085158710504613E-3</v>
      </c>
      <c r="D309" s="539">
        <f t="shared" si="8"/>
        <v>-1.0111206580725448E-2</v>
      </c>
      <c r="E309" s="539">
        <f t="shared" si="8"/>
        <v>-1.0713897290400435E-2</v>
      </c>
      <c r="F309" s="539">
        <f t="shared" si="8"/>
        <v>-1.1316588000075421E-2</v>
      </c>
      <c r="G309" s="539">
        <f t="shared" si="8"/>
        <v>-1.1919278709750408E-2</v>
      </c>
      <c r="H309" s="539">
        <f t="shared" si="8"/>
        <v>-1.2521969419425395E-2</v>
      </c>
      <c r="I309" s="539">
        <f t="shared" si="8"/>
        <v>-1.3124660129100381E-2</v>
      </c>
      <c r="J309" s="539">
        <f t="shared" si="8"/>
        <v>-1.3727350838775368E-2</v>
      </c>
      <c r="K309" s="539">
        <f t="shared" si="8"/>
        <v>-1.4330041548450355E-2</v>
      </c>
      <c r="L309" s="539">
        <f t="shared" si="8"/>
        <v>-1.4932732258125341E-2</v>
      </c>
      <c r="M309" s="539">
        <f t="shared" si="8"/>
        <v>-1.5535422967800328E-2</v>
      </c>
      <c r="N309" s="539">
        <f t="shared" si="8"/>
        <v>-1.6138113677475315E-2</v>
      </c>
      <c r="O309" s="539">
        <f t="shared" si="8"/>
        <v>-1.6740804387150299E-2</v>
      </c>
      <c r="P309" s="539">
        <f t="shared" si="8"/>
        <v>-1.7343495096825284E-2</v>
      </c>
      <c r="Q309" s="539">
        <f t="shared" si="8"/>
        <v>-1.7946185806500269E-2</v>
      </c>
      <c r="R309" s="539">
        <f t="shared" si="8"/>
        <v>-1.8548876516175254E-2</v>
      </c>
      <c r="S309" s="539">
        <f t="shared" si="8"/>
        <v>-1.9151567225850239E-2</v>
      </c>
      <c r="T309" s="539">
        <f t="shared" si="8"/>
        <v>-1.9754257935525224E-2</v>
      </c>
      <c r="U309" s="539">
        <f t="shared" si="8"/>
        <v>-2.0356948645200209E-2</v>
      </c>
      <c r="V309" s="539">
        <f t="shared" si="8"/>
        <v>-2.0959639354875194E-2</v>
      </c>
      <c r="W309" s="539">
        <f t="shared" si="8"/>
        <v>-2.1562330064550179E-2</v>
      </c>
      <c r="X309" s="539">
        <f t="shared" si="8"/>
        <v>-2.2165020774225164E-2</v>
      </c>
      <c r="Y309" s="539">
        <f t="shared" si="8"/>
        <v>-2.2767711483900149E-2</v>
      </c>
      <c r="Z309" s="539">
        <f t="shared" si="8"/>
        <v>-2.3370402193575134E-2</v>
      </c>
      <c r="AA309" s="539">
        <f t="shared" si="8"/>
        <v>-2.3973092903250118E-2</v>
      </c>
      <c r="AB309" s="539">
        <f t="shared" si="8"/>
        <v>-2.4575783612925103E-2</v>
      </c>
      <c r="AC309" s="539">
        <f t="shared" si="8"/>
        <v>-2.5178474322600088E-2</v>
      </c>
      <c r="AD309" s="539">
        <f t="shared" si="8"/>
        <v>-2.5781165032275073E-2</v>
      </c>
      <c r="AE309" s="539">
        <f t="shared" si="8"/>
        <v>-2.6383855741950058E-2</v>
      </c>
      <c r="AF309" s="539">
        <f t="shared" si="8"/>
        <v>-2.6986546451625043E-2</v>
      </c>
      <c r="AG309" s="539">
        <f t="shared" si="8"/>
        <v>-2.7589237161300028E-2</v>
      </c>
      <c r="AH309" s="539">
        <f t="shared" si="8"/>
        <v>-2.8191927870975013E-2</v>
      </c>
      <c r="AI309" s="539">
        <f t="shared" si="8"/>
        <v>-2.8794618580649998E-2</v>
      </c>
      <c r="AJ309" s="539">
        <f t="shared" si="8"/>
        <v>-2.9397309290324983E-2</v>
      </c>
      <c r="AK309" s="540">
        <v>-0.03</v>
      </c>
      <c r="AL309" s="539">
        <f t="shared" si="9"/>
        <v>-0.03</v>
      </c>
      <c r="AM309" s="539">
        <f t="shared" si="9"/>
        <v>-0.03</v>
      </c>
      <c r="AN309" s="539">
        <f t="shared" si="9"/>
        <v>-0.03</v>
      </c>
      <c r="AO309" s="539">
        <f t="shared" si="9"/>
        <v>-0.03</v>
      </c>
      <c r="AP309" s="539">
        <f t="shared" si="9"/>
        <v>-0.03</v>
      </c>
      <c r="AQ309" s="539">
        <f t="shared" si="9"/>
        <v>-0.03</v>
      </c>
      <c r="AR309" s="539">
        <f t="shared" si="9"/>
        <v>-0.03</v>
      </c>
      <c r="AS309" s="539">
        <f t="shared" si="9"/>
        <v>-0.03</v>
      </c>
      <c r="AT309" s="539">
        <f t="shared" si="9"/>
        <v>-0.03</v>
      </c>
      <c r="AU309" s="539">
        <f t="shared" si="9"/>
        <v>-0.03</v>
      </c>
      <c r="AV309" s="539">
        <f t="shared" si="9"/>
        <v>-0.03</v>
      </c>
      <c r="AW309" s="539">
        <f t="shared" si="9"/>
        <v>-0.03</v>
      </c>
      <c r="AX309" s="539">
        <f t="shared" si="9"/>
        <v>-0.03</v>
      </c>
      <c r="AY309" s="539">
        <f t="shared" si="9"/>
        <v>-0.03</v>
      </c>
      <c r="AZ309" s="539">
        <f t="shared" si="9"/>
        <v>-0.03</v>
      </c>
      <c r="BA309" s="539">
        <f t="shared" si="9"/>
        <v>-0.03</v>
      </c>
      <c r="BB309" s="539">
        <f t="shared" si="9"/>
        <v>-0.03</v>
      </c>
      <c r="BC309" s="539">
        <f t="shared" si="9"/>
        <v>-0.03</v>
      </c>
      <c r="BD309" s="539">
        <f t="shared" si="9"/>
        <v>-0.03</v>
      </c>
      <c r="BE309" s="539">
        <f t="shared" si="9"/>
        <v>-0.03</v>
      </c>
      <c r="BF309" s="539">
        <f t="shared" si="9"/>
        <v>-0.03</v>
      </c>
      <c r="BG309" s="539">
        <f t="shared" si="9"/>
        <v>-0.03</v>
      </c>
      <c r="BH309" s="539">
        <f t="shared" si="9"/>
        <v>-0.03</v>
      </c>
      <c r="BI309" s="539">
        <f t="shared" si="9"/>
        <v>-0.03</v>
      </c>
      <c r="BJ309" s="539">
        <f t="shared" si="9"/>
        <v>-0.03</v>
      </c>
      <c r="BK309" s="539">
        <f t="shared" si="9"/>
        <v>-0.03</v>
      </c>
      <c r="BL309" s="539">
        <f t="shared" si="9"/>
        <v>-0.03</v>
      </c>
      <c r="BM309" s="539">
        <f t="shared" si="9"/>
        <v>-0.03</v>
      </c>
      <c r="BN309" s="539">
        <f t="shared" si="9"/>
        <v>-0.03</v>
      </c>
      <c r="BO309" s="539">
        <f t="shared" si="9"/>
        <v>-0.03</v>
      </c>
      <c r="BP309" s="539">
        <f t="shared" si="9"/>
        <v>-0.03</v>
      </c>
      <c r="BQ309" s="539">
        <f t="shared" si="9"/>
        <v>-0.03</v>
      </c>
      <c r="BR309" s="539">
        <f t="shared" si="9"/>
        <v>-0.03</v>
      </c>
      <c r="BS309" s="539">
        <f t="shared" si="9"/>
        <v>-0.03</v>
      </c>
      <c r="BT309" s="539">
        <f t="shared" si="9"/>
        <v>-0.03</v>
      </c>
      <c r="BU309" s="539">
        <f t="shared" si="9"/>
        <v>-0.03</v>
      </c>
      <c r="BV309" s="539">
        <f t="shared" si="9"/>
        <v>-0.03</v>
      </c>
      <c r="BW309" s="539">
        <f t="shared" si="9"/>
        <v>-0.03</v>
      </c>
      <c r="BX309" s="539">
        <f t="shared" si="9"/>
        <v>-0.03</v>
      </c>
      <c r="BY309" s="539">
        <f t="shared" si="9"/>
        <v>-0.03</v>
      </c>
      <c r="BZ309" s="539">
        <f t="shared" si="9"/>
        <v>-0.03</v>
      </c>
      <c r="CA309" s="539">
        <f t="shared" si="9"/>
        <v>-0.03</v>
      </c>
      <c r="CB309" s="539">
        <f t="shared" si="9"/>
        <v>-0.03</v>
      </c>
      <c r="CC309" s="539">
        <f t="shared" si="9"/>
        <v>-0.03</v>
      </c>
      <c r="CD309" s="539">
        <f t="shared" si="9"/>
        <v>-0.03</v>
      </c>
      <c r="CE309" s="539">
        <f t="shared" si="9"/>
        <v>-0.03</v>
      </c>
      <c r="CF309" s="539">
        <f t="shared" si="9"/>
        <v>-0.03</v>
      </c>
      <c r="CG309" s="539">
        <f t="shared" si="9"/>
        <v>-0.03</v>
      </c>
      <c r="CH309" s="539">
        <f t="shared" si="9"/>
        <v>-0.03</v>
      </c>
      <c r="CI309" s="539">
        <v>-0.03</v>
      </c>
    </row>
    <row r="310" spans="1:87" ht="14.25" customHeight="1" x14ac:dyDescent="0.35">
      <c r="A310" s="42" t="s">
        <v>163</v>
      </c>
      <c r="B310" s="539">
        <v>-6.1723758937997997E-3</v>
      </c>
      <c r="C310" s="538">
        <f t="shared" si="5"/>
        <v>-6.1723758937997997E-3</v>
      </c>
      <c r="D310" s="539">
        <f t="shared" si="8"/>
        <v>-6.8731883675115703E-3</v>
      </c>
      <c r="E310" s="539">
        <f t="shared" si="8"/>
        <v>-7.574000841223341E-3</v>
      </c>
      <c r="F310" s="539">
        <f t="shared" si="8"/>
        <v>-8.2748133149351116E-3</v>
      </c>
      <c r="G310" s="539">
        <f t="shared" si="8"/>
        <v>-8.9756257886468814E-3</v>
      </c>
      <c r="H310" s="539">
        <f t="shared" si="8"/>
        <v>-9.6764382623586512E-3</v>
      </c>
      <c r="I310" s="539">
        <f t="shared" si="8"/>
        <v>-1.0377250736070421E-2</v>
      </c>
      <c r="J310" s="539">
        <f t="shared" si="8"/>
        <v>-1.1078063209782191E-2</v>
      </c>
      <c r="K310" s="539">
        <f t="shared" si="8"/>
        <v>-1.177887568349396E-2</v>
      </c>
      <c r="L310" s="539">
        <f t="shared" si="8"/>
        <v>-1.247968815720573E-2</v>
      </c>
      <c r="M310" s="539">
        <f t="shared" si="8"/>
        <v>-1.31805006309175E-2</v>
      </c>
      <c r="N310" s="539">
        <f t="shared" si="8"/>
        <v>-1.388131310462927E-2</v>
      </c>
      <c r="O310" s="539">
        <f t="shared" si="8"/>
        <v>-1.458212557834104E-2</v>
      </c>
      <c r="P310" s="539">
        <f t="shared" si="8"/>
        <v>-1.5282938052052809E-2</v>
      </c>
      <c r="Q310" s="539">
        <f t="shared" si="8"/>
        <v>-1.5983750525764579E-2</v>
      </c>
      <c r="R310" s="539">
        <f t="shared" si="8"/>
        <v>-1.6684562999476349E-2</v>
      </c>
      <c r="S310" s="539">
        <f t="shared" si="8"/>
        <v>-1.7385375473188119E-2</v>
      </c>
      <c r="T310" s="539">
        <f t="shared" si="8"/>
        <v>-1.8086187946899888E-2</v>
      </c>
      <c r="U310" s="539">
        <f t="shared" si="8"/>
        <v>-1.8787000420611658E-2</v>
      </c>
      <c r="V310" s="539">
        <f t="shared" si="8"/>
        <v>-1.9487812894323428E-2</v>
      </c>
      <c r="W310" s="539">
        <f t="shared" si="8"/>
        <v>-2.0188625368035198E-2</v>
      </c>
      <c r="X310" s="539">
        <f t="shared" si="8"/>
        <v>-2.0889437841746968E-2</v>
      </c>
      <c r="Y310" s="539">
        <f t="shared" si="8"/>
        <v>-2.1590250315458737E-2</v>
      </c>
      <c r="Z310" s="539">
        <f t="shared" si="8"/>
        <v>-2.2291062789170507E-2</v>
      </c>
      <c r="AA310" s="539">
        <f t="shared" si="8"/>
        <v>-2.2991875262882277E-2</v>
      </c>
      <c r="AB310" s="539">
        <f t="shared" si="8"/>
        <v>-2.3692687736594047E-2</v>
      </c>
      <c r="AC310" s="539">
        <f t="shared" si="8"/>
        <v>-2.4393500210305816E-2</v>
      </c>
      <c r="AD310" s="539">
        <f t="shared" si="8"/>
        <v>-2.5094312684017586E-2</v>
      </c>
      <c r="AE310" s="539">
        <f t="shared" si="8"/>
        <v>-2.5795125157729356E-2</v>
      </c>
      <c r="AF310" s="539">
        <f t="shared" si="8"/>
        <v>-2.6495937631441126E-2</v>
      </c>
      <c r="AG310" s="539">
        <f t="shared" si="8"/>
        <v>-2.7196750105152896E-2</v>
      </c>
      <c r="AH310" s="539">
        <f t="shared" si="8"/>
        <v>-2.7897562578864665E-2</v>
      </c>
      <c r="AI310" s="539">
        <f t="shared" si="8"/>
        <v>-2.8598375052576435E-2</v>
      </c>
      <c r="AJ310" s="539">
        <f t="shared" si="8"/>
        <v>-2.9299187526288205E-2</v>
      </c>
      <c r="AK310" s="540">
        <v>-0.03</v>
      </c>
      <c r="AL310" s="539">
        <f t="shared" si="9"/>
        <v>-0.03</v>
      </c>
      <c r="AM310" s="539">
        <f t="shared" si="9"/>
        <v>-0.03</v>
      </c>
      <c r="AN310" s="539">
        <f t="shared" si="9"/>
        <v>-0.03</v>
      </c>
      <c r="AO310" s="539">
        <f t="shared" si="9"/>
        <v>-0.03</v>
      </c>
      <c r="AP310" s="539">
        <f t="shared" si="9"/>
        <v>-0.03</v>
      </c>
      <c r="AQ310" s="539">
        <f t="shared" si="9"/>
        <v>-0.03</v>
      </c>
      <c r="AR310" s="539">
        <f t="shared" si="9"/>
        <v>-0.03</v>
      </c>
      <c r="AS310" s="539">
        <f t="shared" si="9"/>
        <v>-0.03</v>
      </c>
      <c r="AT310" s="539">
        <f t="shared" si="9"/>
        <v>-0.03</v>
      </c>
      <c r="AU310" s="539">
        <f t="shared" si="9"/>
        <v>-0.03</v>
      </c>
      <c r="AV310" s="539">
        <f t="shared" ref="AV310:BK325" si="10">+AU310+($CI310-$AK310)/($CI$304-$AK$304)</f>
        <v>-0.03</v>
      </c>
      <c r="AW310" s="539">
        <f t="shared" si="10"/>
        <v>-0.03</v>
      </c>
      <c r="AX310" s="539">
        <f t="shared" si="10"/>
        <v>-0.03</v>
      </c>
      <c r="AY310" s="539">
        <f t="shared" si="10"/>
        <v>-0.03</v>
      </c>
      <c r="AZ310" s="539">
        <f t="shared" si="10"/>
        <v>-0.03</v>
      </c>
      <c r="BA310" s="539">
        <f t="shared" si="10"/>
        <v>-0.03</v>
      </c>
      <c r="BB310" s="539">
        <f t="shared" si="10"/>
        <v>-0.03</v>
      </c>
      <c r="BC310" s="539">
        <f t="shared" si="10"/>
        <v>-0.03</v>
      </c>
      <c r="BD310" s="539">
        <f t="shared" si="10"/>
        <v>-0.03</v>
      </c>
      <c r="BE310" s="539">
        <f t="shared" si="10"/>
        <v>-0.03</v>
      </c>
      <c r="BF310" s="539">
        <f t="shared" si="10"/>
        <v>-0.03</v>
      </c>
      <c r="BG310" s="539">
        <f t="shared" si="10"/>
        <v>-0.03</v>
      </c>
      <c r="BH310" s="539">
        <f t="shared" si="10"/>
        <v>-0.03</v>
      </c>
      <c r="BI310" s="539">
        <f t="shared" si="10"/>
        <v>-0.03</v>
      </c>
      <c r="BJ310" s="539">
        <f t="shared" si="10"/>
        <v>-0.03</v>
      </c>
      <c r="BK310" s="539">
        <f t="shared" si="10"/>
        <v>-0.03</v>
      </c>
      <c r="BL310" s="539">
        <f t="shared" ref="BL310:CA325" si="11">+BK310+($CI310-$AK310)/($CI$304-$AK$304)</f>
        <v>-0.03</v>
      </c>
      <c r="BM310" s="539">
        <f t="shared" si="11"/>
        <v>-0.03</v>
      </c>
      <c r="BN310" s="539">
        <f t="shared" si="11"/>
        <v>-0.03</v>
      </c>
      <c r="BO310" s="539">
        <f t="shared" si="11"/>
        <v>-0.03</v>
      </c>
      <c r="BP310" s="539">
        <f t="shared" si="11"/>
        <v>-0.03</v>
      </c>
      <c r="BQ310" s="539">
        <f t="shared" si="11"/>
        <v>-0.03</v>
      </c>
      <c r="BR310" s="539">
        <f t="shared" si="11"/>
        <v>-0.03</v>
      </c>
      <c r="BS310" s="539">
        <f t="shared" si="11"/>
        <v>-0.03</v>
      </c>
      <c r="BT310" s="539">
        <f t="shared" si="11"/>
        <v>-0.03</v>
      </c>
      <c r="BU310" s="539">
        <f t="shared" si="11"/>
        <v>-0.03</v>
      </c>
      <c r="BV310" s="539">
        <f t="shared" si="11"/>
        <v>-0.03</v>
      </c>
      <c r="BW310" s="539">
        <f t="shared" si="11"/>
        <v>-0.03</v>
      </c>
      <c r="BX310" s="539">
        <f t="shared" si="11"/>
        <v>-0.03</v>
      </c>
      <c r="BY310" s="539">
        <f t="shared" si="11"/>
        <v>-0.03</v>
      </c>
      <c r="BZ310" s="539">
        <f t="shared" si="11"/>
        <v>-0.03</v>
      </c>
      <c r="CA310" s="539">
        <f t="shared" si="11"/>
        <v>-0.03</v>
      </c>
      <c r="CB310" s="539">
        <f t="shared" ref="CA310:CH325" si="12">+CA310+($CI310-$AK310)/($CI$304-$AK$304)</f>
        <v>-0.03</v>
      </c>
      <c r="CC310" s="539">
        <f t="shared" si="12"/>
        <v>-0.03</v>
      </c>
      <c r="CD310" s="539">
        <f t="shared" si="12"/>
        <v>-0.03</v>
      </c>
      <c r="CE310" s="539">
        <f t="shared" si="12"/>
        <v>-0.03</v>
      </c>
      <c r="CF310" s="539">
        <f t="shared" si="12"/>
        <v>-0.03</v>
      </c>
      <c r="CG310" s="539">
        <f t="shared" si="12"/>
        <v>-0.03</v>
      </c>
      <c r="CH310" s="539">
        <f t="shared" si="12"/>
        <v>-0.03</v>
      </c>
      <c r="CI310" s="539">
        <v>-0.03</v>
      </c>
    </row>
    <row r="311" spans="1:87" ht="14.25" customHeight="1" x14ac:dyDescent="0.35">
      <c r="A311" s="42" t="s">
        <v>100</v>
      </c>
      <c r="B311" s="539">
        <v>-1.3591820837663957E-2</v>
      </c>
      <c r="C311" s="538">
        <f t="shared" si="5"/>
        <v>-1.3591820837663957E-2</v>
      </c>
      <c r="D311" s="539">
        <f t="shared" si="8"/>
        <v>-1.4074414342438547E-2</v>
      </c>
      <c r="E311" s="539">
        <f t="shared" si="8"/>
        <v>-1.4557007847213137E-2</v>
      </c>
      <c r="F311" s="539">
        <f t="shared" si="8"/>
        <v>-1.5039601351987727E-2</v>
      </c>
      <c r="G311" s="539">
        <f t="shared" si="8"/>
        <v>-1.5522194856762317E-2</v>
      </c>
      <c r="H311" s="539">
        <f t="shared" si="8"/>
        <v>-1.6004788361536907E-2</v>
      </c>
      <c r="I311" s="539">
        <f t="shared" si="8"/>
        <v>-1.6487381866311497E-2</v>
      </c>
      <c r="J311" s="539">
        <f t="shared" si="8"/>
        <v>-1.6969975371086087E-2</v>
      </c>
      <c r="K311" s="539">
        <f t="shared" si="8"/>
        <v>-1.7452568875860677E-2</v>
      </c>
      <c r="L311" s="539">
        <f t="shared" si="8"/>
        <v>-1.7935162380635267E-2</v>
      </c>
      <c r="M311" s="539">
        <f t="shared" si="8"/>
        <v>-1.8417755885409857E-2</v>
      </c>
      <c r="N311" s="539">
        <f t="shared" si="8"/>
        <v>-1.8900349390184448E-2</v>
      </c>
      <c r="O311" s="539">
        <f t="shared" si="8"/>
        <v>-1.9382942894959038E-2</v>
      </c>
      <c r="P311" s="539">
        <f t="shared" si="8"/>
        <v>-1.9865536399733628E-2</v>
      </c>
      <c r="Q311" s="539">
        <f t="shared" si="8"/>
        <v>-2.0348129904508218E-2</v>
      </c>
      <c r="R311" s="539">
        <f t="shared" si="8"/>
        <v>-2.0830723409282808E-2</v>
      </c>
      <c r="S311" s="539">
        <f t="shared" si="8"/>
        <v>-2.1313316914057398E-2</v>
      </c>
      <c r="T311" s="539">
        <f t="shared" si="8"/>
        <v>-2.1795910418831988E-2</v>
      </c>
      <c r="U311" s="539">
        <f t="shared" si="8"/>
        <v>-2.2278503923606578E-2</v>
      </c>
      <c r="V311" s="539">
        <f t="shared" si="8"/>
        <v>-2.2761097428381168E-2</v>
      </c>
      <c r="W311" s="539">
        <f t="shared" si="8"/>
        <v>-2.3243690933155758E-2</v>
      </c>
      <c r="X311" s="539">
        <f t="shared" si="8"/>
        <v>-2.3726284437930348E-2</v>
      </c>
      <c r="Y311" s="539">
        <f t="shared" si="8"/>
        <v>-2.4208877942704939E-2</v>
      </c>
      <c r="Z311" s="539">
        <f t="shared" si="8"/>
        <v>-2.4691471447479529E-2</v>
      </c>
      <c r="AA311" s="539">
        <f t="shared" si="8"/>
        <v>-2.5174064952254119E-2</v>
      </c>
      <c r="AB311" s="539">
        <f t="shared" si="8"/>
        <v>-2.5656658457028709E-2</v>
      </c>
      <c r="AC311" s="539">
        <f t="shared" si="8"/>
        <v>-2.6139251961803299E-2</v>
      </c>
      <c r="AD311" s="539">
        <f t="shared" si="8"/>
        <v>-2.6621845466577889E-2</v>
      </c>
      <c r="AE311" s="539">
        <f t="shared" si="8"/>
        <v>-2.7104438971352479E-2</v>
      </c>
      <c r="AF311" s="539">
        <f t="shared" si="8"/>
        <v>-2.7587032476127069E-2</v>
      </c>
      <c r="AG311" s="539">
        <f t="shared" si="8"/>
        <v>-2.8069625980901659E-2</v>
      </c>
      <c r="AH311" s="539">
        <f t="shared" si="8"/>
        <v>-2.8552219485676249E-2</v>
      </c>
      <c r="AI311" s="539">
        <f t="shared" si="8"/>
        <v>-2.903481299045084E-2</v>
      </c>
      <c r="AJ311" s="539">
        <f t="shared" si="8"/>
        <v>-2.951740649522543E-2</v>
      </c>
      <c r="AK311" s="540">
        <v>-0.03</v>
      </c>
      <c r="AL311" s="539">
        <f t="shared" ref="AL311:BA326" si="13">+AK311+($CI311-$AK311)/($CI$304-$AK$304)</f>
        <v>-0.03</v>
      </c>
      <c r="AM311" s="539">
        <f t="shared" si="13"/>
        <v>-0.03</v>
      </c>
      <c r="AN311" s="539">
        <f t="shared" si="13"/>
        <v>-0.03</v>
      </c>
      <c r="AO311" s="539">
        <f t="shared" si="13"/>
        <v>-0.03</v>
      </c>
      <c r="AP311" s="539">
        <f t="shared" si="13"/>
        <v>-0.03</v>
      </c>
      <c r="AQ311" s="539">
        <f t="shared" si="13"/>
        <v>-0.03</v>
      </c>
      <c r="AR311" s="539">
        <f t="shared" si="13"/>
        <v>-0.03</v>
      </c>
      <c r="AS311" s="539">
        <f t="shared" si="13"/>
        <v>-0.03</v>
      </c>
      <c r="AT311" s="539">
        <f t="shared" si="13"/>
        <v>-0.03</v>
      </c>
      <c r="AU311" s="539">
        <f t="shared" si="13"/>
        <v>-0.03</v>
      </c>
      <c r="AV311" s="539">
        <f t="shared" si="13"/>
        <v>-0.03</v>
      </c>
      <c r="AW311" s="539">
        <f t="shared" si="13"/>
        <v>-0.03</v>
      </c>
      <c r="AX311" s="539">
        <f t="shared" si="13"/>
        <v>-0.03</v>
      </c>
      <c r="AY311" s="539">
        <f t="shared" si="13"/>
        <v>-0.03</v>
      </c>
      <c r="AZ311" s="539">
        <f t="shared" si="13"/>
        <v>-0.03</v>
      </c>
      <c r="BA311" s="539">
        <f t="shared" si="13"/>
        <v>-0.03</v>
      </c>
      <c r="BB311" s="539">
        <f t="shared" si="10"/>
        <v>-0.03</v>
      </c>
      <c r="BC311" s="539">
        <f t="shared" si="10"/>
        <v>-0.03</v>
      </c>
      <c r="BD311" s="539">
        <f t="shared" si="10"/>
        <v>-0.03</v>
      </c>
      <c r="BE311" s="539">
        <f t="shared" si="10"/>
        <v>-0.03</v>
      </c>
      <c r="BF311" s="539">
        <f t="shared" si="10"/>
        <v>-0.03</v>
      </c>
      <c r="BG311" s="539">
        <f t="shared" si="10"/>
        <v>-0.03</v>
      </c>
      <c r="BH311" s="539">
        <f t="shared" si="10"/>
        <v>-0.03</v>
      </c>
      <c r="BI311" s="539">
        <f t="shared" si="10"/>
        <v>-0.03</v>
      </c>
      <c r="BJ311" s="539">
        <f t="shared" si="10"/>
        <v>-0.03</v>
      </c>
      <c r="BK311" s="539">
        <f t="shared" si="10"/>
        <v>-0.03</v>
      </c>
      <c r="BL311" s="539">
        <f t="shared" si="11"/>
        <v>-0.03</v>
      </c>
      <c r="BM311" s="539">
        <f t="shared" si="11"/>
        <v>-0.03</v>
      </c>
      <c r="BN311" s="539">
        <f t="shared" si="11"/>
        <v>-0.03</v>
      </c>
      <c r="BO311" s="539">
        <f t="shared" si="11"/>
        <v>-0.03</v>
      </c>
      <c r="BP311" s="539">
        <f t="shared" si="11"/>
        <v>-0.03</v>
      </c>
      <c r="BQ311" s="539">
        <f t="shared" si="11"/>
        <v>-0.03</v>
      </c>
      <c r="BR311" s="539">
        <f t="shared" si="11"/>
        <v>-0.03</v>
      </c>
      <c r="BS311" s="539">
        <f t="shared" si="11"/>
        <v>-0.03</v>
      </c>
      <c r="BT311" s="539">
        <f t="shared" si="11"/>
        <v>-0.03</v>
      </c>
      <c r="BU311" s="539">
        <f t="shared" si="11"/>
        <v>-0.03</v>
      </c>
      <c r="BV311" s="539">
        <f t="shared" si="11"/>
        <v>-0.03</v>
      </c>
      <c r="BW311" s="539">
        <f t="shared" si="11"/>
        <v>-0.03</v>
      </c>
      <c r="BX311" s="539">
        <f t="shared" si="11"/>
        <v>-0.03</v>
      </c>
      <c r="BY311" s="539">
        <f t="shared" si="11"/>
        <v>-0.03</v>
      </c>
      <c r="BZ311" s="539">
        <f t="shared" si="11"/>
        <v>-0.03</v>
      </c>
      <c r="CA311" s="539">
        <f t="shared" si="11"/>
        <v>-0.03</v>
      </c>
      <c r="CB311" s="539">
        <f t="shared" si="12"/>
        <v>-0.03</v>
      </c>
      <c r="CC311" s="539">
        <f t="shared" si="12"/>
        <v>-0.03</v>
      </c>
      <c r="CD311" s="539">
        <f t="shared" si="12"/>
        <v>-0.03</v>
      </c>
      <c r="CE311" s="539">
        <f t="shared" si="12"/>
        <v>-0.03</v>
      </c>
      <c r="CF311" s="539">
        <f t="shared" si="12"/>
        <v>-0.03</v>
      </c>
      <c r="CG311" s="539">
        <f t="shared" si="12"/>
        <v>-0.03</v>
      </c>
      <c r="CH311" s="539">
        <f t="shared" si="12"/>
        <v>-0.03</v>
      </c>
      <c r="CI311" s="539">
        <v>-0.03</v>
      </c>
    </row>
    <row r="312" spans="1:87" ht="14.25" customHeight="1" x14ac:dyDescent="0.35">
      <c r="A312" s="42" t="s">
        <v>101</v>
      </c>
      <c r="B312" s="539">
        <v>1.4688412873807583E-3</v>
      </c>
      <c r="C312" s="538">
        <v>-5.0000000000000001E-3</v>
      </c>
      <c r="D312" s="539">
        <f t="shared" si="8"/>
        <v>-5.7352941176470589E-3</v>
      </c>
      <c r="E312" s="539">
        <f t="shared" si="8"/>
        <v>-6.4705882352941177E-3</v>
      </c>
      <c r="F312" s="539">
        <f t="shared" si="8"/>
        <v>-7.2058823529411765E-3</v>
      </c>
      <c r="G312" s="539">
        <f t="shared" si="8"/>
        <v>-7.9411764705882362E-3</v>
      </c>
      <c r="H312" s="539">
        <f t="shared" si="8"/>
        <v>-8.6764705882352959E-3</v>
      </c>
      <c r="I312" s="539">
        <f t="shared" si="8"/>
        <v>-9.4117647058823556E-3</v>
      </c>
      <c r="J312" s="539">
        <f t="shared" si="8"/>
        <v>-1.0147058823529415E-2</v>
      </c>
      <c r="K312" s="539">
        <f t="shared" si="8"/>
        <v>-1.0882352941176475E-2</v>
      </c>
      <c r="L312" s="539">
        <f t="shared" si="8"/>
        <v>-1.1617647058823535E-2</v>
      </c>
      <c r="M312" s="539">
        <f t="shared" si="8"/>
        <v>-1.2352941176470594E-2</v>
      </c>
      <c r="N312" s="539">
        <f t="shared" si="8"/>
        <v>-1.3088235294117654E-2</v>
      </c>
      <c r="O312" s="539">
        <f t="shared" si="8"/>
        <v>-1.3823529411764714E-2</v>
      </c>
      <c r="P312" s="539">
        <f t="shared" si="8"/>
        <v>-1.4558823529411773E-2</v>
      </c>
      <c r="Q312" s="539">
        <f t="shared" si="8"/>
        <v>-1.5294117647058833E-2</v>
      </c>
      <c r="R312" s="539">
        <f t="shared" si="8"/>
        <v>-1.6029411764705893E-2</v>
      </c>
      <c r="S312" s="539">
        <f t="shared" si="8"/>
        <v>-1.6764705882352952E-2</v>
      </c>
      <c r="T312" s="539">
        <f t="shared" si="8"/>
        <v>-1.7500000000000012E-2</v>
      </c>
      <c r="U312" s="539">
        <f t="shared" si="8"/>
        <v>-1.8235294117647072E-2</v>
      </c>
      <c r="V312" s="539">
        <f t="shared" si="8"/>
        <v>-1.8970588235294131E-2</v>
      </c>
      <c r="W312" s="539">
        <f t="shared" si="8"/>
        <v>-1.9705882352941191E-2</v>
      </c>
      <c r="X312" s="539">
        <f t="shared" si="8"/>
        <v>-2.0441176470588251E-2</v>
      </c>
      <c r="Y312" s="539">
        <f t="shared" si="8"/>
        <v>-2.117647058823531E-2</v>
      </c>
      <c r="Z312" s="539">
        <f t="shared" si="8"/>
        <v>-2.191176470588237E-2</v>
      </c>
      <c r="AA312" s="539">
        <f t="shared" si="8"/>
        <v>-2.264705882352943E-2</v>
      </c>
      <c r="AB312" s="539">
        <f t="shared" si="8"/>
        <v>-2.338235294117649E-2</v>
      </c>
      <c r="AC312" s="539">
        <f t="shared" si="8"/>
        <v>-2.4117647058823549E-2</v>
      </c>
      <c r="AD312" s="539">
        <f t="shared" si="8"/>
        <v>-2.4852941176470609E-2</v>
      </c>
      <c r="AE312" s="539">
        <f t="shared" si="8"/>
        <v>-2.5588235294117669E-2</v>
      </c>
      <c r="AF312" s="539">
        <f t="shared" si="8"/>
        <v>-2.6323529411764728E-2</v>
      </c>
      <c r="AG312" s="539">
        <f t="shared" si="8"/>
        <v>-2.7058823529411788E-2</v>
      </c>
      <c r="AH312" s="539">
        <f t="shared" si="8"/>
        <v>-2.7794117647058848E-2</v>
      </c>
      <c r="AI312" s="539">
        <f t="shared" si="8"/>
        <v>-2.8529411764705907E-2</v>
      </c>
      <c r="AJ312" s="539">
        <f t="shared" si="8"/>
        <v>-2.9264705882352967E-2</v>
      </c>
      <c r="AK312" s="540">
        <v>-0.03</v>
      </c>
      <c r="AL312" s="539">
        <f t="shared" si="13"/>
        <v>-0.03</v>
      </c>
      <c r="AM312" s="539">
        <f t="shared" si="13"/>
        <v>-0.03</v>
      </c>
      <c r="AN312" s="539">
        <f t="shared" si="13"/>
        <v>-0.03</v>
      </c>
      <c r="AO312" s="539">
        <f t="shared" si="13"/>
        <v>-0.03</v>
      </c>
      <c r="AP312" s="539">
        <f t="shared" si="13"/>
        <v>-0.03</v>
      </c>
      <c r="AQ312" s="539">
        <f t="shared" si="13"/>
        <v>-0.03</v>
      </c>
      <c r="AR312" s="539">
        <f t="shared" si="13"/>
        <v>-0.03</v>
      </c>
      <c r="AS312" s="539">
        <f t="shared" si="13"/>
        <v>-0.03</v>
      </c>
      <c r="AT312" s="539">
        <f t="shared" si="13"/>
        <v>-0.03</v>
      </c>
      <c r="AU312" s="539">
        <f t="shared" si="13"/>
        <v>-0.03</v>
      </c>
      <c r="AV312" s="539">
        <f t="shared" si="13"/>
        <v>-0.03</v>
      </c>
      <c r="AW312" s="539">
        <f t="shared" si="13"/>
        <v>-0.03</v>
      </c>
      <c r="AX312" s="539">
        <f t="shared" si="13"/>
        <v>-0.03</v>
      </c>
      <c r="AY312" s="539">
        <f t="shared" si="13"/>
        <v>-0.03</v>
      </c>
      <c r="AZ312" s="539">
        <f t="shared" si="13"/>
        <v>-0.03</v>
      </c>
      <c r="BA312" s="539">
        <f t="shared" si="13"/>
        <v>-0.03</v>
      </c>
      <c r="BB312" s="539">
        <f t="shared" si="10"/>
        <v>-0.03</v>
      </c>
      <c r="BC312" s="539">
        <f t="shared" si="10"/>
        <v>-0.03</v>
      </c>
      <c r="BD312" s="539">
        <f t="shared" si="10"/>
        <v>-0.03</v>
      </c>
      <c r="BE312" s="539">
        <f t="shared" si="10"/>
        <v>-0.03</v>
      </c>
      <c r="BF312" s="539">
        <f t="shared" si="10"/>
        <v>-0.03</v>
      </c>
      <c r="BG312" s="539">
        <f t="shared" si="10"/>
        <v>-0.03</v>
      </c>
      <c r="BH312" s="539">
        <f t="shared" si="10"/>
        <v>-0.03</v>
      </c>
      <c r="BI312" s="539">
        <f t="shared" si="10"/>
        <v>-0.03</v>
      </c>
      <c r="BJ312" s="539">
        <f t="shared" si="10"/>
        <v>-0.03</v>
      </c>
      <c r="BK312" s="539">
        <f t="shared" si="10"/>
        <v>-0.03</v>
      </c>
      <c r="BL312" s="539">
        <f t="shared" si="11"/>
        <v>-0.03</v>
      </c>
      <c r="BM312" s="539">
        <f t="shared" si="11"/>
        <v>-0.03</v>
      </c>
      <c r="BN312" s="539">
        <f t="shared" si="11"/>
        <v>-0.03</v>
      </c>
      <c r="BO312" s="539">
        <f t="shared" si="11"/>
        <v>-0.03</v>
      </c>
      <c r="BP312" s="539">
        <f t="shared" si="11"/>
        <v>-0.03</v>
      </c>
      <c r="BQ312" s="539">
        <f t="shared" si="11"/>
        <v>-0.03</v>
      </c>
      <c r="BR312" s="539">
        <f t="shared" si="11"/>
        <v>-0.03</v>
      </c>
      <c r="BS312" s="539">
        <f t="shared" si="11"/>
        <v>-0.03</v>
      </c>
      <c r="BT312" s="539">
        <f t="shared" si="11"/>
        <v>-0.03</v>
      </c>
      <c r="BU312" s="539">
        <f t="shared" si="11"/>
        <v>-0.03</v>
      </c>
      <c r="BV312" s="539">
        <f t="shared" si="11"/>
        <v>-0.03</v>
      </c>
      <c r="BW312" s="539">
        <f t="shared" si="11"/>
        <v>-0.03</v>
      </c>
      <c r="BX312" s="539">
        <f t="shared" si="11"/>
        <v>-0.03</v>
      </c>
      <c r="BY312" s="539">
        <f t="shared" si="11"/>
        <v>-0.03</v>
      </c>
      <c r="BZ312" s="539">
        <f t="shared" si="11"/>
        <v>-0.03</v>
      </c>
      <c r="CA312" s="539">
        <f t="shared" si="12"/>
        <v>-0.03</v>
      </c>
      <c r="CB312" s="539">
        <f t="shared" si="12"/>
        <v>-0.03</v>
      </c>
      <c r="CC312" s="539">
        <f t="shared" si="12"/>
        <v>-0.03</v>
      </c>
      <c r="CD312" s="539">
        <f t="shared" si="12"/>
        <v>-0.03</v>
      </c>
      <c r="CE312" s="539">
        <f t="shared" si="12"/>
        <v>-0.03</v>
      </c>
      <c r="CF312" s="539">
        <f t="shared" si="12"/>
        <v>-0.03</v>
      </c>
      <c r="CG312" s="539">
        <f t="shared" si="12"/>
        <v>-0.03</v>
      </c>
      <c r="CH312" s="539">
        <f t="shared" si="12"/>
        <v>-0.03</v>
      </c>
      <c r="CI312" s="539">
        <v>-0.03</v>
      </c>
    </row>
    <row r="313" spans="1:87" ht="14.25" customHeight="1" x14ac:dyDescent="0.35">
      <c r="A313" s="42" t="s">
        <v>102</v>
      </c>
      <c r="B313" s="539">
        <v>-2.4690365181129176E-2</v>
      </c>
      <c r="C313" s="538">
        <f>+B313</f>
        <v>-2.4690365181129176E-2</v>
      </c>
      <c r="D313" s="539">
        <f t="shared" si="8"/>
        <v>-2.4846530911095965E-2</v>
      </c>
      <c r="E313" s="539">
        <f t="shared" si="8"/>
        <v>-2.5002696641062753E-2</v>
      </c>
      <c r="F313" s="539">
        <f t="shared" si="8"/>
        <v>-2.5158862371029541E-2</v>
      </c>
      <c r="G313" s="539">
        <f t="shared" si="8"/>
        <v>-2.5315028100996329E-2</v>
      </c>
      <c r="H313" s="539">
        <f t="shared" si="8"/>
        <v>-2.5471193830963117E-2</v>
      </c>
      <c r="I313" s="539">
        <f t="shared" si="8"/>
        <v>-2.5627359560929906E-2</v>
      </c>
      <c r="J313" s="539">
        <f t="shared" si="8"/>
        <v>-2.5783525290896694E-2</v>
      </c>
      <c r="K313" s="539">
        <f t="shared" si="8"/>
        <v>-2.5939691020863482E-2</v>
      </c>
      <c r="L313" s="539">
        <f t="shared" si="8"/>
        <v>-2.609585675083027E-2</v>
      </c>
      <c r="M313" s="539">
        <f t="shared" si="8"/>
        <v>-2.6252022480797058E-2</v>
      </c>
      <c r="N313" s="539">
        <f t="shared" si="8"/>
        <v>-2.6408188210763846E-2</v>
      </c>
      <c r="O313" s="539">
        <f t="shared" si="8"/>
        <v>-2.6564353940730635E-2</v>
      </c>
      <c r="P313" s="539">
        <f t="shared" si="8"/>
        <v>-2.6720519670697423E-2</v>
      </c>
      <c r="Q313" s="539">
        <f t="shared" si="8"/>
        <v>-2.6876685400664211E-2</v>
      </c>
      <c r="R313" s="539">
        <f t="shared" si="8"/>
        <v>-2.7032851130630999E-2</v>
      </c>
      <c r="S313" s="539">
        <f t="shared" si="8"/>
        <v>-2.7189016860597787E-2</v>
      </c>
      <c r="T313" s="539">
        <f t="shared" si="8"/>
        <v>-2.7345182590564576E-2</v>
      </c>
      <c r="U313" s="539">
        <f t="shared" si="8"/>
        <v>-2.7501348320531364E-2</v>
      </c>
      <c r="V313" s="539">
        <f t="shared" si="8"/>
        <v>-2.7657514050498152E-2</v>
      </c>
      <c r="W313" s="539">
        <f t="shared" si="8"/>
        <v>-2.781367978046494E-2</v>
      </c>
      <c r="X313" s="539">
        <f t="shared" si="8"/>
        <v>-2.7969845510431728E-2</v>
      </c>
      <c r="Y313" s="539">
        <f t="shared" si="8"/>
        <v>-2.8126011240398516E-2</v>
      </c>
      <c r="Z313" s="539">
        <f t="shared" si="8"/>
        <v>-2.8282176970365305E-2</v>
      </c>
      <c r="AA313" s="539">
        <f t="shared" si="8"/>
        <v>-2.8438342700332093E-2</v>
      </c>
      <c r="AB313" s="539">
        <f t="shared" si="8"/>
        <v>-2.8594508430298881E-2</v>
      </c>
      <c r="AC313" s="539">
        <f t="shared" si="8"/>
        <v>-2.8750674160265669E-2</v>
      </c>
      <c r="AD313" s="539">
        <f t="shared" si="8"/>
        <v>-2.8906839890232457E-2</v>
      </c>
      <c r="AE313" s="539">
        <f t="shared" si="8"/>
        <v>-2.9063005620199246E-2</v>
      </c>
      <c r="AF313" s="539">
        <f t="shared" si="8"/>
        <v>-2.9219171350166034E-2</v>
      </c>
      <c r="AG313" s="539">
        <f t="shared" si="8"/>
        <v>-2.9375337080132822E-2</v>
      </c>
      <c r="AH313" s="539">
        <f t="shared" si="8"/>
        <v>-2.953150281009961E-2</v>
      </c>
      <c r="AI313" s="539">
        <f t="shared" si="8"/>
        <v>-2.9687668540066398E-2</v>
      </c>
      <c r="AJ313" s="539">
        <f t="shared" si="8"/>
        <v>-2.9843834270033186E-2</v>
      </c>
      <c r="AK313" s="540">
        <v>-0.03</v>
      </c>
      <c r="AL313" s="539">
        <f t="shared" si="13"/>
        <v>-0.03</v>
      </c>
      <c r="AM313" s="539">
        <f t="shared" si="13"/>
        <v>-0.03</v>
      </c>
      <c r="AN313" s="539">
        <f t="shared" si="13"/>
        <v>-0.03</v>
      </c>
      <c r="AO313" s="539">
        <f t="shared" si="13"/>
        <v>-0.03</v>
      </c>
      <c r="AP313" s="539">
        <f t="shared" si="13"/>
        <v>-0.03</v>
      </c>
      <c r="AQ313" s="539">
        <f t="shared" si="13"/>
        <v>-0.03</v>
      </c>
      <c r="AR313" s="539">
        <f t="shared" si="13"/>
        <v>-0.03</v>
      </c>
      <c r="AS313" s="539">
        <f t="shared" si="13"/>
        <v>-0.03</v>
      </c>
      <c r="AT313" s="539">
        <f t="shared" si="13"/>
        <v>-0.03</v>
      </c>
      <c r="AU313" s="539">
        <f t="shared" si="13"/>
        <v>-0.03</v>
      </c>
      <c r="AV313" s="539">
        <f t="shared" si="13"/>
        <v>-0.03</v>
      </c>
      <c r="AW313" s="539">
        <f t="shared" si="13"/>
        <v>-0.03</v>
      </c>
      <c r="AX313" s="539">
        <f t="shared" si="13"/>
        <v>-0.03</v>
      </c>
      <c r="AY313" s="539">
        <f t="shared" si="13"/>
        <v>-0.03</v>
      </c>
      <c r="AZ313" s="539">
        <f t="shared" si="13"/>
        <v>-0.03</v>
      </c>
      <c r="BA313" s="539">
        <f t="shared" si="13"/>
        <v>-0.03</v>
      </c>
      <c r="BB313" s="539">
        <f t="shared" si="10"/>
        <v>-0.03</v>
      </c>
      <c r="BC313" s="539">
        <f t="shared" si="10"/>
        <v>-0.03</v>
      </c>
      <c r="BD313" s="539">
        <f t="shared" si="10"/>
        <v>-0.03</v>
      </c>
      <c r="BE313" s="539">
        <f t="shared" si="10"/>
        <v>-0.03</v>
      </c>
      <c r="BF313" s="539">
        <f t="shared" si="10"/>
        <v>-0.03</v>
      </c>
      <c r="BG313" s="539">
        <f t="shared" si="10"/>
        <v>-0.03</v>
      </c>
      <c r="BH313" s="539">
        <f t="shared" si="10"/>
        <v>-0.03</v>
      </c>
      <c r="BI313" s="539">
        <f t="shared" si="10"/>
        <v>-0.03</v>
      </c>
      <c r="BJ313" s="539">
        <f t="shared" si="10"/>
        <v>-0.03</v>
      </c>
      <c r="BK313" s="539">
        <f t="shared" si="10"/>
        <v>-0.03</v>
      </c>
      <c r="BL313" s="539">
        <f t="shared" si="11"/>
        <v>-0.03</v>
      </c>
      <c r="BM313" s="539">
        <f t="shared" si="11"/>
        <v>-0.03</v>
      </c>
      <c r="BN313" s="539">
        <f t="shared" si="11"/>
        <v>-0.03</v>
      </c>
      <c r="BO313" s="539">
        <f t="shared" si="11"/>
        <v>-0.03</v>
      </c>
      <c r="BP313" s="539">
        <f t="shared" si="11"/>
        <v>-0.03</v>
      </c>
      <c r="BQ313" s="539">
        <f t="shared" si="11"/>
        <v>-0.03</v>
      </c>
      <c r="BR313" s="539">
        <f t="shared" si="11"/>
        <v>-0.03</v>
      </c>
      <c r="BS313" s="539">
        <f t="shared" si="11"/>
        <v>-0.03</v>
      </c>
      <c r="BT313" s="539">
        <f t="shared" si="11"/>
        <v>-0.03</v>
      </c>
      <c r="BU313" s="539">
        <f t="shared" si="11"/>
        <v>-0.03</v>
      </c>
      <c r="BV313" s="539">
        <f t="shared" si="11"/>
        <v>-0.03</v>
      </c>
      <c r="BW313" s="539">
        <f t="shared" si="11"/>
        <v>-0.03</v>
      </c>
      <c r="BX313" s="539">
        <f t="shared" si="11"/>
        <v>-0.03</v>
      </c>
      <c r="BY313" s="539">
        <f t="shared" si="11"/>
        <v>-0.03</v>
      </c>
      <c r="BZ313" s="539">
        <f t="shared" si="11"/>
        <v>-0.03</v>
      </c>
      <c r="CA313" s="539">
        <f t="shared" si="12"/>
        <v>-0.03</v>
      </c>
      <c r="CB313" s="539">
        <f t="shared" si="12"/>
        <v>-0.03</v>
      </c>
      <c r="CC313" s="539">
        <f t="shared" si="12"/>
        <v>-0.03</v>
      </c>
      <c r="CD313" s="539">
        <f t="shared" si="12"/>
        <v>-0.03</v>
      </c>
      <c r="CE313" s="539">
        <f t="shared" si="12"/>
        <v>-0.03</v>
      </c>
      <c r="CF313" s="539">
        <f t="shared" si="12"/>
        <v>-0.03</v>
      </c>
      <c r="CG313" s="539">
        <f t="shared" si="12"/>
        <v>-0.03</v>
      </c>
      <c r="CH313" s="539">
        <f t="shared" si="12"/>
        <v>-0.03</v>
      </c>
      <c r="CI313" s="539">
        <v>-0.03</v>
      </c>
    </row>
    <row r="314" spans="1:87" ht="14.25" customHeight="1" x14ac:dyDescent="0.35">
      <c r="A314" s="42" t="s">
        <v>103</v>
      </c>
      <c r="B314" s="539">
        <v>-3.6623302154929475E-2</v>
      </c>
      <c r="C314" s="538">
        <f>+B314</f>
        <v>-3.6623302154929475E-2</v>
      </c>
      <c r="D314" s="539">
        <f t="shared" si="8"/>
        <v>-3.6428499150372724E-2</v>
      </c>
      <c r="E314" s="539">
        <f t="shared" si="8"/>
        <v>-3.6233696145815973E-2</v>
      </c>
      <c r="F314" s="539">
        <f t="shared" si="8"/>
        <v>-3.6038893141259222E-2</v>
      </c>
      <c r="G314" s="539">
        <f t="shared" si="8"/>
        <v>-3.5844090136702471E-2</v>
      </c>
      <c r="H314" s="539">
        <f t="shared" si="8"/>
        <v>-3.564928713214572E-2</v>
      </c>
      <c r="I314" s="539">
        <f t="shared" si="8"/>
        <v>-3.5454484127588969E-2</v>
      </c>
      <c r="J314" s="539">
        <f t="shared" si="8"/>
        <v>-3.5259681123032217E-2</v>
      </c>
      <c r="K314" s="539">
        <f t="shared" si="8"/>
        <v>-3.5064878118475466E-2</v>
      </c>
      <c r="L314" s="539">
        <f t="shared" si="8"/>
        <v>-3.4870075113918715E-2</v>
      </c>
      <c r="M314" s="539">
        <f t="shared" si="8"/>
        <v>-3.4675272109361964E-2</v>
      </c>
      <c r="N314" s="539">
        <f t="shared" si="8"/>
        <v>-3.4480469104805213E-2</v>
      </c>
      <c r="O314" s="539">
        <f t="shared" si="8"/>
        <v>-3.4285666100248462E-2</v>
      </c>
      <c r="P314" s="539">
        <f t="shared" si="8"/>
        <v>-3.4090863095691711E-2</v>
      </c>
      <c r="Q314" s="539">
        <f t="shared" si="8"/>
        <v>-3.3896060091134959E-2</v>
      </c>
      <c r="R314" s="539">
        <f t="shared" si="8"/>
        <v>-3.3701257086578208E-2</v>
      </c>
      <c r="S314" s="539">
        <f t="shared" si="8"/>
        <v>-3.3506454082021457E-2</v>
      </c>
      <c r="T314" s="539">
        <f t="shared" si="8"/>
        <v>-3.3311651077464706E-2</v>
      </c>
      <c r="U314" s="539">
        <f t="shared" si="8"/>
        <v>-3.3116848072907955E-2</v>
      </c>
      <c r="V314" s="539">
        <f t="shared" si="8"/>
        <v>-3.2922045068351204E-2</v>
      </c>
      <c r="W314" s="539">
        <f t="shared" si="8"/>
        <v>-3.2727242063794452E-2</v>
      </c>
      <c r="X314" s="539">
        <f t="shared" si="8"/>
        <v>-3.2532439059237701E-2</v>
      </c>
      <c r="Y314" s="539">
        <f t="shared" si="8"/>
        <v>-3.233763605468095E-2</v>
      </c>
      <c r="Z314" s="539">
        <f t="shared" ref="Z314:AJ329" si="14">Y314+($AK314-$C314)/($AK$304-$C$304)</f>
        <v>-3.2142833050124199E-2</v>
      </c>
      <c r="AA314" s="539">
        <f t="shared" si="14"/>
        <v>-3.1948030045567448E-2</v>
      </c>
      <c r="AB314" s="539">
        <f t="shared" si="14"/>
        <v>-3.1753227041010697E-2</v>
      </c>
      <c r="AC314" s="539">
        <f t="shared" si="14"/>
        <v>-3.1558424036453946E-2</v>
      </c>
      <c r="AD314" s="539">
        <f t="shared" si="14"/>
        <v>-3.1363621031897194E-2</v>
      </c>
      <c r="AE314" s="539">
        <f t="shared" si="14"/>
        <v>-3.1168818027340447E-2</v>
      </c>
      <c r="AF314" s="539">
        <f t="shared" si="14"/>
        <v>-3.0974015022783699E-2</v>
      </c>
      <c r="AG314" s="539">
        <f t="shared" si="14"/>
        <v>-3.0779212018226951E-2</v>
      </c>
      <c r="AH314" s="539">
        <f t="shared" si="14"/>
        <v>-3.0584409013670204E-2</v>
      </c>
      <c r="AI314" s="539">
        <f t="shared" si="14"/>
        <v>-3.0389606009113456E-2</v>
      </c>
      <c r="AJ314" s="539">
        <f t="shared" si="14"/>
        <v>-3.0194803004556708E-2</v>
      </c>
      <c r="AK314" s="540">
        <v>-0.03</v>
      </c>
      <c r="AL314" s="539">
        <f t="shared" si="13"/>
        <v>-0.03</v>
      </c>
      <c r="AM314" s="539">
        <f t="shared" si="13"/>
        <v>-0.03</v>
      </c>
      <c r="AN314" s="539">
        <f t="shared" si="13"/>
        <v>-0.03</v>
      </c>
      <c r="AO314" s="539">
        <f t="shared" si="13"/>
        <v>-0.03</v>
      </c>
      <c r="AP314" s="539">
        <f t="shared" si="13"/>
        <v>-0.03</v>
      </c>
      <c r="AQ314" s="539">
        <f t="shared" si="13"/>
        <v>-0.03</v>
      </c>
      <c r="AR314" s="539">
        <f t="shared" si="13"/>
        <v>-0.03</v>
      </c>
      <c r="AS314" s="539">
        <f t="shared" si="13"/>
        <v>-0.03</v>
      </c>
      <c r="AT314" s="539">
        <f t="shared" si="13"/>
        <v>-0.03</v>
      </c>
      <c r="AU314" s="539">
        <f t="shared" si="13"/>
        <v>-0.03</v>
      </c>
      <c r="AV314" s="539">
        <f t="shared" si="13"/>
        <v>-0.03</v>
      </c>
      <c r="AW314" s="539">
        <f t="shared" si="13"/>
        <v>-0.03</v>
      </c>
      <c r="AX314" s="539">
        <f t="shared" si="13"/>
        <v>-0.03</v>
      </c>
      <c r="AY314" s="539">
        <f t="shared" si="13"/>
        <v>-0.03</v>
      </c>
      <c r="AZ314" s="539">
        <f t="shared" si="13"/>
        <v>-0.03</v>
      </c>
      <c r="BA314" s="539">
        <f t="shared" si="13"/>
        <v>-0.03</v>
      </c>
      <c r="BB314" s="539">
        <f t="shared" si="10"/>
        <v>-0.03</v>
      </c>
      <c r="BC314" s="539">
        <f t="shared" si="10"/>
        <v>-0.03</v>
      </c>
      <c r="BD314" s="539">
        <f t="shared" si="10"/>
        <v>-0.03</v>
      </c>
      <c r="BE314" s="539">
        <f t="shared" si="10"/>
        <v>-0.03</v>
      </c>
      <c r="BF314" s="539">
        <f t="shared" si="10"/>
        <v>-0.03</v>
      </c>
      <c r="BG314" s="539">
        <f t="shared" si="10"/>
        <v>-0.03</v>
      </c>
      <c r="BH314" s="539">
        <f t="shared" si="10"/>
        <v>-0.03</v>
      </c>
      <c r="BI314" s="539">
        <f t="shared" si="10"/>
        <v>-0.03</v>
      </c>
      <c r="BJ314" s="539">
        <f t="shared" si="10"/>
        <v>-0.03</v>
      </c>
      <c r="BK314" s="539">
        <f t="shared" si="10"/>
        <v>-0.03</v>
      </c>
      <c r="BL314" s="539">
        <f t="shared" si="11"/>
        <v>-0.03</v>
      </c>
      <c r="BM314" s="539">
        <f t="shared" si="11"/>
        <v>-0.03</v>
      </c>
      <c r="BN314" s="539">
        <f t="shared" si="11"/>
        <v>-0.03</v>
      </c>
      <c r="BO314" s="539">
        <f t="shared" si="11"/>
        <v>-0.03</v>
      </c>
      <c r="BP314" s="539">
        <f t="shared" si="11"/>
        <v>-0.03</v>
      </c>
      <c r="BQ314" s="539">
        <f t="shared" si="11"/>
        <v>-0.03</v>
      </c>
      <c r="BR314" s="539">
        <f t="shared" si="11"/>
        <v>-0.03</v>
      </c>
      <c r="BS314" s="539">
        <f t="shared" si="11"/>
        <v>-0.03</v>
      </c>
      <c r="BT314" s="539">
        <f t="shared" si="11"/>
        <v>-0.03</v>
      </c>
      <c r="BU314" s="539">
        <f t="shared" si="11"/>
        <v>-0.03</v>
      </c>
      <c r="BV314" s="539">
        <f t="shared" si="11"/>
        <v>-0.03</v>
      </c>
      <c r="BW314" s="539">
        <f t="shared" si="11"/>
        <v>-0.03</v>
      </c>
      <c r="BX314" s="539">
        <f t="shared" si="11"/>
        <v>-0.03</v>
      </c>
      <c r="BY314" s="539">
        <f t="shared" si="11"/>
        <v>-0.03</v>
      </c>
      <c r="BZ314" s="539">
        <f t="shared" si="11"/>
        <v>-0.03</v>
      </c>
      <c r="CA314" s="539">
        <f t="shared" si="12"/>
        <v>-0.03</v>
      </c>
      <c r="CB314" s="539">
        <f t="shared" si="12"/>
        <v>-0.03</v>
      </c>
      <c r="CC314" s="539">
        <f t="shared" si="12"/>
        <v>-0.03</v>
      </c>
      <c r="CD314" s="539">
        <f t="shared" si="12"/>
        <v>-0.03</v>
      </c>
      <c r="CE314" s="539">
        <f t="shared" si="12"/>
        <v>-0.03</v>
      </c>
      <c r="CF314" s="539">
        <f t="shared" si="12"/>
        <v>-0.03</v>
      </c>
      <c r="CG314" s="539">
        <f t="shared" si="12"/>
        <v>-0.03</v>
      </c>
      <c r="CH314" s="539">
        <f t="shared" si="12"/>
        <v>-0.03</v>
      </c>
      <c r="CI314" s="539">
        <v>-0.03</v>
      </c>
    </row>
    <row r="315" spans="1:87" ht="14.25" customHeight="1" x14ac:dyDescent="0.35">
      <c r="A315" s="42" t="s">
        <v>104</v>
      </c>
      <c r="B315" s="539">
        <v>9.3524035002117336E-3</v>
      </c>
      <c r="C315" s="538">
        <v>-5.0000000000000001E-3</v>
      </c>
      <c r="D315" s="539">
        <f t="shared" ref="D315:S330" si="15">C315+($AK315-$C315)/($AK$304-$C$304)</f>
        <v>-5.7352941176470589E-3</v>
      </c>
      <c r="E315" s="539">
        <f t="shared" si="15"/>
        <v>-6.4705882352941177E-3</v>
      </c>
      <c r="F315" s="539">
        <f t="shared" si="15"/>
        <v>-7.2058823529411765E-3</v>
      </c>
      <c r="G315" s="539">
        <f t="shared" si="15"/>
        <v>-7.9411764705882362E-3</v>
      </c>
      <c r="H315" s="539">
        <f t="shared" si="15"/>
        <v>-8.6764705882352959E-3</v>
      </c>
      <c r="I315" s="539">
        <f t="shared" si="15"/>
        <v>-9.4117647058823556E-3</v>
      </c>
      <c r="J315" s="539">
        <f t="shared" si="15"/>
        <v>-1.0147058823529415E-2</v>
      </c>
      <c r="K315" s="539">
        <f t="shared" si="15"/>
        <v>-1.0882352941176475E-2</v>
      </c>
      <c r="L315" s="539">
        <f t="shared" si="15"/>
        <v>-1.1617647058823535E-2</v>
      </c>
      <c r="M315" s="539">
        <f t="shared" si="15"/>
        <v>-1.2352941176470594E-2</v>
      </c>
      <c r="N315" s="539">
        <f t="shared" si="15"/>
        <v>-1.3088235294117654E-2</v>
      </c>
      <c r="O315" s="539">
        <f t="shared" si="15"/>
        <v>-1.3823529411764714E-2</v>
      </c>
      <c r="P315" s="539">
        <f t="shared" si="15"/>
        <v>-1.4558823529411773E-2</v>
      </c>
      <c r="Q315" s="539">
        <f t="shared" si="15"/>
        <v>-1.5294117647058833E-2</v>
      </c>
      <c r="R315" s="539">
        <f t="shared" si="15"/>
        <v>-1.6029411764705893E-2</v>
      </c>
      <c r="S315" s="539">
        <f t="shared" si="15"/>
        <v>-1.6764705882352952E-2</v>
      </c>
      <c r="T315" s="539">
        <f t="shared" ref="T315:AI330" si="16">S315+($AK315-$C315)/($AK$304-$C$304)</f>
        <v>-1.7500000000000012E-2</v>
      </c>
      <c r="U315" s="539">
        <f t="shared" si="16"/>
        <v>-1.8235294117647072E-2</v>
      </c>
      <c r="V315" s="539">
        <f t="shared" si="16"/>
        <v>-1.8970588235294131E-2</v>
      </c>
      <c r="W315" s="539">
        <f t="shared" si="16"/>
        <v>-1.9705882352941191E-2</v>
      </c>
      <c r="X315" s="539">
        <f t="shared" si="16"/>
        <v>-2.0441176470588251E-2</v>
      </c>
      <c r="Y315" s="539">
        <f t="shared" si="16"/>
        <v>-2.117647058823531E-2</v>
      </c>
      <c r="Z315" s="539">
        <f t="shared" si="16"/>
        <v>-2.191176470588237E-2</v>
      </c>
      <c r="AA315" s="539">
        <f t="shared" si="16"/>
        <v>-2.264705882352943E-2</v>
      </c>
      <c r="AB315" s="539">
        <f t="shared" si="16"/>
        <v>-2.338235294117649E-2</v>
      </c>
      <c r="AC315" s="539">
        <f t="shared" si="16"/>
        <v>-2.4117647058823549E-2</v>
      </c>
      <c r="AD315" s="539">
        <f t="shared" si="16"/>
        <v>-2.4852941176470609E-2</v>
      </c>
      <c r="AE315" s="539">
        <f t="shared" si="16"/>
        <v>-2.5588235294117669E-2</v>
      </c>
      <c r="AF315" s="539">
        <f t="shared" si="16"/>
        <v>-2.6323529411764728E-2</v>
      </c>
      <c r="AG315" s="539">
        <f t="shared" si="16"/>
        <v>-2.7058823529411788E-2</v>
      </c>
      <c r="AH315" s="539">
        <f t="shared" si="16"/>
        <v>-2.7794117647058848E-2</v>
      </c>
      <c r="AI315" s="539">
        <f t="shared" si="16"/>
        <v>-2.8529411764705907E-2</v>
      </c>
      <c r="AJ315" s="539">
        <f t="shared" si="14"/>
        <v>-2.9264705882352967E-2</v>
      </c>
      <c r="AK315" s="540">
        <v>-0.03</v>
      </c>
      <c r="AL315" s="539">
        <f t="shared" si="13"/>
        <v>-0.03</v>
      </c>
      <c r="AM315" s="539">
        <f t="shared" si="13"/>
        <v>-0.03</v>
      </c>
      <c r="AN315" s="539">
        <f t="shared" si="13"/>
        <v>-0.03</v>
      </c>
      <c r="AO315" s="539">
        <f t="shared" si="13"/>
        <v>-0.03</v>
      </c>
      <c r="AP315" s="539">
        <f t="shared" si="13"/>
        <v>-0.03</v>
      </c>
      <c r="AQ315" s="539">
        <f t="shared" si="13"/>
        <v>-0.03</v>
      </c>
      <c r="AR315" s="539">
        <f t="shared" si="13"/>
        <v>-0.03</v>
      </c>
      <c r="AS315" s="539">
        <f t="shared" si="13"/>
        <v>-0.03</v>
      </c>
      <c r="AT315" s="539">
        <f t="shared" si="13"/>
        <v>-0.03</v>
      </c>
      <c r="AU315" s="539">
        <f t="shared" si="13"/>
        <v>-0.03</v>
      </c>
      <c r="AV315" s="539">
        <f t="shared" si="13"/>
        <v>-0.03</v>
      </c>
      <c r="AW315" s="539">
        <f t="shared" si="13"/>
        <v>-0.03</v>
      </c>
      <c r="AX315" s="539">
        <f t="shared" si="13"/>
        <v>-0.03</v>
      </c>
      <c r="AY315" s="539">
        <f t="shared" si="13"/>
        <v>-0.03</v>
      </c>
      <c r="AZ315" s="539">
        <f t="shared" si="13"/>
        <v>-0.03</v>
      </c>
      <c r="BA315" s="539">
        <f t="shared" si="13"/>
        <v>-0.03</v>
      </c>
      <c r="BB315" s="539">
        <f t="shared" si="10"/>
        <v>-0.03</v>
      </c>
      <c r="BC315" s="539">
        <f t="shared" si="10"/>
        <v>-0.03</v>
      </c>
      <c r="BD315" s="539">
        <f t="shared" si="10"/>
        <v>-0.03</v>
      </c>
      <c r="BE315" s="539">
        <f t="shared" si="10"/>
        <v>-0.03</v>
      </c>
      <c r="BF315" s="539">
        <f t="shared" si="10"/>
        <v>-0.03</v>
      </c>
      <c r="BG315" s="539">
        <f t="shared" si="10"/>
        <v>-0.03</v>
      </c>
      <c r="BH315" s="539">
        <f t="shared" si="10"/>
        <v>-0.03</v>
      </c>
      <c r="BI315" s="539">
        <f t="shared" si="10"/>
        <v>-0.03</v>
      </c>
      <c r="BJ315" s="539">
        <f t="shared" si="10"/>
        <v>-0.03</v>
      </c>
      <c r="BK315" s="539">
        <f t="shared" si="10"/>
        <v>-0.03</v>
      </c>
      <c r="BL315" s="539">
        <f t="shared" si="11"/>
        <v>-0.03</v>
      </c>
      <c r="BM315" s="539">
        <f t="shared" si="11"/>
        <v>-0.03</v>
      </c>
      <c r="BN315" s="539">
        <f t="shared" si="11"/>
        <v>-0.03</v>
      </c>
      <c r="BO315" s="539">
        <f t="shared" si="11"/>
        <v>-0.03</v>
      </c>
      <c r="BP315" s="539">
        <f t="shared" si="11"/>
        <v>-0.03</v>
      </c>
      <c r="BQ315" s="539">
        <f t="shared" si="11"/>
        <v>-0.03</v>
      </c>
      <c r="BR315" s="539">
        <f t="shared" si="11"/>
        <v>-0.03</v>
      </c>
      <c r="BS315" s="539">
        <f t="shared" si="11"/>
        <v>-0.03</v>
      </c>
      <c r="BT315" s="539">
        <f t="shared" si="11"/>
        <v>-0.03</v>
      </c>
      <c r="BU315" s="539">
        <f t="shared" si="11"/>
        <v>-0.03</v>
      </c>
      <c r="BV315" s="539">
        <f t="shared" si="11"/>
        <v>-0.03</v>
      </c>
      <c r="BW315" s="539">
        <f t="shared" si="11"/>
        <v>-0.03</v>
      </c>
      <c r="BX315" s="539">
        <f t="shared" si="11"/>
        <v>-0.03</v>
      </c>
      <c r="BY315" s="539">
        <f t="shared" si="11"/>
        <v>-0.03</v>
      </c>
      <c r="BZ315" s="539">
        <f t="shared" si="11"/>
        <v>-0.03</v>
      </c>
      <c r="CA315" s="539">
        <f t="shared" si="12"/>
        <v>-0.03</v>
      </c>
      <c r="CB315" s="539">
        <f t="shared" si="12"/>
        <v>-0.03</v>
      </c>
      <c r="CC315" s="539">
        <f t="shared" si="12"/>
        <v>-0.03</v>
      </c>
      <c r="CD315" s="539">
        <f t="shared" si="12"/>
        <v>-0.03</v>
      </c>
      <c r="CE315" s="539">
        <f t="shared" si="12"/>
        <v>-0.03</v>
      </c>
      <c r="CF315" s="539">
        <f t="shared" si="12"/>
        <v>-0.03</v>
      </c>
      <c r="CG315" s="539">
        <f t="shared" si="12"/>
        <v>-0.03</v>
      </c>
      <c r="CH315" s="539">
        <f t="shared" si="12"/>
        <v>-0.03</v>
      </c>
      <c r="CI315" s="539">
        <v>-0.03</v>
      </c>
    </row>
    <row r="316" spans="1:87" ht="14.25" customHeight="1" x14ac:dyDescent="0.35">
      <c r="A316" s="42" t="s">
        <v>105</v>
      </c>
      <c r="B316" s="539">
        <v>-5.8467605627794683E-2</v>
      </c>
      <c r="C316" s="538">
        <f t="shared" ref="C316:C321" si="17">+B316</f>
        <v>-5.8467605627794683E-2</v>
      </c>
      <c r="D316" s="539">
        <f t="shared" si="15"/>
        <v>-5.7630323109330132E-2</v>
      </c>
      <c r="E316" s="539">
        <f t="shared" si="15"/>
        <v>-5.6793040590865582E-2</v>
      </c>
      <c r="F316" s="539">
        <f t="shared" si="15"/>
        <v>-5.5955758072401031E-2</v>
      </c>
      <c r="G316" s="539">
        <f t="shared" si="15"/>
        <v>-5.511847555393648E-2</v>
      </c>
      <c r="H316" s="539">
        <f t="shared" si="15"/>
        <v>-5.4281193035471929E-2</v>
      </c>
      <c r="I316" s="539">
        <f t="shared" si="15"/>
        <v>-5.3443910517007379E-2</v>
      </c>
      <c r="J316" s="539">
        <f t="shared" si="15"/>
        <v>-5.2606627998542828E-2</v>
      </c>
      <c r="K316" s="539">
        <f t="shared" si="15"/>
        <v>-5.1769345480078277E-2</v>
      </c>
      <c r="L316" s="539">
        <f t="shared" si="15"/>
        <v>-5.0932062961613726E-2</v>
      </c>
      <c r="M316" s="539">
        <f t="shared" si="15"/>
        <v>-5.0094780443149176E-2</v>
      </c>
      <c r="N316" s="539">
        <f t="shared" si="15"/>
        <v>-4.9257497924684625E-2</v>
      </c>
      <c r="O316" s="539">
        <f t="shared" si="15"/>
        <v>-4.8420215406220074E-2</v>
      </c>
      <c r="P316" s="539">
        <f t="shared" si="15"/>
        <v>-4.7582932887755523E-2</v>
      </c>
      <c r="Q316" s="539">
        <f t="shared" si="15"/>
        <v>-4.6745650369290973E-2</v>
      </c>
      <c r="R316" s="539">
        <f t="shared" si="15"/>
        <v>-4.5908367850826422E-2</v>
      </c>
      <c r="S316" s="539">
        <f t="shared" si="15"/>
        <v>-4.5071085332361871E-2</v>
      </c>
      <c r="T316" s="539">
        <f t="shared" si="16"/>
        <v>-4.423380281389732E-2</v>
      </c>
      <c r="U316" s="539">
        <f t="shared" si="16"/>
        <v>-4.3396520295432769E-2</v>
      </c>
      <c r="V316" s="539">
        <f t="shared" si="16"/>
        <v>-4.2559237776968219E-2</v>
      </c>
      <c r="W316" s="539">
        <f t="shared" si="16"/>
        <v>-4.1721955258503668E-2</v>
      </c>
      <c r="X316" s="539">
        <f t="shared" si="16"/>
        <v>-4.0884672740039117E-2</v>
      </c>
      <c r="Y316" s="539">
        <f t="shared" si="16"/>
        <v>-4.0047390221574566E-2</v>
      </c>
      <c r="Z316" s="539">
        <f t="shared" si="16"/>
        <v>-3.9210107703110016E-2</v>
      </c>
      <c r="AA316" s="539">
        <f t="shared" si="16"/>
        <v>-3.8372825184645465E-2</v>
      </c>
      <c r="AB316" s="539">
        <f t="shared" si="16"/>
        <v>-3.7535542666180914E-2</v>
      </c>
      <c r="AC316" s="539">
        <f t="shared" si="16"/>
        <v>-3.6698260147716363E-2</v>
      </c>
      <c r="AD316" s="539">
        <f t="shared" si="16"/>
        <v>-3.5860977629251813E-2</v>
      </c>
      <c r="AE316" s="539">
        <f t="shared" si="16"/>
        <v>-3.5023695110787262E-2</v>
      </c>
      <c r="AF316" s="539">
        <f t="shared" si="16"/>
        <v>-3.4186412592322711E-2</v>
      </c>
      <c r="AG316" s="539">
        <f t="shared" si="16"/>
        <v>-3.334913007385816E-2</v>
      </c>
      <c r="AH316" s="539">
        <f t="shared" si="16"/>
        <v>-3.251184755539361E-2</v>
      </c>
      <c r="AI316" s="539">
        <f t="shared" si="16"/>
        <v>-3.1674565036929059E-2</v>
      </c>
      <c r="AJ316" s="539">
        <f t="shared" si="14"/>
        <v>-3.0837282518464508E-2</v>
      </c>
      <c r="AK316" s="540">
        <v>-0.03</v>
      </c>
      <c r="AL316" s="539">
        <f t="shared" si="13"/>
        <v>-0.03</v>
      </c>
      <c r="AM316" s="539">
        <f t="shared" si="13"/>
        <v>-0.03</v>
      </c>
      <c r="AN316" s="539">
        <f t="shared" si="13"/>
        <v>-0.03</v>
      </c>
      <c r="AO316" s="539">
        <f t="shared" si="13"/>
        <v>-0.03</v>
      </c>
      <c r="AP316" s="539">
        <f t="shared" si="13"/>
        <v>-0.03</v>
      </c>
      <c r="AQ316" s="539">
        <f t="shared" si="13"/>
        <v>-0.03</v>
      </c>
      <c r="AR316" s="539">
        <f t="shared" si="13"/>
        <v>-0.03</v>
      </c>
      <c r="AS316" s="539">
        <f t="shared" si="13"/>
        <v>-0.03</v>
      </c>
      <c r="AT316" s="539">
        <f t="shared" si="13"/>
        <v>-0.03</v>
      </c>
      <c r="AU316" s="539">
        <f t="shared" si="13"/>
        <v>-0.03</v>
      </c>
      <c r="AV316" s="539">
        <f t="shared" si="13"/>
        <v>-0.03</v>
      </c>
      <c r="AW316" s="539">
        <f t="shared" si="13"/>
        <v>-0.03</v>
      </c>
      <c r="AX316" s="539">
        <f t="shared" si="13"/>
        <v>-0.03</v>
      </c>
      <c r="AY316" s="539">
        <f t="shared" si="13"/>
        <v>-0.03</v>
      </c>
      <c r="AZ316" s="539">
        <f t="shared" si="13"/>
        <v>-0.03</v>
      </c>
      <c r="BA316" s="539">
        <f t="shared" si="13"/>
        <v>-0.03</v>
      </c>
      <c r="BB316" s="539">
        <f t="shared" si="10"/>
        <v>-0.03</v>
      </c>
      <c r="BC316" s="539">
        <f t="shared" si="10"/>
        <v>-0.03</v>
      </c>
      <c r="BD316" s="539">
        <f t="shared" si="10"/>
        <v>-0.03</v>
      </c>
      <c r="BE316" s="539">
        <f t="shared" si="10"/>
        <v>-0.03</v>
      </c>
      <c r="BF316" s="539">
        <f t="shared" si="10"/>
        <v>-0.03</v>
      </c>
      <c r="BG316" s="539">
        <f t="shared" si="10"/>
        <v>-0.03</v>
      </c>
      <c r="BH316" s="539">
        <f t="shared" si="10"/>
        <v>-0.03</v>
      </c>
      <c r="BI316" s="539">
        <f t="shared" si="10"/>
        <v>-0.03</v>
      </c>
      <c r="BJ316" s="539">
        <f t="shared" si="10"/>
        <v>-0.03</v>
      </c>
      <c r="BK316" s="539">
        <f t="shared" si="10"/>
        <v>-0.03</v>
      </c>
      <c r="BL316" s="539">
        <f t="shared" si="11"/>
        <v>-0.03</v>
      </c>
      <c r="BM316" s="539">
        <f t="shared" si="11"/>
        <v>-0.03</v>
      </c>
      <c r="BN316" s="539">
        <f t="shared" si="11"/>
        <v>-0.03</v>
      </c>
      <c r="BO316" s="539">
        <f t="shared" si="11"/>
        <v>-0.03</v>
      </c>
      <c r="BP316" s="539">
        <f t="shared" si="11"/>
        <v>-0.03</v>
      </c>
      <c r="BQ316" s="539">
        <f t="shared" si="11"/>
        <v>-0.03</v>
      </c>
      <c r="BR316" s="539">
        <f t="shared" si="11"/>
        <v>-0.03</v>
      </c>
      <c r="BS316" s="539">
        <f t="shared" si="11"/>
        <v>-0.03</v>
      </c>
      <c r="BT316" s="539">
        <f t="shared" si="11"/>
        <v>-0.03</v>
      </c>
      <c r="BU316" s="539">
        <f t="shared" si="11"/>
        <v>-0.03</v>
      </c>
      <c r="BV316" s="539">
        <f t="shared" si="11"/>
        <v>-0.03</v>
      </c>
      <c r="BW316" s="539">
        <f t="shared" si="11"/>
        <v>-0.03</v>
      </c>
      <c r="BX316" s="539">
        <f t="shared" si="11"/>
        <v>-0.03</v>
      </c>
      <c r="BY316" s="539">
        <f t="shared" si="11"/>
        <v>-0.03</v>
      </c>
      <c r="BZ316" s="539">
        <f t="shared" si="11"/>
        <v>-0.03</v>
      </c>
      <c r="CA316" s="539">
        <f t="shared" si="12"/>
        <v>-0.03</v>
      </c>
      <c r="CB316" s="539">
        <f t="shared" si="12"/>
        <v>-0.03</v>
      </c>
      <c r="CC316" s="539">
        <f t="shared" si="12"/>
        <v>-0.03</v>
      </c>
      <c r="CD316" s="539">
        <f t="shared" si="12"/>
        <v>-0.03</v>
      </c>
      <c r="CE316" s="539">
        <f t="shared" si="12"/>
        <v>-0.03</v>
      </c>
      <c r="CF316" s="539">
        <f t="shared" si="12"/>
        <v>-0.03</v>
      </c>
      <c r="CG316" s="539">
        <f t="shared" si="12"/>
        <v>-0.03</v>
      </c>
      <c r="CH316" s="539">
        <f t="shared" si="12"/>
        <v>-0.03</v>
      </c>
      <c r="CI316" s="539">
        <v>-0.03</v>
      </c>
    </row>
    <row r="317" spans="1:87" ht="14.25" customHeight="1" x14ac:dyDescent="0.35">
      <c r="A317" s="42" t="s">
        <v>106</v>
      </c>
      <c r="B317" s="539">
        <v>-2.0331843981544313E-2</v>
      </c>
      <c r="C317" s="538">
        <f t="shared" si="17"/>
        <v>-2.0331843981544313E-2</v>
      </c>
      <c r="D317" s="539">
        <f t="shared" si="15"/>
        <v>-2.0616201511498893E-2</v>
      </c>
      <c r="E317" s="539">
        <f t="shared" si="15"/>
        <v>-2.0900559041453472E-2</v>
      </c>
      <c r="F317" s="539">
        <f t="shared" si="15"/>
        <v>-2.1184916571408051E-2</v>
      </c>
      <c r="G317" s="539">
        <f t="shared" si="15"/>
        <v>-2.146927410136263E-2</v>
      </c>
      <c r="H317" s="539">
        <f t="shared" si="15"/>
        <v>-2.1753631631317209E-2</v>
      </c>
      <c r="I317" s="539">
        <f t="shared" si="15"/>
        <v>-2.2037989161271788E-2</v>
      </c>
      <c r="J317" s="539">
        <f t="shared" si="15"/>
        <v>-2.2322346691226368E-2</v>
      </c>
      <c r="K317" s="539">
        <f t="shared" si="15"/>
        <v>-2.2606704221180947E-2</v>
      </c>
      <c r="L317" s="539">
        <f t="shared" si="15"/>
        <v>-2.2891061751135526E-2</v>
      </c>
      <c r="M317" s="539">
        <f t="shared" si="15"/>
        <v>-2.3175419281090105E-2</v>
      </c>
      <c r="N317" s="539">
        <f t="shared" si="15"/>
        <v>-2.3459776811044684E-2</v>
      </c>
      <c r="O317" s="539">
        <f t="shared" si="15"/>
        <v>-2.3744134340999264E-2</v>
      </c>
      <c r="P317" s="539">
        <f t="shared" si="15"/>
        <v>-2.4028491870953843E-2</v>
      </c>
      <c r="Q317" s="539">
        <f t="shared" si="15"/>
        <v>-2.4312849400908422E-2</v>
      </c>
      <c r="R317" s="539">
        <f t="shared" si="15"/>
        <v>-2.4597206930863001E-2</v>
      </c>
      <c r="S317" s="539">
        <f t="shared" si="15"/>
        <v>-2.488156446081758E-2</v>
      </c>
      <c r="T317" s="539">
        <f t="shared" si="16"/>
        <v>-2.516592199077216E-2</v>
      </c>
      <c r="U317" s="539">
        <f t="shared" si="16"/>
        <v>-2.5450279520726739E-2</v>
      </c>
      <c r="V317" s="539">
        <f t="shared" si="16"/>
        <v>-2.5734637050681318E-2</v>
      </c>
      <c r="W317" s="539">
        <f t="shared" si="16"/>
        <v>-2.6018994580635897E-2</v>
      </c>
      <c r="X317" s="539">
        <f t="shared" si="16"/>
        <v>-2.6303352110590476E-2</v>
      </c>
      <c r="Y317" s="539">
        <f t="shared" si="16"/>
        <v>-2.6587709640545056E-2</v>
      </c>
      <c r="Z317" s="539">
        <f t="shared" si="16"/>
        <v>-2.6872067170499635E-2</v>
      </c>
      <c r="AA317" s="539">
        <f t="shared" si="16"/>
        <v>-2.7156424700454214E-2</v>
      </c>
      <c r="AB317" s="539">
        <f t="shared" si="16"/>
        <v>-2.7440782230408793E-2</v>
      </c>
      <c r="AC317" s="539">
        <f t="shared" si="16"/>
        <v>-2.7725139760363372E-2</v>
      </c>
      <c r="AD317" s="539">
        <f t="shared" si="16"/>
        <v>-2.8009497290317951E-2</v>
      </c>
      <c r="AE317" s="539">
        <f t="shared" si="16"/>
        <v>-2.8293854820272531E-2</v>
      </c>
      <c r="AF317" s="539">
        <f t="shared" si="16"/>
        <v>-2.857821235022711E-2</v>
      </c>
      <c r="AG317" s="539">
        <f t="shared" si="16"/>
        <v>-2.8862569880181689E-2</v>
      </c>
      <c r="AH317" s="539">
        <f t="shared" si="16"/>
        <v>-2.9146927410136268E-2</v>
      </c>
      <c r="AI317" s="539">
        <f t="shared" si="16"/>
        <v>-2.9431284940090847E-2</v>
      </c>
      <c r="AJ317" s="539">
        <f t="shared" si="14"/>
        <v>-2.9715642470045427E-2</v>
      </c>
      <c r="AK317" s="540">
        <v>-0.03</v>
      </c>
      <c r="AL317" s="539">
        <f t="shared" si="13"/>
        <v>-0.03</v>
      </c>
      <c r="AM317" s="539">
        <f t="shared" si="13"/>
        <v>-0.03</v>
      </c>
      <c r="AN317" s="539">
        <f t="shared" si="13"/>
        <v>-0.03</v>
      </c>
      <c r="AO317" s="539">
        <f t="shared" si="13"/>
        <v>-0.03</v>
      </c>
      <c r="AP317" s="539">
        <f t="shared" si="13"/>
        <v>-0.03</v>
      </c>
      <c r="AQ317" s="539">
        <f t="shared" si="13"/>
        <v>-0.03</v>
      </c>
      <c r="AR317" s="539">
        <f t="shared" si="13"/>
        <v>-0.03</v>
      </c>
      <c r="AS317" s="539">
        <f t="shared" si="13"/>
        <v>-0.03</v>
      </c>
      <c r="AT317" s="539">
        <f t="shared" si="13"/>
        <v>-0.03</v>
      </c>
      <c r="AU317" s="539">
        <f t="shared" si="13"/>
        <v>-0.03</v>
      </c>
      <c r="AV317" s="539">
        <f t="shared" si="13"/>
        <v>-0.03</v>
      </c>
      <c r="AW317" s="539">
        <f t="shared" si="13"/>
        <v>-0.03</v>
      </c>
      <c r="AX317" s="539">
        <f t="shared" si="13"/>
        <v>-0.03</v>
      </c>
      <c r="AY317" s="539">
        <f t="shared" si="13"/>
        <v>-0.03</v>
      </c>
      <c r="AZ317" s="539">
        <f t="shared" si="13"/>
        <v>-0.03</v>
      </c>
      <c r="BA317" s="539">
        <f t="shared" si="13"/>
        <v>-0.03</v>
      </c>
      <c r="BB317" s="539">
        <f t="shared" si="10"/>
        <v>-0.03</v>
      </c>
      <c r="BC317" s="539">
        <f t="shared" si="10"/>
        <v>-0.03</v>
      </c>
      <c r="BD317" s="539">
        <f t="shared" si="10"/>
        <v>-0.03</v>
      </c>
      <c r="BE317" s="539">
        <f t="shared" si="10"/>
        <v>-0.03</v>
      </c>
      <c r="BF317" s="539">
        <f t="shared" si="10"/>
        <v>-0.03</v>
      </c>
      <c r="BG317" s="539">
        <f t="shared" si="10"/>
        <v>-0.03</v>
      </c>
      <c r="BH317" s="539">
        <f t="shared" si="10"/>
        <v>-0.03</v>
      </c>
      <c r="BI317" s="539">
        <f t="shared" si="10"/>
        <v>-0.03</v>
      </c>
      <c r="BJ317" s="539">
        <f t="shared" si="10"/>
        <v>-0.03</v>
      </c>
      <c r="BK317" s="539">
        <f t="shared" si="10"/>
        <v>-0.03</v>
      </c>
      <c r="BL317" s="539">
        <f t="shared" si="11"/>
        <v>-0.03</v>
      </c>
      <c r="BM317" s="539">
        <f t="shared" si="11"/>
        <v>-0.03</v>
      </c>
      <c r="BN317" s="539">
        <f t="shared" si="11"/>
        <v>-0.03</v>
      </c>
      <c r="BO317" s="539">
        <f t="shared" si="11"/>
        <v>-0.03</v>
      </c>
      <c r="BP317" s="539">
        <f t="shared" si="11"/>
        <v>-0.03</v>
      </c>
      <c r="BQ317" s="539">
        <f t="shared" si="11"/>
        <v>-0.03</v>
      </c>
      <c r="BR317" s="539">
        <f t="shared" si="11"/>
        <v>-0.03</v>
      </c>
      <c r="BS317" s="539">
        <f t="shared" si="11"/>
        <v>-0.03</v>
      </c>
      <c r="BT317" s="539">
        <f t="shared" si="11"/>
        <v>-0.03</v>
      </c>
      <c r="BU317" s="539">
        <f t="shared" si="11"/>
        <v>-0.03</v>
      </c>
      <c r="BV317" s="539">
        <f t="shared" si="11"/>
        <v>-0.03</v>
      </c>
      <c r="BW317" s="539">
        <f t="shared" si="11"/>
        <v>-0.03</v>
      </c>
      <c r="BX317" s="539">
        <f t="shared" si="11"/>
        <v>-0.03</v>
      </c>
      <c r="BY317" s="539">
        <f t="shared" si="11"/>
        <v>-0.03</v>
      </c>
      <c r="BZ317" s="539">
        <f t="shared" si="11"/>
        <v>-0.03</v>
      </c>
      <c r="CA317" s="539">
        <f t="shared" si="12"/>
        <v>-0.03</v>
      </c>
      <c r="CB317" s="539">
        <f t="shared" si="12"/>
        <v>-0.03</v>
      </c>
      <c r="CC317" s="539">
        <f t="shared" si="12"/>
        <v>-0.03</v>
      </c>
      <c r="CD317" s="539">
        <f t="shared" si="12"/>
        <v>-0.03</v>
      </c>
      <c r="CE317" s="539">
        <f t="shared" si="12"/>
        <v>-0.03</v>
      </c>
      <c r="CF317" s="539">
        <f t="shared" si="12"/>
        <v>-0.03</v>
      </c>
      <c r="CG317" s="539">
        <f t="shared" si="12"/>
        <v>-0.03</v>
      </c>
      <c r="CH317" s="539">
        <f t="shared" si="12"/>
        <v>-0.03</v>
      </c>
      <c r="CI317" s="539">
        <v>-0.03</v>
      </c>
    </row>
    <row r="318" spans="1:87" ht="14.25" customHeight="1" x14ac:dyDescent="0.35">
      <c r="A318" s="42" t="s">
        <v>107</v>
      </c>
      <c r="B318" s="539">
        <v>-2.0475034509616744E-2</v>
      </c>
      <c r="C318" s="538">
        <f t="shared" si="17"/>
        <v>-2.0475034509616744E-2</v>
      </c>
      <c r="D318" s="539">
        <f t="shared" si="15"/>
        <v>-2.0755180553451547E-2</v>
      </c>
      <c r="E318" s="539">
        <f t="shared" si="15"/>
        <v>-2.1035326597286349E-2</v>
      </c>
      <c r="F318" s="539">
        <f t="shared" si="15"/>
        <v>-2.1315472641121151E-2</v>
      </c>
      <c r="G318" s="539">
        <f t="shared" si="15"/>
        <v>-2.1595618684955954E-2</v>
      </c>
      <c r="H318" s="539">
        <f t="shared" si="15"/>
        <v>-2.1875764728790756E-2</v>
      </c>
      <c r="I318" s="539">
        <f t="shared" si="15"/>
        <v>-2.2155910772625558E-2</v>
      </c>
      <c r="J318" s="539">
        <f t="shared" si="15"/>
        <v>-2.243605681646036E-2</v>
      </c>
      <c r="K318" s="539">
        <f t="shared" si="15"/>
        <v>-2.2716202860295163E-2</v>
      </c>
      <c r="L318" s="539">
        <f t="shared" si="15"/>
        <v>-2.2996348904129965E-2</v>
      </c>
      <c r="M318" s="539">
        <f t="shared" si="15"/>
        <v>-2.3276494947964767E-2</v>
      </c>
      <c r="N318" s="539">
        <f t="shared" si="15"/>
        <v>-2.355664099179957E-2</v>
      </c>
      <c r="O318" s="539">
        <f t="shared" si="15"/>
        <v>-2.3836787035634372E-2</v>
      </c>
      <c r="P318" s="539">
        <f t="shared" si="15"/>
        <v>-2.4116933079469174E-2</v>
      </c>
      <c r="Q318" s="539">
        <f t="shared" si="15"/>
        <v>-2.4397079123303977E-2</v>
      </c>
      <c r="R318" s="539">
        <f t="shared" si="15"/>
        <v>-2.4677225167138779E-2</v>
      </c>
      <c r="S318" s="539">
        <f t="shared" si="15"/>
        <v>-2.4957371210973581E-2</v>
      </c>
      <c r="T318" s="539">
        <f t="shared" si="16"/>
        <v>-2.5237517254808384E-2</v>
      </c>
      <c r="U318" s="539">
        <f t="shared" si="16"/>
        <v>-2.5517663298643186E-2</v>
      </c>
      <c r="V318" s="539">
        <f t="shared" si="16"/>
        <v>-2.5797809342477988E-2</v>
      </c>
      <c r="W318" s="539">
        <f t="shared" si="16"/>
        <v>-2.6077955386312791E-2</v>
      </c>
      <c r="X318" s="539">
        <f t="shared" si="16"/>
        <v>-2.6358101430147593E-2</v>
      </c>
      <c r="Y318" s="539">
        <f t="shared" si="16"/>
        <v>-2.6638247473982395E-2</v>
      </c>
      <c r="Z318" s="539">
        <f t="shared" si="16"/>
        <v>-2.6918393517817198E-2</v>
      </c>
      <c r="AA318" s="539">
        <f t="shared" si="16"/>
        <v>-2.7198539561652E-2</v>
      </c>
      <c r="AB318" s="539">
        <f t="shared" si="16"/>
        <v>-2.7478685605486802E-2</v>
      </c>
      <c r="AC318" s="539">
        <f t="shared" si="16"/>
        <v>-2.7758831649321605E-2</v>
      </c>
      <c r="AD318" s="539">
        <f t="shared" si="16"/>
        <v>-2.8038977693156407E-2</v>
      </c>
      <c r="AE318" s="539">
        <f t="shared" si="16"/>
        <v>-2.8319123736991209E-2</v>
      </c>
      <c r="AF318" s="539">
        <f t="shared" si="16"/>
        <v>-2.8599269780826012E-2</v>
      </c>
      <c r="AG318" s="539">
        <f t="shared" si="16"/>
        <v>-2.8879415824660814E-2</v>
      </c>
      <c r="AH318" s="539">
        <f t="shared" si="16"/>
        <v>-2.9159561868495616E-2</v>
      </c>
      <c r="AI318" s="539">
        <f t="shared" si="16"/>
        <v>-2.9439707912330419E-2</v>
      </c>
      <c r="AJ318" s="539">
        <f t="shared" si="14"/>
        <v>-2.9719853956165221E-2</v>
      </c>
      <c r="AK318" s="540">
        <v>-0.03</v>
      </c>
      <c r="AL318" s="539">
        <f t="shared" si="13"/>
        <v>-0.03</v>
      </c>
      <c r="AM318" s="539">
        <f t="shared" si="13"/>
        <v>-0.03</v>
      </c>
      <c r="AN318" s="539">
        <f t="shared" si="13"/>
        <v>-0.03</v>
      </c>
      <c r="AO318" s="539">
        <f t="shared" si="13"/>
        <v>-0.03</v>
      </c>
      <c r="AP318" s="539">
        <f t="shared" si="13"/>
        <v>-0.03</v>
      </c>
      <c r="AQ318" s="539">
        <f t="shared" si="13"/>
        <v>-0.03</v>
      </c>
      <c r="AR318" s="539">
        <f t="shared" si="13"/>
        <v>-0.03</v>
      </c>
      <c r="AS318" s="539">
        <f t="shared" si="13"/>
        <v>-0.03</v>
      </c>
      <c r="AT318" s="539">
        <f t="shared" si="13"/>
        <v>-0.03</v>
      </c>
      <c r="AU318" s="539">
        <f t="shared" si="13"/>
        <v>-0.03</v>
      </c>
      <c r="AV318" s="539">
        <f t="shared" si="13"/>
        <v>-0.03</v>
      </c>
      <c r="AW318" s="539">
        <f t="shared" si="13"/>
        <v>-0.03</v>
      </c>
      <c r="AX318" s="539">
        <f t="shared" si="13"/>
        <v>-0.03</v>
      </c>
      <c r="AY318" s="539">
        <f t="shared" si="13"/>
        <v>-0.03</v>
      </c>
      <c r="AZ318" s="539">
        <f t="shared" si="13"/>
        <v>-0.03</v>
      </c>
      <c r="BA318" s="539">
        <f t="shared" si="13"/>
        <v>-0.03</v>
      </c>
      <c r="BB318" s="539">
        <f t="shared" si="10"/>
        <v>-0.03</v>
      </c>
      <c r="BC318" s="539">
        <f t="shared" si="10"/>
        <v>-0.03</v>
      </c>
      <c r="BD318" s="539">
        <f t="shared" si="10"/>
        <v>-0.03</v>
      </c>
      <c r="BE318" s="539">
        <f t="shared" si="10"/>
        <v>-0.03</v>
      </c>
      <c r="BF318" s="539">
        <f t="shared" si="10"/>
        <v>-0.03</v>
      </c>
      <c r="BG318" s="539">
        <f t="shared" si="10"/>
        <v>-0.03</v>
      </c>
      <c r="BH318" s="539">
        <f t="shared" si="10"/>
        <v>-0.03</v>
      </c>
      <c r="BI318" s="539">
        <f t="shared" si="10"/>
        <v>-0.03</v>
      </c>
      <c r="BJ318" s="539">
        <f t="shared" si="10"/>
        <v>-0.03</v>
      </c>
      <c r="BK318" s="539">
        <f t="shared" si="10"/>
        <v>-0.03</v>
      </c>
      <c r="BL318" s="539">
        <f t="shared" si="11"/>
        <v>-0.03</v>
      </c>
      <c r="BM318" s="539">
        <f t="shared" si="11"/>
        <v>-0.03</v>
      </c>
      <c r="BN318" s="539">
        <f t="shared" si="11"/>
        <v>-0.03</v>
      </c>
      <c r="BO318" s="539">
        <f t="shared" si="11"/>
        <v>-0.03</v>
      </c>
      <c r="BP318" s="539">
        <f t="shared" si="11"/>
        <v>-0.03</v>
      </c>
      <c r="BQ318" s="539">
        <f t="shared" si="11"/>
        <v>-0.03</v>
      </c>
      <c r="BR318" s="539">
        <f t="shared" si="11"/>
        <v>-0.03</v>
      </c>
      <c r="BS318" s="539">
        <f t="shared" si="11"/>
        <v>-0.03</v>
      </c>
      <c r="BT318" s="539">
        <f t="shared" si="11"/>
        <v>-0.03</v>
      </c>
      <c r="BU318" s="539">
        <f t="shared" si="11"/>
        <v>-0.03</v>
      </c>
      <c r="BV318" s="539">
        <f t="shared" si="11"/>
        <v>-0.03</v>
      </c>
      <c r="BW318" s="539">
        <f t="shared" si="11"/>
        <v>-0.03</v>
      </c>
      <c r="BX318" s="539">
        <f t="shared" si="11"/>
        <v>-0.03</v>
      </c>
      <c r="BY318" s="539">
        <f t="shared" si="11"/>
        <v>-0.03</v>
      </c>
      <c r="BZ318" s="539">
        <f t="shared" si="11"/>
        <v>-0.03</v>
      </c>
      <c r="CA318" s="539">
        <f t="shared" si="12"/>
        <v>-0.03</v>
      </c>
      <c r="CB318" s="539">
        <f t="shared" si="12"/>
        <v>-0.03</v>
      </c>
      <c r="CC318" s="539">
        <f t="shared" si="12"/>
        <v>-0.03</v>
      </c>
      <c r="CD318" s="539">
        <f t="shared" si="12"/>
        <v>-0.03</v>
      </c>
      <c r="CE318" s="539">
        <f t="shared" si="12"/>
        <v>-0.03</v>
      </c>
      <c r="CF318" s="539">
        <f t="shared" si="12"/>
        <v>-0.03</v>
      </c>
      <c r="CG318" s="539">
        <f t="shared" si="12"/>
        <v>-0.03</v>
      </c>
      <c r="CH318" s="539">
        <f t="shared" si="12"/>
        <v>-0.03</v>
      </c>
      <c r="CI318" s="539">
        <v>-0.03</v>
      </c>
    </row>
    <row r="319" spans="1:87" ht="14.25" customHeight="1" x14ac:dyDescent="0.35">
      <c r="A319" s="42" t="s">
        <v>108</v>
      </c>
      <c r="B319" s="539">
        <v>-2.5806066632917381E-2</v>
      </c>
      <c r="C319" s="538">
        <f t="shared" si="17"/>
        <v>-2.5806066632917381E-2</v>
      </c>
      <c r="D319" s="539">
        <f t="shared" si="15"/>
        <v>-2.5929417614302164E-2</v>
      </c>
      <c r="E319" s="539">
        <f t="shared" si="15"/>
        <v>-2.6052768595686948E-2</v>
      </c>
      <c r="F319" s="539">
        <f t="shared" si="15"/>
        <v>-2.6176119577071732E-2</v>
      </c>
      <c r="G319" s="539">
        <f t="shared" si="15"/>
        <v>-2.6299470558456516E-2</v>
      </c>
      <c r="H319" s="539">
        <f t="shared" si="15"/>
        <v>-2.6422821539841299E-2</v>
      </c>
      <c r="I319" s="539">
        <f t="shared" si="15"/>
        <v>-2.6546172521226083E-2</v>
      </c>
      <c r="J319" s="539">
        <f t="shared" si="15"/>
        <v>-2.6669523502610867E-2</v>
      </c>
      <c r="K319" s="539">
        <f t="shared" si="15"/>
        <v>-2.679287448399565E-2</v>
      </c>
      <c r="L319" s="539">
        <f t="shared" si="15"/>
        <v>-2.6916225465380434E-2</v>
      </c>
      <c r="M319" s="539">
        <f t="shared" si="15"/>
        <v>-2.7039576446765218E-2</v>
      </c>
      <c r="N319" s="539">
        <f t="shared" si="15"/>
        <v>-2.7162927428150001E-2</v>
      </c>
      <c r="O319" s="539">
        <f t="shared" si="15"/>
        <v>-2.7286278409534785E-2</v>
      </c>
      <c r="P319" s="539">
        <f t="shared" si="15"/>
        <v>-2.7409629390919569E-2</v>
      </c>
      <c r="Q319" s="539">
        <f t="shared" si="15"/>
        <v>-2.7532980372304353E-2</v>
      </c>
      <c r="R319" s="539">
        <f t="shared" si="15"/>
        <v>-2.7656331353689136E-2</v>
      </c>
      <c r="S319" s="539">
        <f t="shared" si="15"/>
        <v>-2.777968233507392E-2</v>
      </c>
      <c r="T319" s="539">
        <f t="shared" si="16"/>
        <v>-2.7903033316458704E-2</v>
      </c>
      <c r="U319" s="539">
        <f t="shared" si="16"/>
        <v>-2.8026384297843487E-2</v>
      </c>
      <c r="V319" s="539">
        <f t="shared" si="16"/>
        <v>-2.8149735279228271E-2</v>
      </c>
      <c r="W319" s="539">
        <f t="shared" si="16"/>
        <v>-2.8273086260613055E-2</v>
      </c>
      <c r="X319" s="539">
        <f t="shared" si="16"/>
        <v>-2.8396437241997839E-2</v>
      </c>
      <c r="Y319" s="539">
        <f t="shared" si="16"/>
        <v>-2.8519788223382622E-2</v>
      </c>
      <c r="Z319" s="539">
        <f t="shared" si="16"/>
        <v>-2.8643139204767406E-2</v>
      </c>
      <c r="AA319" s="539">
        <f t="shared" si="16"/>
        <v>-2.876649018615219E-2</v>
      </c>
      <c r="AB319" s="539">
        <f t="shared" si="16"/>
        <v>-2.8889841167536973E-2</v>
      </c>
      <c r="AC319" s="539">
        <f t="shared" si="16"/>
        <v>-2.9013192148921757E-2</v>
      </c>
      <c r="AD319" s="539">
        <f t="shared" si="16"/>
        <v>-2.9136543130306541E-2</v>
      </c>
      <c r="AE319" s="539">
        <f t="shared" si="16"/>
        <v>-2.9259894111691324E-2</v>
      </c>
      <c r="AF319" s="539">
        <f t="shared" si="16"/>
        <v>-2.9383245093076108E-2</v>
      </c>
      <c r="AG319" s="539">
        <f t="shared" si="16"/>
        <v>-2.9506596074460892E-2</v>
      </c>
      <c r="AH319" s="539">
        <f t="shared" si="16"/>
        <v>-2.9629947055845676E-2</v>
      </c>
      <c r="AI319" s="539">
        <f t="shared" si="16"/>
        <v>-2.9753298037230459E-2</v>
      </c>
      <c r="AJ319" s="539">
        <f t="shared" si="14"/>
        <v>-2.9876649018615243E-2</v>
      </c>
      <c r="AK319" s="540">
        <v>-0.03</v>
      </c>
      <c r="AL319" s="539">
        <f t="shared" si="13"/>
        <v>-0.03</v>
      </c>
      <c r="AM319" s="539">
        <f t="shared" si="13"/>
        <v>-0.03</v>
      </c>
      <c r="AN319" s="539">
        <f t="shared" si="13"/>
        <v>-0.03</v>
      </c>
      <c r="AO319" s="539">
        <f t="shared" si="13"/>
        <v>-0.03</v>
      </c>
      <c r="AP319" s="539">
        <f t="shared" si="13"/>
        <v>-0.03</v>
      </c>
      <c r="AQ319" s="539">
        <f t="shared" si="13"/>
        <v>-0.03</v>
      </c>
      <c r="AR319" s="539">
        <f t="shared" si="13"/>
        <v>-0.03</v>
      </c>
      <c r="AS319" s="539">
        <f t="shared" si="13"/>
        <v>-0.03</v>
      </c>
      <c r="AT319" s="539">
        <f t="shared" si="13"/>
        <v>-0.03</v>
      </c>
      <c r="AU319" s="539">
        <f t="shared" si="13"/>
        <v>-0.03</v>
      </c>
      <c r="AV319" s="539">
        <f t="shared" si="13"/>
        <v>-0.03</v>
      </c>
      <c r="AW319" s="539">
        <f t="shared" si="13"/>
        <v>-0.03</v>
      </c>
      <c r="AX319" s="539">
        <f t="shared" si="13"/>
        <v>-0.03</v>
      </c>
      <c r="AY319" s="539">
        <f t="shared" si="13"/>
        <v>-0.03</v>
      </c>
      <c r="AZ319" s="539">
        <f t="shared" si="13"/>
        <v>-0.03</v>
      </c>
      <c r="BA319" s="539">
        <f t="shared" si="13"/>
        <v>-0.03</v>
      </c>
      <c r="BB319" s="539">
        <f t="shared" si="10"/>
        <v>-0.03</v>
      </c>
      <c r="BC319" s="539">
        <f t="shared" si="10"/>
        <v>-0.03</v>
      </c>
      <c r="BD319" s="539">
        <f t="shared" si="10"/>
        <v>-0.03</v>
      </c>
      <c r="BE319" s="539">
        <f t="shared" si="10"/>
        <v>-0.03</v>
      </c>
      <c r="BF319" s="539">
        <f t="shared" si="10"/>
        <v>-0.03</v>
      </c>
      <c r="BG319" s="539">
        <f t="shared" si="10"/>
        <v>-0.03</v>
      </c>
      <c r="BH319" s="539">
        <f t="shared" si="10"/>
        <v>-0.03</v>
      </c>
      <c r="BI319" s="539">
        <f t="shared" si="10"/>
        <v>-0.03</v>
      </c>
      <c r="BJ319" s="539">
        <f t="shared" si="10"/>
        <v>-0.03</v>
      </c>
      <c r="BK319" s="539">
        <f t="shared" si="10"/>
        <v>-0.03</v>
      </c>
      <c r="BL319" s="539">
        <f t="shared" si="11"/>
        <v>-0.03</v>
      </c>
      <c r="BM319" s="539">
        <f t="shared" si="11"/>
        <v>-0.03</v>
      </c>
      <c r="BN319" s="539">
        <f t="shared" si="11"/>
        <v>-0.03</v>
      </c>
      <c r="BO319" s="539">
        <f t="shared" si="11"/>
        <v>-0.03</v>
      </c>
      <c r="BP319" s="539">
        <f t="shared" si="11"/>
        <v>-0.03</v>
      </c>
      <c r="BQ319" s="539">
        <f t="shared" si="11"/>
        <v>-0.03</v>
      </c>
      <c r="BR319" s="539">
        <f t="shared" si="11"/>
        <v>-0.03</v>
      </c>
      <c r="BS319" s="539">
        <f t="shared" si="11"/>
        <v>-0.03</v>
      </c>
      <c r="BT319" s="539">
        <f t="shared" si="11"/>
        <v>-0.03</v>
      </c>
      <c r="BU319" s="539">
        <f t="shared" si="11"/>
        <v>-0.03</v>
      </c>
      <c r="BV319" s="539">
        <f t="shared" si="11"/>
        <v>-0.03</v>
      </c>
      <c r="BW319" s="539">
        <f t="shared" si="11"/>
        <v>-0.03</v>
      </c>
      <c r="BX319" s="539">
        <f t="shared" si="11"/>
        <v>-0.03</v>
      </c>
      <c r="BY319" s="539">
        <f t="shared" si="11"/>
        <v>-0.03</v>
      </c>
      <c r="BZ319" s="539">
        <f t="shared" si="11"/>
        <v>-0.03</v>
      </c>
      <c r="CA319" s="539">
        <f t="shared" si="12"/>
        <v>-0.03</v>
      </c>
      <c r="CB319" s="539">
        <f t="shared" si="12"/>
        <v>-0.03</v>
      </c>
      <c r="CC319" s="539">
        <f t="shared" si="12"/>
        <v>-0.03</v>
      </c>
      <c r="CD319" s="539">
        <f t="shared" si="12"/>
        <v>-0.03</v>
      </c>
      <c r="CE319" s="539">
        <f t="shared" si="12"/>
        <v>-0.03</v>
      </c>
      <c r="CF319" s="539">
        <f t="shared" si="12"/>
        <v>-0.03</v>
      </c>
      <c r="CG319" s="539">
        <f t="shared" si="12"/>
        <v>-0.03</v>
      </c>
      <c r="CH319" s="539">
        <f t="shared" si="12"/>
        <v>-0.03</v>
      </c>
      <c r="CI319" s="539">
        <v>-0.03</v>
      </c>
    </row>
    <row r="320" spans="1:87" ht="14.25" customHeight="1" x14ac:dyDescent="0.35">
      <c r="A320" s="42" t="s">
        <v>109</v>
      </c>
      <c r="B320" s="539">
        <v>-1.3465305187985777E-2</v>
      </c>
      <c r="C320" s="538">
        <f t="shared" si="17"/>
        <v>-1.3465305187985777E-2</v>
      </c>
      <c r="D320" s="539">
        <f t="shared" si="15"/>
        <v>-1.3951619741280313E-2</v>
      </c>
      <c r="E320" s="539">
        <f t="shared" si="15"/>
        <v>-1.443793429457485E-2</v>
      </c>
      <c r="F320" s="539">
        <f t="shared" si="15"/>
        <v>-1.4924248847869387E-2</v>
      </c>
      <c r="G320" s="539">
        <f t="shared" si="15"/>
        <v>-1.5410563401163924E-2</v>
      </c>
      <c r="H320" s="539">
        <f t="shared" si="15"/>
        <v>-1.589687795445846E-2</v>
      </c>
      <c r="I320" s="539">
        <f t="shared" si="15"/>
        <v>-1.6383192507752997E-2</v>
      </c>
      <c r="J320" s="539">
        <f t="shared" si="15"/>
        <v>-1.6869507061047534E-2</v>
      </c>
      <c r="K320" s="539">
        <f t="shared" si="15"/>
        <v>-1.7355821614342071E-2</v>
      </c>
      <c r="L320" s="539">
        <f t="shared" si="15"/>
        <v>-1.7842136167636607E-2</v>
      </c>
      <c r="M320" s="539">
        <f t="shared" si="15"/>
        <v>-1.8328450720931144E-2</v>
      </c>
      <c r="N320" s="539">
        <f t="shared" si="15"/>
        <v>-1.8814765274225681E-2</v>
      </c>
      <c r="O320" s="539">
        <f t="shared" si="15"/>
        <v>-1.9301079827520218E-2</v>
      </c>
      <c r="P320" s="539">
        <f t="shared" si="15"/>
        <v>-1.9787394380814755E-2</v>
      </c>
      <c r="Q320" s="539">
        <f t="shared" si="15"/>
        <v>-2.0273708934109291E-2</v>
      </c>
      <c r="R320" s="539">
        <f t="shared" si="15"/>
        <v>-2.0760023487403828E-2</v>
      </c>
      <c r="S320" s="539">
        <f t="shared" si="15"/>
        <v>-2.1246338040698365E-2</v>
      </c>
      <c r="T320" s="539">
        <f t="shared" si="16"/>
        <v>-2.1732652593992902E-2</v>
      </c>
      <c r="U320" s="539">
        <f t="shared" si="16"/>
        <v>-2.2218967147287438E-2</v>
      </c>
      <c r="V320" s="539">
        <f t="shared" si="16"/>
        <v>-2.2705281700581975E-2</v>
      </c>
      <c r="W320" s="539">
        <f t="shared" si="16"/>
        <v>-2.3191596253876512E-2</v>
      </c>
      <c r="X320" s="539">
        <f t="shared" si="16"/>
        <v>-2.3677910807171049E-2</v>
      </c>
      <c r="Y320" s="539">
        <f t="shared" si="16"/>
        <v>-2.4164225360465585E-2</v>
      </c>
      <c r="Z320" s="539">
        <f t="shared" si="16"/>
        <v>-2.4650539913760122E-2</v>
      </c>
      <c r="AA320" s="539">
        <f t="shared" si="16"/>
        <v>-2.5136854467054659E-2</v>
      </c>
      <c r="AB320" s="539">
        <f t="shared" si="16"/>
        <v>-2.5623169020349196E-2</v>
      </c>
      <c r="AC320" s="539">
        <f t="shared" si="16"/>
        <v>-2.6109483573643733E-2</v>
      </c>
      <c r="AD320" s="539">
        <f t="shared" si="16"/>
        <v>-2.6595798126938269E-2</v>
      </c>
      <c r="AE320" s="539">
        <f t="shared" si="16"/>
        <v>-2.7082112680232806E-2</v>
      </c>
      <c r="AF320" s="539">
        <f t="shared" si="16"/>
        <v>-2.7568427233527343E-2</v>
      </c>
      <c r="AG320" s="539">
        <f t="shared" si="16"/>
        <v>-2.805474178682188E-2</v>
      </c>
      <c r="AH320" s="539">
        <f t="shared" si="16"/>
        <v>-2.8541056340116416E-2</v>
      </c>
      <c r="AI320" s="539">
        <f t="shared" si="16"/>
        <v>-2.9027370893410953E-2</v>
      </c>
      <c r="AJ320" s="539">
        <f t="shared" si="14"/>
        <v>-2.951368544670549E-2</v>
      </c>
      <c r="AK320" s="540">
        <v>-0.03</v>
      </c>
      <c r="AL320" s="539">
        <f t="shared" si="13"/>
        <v>-0.03</v>
      </c>
      <c r="AM320" s="539">
        <f t="shared" si="13"/>
        <v>-0.03</v>
      </c>
      <c r="AN320" s="539">
        <f t="shared" si="13"/>
        <v>-0.03</v>
      </c>
      <c r="AO320" s="539">
        <f t="shared" si="13"/>
        <v>-0.03</v>
      </c>
      <c r="AP320" s="539">
        <f t="shared" si="13"/>
        <v>-0.03</v>
      </c>
      <c r="AQ320" s="539">
        <f t="shared" si="13"/>
        <v>-0.03</v>
      </c>
      <c r="AR320" s="539">
        <f t="shared" si="13"/>
        <v>-0.03</v>
      </c>
      <c r="AS320" s="539">
        <f t="shared" si="13"/>
        <v>-0.03</v>
      </c>
      <c r="AT320" s="539">
        <f t="shared" si="13"/>
        <v>-0.03</v>
      </c>
      <c r="AU320" s="539">
        <f t="shared" si="13"/>
        <v>-0.03</v>
      </c>
      <c r="AV320" s="539">
        <f t="shared" si="13"/>
        <v>-0.03</v>
      </c>
      <c r="AW320" s="539">
        <f t="shared" si="13"/>
        <v>-0.03</v>
      </c>
      <c r="AX320" s="539">
        <f t="shared" si="13"/>
        <v>-0.03</v>
      </c>
      <c r="AY320" s="539">
        <f t="shared" si="13"/>
        <v>-0.03</v>
      </c>
      <c r="AZ320" s="539">
        <f t="shared" si="13"/>
        <v>-0.03</v>
      </c>
      <c r="BA320" s="539">
        <f t="shared" si="13"/>
        <v>-0.03</v>
      </c>
      <c r="BB320" s="539">
        <f t="shared" si="10"/>
        <v>-0.03</v>
      </c>
      <c r="BC320" s="539">
        <f t="shared" si="10"/>
        <v>-0.03</v>
      </c>
      <c r="BD320" s="539">
        <f t="shared" si="10"/>
        <v>-0.03</v>
      </c>
      <c r="BE320" s="539">
        <f t="shared" si="10"/>
        <v>-0.03</v>
      </c>
      <c r="BF320" s="539">
        <f t="shared" si="10"/>
        <v>-0.03</v>
      </c>
      <c r="BG320" s="539">
        <f t="shared" si="10"/>
        <v>-0.03</v>
      </c>
      <c r="BH320" s="539">
        <f t="shared" si="10"/>
        <v>-0.03</v>
      </c>
      <c r="BI320" s="539">
        <f t="shared" si="10"/>
        <v>-0.03</v>
      </c>
      <c r="BJ320" s="539">
        <f t="shared" si="10"/>
        <v>-0.03</v>
      </c>
      <c r="BK320" s="539">
        <f t="shared" si="10"/>
        <v>-0.03</v>
      </c>
      <c r="BL320" s="539">
        <f t="shared" si="11"/>
        <v>-0.03</v>
      </c>
      <c r="BM320" s="539">
        <f t="shared" si="11"/>
        <v>-0.03</v>
      </c>
      <c r="BN320" s="539">
        <f t="shared" si="11"/>
        <v>-0.03</v>
      </c>
      <c r="BO320" s="539">
        <f t="shared" si="11"/>
        <v>-0.03</v>
      </c>
      <c r="BP320" s="539">
        <f t="shared" si="11"/>
        <v>-0.03</v>
      </c>
      <c r="BQ320" s="539">
        <f t="shared" si="11"/>
        <v>-0.03</v>
      </c>
      <c r="BR320" s="539">
        <f t="shared" si="11"/>
        <v>-0.03</v>
      </c>
      <c r="BS320" s="539">
        <f t="shared" si="11"/>
        <v>-0.03</v>
      </c>
      <c r="BT320" s="539">
        <f t="shared" si="11"/>
        <v>-0.03</v>
      </c>
      <c r="BU320" s="539">
        <f t="shared" si="11"/>
        <v>-0.03</v>
      </c>
      <c r="BV320" s="539">
        <f t="shared" si="11"/>
        <v>-0.03</v>
      </c>
      <c r="BW320" s="539">
        <f t="shared" si="11"/>
        <v>-0.03</v>
      </c>
      <c r="BX320" s="539">
        <f t="shared" si="11"/>
        <v>-0.03</v>
      </c>
      <c r="BY320" s="539">
        <f t="shared" si="11"/>
        <v>-0.03</v>
      </c>
      <c r="BZ320" s="539">
        <f t="shared" si="11"/>
        <v>-0.03</v>
      </c>
      <c r="CA320" s="539">
        <f t="shared" si="12"/>
        <v>-0.03</v>
      </c>
      <c r="CB320" s="539">
        <f t="shared" si="12"/>
        <v>-0.03</v>
      </c>
      <c r="CC320" s="539">
        <f t="shared" si="12"/>
        <v>-0.03</v>
      </c>
      <c r="CD320" s="539">
        <f t="shared" si="12"/>
        <v>-0.03</v>
      </c>
      <c r="CE320" s="539">
        <f t="shared" si="12"/>
        <v>-0.03</v>
      </c>
      <c r="CF320" s="539">
        <f t="shared" si="12"/>
        <v>-0.03</v>
      </c>
      <c r="CG320" s="539">
        <f t="shared" si="12"/>
        <v>-0.03</v>
      </c>
      <c r="CH320" s="539">
        <f t="shared" si="12"/>
        <v>-0.03</v>
      </c>
      <c r="CI320" s="539">
        <v>-0.03</v>
      </c>
    </row>
    <row r="321" spans="1:87" ht="14.25" customHeight="1" x14ac:dyDescent="0.35">
      <c r="A321" s="42" t="s">
        <v>229</v>
      </c>
      <c r="B321" s="539">
        <v>-2.6799241775762681E-3</v>
      </c>
      <c r="C321" s="538">
        <f t="shared" si="17"/>
        <v>-2.6799241775762681E-3</v>
      </c>
      <c r="D321" s="539">
        <f t="shared" si="15"/>
        <v>-3.4834558194122602E-3</v>
      </c>
      <c r="E321" s="539">
        <f t="shared" si="15"/>
        <v>-4.2869874612482522E-3</v>
      </c>
      <c r="F321" s="539">
        <f t="shared" si="15"/>
        <v>-5.0905191030842442E-3</v>
      </c>
      <c r="G321" s="539">
        <f t="shared" si="15"/>
        <v>-5.8940507449202362E-3</v>
      </c>
      <c r="H321" s="539">
        <f t="shared" si="15"/>
        <v>-6.6975823867562283E-3</v>
      </c>
      <c r="I321" s="539">
        <f t="shared" si="15"/>
        <v>-7.5011140285922203E-3</v>
      </c>
      <c r="J321" s="539">
        <f t="shared" si="15"/>
        <v>-8.3046456704282123E-3</v>
      </c>
      <c r="K321" s="539">
        <f t="shared" si="15"/>
        <v>-9.1081773122642044E-3</v>
      </c>
      <c r="L321" s="539">
        <f t="shared" si="15"/>
        <v>-9.9117089541001964E-3</v>
      </c>
      <c r="M321" s="539">
        <f t="shared" si="15"/>
        <v>-1.0715240595936188E-2</v>
      </c>
      <c r="N321" s="539">
        <f t="shared" si="15"/>
        <v>-1.151877223777218E-2</v>
      </c>
      <c r="O321" s="539">
        <f t="shared" si="15"/>
        <v>-1.2322303879608172E-2</v>
      </c>
      <c r="P321" s="539">
        <f t="shared" si="15"/>
        <v>-1.3125835521444165E-2</v>
      </c>
      <c r="Q321" s="539">
        <f t="shared" si="15"/>
        <v>-1.3929367163280157E-2</v>
      </c>
      <c r="R321" s="539">
        <f t="shared" si="15"/>
        <v>-1.4732898805116149E-2</v>
      </c>
      <c r="S321" s="539">
        <f t="shared" si="15"/>
        <v>-1.5536430446952141E-2</v>
      </c>
      <c r="T321" s="539">
        <f t="shared" si="16"/>
        <v>-1.6339962088788133E-2</v>
      </c>
      <c r="U321" s="539">
        <f t="shared" si="16"/>
        <v>-1.7143493730624126E-2</v>
      </c>
      <c r="V321" s="539">
        <f t="shared" si="16"/>
        <v>-1.794702537246012E-2</v>
      </c>
      <c r="W321" s="539">
        <f t="shared" si="16"/>
        <v>-1.8750557014296114E-2</v>
      </c>
      <c r="X321" s="539">
        <f t="shared" si="16"/>
        <v>-1.9554088656132108E-2</v>
      </c>
      <c r="Y321" s="539">
        <f t="shared" si="16"/>
        <v>-2.0357620297968101E-2</v>
      </c>
      <c r="Z321" s="539">
        <f t="shared" si="16"/>
        <v>-2.1161151939804095E-2</v>
      </c>
      <c r="AA321" s="539">
        <f t="shared" si="16"/>
        <v>-2.1964683581640089E-2</v>
      </c>
      <c r="AB321" s="539">
        <f t="shared" si="16"/>
        <v>-2.2768215223476083E-2</v>
      </c>
      <c r="AC321" s="539">
        <f t="shared" si="16"/>
        <v>-2.3571746865312077E-2</v>
      </c>
      <c r="AD321" s="539">
        <f t="shared" si="16"/>
        <v>-2.437527850714807E-2</v>
      </c>
      <c r="AE321" s="539">
        <f t="shared" si="16"/>
        <v>-2.5178810148984064E-2</v>
      </c>
      <c r="AF321" s="539">
        <f t="shared" si="16"/>
        <v>-2.5982341790820058E-2</v>
      </c>
      <c r="AG321" s="539">
        <f t="shared" si="16"/>
        <v>-2.6785873432656052E-2</v>
      </c>
      <c r="AH321" s="539">
        <f t="shared" si="16"/>
        <v>-2.7589405074492045E-2</v>
      </c>
      <c r="AI321" s="539">
        <f t="shared" si="16"/>
        <v>-2.8392936716328039E-2</v>
      </c>
      <c r="AJ321" s="539">
        <f t="shared" si="14"/>
        <v>-2.9196468358164033E-2</v>
      </c>
      <c r="AK321" s="540">
        <v>-0.03</v>
      </c>
      <c r="AL321" s="539">
        <f t="shared" si="13"/>
        <v>-0.03</v>
      </c>
      <c r="AM321" s="539">
        <f t="shared" si="13"/>
        <v>-0.03</v>
      </c>
      <c r="AN321" s="539">
        <f t="shared" si="13"/>
        <v>-0.03</v>
      </c>
      <c r="AO321" s="539">
        <f t="shared" si="13"/>
        <v>-0.03</v>
      </c>
      <c r="AP321" s="539">
        <f t="shared" si="13"/>
        <v>-0.03</v>
      </c>
      <c r="AQ321" s="539">
        <f t="shared" si="13"/>
        <v>-0.03</v>
      </c>
      <c r="AR321" s="539">
        <f t="shared" si="13"/>
        <v>-0.03</v>
      </c>
      <c r="AS321" s="539">
        <f t="shared" si="13"/>
        <v>-0.03</v>
      </c>
      <c r="AT321" s="539">
        <f t="shared" si="13"/>
        <v>-0.03</v>
      </c>
      <c r="AU321" s="539">
        <f t="shared" si="13"/>
        <v>-0.03</v>
      </c>
      <c r="AV321" s="539">
        <f t="shared" si="13"/>
        <v>-0.03</v>
      </c>
      <c r="AW321" s="539">
        <f t="shared" si="13"/>
        <v>-0.03</v>
      </c>
      <c r="AX321" s="539">
        <f t="shared" si="13"/>
        <v>-0.03</v>
      </c>
      <c r="AY321" s="539">
        <f t="shared" si="13"/>
        <v>-0.03</v>
      </c>
      <c r="AZ321" s="539">
        <f t="shared" si="13"/>
        <v>-0.03</v>
      </c>
      <c r="BA321" s="539">
        <f t="shared" si="13"/>
        <v>-0.03</v>
      </c>
      <c r="BB321" s="539">
        <f t="shared" si="10"/>
        <v>-0.03</v>
      </c>
      <c r="BC321" s="539">
        <f t="shared" si="10"/>
        <v>-0.03</v>
      </c>
      <c r="BD321" s="539">
        <f t="shared" si="10"/>
        <v>-0.03</v>
      </c>
      <c r="BE321" s="539">
        <f t="shared" si="10"/>
        <v>-0.03</v>
      </c>
      <c r="BF321" s="539">
        <f t="shared" si="10"/>
        <v>-0.03</v>
      </c>
      <c r="BG321" s="539">
        <f t="shared" si="10"/>
        <v>-0.03</v>
      </c>
      <c r="BH321" s="539">
        <f t="shared" si="10"/>
        <v>-0.03</v>
      </c>
      <c r="BI321" s="539">
        <f t="shared" si="10"/>
        <v>-0.03</v>
      </c>
      <c r="BJ321" s="539">
        <f t="shared" si="10"/>
        <v>-0.03</v>
      </c>
      <c r="BK321" s="539">
        <f t="shared" si="10"/>
        <v>-0.03</v>
      </c>
      <c r="BL321" s="539">
        <f t="shared" si="11"/>
        <v>-0.03</v>
      </c>
      <c r="BM321" s="539">
        <f t="shared" si="11"/>
        <v>-0.03</v>
      </c>
      <c r="BN321" s="539">
        <f t="shared" si="11"/>
        <v>-0.03</v>
      </c>
      <c r="BO321" s="539">
        <f t="shared" si="11"/>
        <v>-0.03</v>
      </c>
      <c r="BP321" s="539">
        <f t="shared" si="11"/>
        <v>-0.03</v>
      </c>
      <c r="BQ321" s="539">
        <f t="shared" si="11"/>
        <v>-0.03</v>
      </c>
      <c r="BR321" s="539">
        <f t="shared" si="11"/>
        <v>-0.03</v>
      </c>
      <c r="BS321" s="539">
        <f t="shared" si="11"/>
        <v>-0.03</v>
      </c>
      <c r="BT321" s="539">
        <f t="shared" si="11"/>
        <v>-0.03</v>
      </c>
      <c r="BU321" s="539">
        <f t="shared" si="11"/>
        <v>-0.03</v>
      </c>
      <c r="BV321" s="539">
        <f t="shared" si="11"/>
        <v>-0.03</v>
      </c>
      <c r="BW321" s="539">
        <f t="shared" si="11"/>
        <v>-0.03</v>
      </c>
      <c r="BX321" s="539">
        <f t="shared" si="11"/>
        <v>-0.03</v>
      </c>
      <c r="BY321" s="539">
        <f t="shared" si="11"/>
        <v>-0.03</v>
      </c>
      <c r="BZ321" s="539">
        <f t="shared" si="11"/>
        <v>-0.03</v>
      </c>
      <c r="CA321" s="539">
        <f t="shared" si="12"/>
        <v>-0.03</v>
      </c>
      <c r="CB321" s="539">
        <f t="shared" si="12"/>
        <v>-0.03</v>
      </c>
      <c r="CC321" s="539">
        <f t="shared" si="12"/>
        <v>-0.03</v>
      </c>
      <c r="CD321" s="539">
        <f t="shared" si="12"/>
        <v>-0.03</v>
      </c>
      <c r="CE321" s="539">
        <f t="shared" si="12"/>
        <v>-0.03</v>
      </c>
      <c r="CF321" s="539">
        <f t="shared" si="12"/>
        <v>-0.03</v>
      </c>
      <c r="CG321" s="539">
        <f t="shared" si="12"/>
        <v>-0.03</v>
      </c>
      <c r="CH321" s="539">
        <f t="shared" si="12"/>
        <v>-0.03</v>
      </c>
      <c r="CI321" s="539">
        <v>-0.03</v>
      </c>
    </row>
    <row r="322" spans="1:87" ht="14.25" customHeight="1" x14ac:dyDescent="0.35">
      <c r="A322" s="42" t="s">
        <v>111</v>
      </c>
      <c r="B322" s="539">
        <v>1.4201714799571026E-2</v>
      </c>
      <c r="C322" s="538">
        <v>-5.0000000000000001E-3</v>
      </c>
      <c r="D322" s="539">
        <f t="shared" si="15"/>
        <v>-5.7352941176470589E-3</v>
      </c>
      <c r="E322" s="539">
        <f t="shared" si="15"/>
        <v>-6.4705882352941177E-3</v>
      </c>
      <c r="F322" s="539">
        <f t="shared" si="15"/>
        <v>-7.2058823529411765E-3</v>
      </c>
      <c r="G322" s="539">
        <f t="shared" si="15"/>
        <v>-7.9411764705882362E-3</v>
      </c>
      <c r="H322" s="539">
        <f t="shared" si="15"/>
        <v>-8.6764705882352959E-3</v>
      </c>
      <c r="I322" s="539">
        <f t="shared" si="15"/>
        <v>-9.4117647058823556E-3</v>
      </c>
      <c r="J322" s="539">
        <f t="shared" si="15"/>
        <v>-1.0147058823529415E-2</v>
      </c>
      <c r="K322" s="539">
        <f t="shared" si="15"/>
        <v>-1.0882352941176475E-2</v>
      </c>
      <c r="L322" s="539">
        <f t="shared" si="15"/>
        <v>-1.1617647058823535E-2</v>
      </c>
      <c r="M322" s="539">
        <f t="shared" si="15"/>
        <v>-1.2352941176470594E-2</v>
      </c>
      <c r="N322" s="539">
        <f t="shared" si="15"/>
        <v>-1.3088235294117654E-2</v>
      </c>
      <c r="O322" s="539">
        <f t="shared" si="15"/>
        <v>-1.3823529411764714E-2</v>
      </c>
      <c r="P322" s="539">
        <f t="shared" si="15"/>
        <v>-1.4558823529411773E-2</v>
      </c>
      <c r="Q322" s="539">
        <f t="shared" si="15"/>
        <v>-1.5294117647058833E-2</v>
      </c>
      <c r="R322" s="539">
        <f t="shared" si="15"/>
        <v>-1.6029411764705893E-2</v>
      </c>
      <c r="S322" s="539">
        <f t="shared" si="15"/>
        <v>-1.6764705882352952E-2</v>
      </c>
      <c r="T322" s="539">
        <f t="shared" si="16"/>
        <v>-1.7500000000000012E-2</v>
      </c>
      <c r="U322" s="539">
        <f t="shared" si="16"/>
        <v>-1.8235294117647072E-2</v>
      </c>
      <c r="V322" s="539">
        <f t="shared" si="16"/>
        <v>-1.8970588235294131E-2</v>
      </c>
      <c r="W322" s="539">
        <f t="shared" si="16"/>
        <v>-1.9705882352941191E-2</v>
      </c>
      <c r="X322" s="539">
        <f t="shared" si="16"/>
        <v>-2.0441176470588251E-2</v>
      </c>
      <c r="Y322" s="539">
        <f t="shared" si="16"/>
        <v>-2.117647058823531E-2</v>
      </c>
      <c r="Z322" s="539">
        <f t="shared" si="16"/>
        <v>-2.191176470588237E-2</v>
      </c>
      <c r="AA322" s="539">
        <f t="shared" si="16"/>
        <v>-2.264705882352943E-2</v>
      </c>
      <c r="AB322" s="539">
        <f t="shared" si="16"/>
        <v>-2.338235294117649E-2</v>
      </c>
      <c r="AC322" s="539">
        <f t="shared" si="16"/>
        <v>-2.4117647058823549E-2</v>
      </c>
      <c r="AD322" s="539">
        <f t="shared" si="16"/>
        <v>-2.4852941176470609E-2</v>
      </c>
      <c r="AE322" s="539">
        <f t="shared" si="16"/>
        <v>-2.5588235294117669E-2</v>
      </c>
      <c r="AF322" s="539">
        <f t="shared" si="16"/>
        <v>-2.6323529411764728E-2</v>
      </c>
      <c r="AG322" s="539">
        <f t="shared" si="16"/>
        <v>-2.7058823529411788E-2</v>
      </c>
      <c r="AH322" s="539">
        <f t="shared" si="16"/>
        <v>-2.7794117647058848E-2</v>
      </c>
      <c r="AI322" s="539">
        <f t="shared" si="16"/>
        <v>-2.8529411764705907E-2</v>
      </c>
      <c r="AJ322" s="539">
        <f t="shared" si="14"/>
        <v>-2.9264705882352967E-2</v>
      </c>
      <c r="AK322" s="540">
        <v>-0.03</v>
      </c>
      <c r="AL322" s="539">
        <f t="shared" si="13"/>
        <v>-0.03</v>
      </c>
      <c r="AM322" s="539">
        <f t="shared" si="13"/>
        <v>-0.03</v>
      </c>
      <c r="AN322" s="539">
        <f t="shared" si="13"/>
        <v>-0.03</v>
      </c>
      <c r="AO322" s="539">
        <f t="shared" si="13"/>
        <v>-0.03</v>
      </c>
      <c r="AP322" s="539">
        <f t="shared" si="13"/>
        <v>-0.03</v>
      </c>
      <c r="AQ322" s="539">
        <f t="shared" si="13"/>
        <v>-0.03</v>
      </c>
      <c r="AR322" s="539">
        <f t="shared" si="13"/>
        <v>-0.03</v>
      </c>
      <c r="AS322" s="539">
        <f t="shared" si="13"/>
        <v>-0.03</v>
      </c>
      <c r="AT322" s="539">
        <f t="shared" si="13"/>
        <v>-0.03</v>
      </c>
      <c r="AU322" s="539">
        <f t="shared" si="13"/>
        <v>-0.03</v>
      </c>
      <c r="AV322" s="539">
        <f t="shared" si="13"/>
        <v>-0.03</v>
      </c>
      <c r="AW322" s="539">
        <f t="shared" si="13"/>
        <v>-0.03</v>
      </c>
      <c r="AX322" s="539">
        <f t="shared" si="13"/>
        <v>-0.03</v>
      </c>
      <c r="AY322" s="539">
        <f t="shared" si="13"/>
        <v>-0.03</v>
      </c>
      <c r="AZ322" s="539">
        <f t="shared" si="13"/>
        <v>-0.03</v>
      </c>
      <c r="BA322" s="539">
        <f t="shared" si="13"/>
        <v>-0.03</v>
      </c>
      <c r="BB322" s="539">
        <f t="shared" si="10"/>
        <v>-0.03</v>
      </c>
      <c r="BC322" s="539">
        <f t="shared" si="10"/>
        <v>-0.03</v>
      </c>
      <c r="BD322" s="539">
        <f t="shared" si="10"/>
        <v>-0.03</v>
      </c>
      <c r="BE322" s="539">
        <f t="shared" si="10"/>
        <v>-0.03</v>
      </c>
      <c r="BF322" s="539">
        <f t="shared" si="10"/>
        <v>-0.03</v>
      </c>
      <c r="BG322" s="539">
        <f t="shared" si="10"/>
        <v>-0.03</v>
      </c>
      <c r="BH322" s="539">
        <f t="shared" si="10"/>
        <v>-0.03</v>
      </c>
      <c r="BI322" s="539">
        <f t="shared" si="10"/>
        <v>-0.03</v>
      </c>
      <c r="BJ322" s="539">
        <f t="shared" si="10"/>
        <v>-0.03</v>
      </c>
      <c r="BK322" s="539">
        <f t="shared" si="10"/>
        <v>-0.03</v>
      </c>
      <c r="BL322" s="539">
        <f t="shared" si="11"/>
        <v>-0.03</v>
      </c>
      <c r="BM322" s="539">
        <f t="shared" si="11"/>
        <v>-0.03</v>
      </c>
      <c r="BN322" s="539">
        <f t="shared" si="11"/>
        <v>-0.03</v>
      </c>
      <c r="BO322" s="539">
        <f t="shared" si="11"/>
        <v>-0.03</v>
      </c>
      <c r="BP322" s="539">
        <f t="shared" si="11"/>
        <v>-0.03</v>
      </c>
      <c r="BQ322" s="539">
        <f t="shared" si="11"/>
        <v>-0.03</v>
      </c>
      <c r="BR322" s="539">
        <f t="shared" si="11"/>
        <v>-0.03</v>
      </c>
      <c r="BS322" s="539">
        <f t="shared" si="11"/>
        <v>-0.03</v>
      </c>
      <c r="BT322" s="539">
        <f t="shared" si="11"/>
        <v>-0.03</v>
      </c>
      <c r="BU322" s="539">
        <f t="shared" si="11"/>
        <v>-0.03</v>
      </c>
      <c r="BV322" s="539">
        <f t="shared" si="11"/>
        <v>-0.03</v>
      </c>
      <c r="BW322" s="539">
        <f t="shared" si="11"/>
        <v>-0.03</v>
      </c>
      <c r="BX322" s="539">
        <f t="shared" si="11"/>
        <v>-0.03</v>
      </c>
      <c r="BY322" s="539">
        <f t="shared" si="11"/>
        <v>-0.03</v>
      </c>
      <c r="BZ322" s="539">
        <f t="shared" si="11"/>
        <v>-0.03</v>
      </c>
      <c r="CA322" s="539">
        <f t="shared" si="12"/>
        <v>-0.03</v>
      </c>
      <c r="CB322" s="539">
        <f t="shared" si="12"/>
        <v>-0.03</v>
      </c>
      <c r="CC322" s="539">
        <f t="shared" si="12"/>
        <v>-0.03</v>
      </c>
      <c r="CD322" s="539">
        <f t="shared" si="12"/>
        <v>-0.03</v>
      </c>
      <c r="CE322" s="539">
        <f t="shared" si="12"/>
        <v>-0.03</v>
      </c>
      <c r="CF322" s="539">
        <f t="shared" si="12"/>
        <v>-0.03</v>
      </c>
      <c r="CG322" s="539">
        <f t="shared" si="12"/>
        <v>-0.03</v>
      </c>
      <c r="CH322" s="539">
        <f t="shared" si="12"/>
        <v>-0.03</v>
      </c>
      <c r="CI322" s="539">
        <v>-0.03</v>
      </c>
    </row>
    <row r="323" spans="1:87" ht="14.25" customHeight="1" x14ac:dyDescent="0.35">
      <c r="A323" s="42" t="s">
        <v>112</v>
      </c>
      <c r="B323" s="539">
        <v>-1.0278912648404338E-2</v>
      </c>
      <c r="C323" s="538">
        <f t="shared" ref="C323:C330" si="18">+B323</f>
        <v>-1.0278912648404338E-2</v>
      </c>
      <c r="D323" s="539">
        <f t="shared" si="15"/>
        <v>-1.0858944629333622E-2</v>
      </c>
      <c r="E323" s="539">
        <f t="shared" si="15"/>
        <v>-1.1438976610262906E-2</v>
      </c>
      <c r="F323" s="539">
        <f t="shared" si="15"/>
        <v>-1.201900859119219E-2</v>
      </c>
      <c r="G323" s="539">
        <f t="shared" si="15"/>
        <v>-1.2599040572121474E-2</v>
      </c>
      <c r="H323" s="539">
        <f t="shared" si="15"/>
        <v>-1.3179072553050758E-2</v>
      </c>
      <c r="I323" s="539">
        <f t="shared" si="15"/>
        <v>-1.3759104533980042E-2</v>
      </c>
      <c r="J323" s="539">
        <f t="shared" si="15"/>
        <v>-1.4339136514909326E-2</v>
      </c>
      <c r="K323" s="539">
        <f t="shared" si="15"/>
        <v>-1.491916849583861E-2</v>
      </c>
      <c r="L323" s="539">
        <f t="shared" si="15"/>
        <v>-1.5499200476767894E-2</v>
      </c>
      <c r="M323" s="539">
        <f t="shared" si="15"/>
        <v>-1.6079232457697178E-2</v>
      </c>
      <c r="N323" s="539">
        <f t="shared" si="15"/>
        <v>-1.6659264438626462E-2</v>
      </c>
      <c r="O323" s="539">
        <f t="shared" si="15"/>
        <v>-1.7239296419555745E-2</v>
      </c>
      <c r="P323" s="539">
        <f t="shared" si="15"/>
        <v>-1.7819328400485029E-2</v>
      </c>
      <c r="Q323" s="539">
        <f t="shared" si="15"/>
        <v>-1.8399360381414313E-2</v>
      </c>
      <c r="R323" s="539">
        <f t="shared" si="15"/>
        <v>-1.8979392362343597E-2</v>
      </c>
      <c r="S323" s="539">
        <f t="shared" si="15"/>
        <v>-1.9559424343272881E-2</v>
      </c>
      <c r="T323" s="539">
        <f t="shared" si="16"/>
        <v>-2.0139456324202165E-2</v>
      </c>
      <c r="U323" s="539">
        <f t="shared" si="16"/>
        <v>-2.0719488305131449E-2</v>
      </c>
      <c r="V323" s="539">
        <f t="shared" si="16"/>
        <v>-2.1299520286060733E-2</v>
      </c>
      <c r="W323" s="539">
        <f t="shared" si="16"/>
        <v>-2.1879552266990017E-2</v>
      </c>
      <c r="X323" s="539">
        <f t="shared" si="16"/>
        <v>-2.2459584247919301E-2</v>
      </c>
      <c r="Y323" s="539">
        <f t="shared" si="16"/>
        <v>-2.3039616228848585E-2</v>
      </c>
      <c r="Z323" s="539">
        <f t="shared" si="16"/>
        <v>-2.3619648209777869E-2</v>
      </c>
      <c r="AA323" s="539">
        <f t="shared" si="16"/>
        <v>-2.4199680190707153E-2</v>
      </c>
      <c r="AB323" s="539">
        <f t="shared" si="16"/>
        <v>-2.4779712171636437E-2</v>
      </c>
      <c r="AC323" s="539">
        <f t="shared" si="16"/>
        <v>-2.5359744152565721E-2</v>
      </c>
      <c r="AD323" s="539">
        <f t="shared" si="16"/>
        <v>-2.5939776133495004E-2</v>
      </c>
      <c r="AE323" s="539">
        <f t="shared" si="16"/>
        <v>-2.6519808114424288E-2</v>
      </c>
      <c r="AF323" s="539">
        <f t="shared" si="16"/>
        <v>-2.7099840095353572E-2</v>
      </c>
      <c r="AG323" s="539">
        <f t="shared" si="16"/>
        <v>-2.7679872076282856E-2</v>
      </c>
      <c r="AH323" s="539">
        <f t="shared" si="16"/>
        <v>-2.825990405721214E-2</v>
      </c>
      <c r="AI323" s="539">
        <f t="shared" si="16"/>
        <v>-2.8839936038141424E-2</v>
      </c>
      <c r="AJ323" s="539">
        <f t="shared" si="14"/>
        <v>-2.9419968019070708E-2</v>
      </c>
      <c r="AK323" s="540">
        <v>-0.03</v>
      </c>
      <c r="AL323" s="539">
        <f t="shared" si="13"/>
        <v>-0.03</v>
      </c>
      <c r="AM323" s="539">
        <f t="shared" si="13"/>
        <v>-0.03</v>
      </c>
      <c r="AN323" s="539">
        <f t="shared" si="13"/>
        <v>-0.03</v>
      </c>
      <c r="AO323" s="539">
        <f t="shared" si="13"/>
        <v>-0.03</v>
      </c>
      <c r="AP323" s="539">
        <f t="shared" si="13"/>
        <v>-0.03</v>
      </c>
      <c r="AQ323" s="539">
        <f t="shared" si="13"/>
        <v>-0.03</v>
      </c>
      <c r="AR323" s="539">
        <f t="shared" si="13"/>
        <v>-0.03</v>
      </c>
      <c r="AS323" s="539">
        <f t="shared" si="13"/>
        <v>-0.03</v>
      </c>
      <c r="AT323" s="539">
        <f t="shared" si="13"/>
        <v>-0.03</v>
      </c>
      <c r="AU323" s="539">
        <f t="shared" si="13"/>
        <v>-0.03</v>
      </c>
      <c r="AV323" s="539">
        <f t="shared" si="13"/>
        <v>-0.03</v>
      </c>
      <c r="AW323" s="539">
        <f t="shared" si="13"/>
        <v>-0.03</v>
      </c>
      <c r="AX323" s="539">
        <f t="shared" si="13"/>
        <v>-0.03</v>
      </c>
      <c r="AY323" s="539">
        <f t="shared" si="13"/>
        <v>-0.03</v>
      </c>
      <c r="AZ323" s="539">
        <f t="shared" si="13"/>
        <v>-0.03</v>
      </c>
      <c r="BA323" s="539">
        <f t="shared" si="13"/>
        <v>-0.03</v>
      </c>
      <c r="BB323" s="539">
        <f t="shared" si="10"/>
        <v>-0.03</v>
      </c>
      <c r="BC323" s="539">
        <f t="shared" si="10"/>
        <v>-0.03</v>
      </c>
      <c r="BD323" s="539">
        <f t="shared" si="10"/>
        <v>-0.03</v>
      </c>
      <c r="BE323" s="539">
        <f t="shared" si="10"/>
        <v>-0.03</v>
      </c>
      <c r="BF323" s="539">
        <f t="shared" si="10"/>
        <v>-0.03</v>
      </c>
      <c r="BG323" s="539">
        <f t="shared" si="10"/>
        <v>-0.03</v>
      </c>
      <c r="BH323" s="539">
        <f t="shared" si="10"/>
        <v>-0.03</v>
      </c>
      <c r="BI323" s="539">
        <f t="shared" si="10"/>
        <v>-0.03</v>
      </c>
      <c r="BJ323" s="539">
        <f t="shared" si="10"/>
        <v>-0.03</v>
      </c>
      <c r="BK323" s="539">
        <f t="shared" si="10"/>
        <v>-0.03</v>
      </c>
      <c r="BL323" s="539">
        <f t="shared" si="11"/>
        <v>-0.03</v>
      </c>
      <c r="BM323" s="539">
        <f t="shared" si="11"/>
        <v>-0.03</v>
      </c>
      <c r="BN323" s="539">
        <f t="shared" si="11"/>
        <v>-0.03</v>
      </c>
      <c r="BO323" s="539">
        <f t="shared" si="11"/>
        <v>-0.03</v>
      </c>
      <c r="BP323" s="539">
        <f t="shared" si="11"/>
        <v>-0.03</v>
      </c>
      <c r="BQ323" s="539">
        <f t="shared" si="11"/>
        <v>-0.03</v>
      </c>
      <c r="BR323" s="539">
        <f t="shared" si="11"/>
        <v>-0.03</v>
      </c>
      <c r="BS323" s="539">
        <f t="shared" si="11"/>
        <v>-0.03</v>
      </c>
      <c r="BT323" s="539">
        <f t="shared" si="11"/>
        <v>-0.03</v>
      </c>
      <c r="BU323" s="539">
        <f t="shared" si="11"/>
        <v>-0.03</v>
      </c>
      <c r="BV323" s="539">
        <f t="shared" si="11"/>
        <v>-0.03</v>
      </c>
      <c r="BW323" s="539">
        <f t="shared" si="11"/>
        <v>-0.03</v>
      </c>
      <c r="BX323" s="539">
        <f t="shared" si="11"/>
        <v>-0.03</v>
      </c>
      <c r="BY323" s="539">
        <f t="shared" si="11"/>
        <v>-0.03</v>
      </c>
      <c r="BZ323" s="539">
        <f t="shared" si="11"/>
        <v>-0.03</v>
      </c>
      <c r="CA323" s="539">
        <f t="shared" si="12"/>
        <v>-0.03</v>
      </c>
      <c r="CB323" s="539">
        <f t="shared" si="12"/>
        <v>-0.03</v>
      </c>
      <c r="CC323" s="539">
        <f t="shared" si="12"/>
        <v>-0.03</v>
      </c>
      <c r="CD323" s="539">
        <f t="shared" si="12"/>
        <v>-0.03</v>
      </c>
      <c r="CE323" s="539">
        <f t="shared" si="12"/>
        <v>-0.03</v>
      </c>
      <c r="CF323" s="539">
        <f t="shared" si="12"/>
        <v>-0.03</v>
      </c>
      <c r="CG323" s="539">
        <f t="shared" si="12"/>
        <v>-0.03</v>
      </c>
      <c r="CH323" s="539">
        <f t="shared" si="12"/>
        <v>-0.03</v>
      </c>
      <c r="CI323" s="539">
        <v>-0.03</v>
      </c>
    </row>
    <row r="324" spans="1:87" ht="14.25" customHeight="1" x14ac:dyDescent="0.35">
      <c r="A324" s="42" t="s">
        <v>113</v>
      </c>
      <c r="B324" s="539">
        <v>-2.0624728989944038E-2</v>
      </c>
      <c r="C324" s="538">
        <f t="shared" si="18"/>
        <v>-2.0624728989944038E-2</v>
      </c>
      <c r="D324" s="539">
        <f t="shared" si="15"/>
        <v>-2.0900472254945686E-2</v>
      </c>
      <c r="E324" s="539">
        <f t="shared" si="15"/>
        <v>-2.1176215519947333E-2</v>
      </c>
      <c r="F324" s="539">
        <f t="shared" si="15"/>
        <v>-2.1451958784948981E-2</v>
      </c>
      <c r="G324" s="539">
        <f t="shared" si="15"/>
        <v>-2.1727702049950628E-2</v>
      </c>
      <c r="H324" s="539">
        <f t="shared" si="15"/>
        <v>-2.2003445314952276E-2</v>
      </c>
      <c r="I324" s="539">
        <f t="shared" si="15"/>
        <v>-2.2279188579953924E-2</v>
      </c>
      <c r="J324" s="539">
        <f t="shared" si="15"/>
        <v>-2.2554931844955571E-2</v>
      </c>
      <c r="K324" s="539">
        <f t="shared" si="15"/>
        <v>-2.2830675109957219E-2</v>
      </c>
      <c r="L324" s="539">
        <f t="shared" si="15"/>
        <v>-2.3106418374958866E-2</v>
      </c>
      <c r="M324" s="539">
        <f t="shared" si="15"/>
        <v>-2.3382161639960514E-2</v>
      </c>
      <c r="N324" s="539">
        <f t="shared" si="15"/>
        <v>-2.3657904904962161E-2</v>
      </c>
      <c r="O324" s="539">
        <f t="shared" si="15"/>
        <v>-2.3933648169963809E-2</v>
      </c>
      <c r="P324" s="539">
        <f t="shared" si="15"/>
        <v>-2.4209391434965456E-2</v>
      </c>
      <c r="Q324" s="539">
        <f t="shared" si="15"/>
        <v>-2.4485134699967104E-2</v>
      </c>
      <c r="R324" s="539">
        <f t="shared" si="15"/>
        <v>-2.4760877964968751E-2</v>
      </c>
      <c r="S324" s="539">
        <f t="shared" si="15"/>
        <v>-2.5036621229970399E-2</v>
      </c>
      <c r="T324" s="539">
        <f t="shared" si="16"/>
        <v>-2.5312364494972046E-2</v>
      </c>
      <c r="U324" s="539">
        <f t="shared" si="16"/>
        <v>-2.5588107759973694E-2</v>
      </c>
      <c r="V324" s="539">
        <f t="shared" si="16"/>
        <v>-2.5863851024975341E-2</v>
      </c>
      <c r="W324" s="539">
        <f t="shared" si="16"/>
        <v>-2.6139594289976989E-2</v>
      </c>
      <c r="X324" s="539">
        <f t="shared" si="16"/>
        <v>-2.6415337554978637E-2</v>
      </c>
      <c r="Y324" s="539">
        <f t="shared" si="16"/>
        <v>-2.6691080819980284E-2</v>
      </c>
      <c r="Z324" s="539">
        <f t="shared" si="16"/>
        <v>-2.6966824084981932E-2</v>
      </c>
      <c r="AA324" s="539">
        <f t="shared" si="16"/>
        <v>-2.7242567349983579E-2</v>
      </c>
      <c r="AB324" s="539">
        <f t="shared" si="16"/>
        <v>-2.7518310614985227E-2</v>
      </c>
      <c r="AC324" s="539">
        <f t="shared" si="16"/>
        <v>-2.7794053879986874E-2</v>
      </c>
      <c r="AD324" s="539">
        <f t="shared" si="16"/>
        <v>-2.8069797144988522E-2</v>
      </c>
      <c r="AE324" s="539">
        <f t="shared" si="16"/>
        <v>-2.8345540409990169E-2</v>
      </c>
      <c r="AF324" s="539">
        <f t="shared" si="16"/>
        <v>-2.8621283674991817E-2</v>
      </c>
      <c r="AG324" s="539">
        <f t="shared" si="16"/>
        <v>-2.8897026939993464E-2</v>
      </c>
      <c r="AH324" s="539">
        <f t="shared" si="16"/>
        <v>-2.9172770204995112E-2</v>
      </c>
      <c r="AI324" s="539">
        <f t="shared" si="16"/>
        <v>-2.9448513469996759E-2</v>
      </c>
      <c r="AJ324" s="539">
        <f t="shared" si="14"/>
        <v>-2.9724256734998407E-2</v>
      </c>
      <c r="AK324" s="540">
        <v>-0.03</v>
      </c>
      <c r="AL324" s="539">
        <f t="shared" si="13"/>
        <v>-0.03</v>
      </c>
      <c r="AM324" s="539">
        <f t="shared" si="13"/>
        <v>-0.03</v>
      </c>
      <c r="AN324" s="539">
        <f t="shared" si="13"/>
        <v>-0.03</v>
      </c>
      <c r="AO324" s="539">
        <f t="shared" si="13"/>
        <v>-0.03</v>
      </c>
      <c r="AP324" s="539">
        <f t="shared" si="13"/>
        <v>-0.03</v>
      </c>
      <c r="AQ324" s="539">
        <f t="shared" si="13"/>
        <v>-0.03</v>
      </c>
      <c r="AR324" s="539">
        <f t="shared" si="13"/>
        <v>-0.03</v>
      </c>
      <c r="AS324" s="539">
        <f t="shared" si="13"/>
        <v>-0.03</v>
      </c>
      <c r="AT324" s="539">
        <f t="shared" si="13"/>
        <v>-0.03</v>
      </c>
      <c r="AU324" s="539">
        <f t="shared" si="13"/>
        <v>-0.03</v>
      </c>
      <c r="AV324" s="539">
        <f t="shared" si="13"/>
        <v>-0.03</v>
      </c>
      <c r="AW324" s="539">
        <f t="shared" si="13"/>
        <v>-0.03</v>
      </c>
      <c r="AX324" s="539">
        <f t="shared" si="13"/>
        <v>-0.03</v>
      </c>
      <c r="AY324" s="539">
        <f t="shared" si="13"/>
        <v>-0.03</v>
      </c>
      <c r="AZ324" s="539">
        <f t="shared" si="13"/>
        <v>-0.03</v>
      </c>
      <c r="BA324" s="539">
        <f t="shared" si="13"/>
        <v>-0.03</v>
      </c>
      <c r="BB324" s="539">
        <f t="shared" si="10"/>
        <v>-0.03</v>
      </c>
      <c r="BC324" s="539">
        <f t="shared" si="10"/>
        <v>-0.03</v>
      </c>
      <c r="BD324" s="539">
        <f t="shared" si="10"/>
        <v>-0.03</v>
      </c>
      <c r="BE324" s="539">
        <f t="shared" si="10"/>
        <v>-0.03</v>
      </c>
      <c r="BF324" s="539">
        <f t="shared" si="10"/>
        <v>-0.03</v>
      </c>
      <c r="BG324" s="539">
        <f t="shared" si="10"/>
        <v>-0.03</v>
      </c>
      <c r="BH324" s="539">
        <f t="shared" si="10"/>
        <v>-0.03</v>
      </c>
      <c r="BI324" s="539">
        <f t="shared" si="10"/>
        <v>-0.03</v>
      </c>
      <c r="BJ324" s="539">
        <f t="shared" si="10"/>
        <v>-0.03</v>
      </c>
      <c r="BK324" s="539">
        <f t="shared" si="10"/>
        <v>-0.03</v>
      </c>
      <c r="BL324" s="539">
        <f t="shared" si="11"/>
        <v>-0.03</v>
      </c>
      <c r="BM324" s="539">
        <f t="shared" si="11"/>
        <v>-0.03</v>
      </c>
      <c r="BN324" s="539">
        <f t="shared" si="11"/>
        <v>-0.03</v>
      </c>
      <c r="BO324" s="539">
        <f t="shared" si="11"/>
        <v>-0.03</v>
      </c>
      <c r="BP324" s="539">
        <f t="shared" si="11"/>
        <v>-0.03</v>
      </c>
      <c r="BQ324" s="539">
        <f t="shared" si="11"/>
        <v>-0.03</v>
      </c>
      <c r="BR324" s="539">
        <f t="shared" si="11"/>
        <v>-0.03</v>
      </c>
      <c r="BS324" s="539">
        <f t="shared" si="11"/>
        <v>-0.03</v>
      </c>
      <c r="BT324" s="539">
        <f t="shared" si="11"/>
        <v>-0.03</v>
      </c>
      <c r="BU324" s="539">
        <f t="shared" si="11"/>
        <v>-0.03</v>
      </c>
      <c r="BV324" s="539">
        <f t="shared" si="11"/>
        <v>-0.03</v>
      </c>
      <c r="BW324" s="539">
        <f t="shared" si="11"/>
        <v>-0.03</v>
      </c>
      <c r="BX324" s="539">
        <f t="shared" si="11"/>
        <v>-0.03</v>
      </c>
      <c r="BY324" s="539">
        <f t="shared" si="11"/>
        <v>-0.03</v>
      </c>
      <c r="BZ324" s="539">
        <f t="shared" si="11"/>
        <v>-0.03</v>
      </c>
      <c r="CA324" s="539">
        <f t="shared" si="12"/>
        <v>-0.03</v>
      </c>
      <c r="CB324" s="539">
        <f t="shared" si="12"/>
        <v>-0.03</v>
      </c>
      <c r="CC324" s="539">
        <f t="shared" si="12"/>
        <v>-0.03</v>
      </c>
      <c r="CD324" s="539">
        <f t="shared" si="12"/>
        <v>-0.03</v>
      </c>
      <c r="CE324" s="539">
        <f t="shared" si="12"/>
        <v>-0.03</v>
      </c>
      <c r="CF324" s="539">
        <f t="shared" si="12"/>
        <v>-0.03</v>
      </c>
      <c r="CG324" s="539">
        <f t="shared" si="12"/>
        <v>-0.03</v>
      </c>
      <c r="CH324" s="539">
        <f t="shared" si="12"/>
        <v>-0.03</v>
      </c>
      <c r="CI324" s="539">
        <v>-0.03</v>
      </c>
    </row>
    <row r="325" spans="1:87" ht="14.25" customHeight="1" x14ac:dyDescent="0.35">
      <c r="A325" s="42" t="s">
        <v>114</v>
      </c>
      <c r="B325" s="539">
        <v>-2.6328225584415978E-2</v>
      </c>
      <c r="C325" s="538">
        <f t="shared" si="18"/>
        <v>-2.6328225584415978E-2</v>
      </c>
      <c r="D325" s="539">
        <f t="shared" si="15"/>
        <v>-2.6436218949580214E-2</v>
      </c>
      <c r="E325" s="539">
        <f t="shared" si="15"/>
        <v>-2.654421231474445E-2</v>
      </c>
      <c r="F325" s="539">
        <f t="shared" si="15"/>
        <v>-2.6652205679908687E-2</v>
      </c>
      <c r="G325" s="539">
        <f t="shared" si="15"/>
        <v>-2.6760199045072923E-2</v>
      </c>
      <c r="H325" s="539">
        <f t="shared" si="15"/>
        <v>-2.6868192410237159E-2</v>
      </c>
      <c r="I325" s="539">
        <f t="shared" si="15"/>
        <v>-2.6976185775401396E-2</v>
      </c>
      <c r="J325" s="539">
        <f t="shared" si="15"/>
        <v>-2.7084179140565632E-2</v>
      </c>
      <c r="K325" s="539">
        <f t="shared" si="15"/>
        <v>-2.7192172505729868E-2</v>
      </c>
      <c r="L325" s="539">
        <f t="shared" si="15"/>
        <v>-2.7300165870894105E-2</v>
      </c>
      <c r="M325" s="539">
        <f t="shared" si="15"/>
        <v>-2.7408159236058341E-2</v>
      </c>
      <c r="N325" s="539">
        <f t="shared" si="15"/>
        <v>-2.7516152601222577E-2</v>
      </c>
      <c r="O325" s="539">
        <f t="shared" si="15"/>
        <v>-2.7624145966386814E-2</v>
      </c>
      <c r="P325" s="539">
        <f t="shared" si="15"/>
        <v>-2.773213933155105E-2</v>
      </c>
      <c r="Q325" s="539">
        <f t="shared" si="15"/>
        <v>-2.7840132696715286E-2</v>
      </c>
      <c r="R325" s="539">
        <f t="shared" si="15"/>
        <v>-2.7948126061879523E-2</v>
      </c>
      <c r="S325" s="539">
        <f t="shared" si="15"/>
        <v>-2.8056119427043759E-2</v>
      </c>
      <c r="T325" s="539">
        <f t="shared" si="16"/>
        <v>-2.8164112792207995E-2</v>
      </c>
      <c r="U325" s="539">
        <f t="shared" si="16"/>
        <v>-2.8272106157372232E-2</v>
      </c>
      <c r="V325" s="539">
        <f t="shared" si="16"/>
        <v>-2.8380099522536468E-2</v>
      </c>
      <c r="W325" s="539">
        <f t="shared" si="16"/>
        <v>-2.8488092887700704E-2</v>
      </c>
      <c r="X325" s="539">
        <f t="shared" si="16"/>
        <v>-2.8596086252864941E-2</v>
      </c>
      <c r="Y325" s="539">
        <f t="shared" si="16"/>
        <v>-2.8704079618029177E-2</v>
      </c>
      <c r="Z325" s="539">
        <f t="shared" si="16"/>
        <v>-2.8812072983193413E-2</v>
      </c>
      <c r="AA325" s="539">
        <f t="shared" si="16"/>
        <v>-2.8920066348357649E-2</v>
      </c>
      <c r="AB325" s="539">
        <f t="shared" si="16"/>
        <v>-2.9028059713521886E-2</v>
      </c>
      <c r="AC325" s="539">
        <f t="shared" si="16"/>
        <v>-2.9136053078686122E-2</v>
      </c>
      <c r="AD325" s="539">
        <f t="shared" si="16"/>
        <v>-2.9244046443850358E-2</v>
      </c>
      <c r="AE325" s="539">
        <f t="shared" si="16"/>
        <v>-2.9352039809014595E-2</v>
      </c>
      <c r="AF325" s="539">
        <f t="shared" si="16"/>
        <v>-2.9460033174178831E-2</v>
      </c>
      <c r="AG325" s="539">
        <f t="shared" si="16"/>
        <v>-2.9568026539343067E-2</v>
      </c>
      <c r="AH325" s="539">
        <f t="shared" si="16"/>
        <v>-2.9676019904507304E-2</v>
      </c>
      <c r="AI325" s="539">
        <f t="shared" si="16"/>
        <v>-2.978401326967154E-2</v>
      </c>
      <c r="AJ325" s="539">
        <f t="shared" si="14"/>
        <v>-2.9892006634835776E-2</v>
      </c>
      <c r="AK325" s="540">
        <v>-0.03</v>
      </c>
      <c r="AL325" s="539">
        <f t="shared" si="13"/>
        <v>-0.03</v>
      </c>
      <c r="AM325" s="539">
        <f t="shared" si="13"/>
        <v>-0.03</v>
      </c>
      <c r="AN325" s="539">
        <f t="shared" si="13"/>
        <v>-0.03</v>
      </c>
      <c r="AO325" s="539">
        <f t="shared" si="13"/>
        <v>-0.03</v>
      </c>
      <c r="AP325" s="539">
        <f t="shared" si="13"/>
        <v>-0.03</v>
      </c>
      <c r="AQ325" s="539">
        <f t="shared" si="13"/>
        <v>-0.03</v>
      </c>
      <c r="AR325" s="539">
        <f t="shared" si="13"/>
        <v>-0.03</v>
      </c>
      <c r="AS325" s="539">
        <f t="shared" si="13"/>
        <v>-0.03</v>
      </c>
      <c r="AT325" s="539">
        <f t="shared" si="13"/>
        <v>-0.03</v>
      </c>
      <c r="AU325" s="539">
        <f t="shared" si="13"/>
        <v>-0.03</v>
      </c>
      <c r="AV325" s="539">
        <f t="shared" si="13"/>
        <v>-0.03</v>
      </c>
      <c r="AW325" s="539">
        <f t="shared" si="13"/>
        <v>-0.03</v>
      </c>
      <c r="AX325" s="539">
        <f t="shared" si="13"/>
        <v>-0.03</v>
      </c>
      <c r="AY325" s="539">
        <f t="shared" si="13"/>
        <v>-0.03</v>
      </c>
      <c r="AZ325" s="539">
        <f t="shared" si="13"/>
        <v>-0.03</v>
      </c>
      <c r="BA325" s="539">
        <f t="shared" si="13"/>
        <v>-0.03</v>
      </c>
      <c r="BB325" s="539">
        <f t="shared" si="10"/>
        <v>-0.03</v>
      </c>
      <c r="BC325" s="539">
        <f t="shared" si="10"/>
        <v>-0.03</v>
      </c>
      <c r="BD325" s="539">
        <f t="shared" si="10"/>
        <v>-0.03</v>
      </c>
      <c r="BE325" s="539">
        <f t="shared" si="10"/>
        <v>-0.03</v>
      </c>
      <c r="BF325" s="539">
        <f t="shared" si="10"/>
        <v>-0.03</v>
      </c>
      <c r="BG325" s="539">
        <f t="shared" si="10"/>
        <v>-0.03</v>
      </c>
      <c r="BH325" s="539">
        <f t="shared" si="10"/>
        <v>-0.03</v>
      </c>
      <c r="BI325" s="539">
        <f t="shared" si="10"/>
        <v>-0.03</v>
      </c>
      <c r="BJ325" s="539">
        <f t="shared" si="10"/>
        <v>-0.03</v>
      </c>
      <c r="BK325" s="539">
        <f t="shared" si="10"/>
        <v>-0.03</v>
      </c>
      <c r="BL325" s="539">
        <f t="shared" si="11"/>
        <v>-0.03</v>
      </c>
      <c r="BM325" s="539">
        <f t="shared" si="11"/>
        <v>-0.03</v>
      </c>
      <c r="BN325" s="539">
        <f t="shared" si="11"/>
        <v>-0.03</v>
      </c>
      <c r="BO325" s="539">
        <f t="shared" si="11"/>
        <v>-0.03</v>
      </c>
      <c r="BP325" s="539">
        <f t="shared" si="11"/>
        <v>-0.03</v>
      </c>
      <c r="BQ325" s="539">
        <f t="shared" si="11"/>
        <v>-0.03</v>
      </c>
      <c r="BR325" s="539">
        <f t="shared" si="11"/>
        <v>-0.03</v>
      </c>
      <c r="BS325" s="539">
        <f t="shared" si="11"/>
        <v>-0.03</v>
      </c>
      <c r="BT325" s="539">
        <f t="shared" si="11"/>
        <v>-0.03</v>
      </c>
      <c r="BU325" s="539">
        <f t="shared" si="11"/>
        <v>-0.03</v>
      </c>
      <c r="BV325" s="539">
        <f t="shared" si="11"/>
        <v>-0.03</v>
      </c>
      <c r="BW325" s="539">
        <f t="shared" si="11"/>
        <v>-0.03</v>
      </c>
      <c r="BX325" s="539">
        <f t="shared" si="11"/>
        <v>-0.03</v>
      </c>
      <c r="BY325" s="539">
        <f t="shared" si="11"/>
        <v>-0.03</v>
      </c>
      <c r="BZ325" s="539">
        <f t="shared" si="11"/>
        <v>-0.03</v>
      </c>
      <c r="CA325" s="539">
        <f t="shared" si="12"/>
        <v>-0.03</v>
      </c>
      <c r="CB325" s="539">
        <f t="shared" si="12"/>
        <v>-0.03</v>
      </c>
      <c r="CC325" s="539">
        <f t="shared" si="12"/>
        <v>-0.03</v>
      </c>
      <c r="CD325" s="539">
        <f t="shared" si="12"/>
        <v>-0.03</v>
      </c>
      <c r="CE325" s="539">
        <f t="shared" si="12"/>
        <v>-0.03</v>
      </c>
      <c r="CF325" s="539">
        <f t="shared" si="12"/>
        <v>-0.03</v>
      </c>
      <c r="CG325" s="539">
        <f t="shared" si="12"/>
        <v>-0.03</v>
      </c>
      <c r="CH325" s="539">
        <f t="shared" si="12"/>
        <v>-0.03</v>
      </c>
      <c r="CI325" s="539">
        <v>-0.03</v>
      </c>
    </row>
    <row r="326" spans="1:87" ht="14.25" customHeight="1" x14ac:dyDescent="0.35">
      <c r="A326" s="42" t="s">
        <v>115</v>
      </c>
      <c r="B326" s="539">
        <v>-4.504840081411314E-2</v>
      </c>
      <c r="C326" s="538">
        <f t="shared" si="18"/>
        <v>-4.504840081411314E-2</v>
      </c>
      <c r="D326" s="539">
        <f t="shared" si="15"/>
        <v>-4.4605800790168633E-2</v>
      </c>
      <c r="E326" s="539">
        <f t="shared" si="15"/>
        <v>-4.4163200766224125E-2</v>
      </c>
      <c r="F326" s="539">
        <f t="shared" si="15"/>
        <v>-4.3720600742279618E-2</v>
      </c>
      <c r="G326" s="539">
        <f t="shared" si="15"/>
        <v>-4.3278000718335111E-2</v>
      </c>
      <c r="H326" s="539">
        <f t="shared" si="15"/>
        <v>-4.2835400694390603E-2</v>
      </c>
      <c r="I326" s="539">
        <f t="shared" si="15"/>
        <v>-4.2392800670446096E-2</v>
      </c>
      <c r="J326" s="539">
        <f t="shared" si="15"/>
        <v>-4.1950200646501588E-2</v>
      </c>
      <c r="K326" s="539">
        <f t="shared" si="15"/>
        <v>-4.1507600622557081E-2</v>
      </c>
      <c r="L326" s="539">
        <f t="shared" si="15"/>
        <v>-4.1065000598612574E-2</v>
      </c>
      <c r="M326" s="539">
        <f t="shared" si="15"/>
        <v>-4.0622400574668066E-2</v>
      </c>
      <c r="N326" s="539">
        <f t="shared" si="15"/>
        <v>-4.0179800550723559E-2</v>
      </c>
      <c r="O326" s="539">
        <f t="shared" si="15"/>
        <v>-3.9737200526779051E-2</v>
      </c>
      <c r="P326" s="539">
        <f t="shared" si="15"/>
        <v>-3.9294600502834544E-2</v>
      </c>
      <c r="Q326" s="539">
        <f t="shared" si="15"/>
        <v>-3.8852000478890036E-2</v>
      </c>
      <c r="R326" s="539">
        <f t="shared" si="15"/>
        <v>-3.8409400454945529E-2</v>
      </c>
      <c r="S326" s="539">
        <f t="shared" si="15"/>
        <v>-3.7966800431001022E-2</v>
      </c>
      <c r="T326" s="539">
        <f t="shared" si="16"/>
        <v>-3.7524200407056514E-2</v>
      </c>
      <c r="U326" s="539">
        <f t="shared" si="16"/>
        <v>-3.7081600383112007E-2</v>
      </c>
      <c r="V326" s="539">
        <f t="shared" si="16"/>
        <v>-3.6639000359167499E-2</v>
      </c>
      <c r="W326" s="539">
        <f t="shared" si="16"/>
        <v>-3.6196400335222992E-2</v>
      </c>
      <c r="X326" s="539">
        <f t="shared" si="16"/>
        <v>-3.5753800311278484E-2</v>
      </c>
      <c r="Y326" s="539">
        <f t="shared" si="16"/>
        <v>-3.5311200287333977E-2</v>
      </c>
      <c r="Z326" s="539">
        <f t="shared" si="16"/>
        <v>-3.486860026338947E-2</v>
      </c>
      <c r="AA326" s="539">
        <f t="shared" si="16"/>
        <v>-3.4426000239444962E-2</v>
      </c>
      <c r="AB326" s="539">
        <f t="shared" si="16"/>
        <v>-3.3983400215500455E-2</v>
      </c>
      <c r="AC326" s="539">
        <f t="shared" si="16"/>
        <v>-3.3540800191555947E-2</v>
      </c>
      <c r="AD326" s="539">
        <f t="shared" si="16"/>
        <v>-3.309820016761144E-2</v>
      </c>
      <c r="AE326" s="539">
        <f t="shared" si="16"/>
        <v>-3.2655600143666932E-2</v>
      </c>
      <c r="AF326" s="539">
        <f t="shared" si="16"/>
        <v>-3.2213000119722425E-2</v>
      </c>
      <c r="AG326" s="539">
        <f t="shared" si="16"/>
        <v>-3.1770400095777918E-2</v>
      </c>
      <c r="AH326" s="539">
        <f t="shared" si="16"/>
        <v>-3.132780007183341E-2</v>
      </c>
      <c r="AI326" s="539">
        <f t="shared" si="16"/>
        <v>-3.0885200047888906E-2</v>
      </c>
      <c r="AJ326" s="539">
        <f t="shared" si="14"/>
        <v>-3.0442600023944402E-2</v>
      </c>
      <c r="AK326" s="540">
        <v>-0.03</v>
      </c>
      <c r="AL326" s="539">
        <f t="shared" si="13"/>
        <v>-0.03</v>
      </c>
      <c r="AM326" s="539">
        <f t="shared" si="13"/>
        <v>-0.03</v>
      </c>
      <c r="AN326" s="539">
        <f t="shared" si="13"/>
        <v>-0.03</v>
      </c>
      <c r="AO326" s="539">
        <f t="shared" si="13"/>
        <v>-0.03</v>
      </c>
      <c r="AP326" s="539">
        <f t="shared" si="13"/>
        <v>-0.03</v>
      </c>
      <c r="AQ326" s="539">
        <f t="shared" si="13"/>
        <v>-0.03</v>
      </c>
      <c r="AR326" s="539">
        <f t="shared" si="13"/>
        <v>-0.03</v>
      </c>
      <c r="AS326" s="539">
        <f t="shared" si="13"/>
        <v>-0.03</v>
      </c>
      <c r="AT326" s="539">
        <f t="shared" si="13"/>
        <v>-0.03</v>
      </c>
      <c r="AU326" s="539">
        <f t="shared" si="13"/>
        <v>-0.03</v>
      </c>
      <c r="AV326" s="539">
        <f t="shared" si="13"/>
        <v>-0.03</v>
      </c>
      <c r="AW326" s="539">
        <f t="shared" si="13"/>
        <v>-0.03</v>
      </c>
      <c r="AX326" s="539">
        <f t="shared" si="13"/>
        <v>-0.03</v>
      </c>
      <c r="AY326" s="539">
        <f t="shared" si="13"/>
        <v>-0.03</v>
      </c>
      <c r="AZ326" s="539">
        <f t="shared" si="13"/>
        <v>-0.03</v>
      </c>
      <c r="BA326" s="539">
        <f t="shared" ref="BA326:BP339" si="19">+AZ326+($CI326-$AK326)/($CI$304-$AK$304)</f>
        <v>-0.03</v>
      </c>
      <c r="BB326" s="539">
        <f t="shared" si="19"/>
        <v>-0.03</v>
      </c>
      <c r="BC326" s="539">
        <f t="shared" si="19"/>
        <v>-0.03</v>
      </c>
      <c r="BD326" s="539">
        <f t="shared" si="19"/>
        <v>-0.03</v>
      </c>
      <c r="BE326" s="539">
        <f t="shared" si="19"/>
        <v>-0.03</v>
      </c>
      <c r="BF326" s="539">
        <f t="shared" si="19"/>
        <v>-0.03</v>
      </c>
      <c r="BG326" s="539">
        <f t="shared" si="19"/>
        <v>-0.03</v>
      </c>
      <c r="BH326" s="539">
        <f t="shared" si="19"/>
        <v>-0.03</v>
      </c>
      <c r="BI326" s="539">
        <f t="shared" si="19"/>
        <v>-0.03</v>
      </c>
      <c r="BJ326" s="539">
        <f t="shared" si="19"/>
        <v>-0.03</v>
      </c>
      <c r="BK326" s="539">
        <f t="shared" si="19"/>
        <v>-0.03</v>
      </c>
      <c r="BL326" s="539">
        <f t="shared" si="19"/>
        <v>-0.03</v>
      </c>
      <c r="BM326" s="539">
        <f t="shared" si="19"/>
        <v>-0.03</v>
      </c>
      <c r="BN326" s="539">
        <f t="shared" si="19"/>
        <v>-0.03</v>
      </c>
      <c r="BO326" s="539">
        <f t="shared" si="19"/>
        <v>-0.03</v>
      </c>
      <c r="BP326" s="539">
        <f t="shared" si="19"/>
        <v>-0.03</v>
      </c>
      <c r="BQ326" s="539">
        <f t="shared" ref="BQ326:CF339" si="20">+BP326+($CI326-$AK326)/($CI$304-$AK$304)</f>
        <v>-0.03</v>
      </c>
      <c r="BR326" s="539">
        <f t="shared" si="20"/>
        <v>-0.03</v>
      </c>
      <c r="BS326" s="539">
        <f t="shared" si="20"/>
        <v>-0.03</v>
      </c>
      <c r="BT326" s="539">
        <f t="shared" si="20"/>
        <v>-0.03</v>
      </c>
      <c r="BU326" s="539">
        <f t="shared" si="20"/>
        <v>-0.03</v>
      </c>
      <c r="BV326" s="539">
        <f t="shared" si="20"/>
        <v>-0.03</v>
      </c>
      <c r="BW326" s="539">
        <f t="shared" si="20"/>
        <v>-0.03</v>
      </c>
      <c r="BX326" s="539">
        <f t="shared" si="20"/>
        <v>-0.03</v>
      </c>
      <c r="BY326" s="539">
        <f t="shared" si="20"/>
        <v>-0.03</v>
      </c>
      <c r="BZ326" s="539">
        <f t="shared" si="20"/>
        <v>-0.03</v>
      </c>
      <c r="CA326" s="539">
        <f t="shared" si="20"/>
        <v>-0.03</v>
      </c>
      <c r="CB326" s="539">
        <f t="shared" si="20"/>
        <v>-0.03</v>
      </c>
      <c r="CC326" s="539">
        <f t="shared" si="20"/>
        <v>-0.03</v>
      </c>
      <c r="CD326" s="539">
        <f t="shared" si="20"/>
        <v>-0.03</v>
      </c>
      <c r="CE326" s="539">
        <f t="shared" si="20"/>
        <v>-0.03</v>
      </c>
      <c r="CF326" s="539">
        <f t="shared" si="20"/>
        <v>-0.03</v>
      </c>
      <c r="CG326" s="539">
        <f t="shared" ref="CA326:CH339" si="21">+CF326+($CI326-$AK326)/($CI$304-$AK$304)</f>
        <v>-0.03</v>
      </c>
      <c r="CH326" s="539">
        <f t="shared" si="21"/>
        <v>-0.03</v>
      </c>
      <c r="CI326" s="539">
        <v>-0.03</v>
      </c>
    </row>
    <row r="327" spans="1:87" ht="14.25" customHeight="1" x14ac:dyDescent="0.35">
      <c r="A327" s="42" t="s">
        <v>116</v>
      </c>
      <c r="B327" s="539">
        <v>-6.0649868774762302E-3</v>
      </c>
      <c r="C327" s="538">
        <f t="shared" si="18"/>
        <v>-6.0649868774762302E-3</v>
      </c>
      <c r="D327" s="539">
        <f t="shared" si="15"/>
        <v>-6.7689578516681058E-3</v>
      </c>
      <c r="E327" s="539">
        <f t="shared" si="15"/>
        <v>-7.4729288258599813E-3</v>
      </c>
      <c r="F327" s="539">
        <f t="shared" si="15"/>
        <v>-8.176899800051856E-3</v>
      </c>
      <c r="G327" s="539">
        <f t="shared" si="15"/>
        <v>-8.8808707742437307E-3</v>
      </c>
      <c r="H327" s="539">
        <f t="shared" si="15"/>
        <v>-9.5848417484356054E-3</v>
      </c>
      <c r="I327" s="539">
        <f t="shared" si="15"/>
        <v>-1.028881272262748E-2</v>
      </c>
      <c r="J327" s="539">
        <f t="shared" si="15"/>
        <v>-1.0992783696819355E-2</v>
      </c>
      <c r="K327" s="539">
        <f t="shared" si="15"/>
        <v>-1.1696754671011229E-2</v>
      </c>
      <c r="L327" s="539">
        <f t="shared" si="15"/>
        <v>-1.2400725645203104E-2</v>
      </c>
      <c r="M327" s="539">
        <f t="shared" si="15"/>
        <v>-1.3104696619394979E-2</v>
      </c>
      <c r="N327" s="539">
        <f t="shared" si="15"/>
        <v>-1.3808667593586853E-2</v>
      </c>
      <c r="O327" s="539">
        <f t="shared" si="15"/>
        <v>-1.4512638567778728E-2</v>
      </c>
      <c r="P327" s="539">
        <f t="shared" si="15"/>
        <v>-1.5216609541970603E-2</v>
      </c>
      <c r="Q327" s="539">
        <f t="shared" si="15"/>
        <v>-1.5920580516162477E-2</v>
      </c>
      <c r="R327" s="539">
        <f t="shared" si="15"/>
        <v>-1.6624551490354352E-2</v>
      </c>
      <c r="S327" s="539">
        <f t="shared" si="15"/>
        <v>-1.7328522464546227E-2</v>
      </c>
      <c r="T327" s="539">
        <f t="shared" si="16"/>
        <v>-1.8032493438738102E-2</v>
      </c>
      <c r="U327" s="539">
        <f t="shared" si="16"/>
        <v>-1.8736464412929976E-2</v>
      </c>
      <c r="V327" s="539">
        <f t="shared" si="16"/>
        <v>-1.9440435387121851E-2</v>
      </c>
      <c r="W327" s="539">
        <f t="shared" si="16"/>
        <v>-2.0144406361313726E-2</v>
      </c>
      <c r="X327" s="539">
        <f t="shared" si="16"/>
        <v>-2.08483773355056E-2</v>
      </c>
      <c r="Y327" s="539">
        <f t="shared" si="16"/>
        <v>-2.1552348309697475E-2</v>
      </c>
      <c r="Z327" s="539">
        <f t="shared" si="16"/>
        <v>-2.225631928388935E-2</v>
      </c>
      <c r="AA327" s="539">
        <f t="shared" si="16"/>
        <v>-2.2960290258081224E-2</v>
      </c>
      <c r="AB327" s="539">
        <f t="shared" si="16"/>
        <v>-2.3664261232273099E-2</v>
      </c>
      <c r="AC327" s="539">
        <f t="shared" si="16"/>
        <v>-2.4368232206464974E-2</v>
      </c>
      <c r="AD327" s="539">
        <f t="shared" si="16"/>
        <v>-2.5072203180656848E-2</v>
      </c>
      <c r="AE327" s="539">
        <f t="shared" si="16"/>
        <v>-2.5776174154848723E-2</v>
      </c>
      <c r="AF327" s="539">
        <f t="shared" si="16"/>
        <v>-2.6480145129040598E-2</v>
      </c>
      <c r="AG327" s="539">
        <f t="shared" si="16"/>
        <v>-2.7184116103232472E-2</v>
      </c>
      <c r="AH327" s="539">
        <f t="shared" si="16"/>
        <v>-2.7888087077424347E-2</v>
      </c>
      <c r="AI327" s="539">
        <f t="shared" si="16"/>
        <v>-2.8592058051616222E-2</v>
      </c>
      <c r="AJ327" s="539">
        <f t="shared" si="14"/>
        <v>-2.9296029025808096E-2</v>
      </c>
      <c r="AK327" s="540">
        <v>-0.03</v>
      </c>
      <c r="AL327" s="539">
        <f t="shared" ref="AL327:AZ339" si="22">+AK327+($CI327-$AK327)/($CI$304-$AK$304)</f>
        <v>-0.03</v>
      </c>
      <c r="AM327" s="539">
        <f t="shared" si="22"/>
        <v>-0.03</v>
      </c>
      <c r="AN327" s="539">
        <f t="shared" si="22"/>
        <v>-0.03</v>
      </c>
      <c r="AO327" s="539">
        <f t="shared" si="22"/>
        <v>-0.03</v>
      </c>
      <c r="AP327" s="539">
        <f t="shared" si="22"/>
        <v>-0.03</v>
      </c>
      <c r="AQ327" s="539">
        <f t="shared" si="22"/>
        <v>-0.03</v>
      </c>
      <c r="AR327" s="539">
        <f t="shared" si="22"/>
        <v>-0.03</v>
      </c>
      <c r="AS327" s="539">
        <f t="shared" si="22"/>
        <v>-0.03</v>
      </c>
      <c r="AT327" s="539">
        <f t="shared" si="22"/>
        <v>-0.03</v>
      </c>
      <c r="AU327" s="539">
        <f t="shared" si="22"/>
        <v>-0.03</v>
      </c>
      <c r="AV327" s="539">
        <f t="shared" si="22"/>
        <v>-0.03</v>
      </c>
      <c r="AW327" s="539">
        <f t="shared" si="22"/>
        <v>-0.03</v>
      </c>
      <c r="AX327" s="539">
        <f t="shared" si="22"/>
        <v>-0.03</v>
      </c>
      <c r="AY327" s="539">
        <f t="shared" si="22"/>
        <v>-0.03</v>
      </c>
      <c r="AZ327" s="539">
        <f t="shared" si="22"/>
        <v>-0.03</v>
      </c>
      <c r="BA327" s="539">
        <f t="shared" si="19"/>
        <v>-0.03</v>
      </c>
      <c r="BB327" s="539">
        <f t="shared" si="19"/>
        <v>-0.03</v>
      </c>
      <c r="BC327" s="539">
        <f t="shared" si="19"/>
        <v>-0.03</v>
      </c>
      <c r="BD327" s="539">
        <f t="shared" si="19"/>
        <v>-0.03</v>
      </c>
      <c r="BE327" s="539">
        <f t="shared" si="19"/>
        <v>-0.03</v>
      </c>
      <c r="BF327" s="539">
        <f t="shared" si="19"/>
        <v>-0.03</v>
      </c>
      <c r="BG327" s="539">
        <f t="shared" si="19"/>
        <v>-0.03</v>
      </c>
      <c r="BH327" s="539">
        <f t="shared" si="19"/>
        <v>-0.03</v>
      </c>
      <c r="BI327" s="539">
        <f t="shared" si="19"/>
        <v>-0.03</v>
      </c>
      <c r="BJ327" s="539">
        <f t="shared" si="19"/>
        <v>-0.03</v>
      </c>
      <c r="BK327" s="539">
        <f t="shared" si="19"/>
        <v>-0.03</v>
      </c>
      <c r="BL327" s="539">
        <f t="shared" si="19"/>
        <v>-0.03</v>
      </c>
      <c r="BM327" s="539">
        <f t="shared" si="19"/>
        <v>-0.03</v>
      </c>
      <c r="BN327" s="539">
        <f t="shared" si="19"/>
        <v>-0.03</v>
      </c>
      <c r="BO327" s="539">
        <f t="shared" si="19"/>
        <v>-0.03</v>
      </c>
      <c r="BP327" s="539">
        <f t="shared" si="19"/>
        <v>-0.03</v>
      </c>
      <c r="BQ327" s="539">
        <f t="shared" si="20"/>
        <v>-0.03</v>
      </c>
      <c r="BR327" s="539">
        <f t="shared" si="20"/>
        <v>-0.03</v>
      </c>
      <c r="BS327" s="539">
        <f t="shared" si="20"/>
        <v>-0.03</v>
      </c>
      <c r="BT327" s="539">
        <f t="shared" si="20"/>
        <v>-0.03</v>
      </c>
      <c r="BU327" s="539">
        <f t="shared" si="20"/>
        <v>-0.03</v>
      </c>
      <c r="BV327" s="539">
        <f t="shared" si="20"/>
        <v>-0.03</v>
      </c>
      <c r="BW327" s="539">
        <f t="shared" si="20"/>
        <v>-0.03</v>
      </c>
      <c r="BX327" s="539">
        <f t="shared" si="20"/>
        <v>-0.03</v>
      </c>
      <c r="BY327" s="539">
        <f t="shared" si="20"/>
        <v>-0.03</v>
      </c>
      <c r="BZ327" s="539">
        <f t="shared" si="20"/>
        <v>-0.03</v>
      </c>
      <c r="CA327" s="539">
        <f t="shared" si="20"/>
        <v>-0.03</v>
      </c>
      <c r="CB327" s="539">
        <f t="shared" si="20"/>
        <v>-0.03</v>
      </c>
      <c r="CC327" s="539">
        <f t="shared" si="20"/>
        <v>-0.03</v>
      </c>
      <c r="CD327" s="539">
        <f t="shared" si="20"/>
        <v>-0.03</v>
      </c>
      <c r="CE327" s="539">
        <f t="shared" si="20"/>
        <v>-0.03</v>
      </c>
      <c r="CF327" s="539">
        <f t="shared" si="20"/>
        <v>-0.03</v>
      </c>
      <c r="CG327" s="539">
        <f t="shared" si="21"/>
        <v>-0.03</v>
      </c>
      <c r="CH327" s="539">
        <f t="shared" si="21"/>
        <v>-0.03</v>
      </c>
      <c r="CI327" s="539">
        <v>-0.03</v>
      </c>
    </row>
    <row r="328" spans="1:87" ht="14.25" customHeight="1" x14ac:dyDescent="0.35">
      <c r="A328" s="42" t="s">
        <v>117</v>
      </c>
      <c r="B328" s="539">
        <v>-2.6915498977366632E-2</v>
      </c>
      <c r="C328" s="538">
        <f t="shared" si="18"/>
        <v>-2.6915498977366632E-2</v>
      </c>
      <c r="D328" s="539">
        <f t="shared" si="15"/>
        <v>-2.7006219595679379E-2</v>
      </c>
      <c r="E328" s="539">
        <f t="shared" si="15"/>
        <v>-2.7096940213992126E-2</v>
      </c>
      <c r="F328" s="539">
        <f t="shared" si="15"/>
        <v>-2.7187660832304873E-2</v>
      </c>
      <c r="G328" s="539">
        <f t="shared" si="15"/>
        <v>-2.727838145061762E-2</v>
      </c>
      <c r="H328" s="539">
        <f t="shared" si="15"/>
        <v>-2.7369102068930368E-2</v>
      </c>
      <c r="I328" s="539">
        <f t="shared" si="15"/>
        <v>-2.7459822687243115E-2</v>
      </c>
      <c r="J328" s="539">
        <f t="shared" si="15"/>
        <v>-2.7550543305555862E-2</v>
      </c>
      <c r="K328" s="539">
        <f t="shared" si="15"/>
        <v>-2.7641263923868609E-2</v>
      </c>
      <c r="L328" s="539">
        <f t="shared" si="15"/>
        <v>-2.7731984542181357E-2</v>
      </c>
      <c r="M328" s="539">
        <f t="shared" si="15"/>
        <v>-2.7822705160494104E-2</v>
      </c>
      <c r="N328" s="539">
        <f t="shared" si="15"/>
        <v>-2.7913425778806851E-2</v>
      </c>
      <c r="O328" s="539">
        <f t="shared" si="15"/>
        <v>-2.8004146397119598E-2</v>
      </c>
      <c r="P328" s="539">
        <f t="shared" si="15"/>
        <v>-2.8094867015432345E-2</v>
      </c>
      <c r="Q328" s="539">
        <f t="shared" si="15"/>
        <v>-2.8185587633745093E-2</v>
      </c>
      <c r="R328" s="539">
        <f t="shared" si="15"/>
        <v>-2.827630825205784E-2</v>
      </c>
      <c r="S328" s="539">
        <f t="shared" si="15"/>
        <v>-2.8367028870370587E-2</v>
      </c>
      <c r="T328" s="539">
        <f t="shared" si="16"/>
        <v>-2.8457749488683334E-2</v>
      </c>
      <c r="U328" s="539">
        <f t="shared" si="16"/>
        <v>-2.8548470106996082E-2</v>
      </c>
      <c r="V328" s="539">
        <f t="shared" si="16"/>
        <v>-2.8639190725308829E-2</v>
      </c>
      <c r="W328" s="539">
        <f t="shared" si="16"/>
        <v>-2.8729911343621576E-2</v>
      </c>
      <c r="X328" s="539">
        <f t="shared" si="16"/>
        <v>-2.8820631961934323E-2</v>
      </c>
      <c r="Y328" s="539">
        <f t="shared" si="16"/>
        <v>-2.891135258024707E-2</v>
      </c>
      <c r="Z328" s="539">
        <f t="shared" si="16"/>
        <v>-2.9002073198559818E-2</v>
      </c>
      <c r="AA328" s="539">
        <f t="shared" si="16"/>
        <v>-2.9092793816872565E-2</v>
      </c>
      <c r="AB328" s="539">
        <f t="shared" si="16"/>
        <v>-2.9183514435185312E-2</v>
      </c>
      <c r="AC328" s="539">
        <f t="shared" si="16"/>
        <v>-2.9274235053498059E-2</v>
      </c>
      <c r="AD328" s="539">
        <f t="shared" si="16"/>
        <v>-2.9364955671810807E-2</v>
      </c>
      <c r="AE328" s="539">
        <f t="shared" si="16"/>
        <v>-2.9455676290123554E-2</v>
      </c>
      <c r="AF328" s="539">
        <f t="shared" si="16"/>
        <v>-2.9546396908436301E-2</v>
      </c>
      <c r="AG328" s="539">
        <f t="shared" si="16"/>
        <v>-2.9637117526749048E-2</v>
      </c>
      <c r="AH328" s="539">
        <f t="shared" si="16"/>
        <v>-2.9727838145061795E-2</v>
      </c>
      <c r="AI328" s="539">
        <f t="shared" si="16"/>
        <v>-2.9818558763374543E-2</v>
      </c>
      <c r="AJ328" s="539">
        <f t="shared" si="14"/>
        <v>-2.990927938168729E-2</v>
      </c>
      <c r="AK328" s="540">
        <v>-0.03</v>
      </c>
      <c r="AL328" s="539">
        <f t="shared" si="22"/>
        <v>-0.03</v>
      </c>
      <c r="AM328" s="539">
        <f t="shared" si="22"/>
        <v>-0.03</v>
      </c>
      <c r="AN328" s="539">
        <f t="shared" si="22"/>
        <v>-0.03</v>
      </c>
      <c r="AO328" s="539">
        <f t="shared" si="22"/>
        <v>-0.03</v>
      </c>
      <c r="AP328" s="539">
        <f t="shared" si="22"/>
        <v>-0.03</v>
      </c>
      <c r="AQ328" s="539">
        <f t="shared" si="22"/>
        <v>-0.03</v>
      </c>
      <c r="AR328" s="539">
        <f t="shared" si="22"/>
        <v>-0.03</v>
      </c>
      <c r="AS328" s="539">
        <f t="shared" si="22"/>
        <v>-0.03</v>
      </c>
      <c r="AT328" s="539">
        <f t="shared" si="22"/>
        <v>-0.03</v>
      </c>
      <c r="AU328" s="539">
        <f t="shared" si="22"/>
        <v>-0.03</v>
      </c>
      <c r="AV328" s="539">
        <f t="shared" si="22"/>
        <v>-0.03</v>
      </c>
      <c r="AW328" s="539">
        <f t="shared" si="22"/>
        <v>-0.03</v>
      </c>
      <c r="AX328" s="539">
        <f t="shared" si="22"/>
        <v>-0.03</v>
      </c>
      <c r="AY328" s="539">
        <f t="shared" si="22"/>
        <v>-0.03</v>
      </c>
      <c r="AZ328" s="539">
        <f t="shared" si="22"/>
        <v>-0.03</v>
      </c>
      <c r="BA328" s="539">
        <f t="shared" si="19"/>
        <v>-0.03</v>
      </c>
      <c r="BB328" s="539">
        <f t="shared" si="19"/>
        <v>-0.03</v>
      </c>
      <c r="BC328" s="539">
        <f t="shared" si="19"/>
        <v>-0.03</v>
      </c>
      <c r="BD328" s="539">
        <f t="shared" si="19"/>
        <v>-0.03</v>
      </c>
      <c r="BE328" s="539">
        <f t="shared" si="19"/>
        <v>-0.03</v>
      </c>
      <c r="BF328" s="539">
        <f t="shared" si="19"/>
        <v>-0.03</v>
      </c>
      <c r="BG328" s="539">
        <f t="shared" si="19"/>
        <v>-0.03</v>
      </c>
      <c r="BH328" s="539">
        <f t="shared" si="19"/>
        <v>-0.03</v>
      </c>
      <c r="BI328" s="539">
        <f t="shared" si="19"/>
        <v>-0.03</v>
      </c>
      <c r="BJ328" s="539">
        <f t="shared" si="19"/>
        <v>-0.03</v>
      </c>
      <c r="BK328" s="539">
        <f t="shared" si="19"/>
        <v>-0.03</v>
      </c>
      <c r="BL328" s="539">
        <f t="shared" si="19"/>
        <v>-0.03</v>
      </c>
      <c r="BM328" s="539">
        <f t="shared" si="19"/>
        <v>-0.03</v>
      </c>
      <c r="BN328" s="539">
        <f t="shared" si="19"/>
        <v>-0.03</v>
      </c>
      <c r="BO328" s="539">
        <f t="shared" si="19"/>
        <v>-0.03</v>
      </c>
      <c r="BP328" s="539">
        <f t="shared" si="19"/>
        <v>-0.03</v>
      </c>
      <c r="BQ328" s="539">
        <f t="shared" si="20"/>
        <v>-0.03</v>
      </c>
      <c r="BR328" s="539">
        <f t="shared" si="20"/>
        <v>-0.03</v>
      </c>
      <c r="BS328" s="539">
        <f t="shared" si="20"/>
        <v>-0.03</v>
      </c>
      <c r="BT328" s="539">
        <f t="shared" si="20"/>
        <v>-0.03</v>
      </c>
      <c r="BU328" s="539">
        <f t="shared" si="20"/>
        <v>-0.03</v>
      </c>
      <c r="BV328" s="539">
        <f t="shared" si="20"/>
        <v>-0.03</v>
      </c>
      <c r="BW328" s="539">
        <f t="shared" si="20"/>
        <v>-0.03</v>
      </c>
      <c r="BX328" s="539">
        <f t="shared" si="20"/>
        <v>-0.03</v>
      </c>
      <c r="BY328" s="539">
        <f t="shared" si="20"/>
        <v>-0.03</v>
      </c>
      <c r="BZ328" s="539">
        <f t="shared" si="20"/>
        <v>-0.03</v>
      </c>
      <c r="CA328" s="539">
        <f t="shared" si="21"/>
        <v>-0.03</v>
      </c>
      <c r="CB328" s="539">
        <f t="shared" si="21"/>
        <v>-0.03</v>
      </c>
      <c r="CC328" s="539">
        <f t="shared" si="21"/>
        <v>-0.03</v>
      </c>
      <c r="CD328" s="539">
        <f t="shared" si="21"/>
        <v>-0.03</v>
      </c>
      <c r="CE328" s="539">
        <f t="shared" si="21"/>
        <v>-0.03</v>
      </c>
      <c r="CF328" s="539">
        <f t="shared" si="21"/>
        <v>-0.03</v>
      </c>
      <c r="CG328" s="539">
        <f t="shared" si="21"/>
        <v>-0.03</v>
      </c>
      <c r="CH328" s="539">
        <f t="shared" si="21"/>
        <v>-0.03</v>
      </c>
      <c r="CI328" s="539">
        <v>-0.03</v>
      </c>
    </row>
    <row r="329" spans="1:87" ht="14.25" customHeight="1" x14ac:dyDescent="0.35">
      <c r="A329" s="42" t="s">
        <v>118</v>
      </c>
      <c r="B329" s="539">
        <v>-2.8778874284111543E-2</v>
      </c>
      <c r="C329" s="538">
        <f t="shared" si="18"/>
        <v>-2.8778874284111543E-2</v>
      </c>
      <c r="D329" s="539">
        <f t="shared" si="15"/>
        <v>-2.8814789746343557E-2</v>
      </c>
      <c r="E329" s="539">
        <f t="shared" si="15"/>
        <v>-2.8850705208575571E-2</v>
      </c>
      <c r="F329" s="539">
        <f t="shared" si="15"/>
        <v>-2.8886620670807585E-2</v>
      </c>
      <c r="G329" s="539">
        <f t="shared" si="15"/>
        <v>-2.8922536133039599E-2</v>
      </c>
      <c r="H329" s="539">
        <f t="shared" si="15"/>
        <v>-2.8958451595271613E-2</v>
      </c>
      <c r="I329" s="539">
        <f t="shared" si="15"/>
        <v>-2.8994367057503627E-2</v>
      </c>
      <c r="J329" s="539">
        <f t="shared" si="15"/>
        <v>-2.9030282519735641E-2</v>
      </c>
      <c r="K329" s="539">
        <f t="shared" si="15"/>
        <v>-2.9066197981967655E-2</v>
      </c>
      <c r="L329" s="539">
        <f t="shared" si="15"/>
        <v>-2.9102113444199669E-2</v>
      </c>
      <c r="M329" s="539">
        <f t="shared" si="15"/>
        <v>-2.9138028906431683E-2</v>
      </c>
      <c r="N329" s="539">
        <f t="shared" si="15"/>
        <v>-2.9173944368663697E-2</v>
      </c>
      <c r="O329" s="539">
        <f t="shared" si="15"/>
        <v>-2.9209859830895711E-2</v>
      </c>
      <c r="P329" s="539">
        <f t="shared" si="15"/>
        <v>-2.9245775293127725E-2</v>
      </c>
      <c r="Q329" s="539">
        <f t="shared" si="15"/>
        <v>-2.9281690755359739E-2</v>
      </c>
      <c r="R329" s="539">
        <f t="shared" si="15"/>
        <v>-2.9317606217591753E-2</v>
      </c>
      <c r="S329" s="539">
        <f t="shared" si="15"/>
        <v>-2.9353521679823767E-2</v>
      </c>
      <c r="T329" s="539">
        <f t="shared" si="16"/>
        <v>-2.9389437142055781E-2</v>
      </c>
      <c r="U329" s="539">
        <f t="shared" si="16"/>
        <v>-2.9425352604287795E-2</v>
      </c>
      <c r="V329" s="539">
        <f t="shared" si="16"/>
        <v>-2.9461268066519809E-2</v>
      </c>
      <c r="W329" s="539">
        <f t="shared" si="16"/>
        <v>-2.9497183528751823E-2</v>
      </c>
      <c r="X329" s="539">
        <f t="shared" si="16"/>
        <v>-2.9533098990983837E-2</v>
      </c>
      <c r="Y329" s="539">
        <f t="shared" si="16"/>
        <v>-2.9569014453215851E-2</v>
      </c>
      <c r="Z329" s="539">
        <f t="shared" si="16"/>
        <v>-2.9604929915447865E-2</v>
      </c>
      <c r="AA329" s="539">
        <f t="shared" si="16"/>
        <v>-2.9640845377679879E-2</v>
      </c>
      <c r="AB329" s="539">
        <f t="shared" si="16"/>
        <v>-2.9676760839911893E-2</v>
      </c>
      <c r="AC329" s="539">
        <f t="shared" si="16"/>
        <v>-2.9712676302143907E-2</v>
      </c>
      <c r="AD329" s="539">
        <f t="shared" si="16"/>
        <v>-2.9748591764375922E-2</v>
      </c>
      <c r="AE329" s="539">
        <f t="shared" si="16"/>
        <v>-2.9784507226607936E-2</v>
      </c>
      <c r="AF329" s="539">
        <f t="shared" si="16"/>
        <v>-2.982042268883995E-2</v>
      </c>
      <c r="AG329" s="539">
        <f t="shared" si="16"/>
        <v>-2.9856338151071964E-2</v>
      </c>
      <c r="AH329" s="539">
        <f t="shared" si="16"/>
        <v>-2.9892253613303978E-2</v>
      </c>
      <c r="AI329" s="539">
        <f t="shared" si="16"/>
        <v>-2.9928169075535992E-2</v>
      </c>
      <c r="AJ329" s="539">
        <f t="shared" si="14"/>
        <v>-2.9964084537768006E-2</v>
      </c>
      <c r="AK329" s="540">
        <v>-0.03</v>
      </c>
      <c r="AL329" s="539">
        <f t="shared" si="22"/>
        <v>-0.03</v>
      </c>
      <c r="AM329" s="539">
        <f t="shared" si="22"/>
        <v>-0.03</v>
      </c>
      <c r="AN329" s="539">
        <f t="shared" si="22"/>
        <v>-0.03</v>
      </c>
      <c r="AO329" s="539">
        <f t="shared" si="22"/>
        <v>-0.03</v>
      </c>
      <c r="AP329" s="539">
        <f t="shared" si="22"/>
        <v>-0.03</v>
      </c>
      <c r="AQ329" s="539">
        <f t="shared" si="22"/>
        <v>-0.03</v>
      </c>
      <c r="AR329" s="539">
        <f t="shared" si="22"/>
        <v>-0.03</v>
      </c>
      <c r="AS329" s="539">
        <f t="shared" si="22"/>
        <v>-0.03</v>
      </c>
      <c r="AT329" s="539">
        <f t="shared" si="22"/>
        <v>-0.03</v>
      </c>
      <c r="AU329" s="539">
        <f t="shared" si="22"/>
        <v>-0.03</v>
      </c>
      <c r="AV329" s="539">
        <f t="shared" si="22"/>
        <v>-0.03</v>
      </c>
      <c r="AW329" s="539">
        <f t="shared" si="22"/>
        <v>-0.03</v>
      </c>
      <c r="AX329" s="539">
        <f t="shared" si="22"/>
        <v>-0.03</v>
      </c>
      <c r="AY329" s="539">
        <f t="shared" si="22"/>
        <v>-0.03</v>
      </c>
      <c r="AZ329" s="539">
        <f t="shared" si="22"/>
        <v>-0.03</v>
      </c>
      <c r="BA329" s="539">
        <f t="shared" si="19"/>
        <v>-0.03</v>
      </c>
      <c r="BB329" s="539">
        <f t="shared" si="19"/>
        <v>-0.03</v>
      </c>
      <c r="BC329" s="539">
        <f t="shared" si="19"/>
        <v>-0.03</v>
      </c>
      <c r="BD329" s="539">
        <f t="shared" si="19"/>
        <v>-0.03</v>
      </c>
      <c r="BE329" s="539">
        <f t="shared" si="19"/>
        <v>-0.03</v>
      </c>
      <c r="BF329" s="539">
        <f t="shared" si="19"/>
        <v>-0.03</v>
      </c>
      <c r="BG329" s="539">
        <f t="shared" si="19"/>
        <v>-0.03</v>
      </c>
      <c r="BH329" s="539">
        <f t="shared" si="19"/>
        <v>-0.03</v>
      </c>
      <c r="BI329" s="539">
        <f t="shared" si="19"/>
        <v>-0.03</v>
      </c>
      <c r="BJ329" s="539">
        <f t="shared" si="19"/>
        <v>-0.03</v>
      </c>
      <c r="BK329" s="539">
        <f t="shared" si="19"/>
        <v>-0.03</v>
      </c>
      <c r="BL329" s="539">
        <f t="shared" si="19"/>
        <v>-0.03</v>
      </c>
      <c r="BM329" s="539">
        <f t="shared" si="19"/>
        <v>-0.03</v>
      </c>
      <c r="BN329" s="539">
        <f t="shared" si="19"/>
        <v>-0.03</v>
      </c>
      <c r="BO329" s="539">
        <f t="shared" si="19"/>
        <v>-0.03</v>
      </c>
      <c r="BP329" s="539">
        <f t="shared" si="19"/>
        <v>-0.03</v>
      </c>
      <c r="BQ329" s="539">
        <f t="shared" si="20"/>
        <v>-0.03</v>
      </c>
      <c r="BR329" s="539">
        <f t="shared" si="20"/>
        <v>-0.03</v>
      </c>
      <c r="BS329" s="539">
        <f t="shared" si="20"/>
        <v>-0.03</v>
      </c>
      <c r="BT329" s="539">
        <f t="shared" si="20"/>
        <v>-0.03</v>
      </c>
      <c r="BU329" s="539">
        <f t="shared" si="20"/>
        <v>-0.03</v>
      </c>
      <c r="BV329" s="539">
        <f t="shared" si="20"/>
        <v>-0.03</v>
      </c>
      <c r="BW329" s="539">
        <f t="shared" si="20"/>
        <v>-0.03</v>
      </c>
      <c r="BX329" s="539">
        <f t="shared" si="20"/>
        <v>-0.03</v>
      </c>
      <c r="BY329" s="539">
        <f t="shared" si="20"/>
        <v>-0.03</v>
      </c>
      <c r="BZ329" s="539">
        <f t="shared" si="20"/>
        <v>-0.03</v>
      </c>
      <c r="CA329" s="539">
        <f t="shared" si="21"/>
        <v>-0.03</v>
      </c>
      <c r="CB329" s="539">
        <f t="shared" si="21"/>
        <v>-0.03</v>
      </c>
      <c r="CC329" s="539">
        <f t="shared" si="21"/>
        <v>-0.03</v>
      </c>
      <c r="CD329" s="539">
        <f t="shared" si="21"/>
        <v>-0.03</v>
      </c>
      <c r="CE329" s="539">
        <f t="shared" si="21"/>
        <v>-0.03</v>
      </c>
      <c r="CF329" s="539">
        <f t="shared" si="21"/>
        <v>-0.03</v>
      </c>
      <c r="CG329" s="539">
        <f t="shared" si="21"/>
        <v>-0.03</v>
      </c>
      <c r="CH329" s="539">
        <f t="shared" si="21"/>
        <v>-0.03</v>
      </c>
      <c r="CI329" s="539">
        <v>-0.03</v>
      </c>
    </row>
    <row r="330" spans="1:87" ht="14.25" customHeight="1" x14ac:dyDescent="0.35">
      <c r="A330" s="42" t="s">
        <v>119</v>
      </c>
      <c r="B330" s="539">
        <v>-5.1791930696658724E-2</v>
      </c>
      <c r="C330" s="538">
        <f t="shared" si="18"/>
        <v>-5.1791930696658724E-2</v>
      </c>
      <c r="D330" s="539">
        <f t="shared" si="15"/>
        <v>-5.1150991558521701E-2</v>
      </c>
      <c r="E330" s="539">
        <f t="shared" si="15"/>
        <v>-5.0510052420384678E-2</v>
      </c>
      <c r="F330" s="539">
        <f t="shared" si="15"/>
        <v>-4.9869113282247655E-2</v>
      </c>
      <c r="G330" s="539">
        <f t="shared" si="15"/>
        <v>-4.9228174144110633E-2</v>
      </c>
      <c r="H330" s="539">
        <f t="shared" si="15"/>
        <v>-4.858723500597361E-2</v>
      </c>
      <c r="I330" s="539">
        <f t="shared" si="15"/>
        <v>-4.7946295867836587E-2</v>
      </c>
      <c r="J330" s="539">
        <f t="shared" si="15"/>
        <v>-4.7305356729699564E-2</v>
      </c>
      <c r="K330" s="539">
        <f t="shared" si="15"/>
        <v>-4.6664417591562542E-2</v>
      </c>
      <c r="L330" s="539">
        <f t="shared" si="15"/>
        <v>-4.6023478453425519E-2</v>
      </c>
      <c r="M330" s="539">
        <f t="shared" si="15"/>
        <v>-4.5382539315288496E-2</v>
      </c>
      <c r="N330" s="539">
        <f t="shared" si="15"/>
        <v>-4.4741600177151473E-2</v>
      </c>
      <c r="O330" s="539">
        <f t="shared" si="15"/>
        <v>-4.4100661039014451E-2</v>
      </c>
      <c r="P330" s="539">
        <f t="shared" si="15"/>
        <v>-4.3459721900877428E-2</v>
      </c>
      <c r="Q330" s="539">
        <f t="shared" si="15"/>
        <v>-4.2818782762740405E-2</v>
      </c>
      <c r="R330" s="539">
        <f t="shared" si="15"/>
        <v>-4.2177843624603382E-2</v>
      </c>
      <c r="S330" s="539">
        <f t="shared" ref="S330:AH330" si="23">R330+($AK330-$C330)/($AK$304-$C$304)</f>
        <v>-4.153690448646636E-2</v>
      </c>
      <c r="T330" s="539">
        <f t="shared" si="23"/>
        <v>-4.0895965348329337E-2</v>
      </c>
      <c r="U330" s="539">
        <f t="shared" si="23"/>
        <v>-4.0255026210192314E-2</v>
      </c>
      <c r="V330" s="539">
        <f t="shared" si="23"/>
        <v>-3.9614087072055292E-2</v>
      </c>
      <c r="W330" s="539">
        <f t="shared" si="23"/>
        <v>-3.8973147933918269E-2</v>
      </c>
      <c r="X330" s="539">
        <f t="shared" si="23"/>
        <v>-3.8332208795781246E-2</v>
      </c>
      <c r="Y330" s="539">
        <f t="shared" si="23"/>
        <v>-3.7691269657644223E-2</v>
      </c>
      <c r="Z330" s="539">
        <f t="shared" si="23"/>
        <v>-3.7050330519507201E-2</v>
      </c>
      <c r="AA330" s="539">
        <f t="shared" si="23"/>
        <v>-3.6409391381370178E-2</v>
      </c>
      <c r="AB330" s="539">
        <f t="shared" si="23"/>
        <v>-3.5768452243233155E-2</v>
      </c>
      <c r="AC330" s="539">
        <f t="shared" si="23"/>
        <v>-3.5127513105096132E-2</v>
      </c>
      <c r="AD330" s="539">
        <f t="shared" si="23"/>
        <v>-3.448657396695911E-2</v>
      </c>
      <c r="AE330" s="539">
        <f t="shared" si="23"/>
        <v>-3.3845634828822087E-2</v>
      </c>
      <c r="AF330" s="539">
        <f t="shared" si="23"/>
        <v>-3.3204695690685064E-2</v>
      </c>
      <c r="AG330" s="539">
        <f t="shared" si="23"/>
        <v>-3.2563756552548041E-2</v>
      </c>
      <c r="AH330" s="539">
        <f t="shared" si="23"/>
        <v>-3.1922817414411019E-2</v>
      </c>
      <c r="AI330" s="539">
        <f t="shared" si="16"/>
        <v>-3.1281878276273996E-2</v>
      </c>
      <c r="AJ330" s="539">
        <f t="shared" ref="D330:AJ338" si="24">AI330+($AK330-$C330)/($AK$304-$C$304)</f>
        <v>-3.0640939138136973E-2</v>
      </c>
      <c r="AK330" s="540">
        <v>-0.03</v>
      </c>
      <c r="AL330" s="539">
        <f t="shared" si="22"/>
        <v>-0.03</v>
      </c>
      <c r="AM330" s="539">
        <f t="shared" si="22"/>
        <v>-0.03</v>
      </c>
      <c r="AN330" s="539">
        <f t="shared" si="22"/>
        <v>-0.03</v>
      </c>
      <c r="AO330" s="539">
        <f t="shared" si="22"/>
        <v>-0.03</v>
      </c>
      <c r="AP330" s="539">
        <f t="shared" si="22"/>
        <v>-0.03</v>
      </c>
      <c r="AQ330" s="539">
        <f t="shared" si="22"/>
        <v>-0.03</v>
      </c>
      <c r="AR330" s="539">
        <f t="shared" si="22"/>
        <v>-0.03</v>
      </c>
      <c r="AS330" s="539">
        <f t="shared" si="22"/>
        <v>-0.03</v>
      </c>
      <c r="AT330" s="539">
        <f t="shared" si="22"/>
        <v>-0.03</v>
      </c>
      <c r="AU330" s="539">
        <f t="shared" si="22"/>
        <v>-0.03</v>
      </c>
      <c r="AV330" s="539">
        <f t="shared" si="22"/>
        <v>-0.03</v>
      </c>
      <c r="AW330" s="539">
        <f t="shared" si="22"/>
        <v>-0.03</v>
      </c>
      <c r="AX330" s="539">
        <f t="shared" si="22"/>
        <v>-0.03</v>
      </c>
      <c r="AY330" s="539">
        <f t="shared" si="22"/>
        <v>-0.03</v>
      </c>
      <c r="AZ330" s="539">
        <f t="shared" si="22"/>
        <v>-0.03</v>
      </c>
      <c r="BA330" s="539">
        <f t="shared" si="19"/>
        <v>-0.03</v>
      </c>
      <c r="BB330" s="539">
        <f t="shared" si="19"/>
        <v>-0.03</v>
      </c>
      <c r="BC330" s="539">
        <f t="shared" si="19"/>
        <v>-0.03</v>
      </c>
      <c r="BD330" s="539">
        <f t="shared" si="19"/>
        <v>-0.03</v>
      </c>
      <c r="BE330" s="539">
        <f t="shared" si="19"/>
        <v>-0.03</v>
      </c>
      <c r="BF330" s="539">
        <f t="shared" si="19"/>
        <v>-0.03</v>
      </c>
      <c r="BG330" s="539">
        <f t="shared" si="19"/>
        <v>-0.03</v>
      </c>
      <c r="BH330" s="539">
        <f t="shared" si="19"/>
        <v>-0.03</v>
      </c>
      <c r="BI330" s="539">
        <f t="shared" si="19"/>
        <v>-0.03</v>
      </c>
      <c r="BJ330" s="539">
        <f t="shared" si="19"/>
        <v>-0.03</v>
      </c>
      <c r="BK330" s="539">
        <f t="shared" si="19"/>
        <v>-0.03</v>
      </c>
      <c r="BL330" s="539">
        <f t="shared" si="19"/>
        <v>-0.03</v>
      </c>
      <c r="BM330" s="539">
        <f t="shared" si="19"/>
        <v>-0.03</v>
      </c>
      <c r="BN330" s="539">
        <f t="shared" si="19"/>
        <v>-0.03</v>
      </c>
      <c r="BO330" s="539">
        <f t="shared" si="19"/>
        <v>-0.03</v>
      </c>
      <c r="BP330" s="539">
        <f t="shared" si="19"/>
        <v>-0.03</v>
      </c>
      <c r="BQ330" s="539">
        <f t="shared" si="20"/>
        <v>-0.03</v>
      </c>
      <c r="BR330" s="539">
        <f t="shared" si="20"/>
        <v>-0.03</v>
      </c>
      <c r="BS330" s="539">
        <f t="shared" si="20"/>
        <v>-0.03</v>
      </c>
      <c r="BT330" s="539">
        <f t="shared" si="20"/>
        <v>-0.03</v>
      </c>
      <c r="BU330" s="539">
        <f t="shared" si="20"/>
        <v>-0.03</v>
      </c>
      <c r="BV330" s="539">
        <f t="shared" si="20"/>
        <v>-0.03</v>
      </c>
      <c r="BW330" s="539">
        <f t="shared" si="20"/>
        <v>-0.03</v>
      </c>
      <c r="BX330" s="539">
        <f t="shared" si="20"/>
        <v>-0.03</v>
      </c>
      <c r="BY330" s="539">
        <f t="shared" si="20"/>
        <v>-0.03</v>
      </c>
      <c r="BZ330" s="539">
        <f t="shared" si="20"/>
        <v>-0.03</v>
      </c>
      <c r="CA330" s="539">
        <f t="shared" si="21"/>
        <v>-0.03</v>
      </c>
      <c r="CB330" s="539">
        <f t="shared" si="21"/>
        <v>-0.03</v>
      </c>
      <c r="CC330" s="539">
        <f t="shared" si="21"/>
        <v>-0.03</v>
      </c>
      <c r="CD330" s="539">
        <f t="shared" si="21"/>
        <v>-0.03</v>
      </c>
      <c r="CE330" s="539">
        <f t="shared" si="21"/>
        <v>-0.03</v>
      </c>
      <c r="CF330" s="539">
        <f t="shared" si="21"/>
        <v>-0.03</v>
      </c>
      <c r="CG330" s="539">
        <f t="shared" si="21"/>
        <v>-0.03</v>
      </c>
      <c r="CH330" s="539">
        <f t="shared" si="21"/>
        <v>-0.03</v>
      </c>
      <c r="CI330" s="539">
        <v>-0.03</v>
      </c>
    </row>
    <row r="331" spans="1:87" ht="14.25" customHeight="1" x14ac:dyDescent="0.35">
      <c r="A331" s="42" t="s">
        <v>120</v>
      </c>
      <c r="B331" s="539">
        <v>-2.5416461204435677E-5</v>
      </c>
      <c r="C331" s="538">
        <v>-5.0000000000000001E-3</v>
      </c>
      <c r="D331" s="539">
        <f t="shared" si="24"/>
        <v>-5.7352941176470589E-3</v>
      </c>
      <c r="E331" s="539">
        <f t="shared" si="24"/>
        <v>-6.4705882352941177E-3</v>
      </c>
      <c r="F331" s="539">
        <f t="shared" si="24"/>
        <v>-7.2058823529411765E-3</v>
      </c>
      <c r="G331" s="539">
        <f t="shared" si="24"/>
        <v>-7.9411764705882362E-3</v>
      </c>
      <c r="H331" s="539">
        <f t="shared" si="24"/>
        <v>-8.6764705882352959E-3</v>
      </c>
      <c r="I331" s="539">
        <f t="shared" si="24"/>
        <v>-9.4117647058823556E-3</v>
      </c>
      <c r="J331" s="539">
        <f t="shared" si="24"/>
        <v>-1.0147058823529415E-2</v>
      </c>
      <c r="K331" s="539">
        <f t="shared" si="24"/>
        <v>-1.0882352941176475E-2</v>
      </c>
      <c r="L331" s="539">
        <f t="shared" si="24"/>
        <v>-1.1617647058823535E-2</v>
      </c>
      <c r="M331" s="539">
        <f t="shared" si="24"/>
        <v>-1.2352941176470594E-2</v>
      </c>
      <c r="N331" s="539">
        <f t="shared" si="24"/>
        <v>-1.3088235294117654E-2</v>
      </c>
      <c r="O331" s="539">
        <f t="shared" si="24"/>
        <v>-1.3823529411764714E-2</v>
      </c>
      <c r="P331" s="539">
        <f t="shared" si="24"/>
        <v>-1.4558823529411773E-2</v>
      </c>
      <c r="Q331" s="539">
        <f t="shared" si="24"/>
        <v>-1.5294117647058833E-2</v>
      </c>
      <c r="R331" s="539">
        <f t="shared" si="24"/>
        <v>-1.6029411764705893E-2</v>
      </c>
      <c r="S331" s="539">
        <f t="shared" si="24"/>
        <v>-1.6764705882352952E-2</v>
      </c>
      <c r="T331" s="539">
        <f t="shared" si="24"/>
        <v>-1.7500000000000012E-2</v>
      </c>
      <c r="U331" s="539">
        <f t="shared" si="24"/>
        <v>-1.8235294117647072E-2</v>
      </c>
      <c r="V331" s="539">
        <f t="shared" si="24"/>
        <v>-1.8970588235294131E-2</v>
      </c>
      <c r="W331" s="539">
        <f t="shared" si="24"/>
        <v>-1.9705882352941191E-2</v>
      </c>
      <c r="X331" s="539">
        <f t="shared" si="24"/>
        <v>-2.0441176470588251E-2</v>
      </c>
      <c r="Y331" s="539">
        <f t="shared" si="24"/>
        <v>-2.117647058823531E-2</v>
      </c>
      <c r="Z331" s="539">
        <f t="shared" si="24"/>
        <v>-2.191176470588237E-2</v>
      </c>
      <c r="AA331" s="539">
        <f t="shared" si="24"/>
        <v>-2.264705882352943E-2</v>
      </c>
      <c r="AB331" s="539">
        <f t="shared" si="24"/>
        <v>-2.338235294117649E-2</v>
      </c>
      <c r="AC331" s="539">
        <f t="shared" si="24"/>
        <v>-2.4117647058823549E-2</v>
      </c>
      <c r="AD331" s="539">
        <f t="shared" si="24"/>
        <v>-2.4852941176470609E-2</v>
      </c>
      <c r="AE331" s="539">
        <f t="shared" si="24"/>
        <v>-2.5588235294117669E-2</v>
      </c>
      <c r="AF331" s="539">
        <f t="shared" si="24"/>
        <v>-2.6323529411764728E-2</v>
      </c>
      <c r="AG331" s="539">
        <f t="shared" si="24"/>
        <v>-2.7058823529411788E-2</v>
      </c>
      <c r="AH331" s="539">
        <f t="shared" si="24"/>
        <v>-2.7794117647058848E-2</v>
      </c>
      <c r="AI331" s="539">
        <f t="shared" si="24"/>
        <v>-2.8529411764705907E-2</v>
      </c>
      <c r="AJ331" s="539">
        <f t="shared" si="24"/>
        <v>-2.9264705882352967E-2</v>
      </c>
      <c r="AK331" s="540">
        <v>-0.03</v>
      </c>
      <c r="AL331" s="539">
        <f t="shared" si="22"/>
        <v>-0.03</v>
      </c>
      <c r="AM331" s="539">
        <f t="shared" si="22"/>
        <v>-0.03</v>
      </c>
      <c r="AN331" s="539">
        <f t="shared" si="22"/>
        <v>-0.03</v>
      </c>
      <c r="AO331" s="539">
        <f t="shared" si="22"/>
        <v>-0.03</v>
      </c>
      <c r="AP331" s="539">
        <f t="shared" si="22"/>
        <v>-0.03</v>
      </c>
      <c r="AQ331" s="539">
        <f t="shared" si="22"/>
        <v>-0.03</v>
      </c>
      <c r="AR331" s="539">
        <f t="shared" si="22"/>
        <v>-0.03</v>
      </c>
      <c r="AS331" s="539">
        <f t="shared" si="22"/>
        <v>-0.03</v>
      </c>
      <c r="AT331" s="539">
        <f t="shared" si="22"/>
        <v>-0.03</v>
      </c>
      <c r="AU331" s="539">
        <f t="shared" si="22"/>
        <v>-0.03</v>
      </c>
      <c r="AV331" s="539">
        <f t="shared" si="22"/>
        <v>-0.03</v>
      </c>
      <c r="AW331" s="539">
        <f t="shared" si="22"/>
        <v>-0.03</v>
      </c>
      <c r="AX331" s="539">
        <f t="shared" si="22"/>
        <v>-0.03</v>
      </c>
      <c r="AY331" s="539">
        <f t="shared" si="22"/>
        <v>-0.03</v>
      </c>
      <c r="AZ331" s="539">
        <f t="shared" si="22"/>
        <v>-0.03</v>
      </c>
      <c r="BA331" s="539">
        <f t="shared" si="19"/>
        <v>-0.03</v>
      </c>
      <c r="BB331" s="539">
        <f t="shared" si="19"/>
        <v>-0.03</v>
      </c>
      <c r="BC331" s="539">
        <f t="shared" si="19"/>
        <v>-0.03</v>
      </c>
      <c r="BD331" s="539">
        <f t="shared" si="19"/>
        <v>-0.03</v>
      </c>
      <c r="BE331" s="539">
        <f t="shared" si="19"/>
        <v>-0.03</v>
      </c>
      <c r="BF331" s="539">
        <f t="shared" si="19"/>
        <v>-0.03</v>
      </c>
      <c r="BG331" s="539">
        <f t="shared" si="19"/>
        <v>-0.03</v>
      </c>
      <c r="BH331" s="539">
        <f t="shared" si="19"/>
        <v>-0.03</v>
      </c>
      <c r="BI331" s="539">
        <f t="shared" si="19"/>
        <v>-0.03</v>
      </c>
      <c r="BJ331" s="539">
        <f t="shared" si="19"/>
        <v>-0.03</v>
      </c>
      <c r="BK331" s="539">
        <f t="shared" si="19"/>
        <v>-0.03</v>
      </c>
      <c r="BL331" s="539">
        <f t="shared" si="19"/>
        <v>-0.03</v>
      </c>
      <c r="BM331" s="539">
        <f t="shared" si="19"/>
        <v>-0.03</v>
      </c>
      <c r="BN331" s="539">
        <f t="shared" si="19"/>
        <v>-0.03</v>
      </c>
      <c r="BO331" s="539">
        <f t="shared" si="19"/>
        <v>-0.03</v>
      </c>
      <c r="BP331" s="539">
        <f t="shared" si="19"/>
        <v>-0.03</v>
      </c>
      <c r="BQ331" s="539">
        <f t="shared" si="20"/>
        <v>-0.03</v>
      </c>
      <c r="BR331" s="539">
        <f t="shared" si="20"/>
        <v>-0.03</v>
      </c>
      <c r="BS331" s="539">
        <f t="shared" si="20"/>
        <v>-0.03</v>
      </c>
      <c r="BT331" s="539">
        <f t="shared" si="20"/>
        <v>-0.03</v>
      </c>
      <c r="BU331" s="539">
        <f t="shared" si="20"/>
        <v>-0.03</v>
      </c>
      <c r="BV331" s="539">
        <f t="shared" si="20"/>
        <v>-0.03</v>
      </c>
      <c r="BW331" s="539">
        <f t="shared" si="20"/>
        <v>-0.03</v>
      </c>
      <c r="BX331" s="539">
        <f t="shared" si="20"/>
        <v>-0.03</v>
      </c>
      <c r="BY331" s="539">
        <f t="shared" si="20"/>
        <v>-0.03</v>
      </c>
      <c r="BZ331" s="539">
        <f t="shared" si="20"/>
        <v>-0.03</v>
      </c>
      <c r="CA331" s="539">
        <f t="shared" si="21"/>
        <v>-0.03</v>
      </c>
      <c r="CB331" s="539">
        <f t="shared" si="21"/>
        <v>-0.03</v>
      </c>
      <c r="CC331" s="539">
        <f t="shared" si="21"/>
        <v>-0.03</v>
      </c>
      <c r="CD331" s="539">
        <f t="shared" si="21"/>
        <v>-0.03</v>
      </c>
      <c r="CE331" s="539">
        <f t="shared" si="21"/>
        <v>-0.03</v>
      </c>
      <c r="CF331" s="539">
        <f t="shared" si="21"/>
        <v>-0.03</v>
      </c>
      <c r="CG331" s="539">
        <f t="shared" si="21"/>
        <v>-0.03</v>
      </c>
      <c r="CH331" s="539">
        <f t="shared" si="21"/>
        <v>-0.03</v>
      </c>
      <c r="CI331" s="539">
        <v>-0.03</v>
      </c>
    </row>
    <row r="332" spans="1:87" ht="14.25" customHeight="1" x14ac:dyDescent="0.35">
      <c r="A332" s="42" t="s">
        <v>83</v>
      </c>
      <c r="B332" s="539">
        <v>-4.6312608083676647E-2</v>
      </c>
      <c r="C332" s="538">
        <f t="shared" ref="C332:C339" si="25">+B332</f>
        <v>-4.6312608083676647E-2</v>
      </c>
      <c r="D332" s="539">
        <f t="shared" si="24"/>
        <v>-4.5832825492980275E-2</v>
      </c>
      <c r="E332" s="539">
        <f t="shared" si="24"/>
        <v>-4.5353042902283904E-2</v>
      </c>
      <c r="F332" s="539">
        <f t="shared" si="24"/>
        <v>-4.4873260311587532E-2</v>
      </c>
      <c r="G332" s="539">
        <f t="shared" si="24"/>
        <v>-4.439347772089116E-2</v>
      </c>
      <c r="H332" s="539">
        <f t="shared" si="24"/>
        <v>-4.3913695130194788E-2</v>
      </c>
      <c r="I332" s="539">
        <f t="shared" si="24"/>
        <v>-4.3433912539498416E-2</v>
      </c>
      <c r="J332" s="539">
        <f t="shared" si="24"/>
        <v>-4.2954129948802044E-2</v>
      </c>
      <c r="K332" s="539">
        <f t="shared" si="24"/>
        <v>-4.2474347358105673E-2</v>
      </c>
      <c r="L332" s="539">
        <f t="shared" si="24"/>
        <v>-4.1994564767409301E-2</v>
      </c>
      <c r="M332" s="539">
        <f t="shared" si="24"/>
        <v>-4.1514782176712929E-2</v>
      </c>
      <c r="N332" s="539">
        <f t="shared" si="24"/>
        <v>-4.1034999586016557E-2</v>
      </c>
      <c r="O332" s="539">
        <f t="shared" si="24"/>
        <v>-4.0555216995320185E-2</v>
      </c>
      <c r="P332" s="539">
        <f t="shared" si="24"/>
        <v>-4.0075434404623814E-2</v>
      </c>
      <c r="Q332" s="539">
        <f t="shared" si="24"/>
        <v>-3.9595651813927442E-2</v>
      </c>
      <c r="R332" s="539">
        <f t="shared" si="24"/>
        <v>-3.911586922323107E-2</v>
      </c>
      <c r="S332" s="539">
        <f t="shared" si="24"/>
        <v>-3.8636086632534698E-2</v>
      </c>
      <c r="T332" s="539">
        <f t="shared" si="24"/>
        <v>-3.8156304041838326E-2</v>
      </c>
      <c r="U332" s="539">
        <f t="shared" si="24"/>
        <v>-3.7676521451141955E-2</v>
      </c>
      <c r="V332" s="539">
        <f t="shared" si="24"/>
        <v>-3.7196738860445583E-2</v>
      </c>
      <c r="W332" s="539">
        <f t="shared" si="24"/>
        <v>-3.6716956269749211E-2</v>
      </c>
      <c r="X332" s="539">
        <f t="shared" si="24"/>
        <v>-3.6237173679052839E-2</v>
      </c>
      <c r="Y332" s="539">
        <f t="shared" si="24"/>
        <v>-3.5757391088356467E-2</v>
      </c>
      <c r="Z332" s="539">
        <f t="shared" si="24"/>
        <v>-3.5277608497660096E-2</v>
      </c>
      <c r="AA332" s="539">
        <f t="shared" si="24"/>
        <v>-3.4797825906963724E-2</v>
      </c>
      <c r="AB332" s="539">
        <f t="shared" si="24"/>
        <v>-3.4318043316267352E-2</v>
      </c>
      <c r="AC332" s="539">
        <f t="shared" si="24"/>
        <v>-3.383826072557098E-2</v>
      </c>
      <c r="AD332" s="539">
        <f t="shared" si="24"/>
        <v>-3.3358478134874608E-2</v>
      </c>
      <c r="AE332" s="539">
        <f t="shared" si="24"/>
        <v>-3.2878695544178237E-2</v>
      </c>
      <c r="AF332" s="539">
        <f t="shared" si="24"/>
        <v>-3.2398912953481865E-2</v>
      </c>
      <c r="AG332" s="539">
        <f t="shared" si="24"/>
        <v>-3.1919130362785493E-2</v>
      </c>
      <c r="AH332" s="539">
        <f t="shared" si="24"/>
        <v>-3.1439347772089121E-2</v>
      </c>
      <c r="AI332" s="539">
        <f t="shared" si="24"/>
        <v>-3.0959565181392749E-2</v>
      </c>
      <c r="AJ332" s="539">
        <f t="shared" si="24"/>
        <v>-3.0479782590696378E-2</v>
      </c>
      <c r="AK332" s="540">
        <v>-0.03</v>
      </c>
      <c r="AL332" s="539">
        <f t="shared" si="22"/>
        <v>-0.03</v>
      </c>
      <c r="AM332" s="539">
        <f t="shared" si="22"/>
        <v>-0.03</v>
      </c>
      <c r="AN332" s="539">
        <f t="shared" si="22"/>
        <v>-0.03</v>
      </c>
      <c r="AO332" s="539">
        <f t="shared" si="22"/>
        <v>-0.03</v>
      </c>
      <c r="AP332" s="539">
        <f t="shared" si="22"/>
        <v>-0.03</v>
      </c>
      <c r="AQ332" s="539">
        <f t="shared" si="22"/>
        <v>-0.03</v>
      </c>
      <c r="AR332" s="539">
        <f t="shared" si="22"/>
        <v>-0.03</v>
      </c>
      <c r="AS332" s="539">
        <f t="shared" si="22"/>
        <v>-0.03</v>
      </c>
      <c r="AT332" s="539">
        <f t="shared" si="22"/>
        <v>-0.03</v>
      </c>
      <c r="AU332" s="539">
        <f t="shared" si="22"/>
        <v>-0.03</v>
      </c>
      <c r="AV332" s="539">
        <f t="shared" si="22"/>
        <v>-0.03</v>
      </c>
      <c r="AW332" s="539">
        <f t="shared" si="22"/>
        <v>-0.03</v>
      </c>
      <c r="AX332" s="539">
        <f t="shared" si="22"/>
        <v>-0.03</v>
      </c>
      <c r="AY332" s="539">
        <f t="shared" si="22"/>
        <v>-0.03</v>
      </c>
      <c r="AZ332" s="539">
        <f t="shared" si="22"/>
        <v>-0.03</v>
      </c>
      <c r="BA332" s="539">
        <f t="shared" si="19"/>
        <v>-0.03</v>
      </c>
      <c r="BB332" s="539">
        <f t="shared" si="19"/>
        <v>-0.03</v>
      </c>
      <c r="BC332" s="539">
        <f t="shared" si="19"/>
        <v>-0.03</v>
      </c>
      <c r="BD332" s="539">
        <f t="shared" si="19"/>
        <v>-0.03</v>
      </c>
      <c r="BE332" s="539">
        <f t="shared" si="19"/>
        <v>-0.03</v>
      </c>
      <c r="BF332" s="539">
        <f t="shared" si="19"/>
        <v>-0.03</v>
      </c>
      <c r="BG332" s="539">
        <f t="shared" si="19"/>
        <v>-0.03</v>
      </c>
      <c r="BH332" s="539">
        <f t="shared" si="19"/>
        <v>-0.03</v>
      </c>
      <c r="BI332" s="539">
        <f t="shared" si="19"/>
        <v>-0.03</v>
      </c>
      <c r="BJ332" s="539">
        <f t="shared" si="19"/>
        <v>-0.03</v>
      </c>
      <c r="BK332" s="539">
        <f t="shared" si="19"/>
        <v>-0.03</v>
      </c>
      <c r="BL332" s="539">
        <f t="shared" si="19"/>
        <v>-0.03</v>
      </c>
      <c r="BM332" s="539">
        <f t="shared" si="19"/>
        <v>-0.03</v>
      </c>
      <c r="BN332" s="539">
        <f t="shared" si="19"/>
        <v>-0.03</v>
      </c>
      <c r="BO332" s="539">
        <f t="shared" si="19"/>
        <v>-0.03</v>
      </c>
      <c r="BP332" s="539">
        <f t="shared" si="19"/>
        <v>-0.03</v>
      </c>
      <c r="BQ332" s="539">
        <f t="shared" si="20"/>
        <v>-0.03</v>
      </c>
      <c r="BR332" s="539">
        <f t="shared" si="20"/>
        <v>-0.03</v>
      </c>
      <c r="BS332" s="539">
        <f t="shared" si="20"/>
        <v>-0.03</v>
      </c>
      <c r="BT332" s="539">
        <f t="shared" si="20"/>
        <v>-0.03</v>
      </c>
      <c r="BU332" s="539">
        <f t="shared" si="20"/>
        <v>-0.03</v>
      </c>
      <c r="BV332" s="539">
        <f t="shared" si="20"/>
        <v>-0.03</v>
      </c>
      <c r="BW332" s="539">
        <f t="shared" si="20"/>
        <v>-0.03</v>
      </c>
      <c r="BX332" s="539">
        <f t="shared" si="20"/>
        <v>-0.03</v>
      </c>
      <c r="BY332" s="539">
        <f t="shared" si="20"/>
        <v>-0.03</v>
      </c>
      <c r="BZ332" s="539">
        <f t="shared" si="20"/>
        <v>-0.03</v>
      </c>
      <c r="CA332" s="539">
        <f t="shared" si="21"/>
        <v>-0.03</v>
      </c>
      <c r="CB332" s="539">
        <f t="shared" si="21"/>
        <v>-0.03</v>
      </c>
      <c r="CC332" s="539">
        <f t="shared" si="21"/>
        <v>-0.03</v>
      </c>
      <c r="CD332" s="539">
        <f t="shared" si="21"/>
        <v>-0.03</v>
      </c>
      <c r="CE332" s="539">
        <f t="shared" si="21"/>
        <v>-0.03</v>
      </c>
      <c r="CF332" s="539">
        <f t="shared" si="21"/>
        <v>-0.03</v>
      </c>
      <c r="CG332" s="539">
        <f t="shared" si="21"/>
        <v>-0.03</v>
      </c>
      <c r="CH332" s="539">
        <f t="shared" si="21"/>
        <v>-0.03</v>
      </c>
      <c r="CI332" s="539">
        <v>-0.03</v>
      </c>
    </row>
    <row r="333" spans="1:87" ht="14.25" customHeight="1" x14ac:dyDescent="0.35">
      <c r="A333" s="42" t="s">
        <v>144</v>
      </c>
      <c r="B333" s="539">
        <v>-8.3460270429495127E-3</v>
      </c>
      <c r="C333" s="538">
        <f>+B333</f>
        <v>-8.3460270429495127E-3</v>
      </c>
      <c r="D333" s="539">
        <f t="shared" si="24"/>
        <v>-8.9829086005098202E-3</v>
      </c>
      <c r="E333" s="539">
        <f t="shared" si="24"/>
        <v>-9.6197901580701295E-3</v>
      </c>
      <c r="F333" s="539">
        <f t="shared" si="24"/>
        <v>-1.0256671715630439E-2</v>
      </c>
      <c r="G333" s="539">
        <f t="shared" si="24"/>
        <v>-1.0893553273190748E-2</v>
      </c>
      <c r="H333" s="539">
        <f t="shared" si="24"/>
        <v>-1.1530434830751057E-2</v>
      </c>
      <c r="I333" s="539">
        <f t="shared" si="24"/>
        <v>-1.2167316388311367E-2</v>
      </c>
      <c r="J333" s="539">
        <f t="shared" si="24"/>
        <v>-1.2804197945871676E-2</v>
      </c>
      <c r="K333" s="539">
        <f t="shared" si="24"/>
        <v>-1.3441079503431985E-2</v>
      </c>
      <c r="L333" s="539">
        <f t="shared" si="24"/>
        <v>-1.4077961060992294E-2</v>
      </c>
      <c r="M333" s="539">
        <f t="shared" si="24"/>
        <v>-1.4714842618552604E-2</v>
      </c>
      <c r="N333" s="539">
        <f t="shared" si="24"/>
        <v>-1.5351724176112913E-2</v>
      </c>
      <c r="O333" s="539">
        <f t="shared" si="24"/>
        <v>-1.5988605733673222E-2</v>
      </c>
      <c r="P333" s="539">
        <f t="shared" si="24"/>
        <v>-1.6625487291233532E-2</v>
      </c>
      <c r="Q333" s="539">
        <f t="shared" si="24"/>
        <v>-1.7262368848793841E-2</v>
      </c>
      <c r="R333" s="539">
        <f t="shared" si="24"/>
        <v>-1.789925040635415E-2</v>
      </c>
      <c r="S333" s="539">
        <f t="shared" si="24"/>
        <v>-1.8536131963914459E-2</v>
      </c>
      <c r="T333" s="539">
        <f t="shared" si="24"/>
        <v>-1.9173013521474769E-2</v>
      </c>
      <c r="U333" s="539">
        <f t="shared" si="24"/>
        <v>-1.9809895079035078E-2</v>
      </c>
      <c r="V333" s="539">
        <f t="shared" si="24"/>
        <v>-2.0446776636595387E-2</v>
      </c>
      <c r="W333" s="539">
        <f t="shared" si="24"/>
        <v>-2.1083658194155697E-2</v>
      </c>
      <c r="X333" s="539">
        <f t="shared" si="24"/>
        <v>-2.1720539751716006E-2</v>
      </c>
      <c r="Y333" s="539">
        <f t="shared" si="24"/>
        <v>-2.2357421309276315E-2</v>
      </c>
      <c r="Z333" s="539">
        <f t="shared" si="24"/>
        <v>-2.2994302866836624E-2</v>
      </c>
      <c r="AA333" s="539">
        <f t="shared" si="24"/>
        <v>-2.3631184424396934E-2</v>
      </c>
      <c r="AB333" s="539">
        <f t="shared" si="24"/>
        <v>-2.4268065981957243E-2</v>
      </c>
      <c r="AC333" s="539">
        <f t="shared" si="24"/>
        <v>-2.4904947539517552E-2</v>
      </c>
      <c r="AD333" s="539">
        <f t="shared" si="24"/>
        <v>-2.5541829097077862E-2</v>
      </c>
      <c r="AE333" s="539">
        <f t="shared" si="24"/>
        <v>-2.6178710654638171E-2</v>
      </c>
      <c r="AF333" s="539">
        <f t="shared" si="24"/>
        <v>-2.681559221219848E-2</v>
      </c>
      <c r="AG333" s="539">
        <f t="shared" si="24"/>
        <v>-2.745247376975879E-2</v>
      </c>
      <c r="AH333" s="539">
        <f t="shared" si="24"/>
        <v>-2.8089355327319099E-2</v>
      </c>
      <c r="AI333" s="539">
        <f t="shared" si="24"/>
        <v>-2.8726236884879408E-2</v>
      </c>
      <c r="AJ333" s="539">
        <f t="shared" si="24"/>
        <v>-2.9363118442439717E-2</v>
      </c>
      <c r="AK333" s="540">
        <v>-0.03</v>
      </c>
      <c r="AL333" s="539">
        <f t="shared" ref="AL333:CH333" si="26">+AK333</f>
        <v>-0.03</v>
      </c>
      <c r="AM333" s="539">
        <f t="shared" si="26"/>
        <v>-0.03</v>
      </c>
      <c r="AN333" s="539">
        <f t="shared" si="26"/>
        <v>-0.03</v>
      </c>
      <c r="AO333" s="539">
        <f t="shared" si="26"/>
        <v>-0.03</v>
      </c>
      <c r="AP333" s="539">
        <f t="shared" si="26"/>
        <v>-0.03</v>
      </c>
      <c r="AQ333" s="539">
        <f t="shared" si="26"/>
        <v>-0.03</v>
      </c>
      <c r="AR333" s="539">
        <f t="shared" si="26"/>
        <v>-0.03</v>
      </c>
      <c r="AS333" s="539">
        <f t="shared" si="26"/>
        <v>-0.03</v>
      </c>
      <c r="AT333" s="539">
        <f t="shared" si="26"/>
        <v>-0.03</v>
      </c>
      <c r="AU333" s="539">
        <f t="shared" si="26"/>
        <v>-0.03</v>
      </c>
      <c r="AV333" s="539">
        <f t="shared" si="26"/>
        <v>-0.03</v>
      </c>
      <c r="AW333" s="539">
        <f t="shared" si="26"/>
        <v>-0.03</v>
      </c>
      <c r="AX333" s="539">
        <f t="shared" si="26"/>
        <v>-0.03</v>
      </c>
      <c r="AY333" s="539">
        <f t="shared" si="26"/>
        <v>-0.03</v>
      </c>
      <c r="AZ333" s="539">
        <f t="shared" si="26"/>
        <v>-0.03</v>
      </c>
      <c r="BA333" s="539">
        <f t="shared" si="26"/>
        <v>-0.03</v>
      </c>
      <c r="BB333" s="539">
        <f t="shared" si="26"/>
        <v>-0.03</v>
      </c>
      <c r="BC333" s="539">
        <f t="shared" si="26"/>
        <v>-0.03</v>
      </c>
      <c r="BD333" s="539">
        <f t="shared" si="26"/>
        <v>-0.03</v>
      </c>
      <c r="BE333" s="539">
        <f t="shared" si="26"/>
        <v>-0.03</v>
      </c>
      <c r="BF333" s="539">
        <f t="shared" si="26"/>
        <v>-0.03</v>
      </c>
      <c r="BG333" s="539">
        <f t="shared" si="26"/>
        <v>-0.03</v>
      </c>
      <c r="BH333" s="539">
        <f t="shared" si="26"/>
        <v>-0.03</v>
      </c>
      <c r="BI333" s="539">
        <f t="shared" si="26"/>
        <v>-0.03</v>
      </c>
      <c r="BJ333" s="539">
        <f t="shared" si="26"/>
        <v>-0.03</v>
      </c>
      <c r="BK333" s="539">
        <f t="shared" si="26"/>
        <v>-0.03</v>
      </c>
      <c r="BL333" s="539">
        <f t="shared" si="26"/>
        <v>-0.03</v>
      </c>
      <c r="BM333" s="539">
        <f t="shared" si="26"/>
        <v>-0.03</v>
      </c>
      <c r="BN333" s="539">
        <f t="shared" si="26"/>
        <v>-0.03</v>
      </c>
      <c r="BO333" s="539">
        <f t="shared" si="26"/>
        <v>-0.03</v>
      </c>
      <c r="BP333" s="539">
        <f t="shared" si="26"/>
        <v>-0.03</v>
      </c>
      <c r="BQ333" s="539">
        <f t="shared" si="26"/>
        <v>-0.03</v>
      </c>
      <c r="BR333" s="539">
        <f t="shared" si="26"/>
        <v>-0.03</v>
      </c>
      <c r="BS333" s="539">
        <f t="shared" si="26"/>
        <v>-0.03</v>
      </c>
      <c r="BT333" s="539">
        <f t="shared" si="26"/>
        <v>-0.03</v>
      </c>
      <c r="BU333" s="539">
        <f t="shared" si="26"/>
        <v>-0.03</v>
      </c>
      <c r="BV333" s="539">
        <f t="shared" si="26"/>
        <v>-0.03</v>
      </c>
      <c r="BW333" s="539">
        <f t="shared" si="26"/>
        <v>-0.03</v>
      </c>
      <c r="BX333" s="539">
        <f t="shared" si="26"/>
        <v>-0.03</v>
      </c>
      <c r="BY333" s="539">
        <f t="shared" si="26"/>
        <v>-0.03</v>
      </c>
      <c r="BZ333" s="539">
        <f t="shared" si="26"/>
        <v>-0.03</v>
      </c>
      <c r="CA333" s="539">
        <f t="shared" si="26"/>
        <v>-0.03</v>
      </c>
      <c r="CB333" s="539">
        <f t="shared" si="26"/>
        <v>-0.03</v>
      </c>
      <c r="CC333" s="539">
        <f t="shared" si="26"/>
        <v>-0.03</v>
      </c>
      <c r="CD333" s="539">
        <f t="shared" si="26"/>
        <v>-0.03</v>
      </c>
      <c r="CE333" s="539">
        <f t="shared" si="26"/>
        <v>-0.03</v>
      </c>
      <c r="CF333" s="539">
        <f t="shared" si="26"/>
        <v>-0.03</v>
      </c>
      <c r="CG333" s="539">
        <f t="shared" si="26"/>
        <v>-0.03</v>
      </c>
      <c r="CH333" s="539">
        <f t="shared" si="26"/>
        <v>-0.03</v>
      </c>
      <c r="CI333" s="539">
        <v>-0.03</v>
      </c>
    </row>
    <row r="334" spans="1:87" ht="14.25" customHeight="1" x14ac:dyDescent="0.35">
      <c r="A334" s="42" t="s">
        <v>164</v>
      </c>
      <c r="B334" s="539">
        <v>-2.0988768574414535E-2</v>
      </c>
      <c r="C334" s="538">
        <f t="shared" si="25"/>
        <v>-2.0988768574414535E-2</v>
      </c>
      <c r="D334" s="539">
        <f t="shared" si="24"/>
        <v>-2.1253804792814107E-2</v>
      </c>
      <c r="E334" s="539">
        <f t="shared" si="24"/>
        <v>-2.151884101121368E-2</v>
      </c>
      <c r="F334" s="539">
        <f t="shared" si="24"/>
        <v>-2.1783877229613252E-2</v>
      </c>
      <c r="G334" s="539">
        <f t="shared" si="24"/>
        <v>-2.2048913448012825E-2</v>
      </c>
      <c r="H334" s="539">
        <f t="shared" si="24"/>
        <v>-2.2313949666412397E-2</v>
      </c>
      <c r="I334" s="539">
        <f t="shared" si="24"/>
        <v>-2.257898588481197E-2</v>
      </c>
      <c r="J334" s="539">
        <f t="shared" si="24"/>
        <v>-2.2844022103211542E-2</v>
      </c>
      <c r="K334" s="539">
        <f t="shared" si="24"/>
        <v>-2.3109058321611115E-2</v>
      </c>
      <c r="L334" s="539">
        <f t="shared" si="24"/>
        <v>-2.3374094540010687E-2</v>
      </c>
      <c r="M334" s="539">
        <f t="shared" si="24"/>
        <v>-2.3639130758410259E-2</v>
      </c>
      <c r="N334" s="539">
        <f t="shared" si="24"/>
        <v>-2.3904166976809832E-2</v>
      </c>
      <c r="O334" s="539">
        <f t="shared" si="24"/>
        <v>-2.4169203195209404E-2</v>
      </c>
      <c r="P334" s="539">
        <f t="shared" si="24"/>
        <v>-2.4434239413608977E-2</v>
      </c>
      <c r="Q334" s="539">
        <f t="shared" si="24"/>
        <v>-2.4699275632008549E-2</v>
      </c>
      <c r="R334" s="539">
        <f t="shared" si="24"/>
        <v>-2.4964311850408122E-2</v>
      </c>
      <c r="S334" s="539">
        <f t="shared" si="24"/>
        <v>-2.5229348068807694E-2</v>
      </c>
      <c r="T334" s="539">
        <f t="shared" si="24"/>
        <v>-2.5494384287207267E-2</v>
      </c>
      <c r="U334" s="539">
        <f t="shared" si="24"/>
        <v>-2.5759420505606839E-2</v>
      </c>
      <c r="V334" s="539">
        <f t="shared" si="24"/>
        <v>-2.6024456724006412E-2</v>
      </c>
      <c r="W334" s="539">
        <f t="shared" si="24"/>
        <v>-2.6289492942405984E-2</v>
      </c>
      <c r="X334" s="539">
        <f t="shared" si="24"/>
        <v>-2.6554529160805557E-2</v>
      </c>
      <c r="Y334" s="539">
        <f t="shared" si="24"/>
        <v>-2.6819565379205129E-2</v>
      </c>
      <c r="Z334" s="539">
        <f t="shared" si="24"/>
        <v>-2.7084601597604702E-2</v>
      </c>
      <c r="AA334" s="539">
        <f t="shared" si="24"/>
        <v>-2.7349637816004274E-2</v>
      </c>
      <c r="AB334" s="539">
        <f t="shared" si="24"/>
        <v>-2.7614674034403847E-2</v>
      </c>
      <c r="AC334" s="539">
        <f t="shared" si="24"/>
        <v>-2.7879710252803419E-2</v>
      </c>
      <c r="AD334" s="539">
        <f t="shared" si="24"/>
        <v>-2.8144746471202992E-2</v>
      </c>
      <c r="AE334" s="539">
        <f t="shared" si="24"/>
        <v>-2.8409782689602564E-2</v>
      </c>
      <c r="AF334" s="539">
        <f t="shared" si="24"/>
        <v>-2.8674818908002137E-2</v>
      </c>
      <c r="AG334" s="539">
        <f t="shared" si="24"/>
        <v>-2.8939855126401709E-2</v>
      </c>
      <c r="AH334" s="539">
        <f t="shared" si="24"/>
        <v>-2.9204891344801281E-2</v>
      </c>
      <c r="AI334" s="539">
        <f t="shared" si="24"/>
        <v>-2.9469927563200854E-2</v>
      </c>
      <c r="AJ334" s="539">
        <f t="shared" si="24"/>
        <v>-2.9734963781600426E-2</v>
      </c>
      <c r="AK334" s="540">
        <v>-0.03</v>
      </c>
      <c r="AL334" s="539">
        <f t="shared" si="22"/>
        <v>-0.03</v>
      </c>
      <c r="AM334" s="539">
        <f t="shared" si="22"/>
        <v>-0.03</v>
      </c>
      <c r="AN334" s="539">
        <f t="shared" si="22"/>
        <v>-0.03</v>
      </c>
      <c r="AO334" s="539">
        <f t="shared" si="22"/>
        <v>-0.03</v>
      </c>
      <c r="AP334" s="539">
        <f t="shared" si="22"/>
        <v>-0.03</v>
      </c>
      <c r="AQ334" s="539">
        <f t="shared" si="22"/>
        <v>-0.03</v>
      </c>
      <c r="AR334" s="539">
        <f t="shared" si="22"/>
        <v>-0.03</v>
      </c>
      <c r="AS334" s="539">
        <f t="shared" si="22"/>
        <v>-0.03</v>
      </c>
      <c r="AT334" s="539">
        <f t="shared" si="22"/>
        <v>-0.03</v>
      </c>
      <c r="AU334" s="539">
        <f t="shared" si="22"/>
        <v>-0.03</v>
      </c>
      <c r="AV334" s="539">
        <f t="shared" si="22"/>
        <v>-0.03</v>
      </c>
      <c r="AW334" s="539">
        <f t="shared" si="22"/>
        <v>-0.03</v>
      </c>
      <c r="AX334" s="539">
        <f t="shared" si="22"/>
        <v>-0.03</v>
      </c>
      <c r="AY334" s="539">
        <f t="shared" si="22"/>
        <v>-0.03</v>
      </c>
      <c r="AZ334" s="539">
        <f t="shared" si="22"/>
        <v>-0.03</v>
      </c>
      <c r="BA334" s="539">
        <f t="shared" si="19"/>
        <v>-0.03</v>
      </c>
      <c r="BB334" s="539">
        <f t="shared" si="19"/>
        <v>-0.03</v>
      </c>
      <c r="BC334" s="539">
        <f t="shared" si="19"/>
        <v>-0.03</v>
      </c>
      <c r="BD334" s="539">
        <f t="shared" si="19"/>
        <v>-0.03</v>
      </c>
      <c r="BE334" s="539">
        <f t="shared" si="19"/>
        <v>-0.03</v>
      </c>
      <c r="BF334" s="539">
        <f t="shared" si="19"/>
        <v>-0.03</v>
      </c>
      <c r="BG334" s="539">
        <f t="shared" si="19"/>
        <v>-0.03</v>
      </c>
      <c r="BH334" s="539">
        <f t="shared" si="19"/>
        <v>-0.03</v>
      </c>
      <c r="BI334" s="539">
        <f t="shared" si="19"/>
        <v>-0.03</v>
      </c>
      <c r="BJ334" s="539">
        <f t="shared" si="19"/>
        <v>-0.03</v>
      </c>
      <c r="BK334" s="539">
        <f t="shared" si="19"/>
        <v>-0.03</v>
      </c>
      <c r="BL334" s="539">
        <f t="shared" si="19"/>
        <v>-0.03</v>
      </c>
      <c r="BM334" s="539">
        <f t="shared" si="19"/>
        <v>-0.03</v>
      </c>
      <c r="BN334" s="539">
        <f t="shared" si="19"/>
        <v>-0.03</v>
      </c>
      <c r="BO334" s="539">
        <f t="shared" si="19"/>
        <v>-0.03</v>
      </c>
      <c r="BP334" s="539">
        <f t="shared" si="19"/>
        <v>-0.03</v>
      </c>
      <c r="BQ334" s="539">
        <f t="shared" si="20"/>
        <v>-0.03</v>
      </c>
      <c r="BR334" s="539">
        <f t="shared" si="20"/>
        <v>-0.03</v>
      </c>
      <c r="BS334" s="539">
        <f t="shared" si="20"/>
        <v>-0.03</v>
      </c>
      <c r="BT334" s="539">
        <f t="shared" si="20"/>
        <v>-0.03</v>
      </c>
      <c r="BU334" s="539">
        <f t="shared" si="20"/>
        <v>-0.03</v>
      </c>
      <c r="BV334" s="539">
        <f t="shared" si="20"/>
        <v>-0.03</v>
      </c>
      <c r="BW334" s="539">
        <f t="shared" si="20"/>
        <v>-0.03</v>
      </c>
      <c r="BX334" s="539">
        <f t="shared" si="20"/>
        <v>-0.03</v>
      </c>
      <c r="BY334" s="539">
        <f t="shared" si="20"/>
        <v>-0.03</v>
      </c>
      <c r="BZ334" s="539">
        <f t="shared" si="20"/>
        <v>-0.03</v>
      </c>
      <c r="CA334" s="539">
        <f t="shared" si="21"/>
        <v>-0.03</v>
      </c>
      <c r="CB334" s="539">
        <f t="shared" si="21"/>
        <v>-0.03</v>
      </c>
      <c r="CC334" s="539">
        <f t="shared" si="21"/>
        <v>-0.03</v>
      </c>
      <c r="CD334" s="539">
        <f t="shared" si="21"/>
        <v>-0.03</v>
      </c>
      <c r="CE334" s="539">
        <f t="shared" si="21"/>
        <v>-0.03</v>
      </c>
      <c r="CF334" s="539">
        <f t="shared" si="21"/>
        <v>-0.03</v>
      </c>
      <c r="CG334" s="539">
        <f t="shared" si="21"/>
        <v>-0.03</v>
      </c>
      <c r="CH334" s="539">
        <f t="shared" si="21"/>
        <v>-0.03</v>
      </c>
      <c r="CI334" s="539">
        <v>-0.03</v>
      </c>
    </row>
    <row r="335" spans="1:87" ht="14.25" customHeight="1" x14ac:dyDescent="0.35">
      <c r="A335" s="42" t="s">
        <v>145</v>
      </c>
      <c r="B335" s="539">
        <v>-7.3223298982522056E-2</v>
      </c>
      <c r="C335" s="538">
        <f t="shared" si="25"/>
        <v>-7.3223298982522056E-2</v>
      </c>
      <c r="D335" s="539">
        <f t="shared" si="24"/>
        <v>-7.2834378424212587E-2</v>
      </c>
      <c r="E335" s="539">
        <f t="shared" si="24"/>
        <v>-7.2445457865903118E-2</v>
      </c>
      <c r="F335" s="539">
        <f t="shared" si="24"/>
        <v>-7.2056537307593649E-2</v>
      </c>
      <c r="G335" s="539">
        <f t="shared" si="24"/>
        <v>-7.166761674928418E-2</v>
      </c>
      <c r="H335" s="539">
        <f t="shared" si="24"/>
        <v>-7.1278696190974711E-2</v>
      </c>
      <c r="I335" s="539">
        <f t="shared" si="24"/>
        <v>-7.0889775632665242E-2</v>
      </c>
      <c r="J335" s="539">
        <f t="shared" si="24"/>
        <v>-7.0500855074355773E-2</v>
      </c>
      <c r="K335" s="539">
        <f t="shared" si="24"/>
        <v>-7.0111934516046304E-2</v>
      </c>
      <c r="L335" s="539">
        <f t="shared" si="24"/>
        <v>-6.9723013957736835E-2</v>
      </c>
      <c r="M335" s="539">
        <f t="shared" si="24"/>
        <v>-6.9334093399427366E-2</v>
      </c>
      <c r="N335" s="539">
        <f t="shared" si="24"/>
        <v>-6.8945172841117897E-2</v>
      </c>
      <c r="O335" s="539">
        <f t="shared" si="24"/>
        <v>-6.8556252282808428E-2</v>
      </c>
      <c r="P335" s="539">
        <f t="shared" si="24"/>
        <v>-6.8167331724498959E-2</v>
      </c>
      <c r="Q335" s="539">
        <f t="shared" si="24"/>
        <v>-6.7778411166189489E-2</v>
      </c>
      <c r="R335" s="539">
        <f t="shared" si="24"/>
        <v>-6.738949060788002E-2</v>
      </c>
      <c r="S335" s="539">
        <f t="shared" si="24"/>
        <v>-6.7000570049570551E-2</v>
      </c>
      <c r="T335" s="539">
        <f t="shared" si="24"/>
        <v>-6.6611649491261082E-2</v>
      </c>
      <c r="U335" s="539">
        <f t="shared" si="24"/>
        <v>-6.6222728932951613E-2</v>
      </c>
      <c r="V335" s="539">
        <f t="shared" si="24"/>
        <v>-6.5833808374642144E-2</v>
      </c>
      <c r="W335" s="539">
        <f t="shared" si="24"/>
        <v>-6.5444887816332675E-2</v>
      </c>
      <c r="X335" s="539">
        <f t="shared" si="24"/>
        <v>-6.5055967258023206E-2</v>
      </c>
      <c r="Y335" s="539">
        <f t="shared" si="24"/>
        <v>-6.4667046699713737E-2</v>
      </c>
      <c r="Z335" s="539">
        <f t="shared" si="24"/>
        <v>-6.4278126141404268E-2</v>
      </c>
      <c r="AA335" s="539">
        <f t="shared" si="24"/>
        <v>-6.3889205583094799E-2</v>
      </c>
      <c r="AB335" s="539">
        <f t="shared" si="24"/>
        <v>-6.350028502478533E-2</v>
      </c>
      <c r="AC335" s="539">
        <f t="shared" si="24"/>
        <v>-6.3111364466475861E-2</v>
      </c>
      <c r="AD335" s="539">
        <f t="shared" si="24"/>
        <v>-6.2722443908166392E-2</v>
      </c>
      <c r="AE335" s="539">
        <f t="shared" si="24"/>
        <v>-6.2333523349856923E-2</v>
      </c>
      <c r="AF335" s="539">
        <f t="shared" si="24"/>
        <v>-6.1944602791547454E-2</v>
      </c>
      <c r="AG335" s="539">
        <f t="shared" si="24"/>
        <v>-6.1555682233237985E-2</v>
      </c>
      <c r="AH335" s="539">
        <f t="shared" si="24"/>
        <v>-6.1166761674928516E-2</v>
      </c>
      <c r="AI335" s="539">
        <f t="shared" si="24"/>
        <v>-6.0777841116619047E-2</v>
      </c>
      <c r="AJ335" s="539">
        <f t="shared" si="24"/>
        <v>-6.0388920558309578E-2</v>
      </c>
      <c r="AK335" s="541">
        <v>-0.06</v>
      </c>
      <c r="AL335" s="539">
        <f t="shared" si="22"/>
        <v>-5.9399999999999994E-2</v>
      </c>
      <c r="AM335" s="539">
        <f t="shared" si="22"/>
        <v>-5.8799999999999991E-2</v>
      </c>
      <c r="AN335" s="539">
        <f t="shared" si="22"/>
        <v>-5.8199999999999988E-2</v>
      </c>
      <c r="AO335" s="539">
        <f t="shared" si="22"/>
        <v>-5.7599999999999985E-2</v>
      </c>
      <c r="AP335" s="539">
        <f t="shared" si="22"/>
        <v>-5.6999999999999981E-2</v>
      </c>
      <c r="AQ335" s="539">
        <f t="shared" si="22"/>
        <v>-5.6399999999999978E-2</v>
      </c>
      <c r="AR335" s="539">
        <f t="shared" si="22"/>
        <v>-5.5799999999999975E-2</v>
      </c>
      <c r="AS335" s="539">
        <f t="shared" si="22"/>
        <v>-5.5199999999999971E-2</v>
      </c>
      <c r="AT335" s="539">
        <f t="shared" si="22"/>
        <v>-5.4599999999999968E-2</v>
      </c>
      <c r="AU335" s="539">
        <f t="shared" si="22"/>
        <v>-5.3999999999999965E-2</v>
      </c>
      <c r="AV335" s="539">
        <f t="shared" si="22"/>
        <v>-5.3399999999999961E-2</v>
      </c>
      <c r="AW335" s="539">
        <f t="shared" si="22"/>
        <v>-5.2799999999999958E-2</v>
      </c>
      <c r="AX335" s="539">
        <f t="shared" si="22"/>
        <v>-5.2199999999999955E-2</v>
      </c>
      <c r="AY335" s="539">
        <f t="shared" si="22"/>
        <v>-5.1599999999999951E-2</v>
      </c>
      <c r="AZ335" s="539">
        <f t="shared" si="22"/>
        <v>-5.0999999999999948E-2</v>
      </c>
      <c r="BA335" s="539">
        <f t="shared" si="19"/>
        <v>-5.0399999999999945E-2</v>
      </c>
      <c r="BB335" s="539">
        <f t="shared" si="19"/>
        <v>-4.9799999999999942E-2</v>
      </c>
      <c r="BC335" s="539">
        <f t="shared" si="19"/>
        <v>-4.9199999999999938E-2</v>
      </c>
      <c r="BD335" s="539">
        <f t="shared" si="19"/>
        <v>-4.8599999999999935E-2</v>
      </c>
      <c r="BE335" s="539">
        <f t="shared" si="19"/>
        <v>-4.7999999999999932E-2</v>
      </c>
      <c r="BF335" s="539">
        <f t="shared" si="19"/>
        <v>-4.7399999999999928E-2</v>
      </c>
      <c r="BG335" s="539">
        <f t="shared" si="19"/>
        <v>-4.6799999999999925E-2</v>
      </c>
      <c r="BH335" s="539">
        <f t="shared" si="19"/>
        <v>-4.6199999999999922E-2</v>
      </c>
      <c r="BI335" s="539">
        <f t="shared" si="19"/>
        <v>-4.5599999999999918E-2</v>
      </c>
      <c r="BJ335" s="539">
        <f t="shared" si="19"/>
        <v>-4.4999999999999915E-2</v>
      </c>
      <c r="BK335" s="539">
        <f t="shared" si="19"/>
        <v>-4.4399999999999912E-2</v>
      </c>
      <c r="BL335" s="539">
        <f t="shared" si="19"/>
        <v>-4.3799999999999908E-2</v>
      </c>
      <c r="BM335" s="539">
        <f t="shared" si="19"/>
        <v>-4.3199999999999905E-2</v>
      </c>
      <c r="BN335" s="539">
        <f t="shared" si="19"/>
        <v>-4.2599999999999902E-2</v>
      </c>
      <c r="BO335" s="539">
        <f t="shared" si="19"/>
        <v>-4.1999999999999899E-2</v>
      </c>
      <c r="BP335" s="539">
        <f t="shared" si="19"/>
        <v>-4.1399999999999895E-2</v>
      </c>
      <c r="BQ335" s="539">
        <f t="shared" si="20"/>
        <v>-4.0799999999999892E-2</v>
      </c>
      <c r="BR335" s="539">
        <f t="shared" si="20"/>
        <v>-4.0199999999999889E-2</v>
      </c>
      <c r="BS335" s="539">
        <f t="shared" si="20"/>
        <v>-3.9599999999999885E-2</v>
      </c>
      <c r="BT335" s="539">
        <f t="shared" si="20"/>
        <v>-3.8999999999999882E-2</v>
      </c>
      <c r="BU335" s="539">
        <f t="shared" si="20"/>
        <v>-3.8399999999999879E-2</v>
      </c>
      <c r="BV335" s="539">
        <f t="shared" si="20"/>
        <v>-3.7799999999999875E-2</v>
      </c>
      <c r="BW335" s="539">
        <f t="shared" si="20"/>
        <v>-3.7199999999999872E-2</v>
      </c>
      <c r="BX335" s="539">
        <f t="shared" si="20"/>
        <v>-3.6599999999999869E-2</v>
      </c>
      <c r="BY335" s="539">
        <f t="shared" si="20"/>
        <v>-3.5999999999999865E-2</v>
      </c>
      <c r="BZ335" s="539">
        <f t="shared" si="20"/>
        <v>-3.5399999999999862E-2</v>
      </c>
      <c r="CA335" s="539">
        <f t="shared" si="21"/>
        <v>-3.4799999999999859E-2</v>
      </c>
      <c r="CB335" s="539">
        <f t="shared" si="21"/>
        <v>-3.4199999999999856E-2</v>
      </c>
      <c r="CC335" s="539">
        <f t="shared" si="21"/>
        <v>-3.3599999999999852E-2</v>
      </c>
      <c r="CD335" s="539">
        <f t="shared" si="21"/>
        <v>-3.2999999999999849E-2</v>
      </c>
      <c r="CE335" s="539">
        <f t="shared" si="21"/>
        <v>-3.2399999999999846E-2</v>
      </c>
      <c r="CF335" s="539">
        <f t="shared" si="21"/>
        <v>-3.1799999999999842E-2</v>
      </c>
      <c r="CG335" s="539">
        <f t="shared" si="21"/>
        <v>-3.1199999999999842E-2</v>
      </c>
      <c r="CH335" s="539">
        <f t="shared" si="21"/>
        <v>-3.0599999999999843E-2</v>
      </c>
      <c r="CI335" s="539">
        <v>-0.03</v>
      </c>
    </row>
    <row r="336" spans="1:87" ht="14.25" customHeight="1" x14ac:dyDescent="0.35">
      <c r="A336" s="42" t="s">
        <v>87</v>
      </c>
      <c r="B336" s="539">
        <v>-6.1440512806096838E-2</v>
      </c>
      <c r="C336" s="538">
        <f t="shared" si="25"/>
        <v>-6.1440512806096838E-2</v>
      </c>
      <c r="D336" s="539">
        <f t="shared" si="24"/>
        <v>-6.1398144782388107E-2</v>
      </c>
      <c r="E336" s="539">
        <f t="shared" si="24"/>
        <v>-6.1355776758679377E-2</v>
      </c>
      <c r="F336" s="539">
        <f t="shared" si="24"/>
        <v>-6.1313408734970647E-2</v>
      </c>
      <c r="G336" s="539">
        <f t="shared" si="24"/>
        <v>-6.1271040711261916E-2</v>
      </c>
      <c r="H336" s="539">
        <f t="shared" si="24"/>
        <v>-6.1228672687553186E-2</v>
      </c>
      <c r="I336" s="539">
        <f t="shared" si="24"/>
        <v>-6.1186304663844455E-2</v>
      </c>
      <c r="J336" s="539">
        <f t="shared" si="24"/>
        <v>-6.1143936640135725E-2</v>
      </c>
      <c r="K336" s="539">
        <f t="shared" si="24"/>
        <v>-6.1101568616426995E-2</v>
      </c>
      <c r="L336" s="539">
        <f t="shared" si="24"/>
        <v>-6.1059200592718264E-2</v>
      </c>
      <c r="M336" s="539">
        <f t="shared" si="24"/>
        <v>-6.1016832569009534E-2</v>
      </c>
      <c r="N336" s="539">
        <f t="shared" si="24"/>
        <v>-6.0974464545300804E-2</v>
      </c>
      <c r="O336" s="539">
        <f t="shared" si="24"/>
        <v>-6.0932096521592073E-2</v>
      </c>
      <c r="P336" s="539">
        <f t="shared" si="24"/>
        <v>-6.0889728497883343E-2</v>
      </c>
      <c r="Q336" s="539">
        <f t="shared" si="24"/>
        <v>-6.0847360474174612E-2</v>
      </c>
      <c r="R336" s="539">
        <f t="shared" si="24"/>
        <v>-6.0804992450465882E-2</v>
      </c>
      <c r="S336" s="539">
        <f t="shared" si="24"/>
        <v>-6.0762624426757152E-2</v>
      </c>
      <c r="T336" s="539">
        <f t="shared" si="24"/>
        <v>-6.0720256403048421E-2</v>
      </c>
      <c r="U336" s="539">
        <f t="shared" si="24"/>
        <v>-6.0677888379339691E-2</v>
      </c>
      <c r="V336" s="539">
        <f t="shared" si="24"/>
        <v>-6.063552035563096E-2</v>
      </c>
      <c r="W336" s="539">
        <f t="shared" si="24"/>
        <v>-6.059315233192223E-2</v>
      </c>
      <c r="X336" s="539">
        <f t="shared" si="24"/>
        <v>-6.05507843082135E-2</v>
      </c>
      <c r="Y336" s="539">
        <f t="shared" si="24"/>
        <v>-6.0508416284504769E-2</v>
      </c>
      <c r="Z336" s="539">
        <f t="shared" si="24"/>
        <v>-6.0466048260796039E-2</v>
      </c>
      <c r="AA336" s="539">
        <f t="shared" si="24"/>
        <v>-6.0423680237087309E-2</v>
      </c>
      <c r="AB336" s="539">
        <f t="shared" si="24"/>
        <v>-6.0381312213378578E-2</v>
      </c>
      <c r="AC336" s="539">
        <f t="shared" si="24"/>
        <v>-6.0338944189669848E-2</v>
      </c>
      <c r="AD336" s="539">
        <f t="shared" si="24"/>
        <v>-6.0296576165961117E-2</v>
      </c>
      <c r="AE336" s="539">
        <f t="shared" si="24"/>
        <v>-6.0254208142252387E-2</v>
      </c>
      <c r="AF336" s="539">
        <f t="shared" si="24"/>
        <v>-6.0211840118543657E-2</v>
      </c>
      <c r="AG336" s="539">
        <f t="shared" si="24"/>
        <v>-6.0169472094834926E-2</v>
      </c>
      <c r="AH336" s="539">
        <f t="shared" si="24"/>
        <v>-6.0127104071126196E-2</v>
      </c>
      <c r="AI336" s="539">
        <f t="shared" si="24"/>
        <v>-6.0084736047417465E-2</v>
      </c>
      <c r="AJ336" s="539">
        <f t="shared" si="24"/>
        <v>-6.0042368023708735E-2</v>
      </c>
      <c r="AK336" s="541">
        <v>-0.06</v>
      </c>
      <c r="AL336" s="539">
        <f t="shared" si="22"/>
        <v>-5.9399999999999994E-2</v>
      </c>
      <c r="AM336" s="539">
        <f t="shared" si="22"/>
        <v>-5.8799999999999991E-2</v>
      </c>
      <c r="AN336" s="539">
        <f t="shared" si="22"/>
        <v>-5.8199999999999988E-2</v>
      </c>
      <c r="AO336" s="539">
        <f t="shared" si="22"/>
        <v>-5.7599999999999985E-2</v>
      </c>
      <c r="AP336" s="539">
        <f t="shared" si="22"/>
        <v>-5.6999999999999981E-2</v>
      </c>
      <c r="AQ336" s="539">
        <f t="shared" si="22"/>
        <v>-5.6399999999999978E-2</v>
      </c>
      <c r="AR336" s="539">
        <f t="shared" si="22"/>
        <v>-5.5799999999999975E-2</v>
      </c>
      <c r="AS336" s="539">
        <f t="shared" si="22"/>
        <v>-5.5199999999999971E-2</v>
      </c>
      <c r="AT336" s="539">
        <f t="shared" si="22"/>
        <v>-5.4599999999999968E-2</v>
      </c>
      <c r="AU336" s="539">
        <f t="shared" si="22"/>
        <v>-5.3999999999999965E-2</v>
      </c>
      <c r="AV336" s="539">
        <f t="shared" si="22"/>
        <v>-5.3399999999999961E-2</v>
      </c>
      <c r="AW336" s="539">
        <f t="shared" si="22"/>
        <v>-5.2799999999999958E-2</v>
      </c>
      <c r="AX336" s="539">
        <f t="shared" si="22"/>
        <v>-5.2199999999999955E-2</v>
      </c>
      <c r="AY336" s="539">
        <f t="shared" si="22"/>
        <v>-5.1599999999999951E-2</v>
      </c>
      <c r="AZ336" s="539">
        <f t="shared" si="22"/>
        <v>-5.0999999999999948E-2</v>
      </c>
      <c r="BA336" s="539">
        <f t="shared" si="19"/>
        <v>-5.0399999999999945E-2</v>
      </c>
      <c r="BB336" s="539">
        <f t="shared" si="19"/>
        <v>-4.9799999999999942E-2</v>
      </c>
      <c r="BC336" s="539">
        <f t="shared" si="19"/>
        <v>-4.9199999999999938E-2</v>
      </c>
      <c r="BD336" s="539">
        <f t="shared" si="19"/>
        <v>-4.8599999999999935E-2</v>
      </c>
      <c r="BE336" s="539">
        <f t="shared" si="19"/>
        <v>-4.7999999999999932E-2</v>
      </c>
      <c r="BF336" s="539">
        <f t="shared" si="19"/>
        <v>-4.7399999999999928E-2</v>
      </c>
      <c r="BG336" s="539">
        <f t="shared" si="19"/>
        <v>-4.6799999999999925E-2</v>
      </c>
      <c r="BH336" s="539">
        <f t="shared" si="19"/>
        <v>-4.6199999999999922E-2</v>
      </c>
      <c r="BI336" s="539">
        <f t="shared" si="19"/>
        <v>-4.5599999999999918E-2</v>
      </c>
      <c r="BJ336" s="539">
        <f t="shared" si="19"/>
        <v>-4.4999999999999915E-2</v>
      </c>
      <c r="BK336" s="539">
        <f t="shared" si="19"/>
        <v>-4.4399999999999912E-2</v>
      </c>
      <c r="BL336" s="539">
        <f t="shared" si="19"/>
        <v>-4.3799999999999908E-2</v>
      </c>
      <c r="BM336" s="539">
        <f t="shared" si="19"/>
        <v>-4.3199999999999905E-2</v>
      </c>
      <c r="BN336" s="539">
        <f t="shared" si="19"/>
        <v>-4.2599999999999902E-2</v>
      </c>
      <c r="BO336" s="539">
        <f t="shared" si="19"/>
        <v>-4.1999999999999899E-2</v>
      </c>
      <c r="BP336" s="539">
        <f t="shared" si="19"/>
        <v>-4.1399999999999895E-2</v>
      </c>
      <c r="BQ336" s="539">
        <f t="shared" si="20"/>
        <v>-4.0799999999999892E-2</v>
      </c>
      <c r="BR336" s="539">
        <f t="shared" si="20"/>
        <v>-4.0199999999999889E-2</v>
      </c>
      <c r="BS336" s="539">
        <f t="shared" si="20"/>
        <v>-3.9599999999999885E-2</v>
      </c>
      <c r="BT336" s="539">
        <f t="shared" si="20"/>
        <v>-3.8999999999999882E-2</v>
      </c>
      <c r="BU336" s="539">
        <f t="shared" si="20"/>
        <v>-3.8399999999999879E-2</v>
      </c>
      <c r="BV336" s="539">
        <f t="shared" si="20"/>
        <v>-3.7799999999999875E-2</v>
      </c>
      <c r="BW336" s="539">
        <f t="shared" si="20"/>
        <v>-3.7199999999999872E-2</v>
      </c>
      <c r="BX336" s="539">
        <f t="shared" si="20"/>
        <v>-3.6599999999999869E-2</v>
      </c>
      <c r="BY336" s="539">
        <f t="shared" si="20"/>
        <v>-3.5999999999999865E-2</v>
      </c>
      <c r="BZ336" s="539">
        <f t="shared" si="20"/>
        <v>-3.5399999999999862E-2</v>
      </c>
      <c r="CA336" s="539">
        <f t="shared" si="21"/>
        <v>-3.4799999999999859E-2</v>
      </c>
      <c r="CB336" s="539">
        <f t="shared" si="21"/>
        <v>-3.4199999999999856E-2</v>
      </c>
      <c r="CC336" s="539">
        <f t="shared" si="21"/>
        <v>-3.3599999999999852E-2</v>
      </c>
      <c r="CD336" s="539">
        <f t="shared" si="21"/>
        <v>-3.2999999999999849E-2</v>
      </c>
      <c r="CE336" s="539">
        <f t="shared" si="21"/>
        <v>-3.2399999999999846E-2</v>
      </c>
      <c r="CF336" s="539">
        <f t="shared" si="21"/>
        <v>-3.1799999999999842E-2</v>
      </c>
      <c r="CG336" s="539">
        <f t="shared" si="21"/>
        <v>-3.1199999999999842E-2</v>
      </c>
      <c r="CH336" s="539">
        <f t="shared" si="21"/>
        <v>-3.0599999999999843E-2</v>
      </c>
      <c r="CI336" s="539">
        <v>-0.03</v>
      </c>
    </row>
    <row r="337" spans="1:87" ht="14.25" customHeight="1" x14ac:dyDescent="0.35">
      <c r="A337" s="42" t="s">
        <v>146</v>
      </c>
      <c r="B337" s="539">
        <v>-1.4857298195831321E-2</v>
      </c>
      <c r="C337" s="538">
        <f t="shared" si="25"/>
        <v>-1.4857298195831321E-2</v>
      </c>
      <c r="D337" s="539">
        <f t="shared" si="24"/>
        <v>-1.5302671778306871E-2</v>
      </c>
      <c r="E337" s="539">
        <f t="shared" si="24"/>
        <v>-1.574804536078242E-2</v>
      </c>
      <c r="F337" s="539">
        <f t="shared" si="24"/>
        <v>-1.6193418943257969E-2</v>
      </c>
      <c r="G337" s="539">
        <f t="shared" si="24"/>
        <v>-1.6638792525733519E-2</v>
      </c>
      <c r="H337" s="539">
        <f t="shared" si="24"/>
        <v>-1.7084166108209068E-2</v>
      </c>
      <c r="I337" s="539">
        <f t="shared" si="24"/>
        <v>-1.7529539690684617E-2</v>
      </c>
      <c r="J337" s="539">
        <f t="shared" si="24"/>
        <v>-1.7974913273160167E-2</v>
      </c>
      <c r="K337" s="539">
        <f t="shared" si="24"/>
        <v>-1.8420286855635716E-2</v>
      </c>
      <c r="L337" s="539">
        <f t="shared" si="24"/>
        <v>-1.8865660438111265E-2</v>
      </c>
      <c r="M337" s="539">
        <f t="shared" si="24"/>
        <v>-1.9311034020586815E-2</v>
      </c>
      <c r="N337" s="539">
        <f t="shared" si="24"/>
        <v>-1.9756407603062364E-2</v>
      </c>
      <c r="O337" s="539">
        <f t="shared" si="24"/>
        <v>-2.0201781185537913E-2</v>
      </c>
      <c r="P337" s="539">
        <f t="shared" si="24"/>
        <v>-2.0647154768013463E-2</v>
      </c>
      <c r="Q337" s="539">
        <f t="shared" si="24"/>
        <v>-2.1092528350489012E-2</v>
      </c>
      <c r="R337" s="539">
        <f t="shared" si="24"/>
        <v>-2.1537901932964561E-2</v>
      </c>
      <c r="S337" s="539">
        <f t="shared" si="24"/>
        <v>-2.1983275515440111E-2</v>
      </c>
      <c r="T337" s="539">
        <f t="shared" si="24"/>
        <v>-2.242864909791566E-2</v>
      </c>
      <c r="U337" s="539">
        <f t="shared" si="24"/>
        <v>-2.2874022680391209E-2</v>
      </c>
      <c r="V337" s="539">
        <f t="shared" si="24"/>
        <v>-2.3319396262866759E-2</v>
      </c>
      <c r="W337" s="539">
        <f t="shared" si="24"/>
        <v>-2.3764769845342308E-2</v>
      </c>
      <c r="X337" s="539">
        <f t="shared" si="24"/>
        <v>-2.4210143427817857E-2</v>
      </c>
      <c r="Y337" s="539">
        <f t="shared" si="24"/>
        <v>-2.4655517010293407E-2</v>
      </c>
      <c r="Z337" s="539">
        <f t="shared" si="24"/>
        <v>-2.5100890592768956E-2</v>
      </c>
      <c r="AA337" s="539">
        <f t="shared" si="24"/>
        <v>-2.5546264175244505E-2</v>
      </c>
      <c r="AB337" s="539">
        <f t="shared" si="24"/>
        <v>-2.5991637757720055E-2</v>
      </c>
      <c r="AC337" s="539">
        <f t="shared" si="24"/>
        <v>-2.6437011340195604E-2</v>
      </c>
      <c r="AD337" s="539">
        <f t="shared" si="24"/>
        <v>-2.6882384922671154E-2</v>
      </c>
      <c r="AE337" s="539">
        <f t="shared" si="24"/>
        <v>-2.7327758505146703E-2</v>
      </c>
      <c r="AF337" s="539">
        <f t="shared" si="24"/>
        <v>-2.7773132087622252E-2</v>
      </c>
      <c r="AG337" s="539">
        <f t="shared" si="24"/>
        <v>-2.8218505670097802E-2</v>
      </c>
      <c r="AH337" s="539">
        <f t="shared" si="24"/>
        <v>-2.8663879252573351E-2</v>
      </c>
      <c r="AI337" s="539">
        <f t="shared" si="24"/>
        <v>-2.91092528350489E-2</v>
      </c>
      <c r="AJ337" s="539">
        <f t="shared" si="24"/>
        <v>-2.955462641752445E-2</v>
      </c>
      <c r="AK337" s="540">
        <v>-0.03</v>
      </c>
      <c r="AL337" s="539">
        <f t="shared" si="22"/>
        <v>-0.03</v>
      </c>
      <c r="AM337" s="539">
        <f t="shared" si="22"/>
        <v>-0.03</v>
      </c>
      <c r="AN337" s="539">
        <f t="shared" si="22"/>
        <v>-0.03</v>
      </c>
      <c r="AO337" s="539">
        <f t="shared" si="22"/>
        <v>-0.03</v>
      </c>
      <c r="AP337" s="539">
        <f t="shared" si="22"/>
        <v>-0.03</v>
      </c>
      <c r="AQ337" s="539">
        <f t="shared" si="22"/>
        <v>-0.03</v>
      </c>
      <c r="AR337" s="539">
        <f t="shared" si="22"/>
        <v>-0.03</v>
      </c>
      <c r="AS337" s="539">
        <f t="shared" si="22"/>
        <v>-0.03</v>
      </c>
      <c r="AT337" s="539">
        <f t="shared" si="22"/>
        <v>-0.03</v>
      </c>
      <c r="AU337" s="539">
        <f t="shared" si="22"/>
        <v>-0.03</v>
      </c>
      <c r="AV337" s="539">
        <f t="shared" si="22"/>
        <v>-0.03</v>
      </c>
      <c r="AW337" s="539">
        <f t="shared" si="22"/>
        <v>-0.03</v>
      </c>
      <c r="AX337" s="539">
        <f t="shared" si="22"/>
        <v>-0.03</v>
      </c>
      <c r="AY337" s="539">
        <f t="shared" si="22"/>
        <v>-0.03</v>
      </c>
      <c r="AZ337" s="539">
        <f t="shared" si="22"/>
        <v>-0.03</v>
      </c>
      <c r="BA337" s="539">
        <f t="shared" si="19"/>
        <v>-0.03</v>
      </c>
      <c r="BB337" s="539">
        <f t="shared" si="19"/>
        <v>-0.03</v>
      </c>
      <c r="BC337" s="539">
        <f t="shared" si="19"/>
        <v>-0.03</v>
      </c>
      <c r="BD337" s="539">
        <f t="shared" si="19"/>
        <v>-0.03</v>
      </c>
      <c r="BE337" s="539">
        <f t="shared" si="19"/>
        <v>-0.03</v>
      </c>
      <c r="BF337" s="539">
        <f t="shared" si="19"/>
        <v>-0.03</v>
      </c>
      <c r="BG337" s="539">
        <f t="shared" si="19"/>
        <v>-0.03</v>
      </c>
      <c r="BH337" s="539">
        <f t="shared" si="19"/>
        <v>-0.03</v>
      </c>
      <c r="BI337" s="539">
        <f t="shared" si="19"/>
        <v>-0.03</v>
      </c>
      <c r="BJ337" s="539">
        <f t="shared" si="19"/>
        <v>-0.03</v>
      </c>
      <c r="BK337" s="539">
        <f t="shared" si="19"/>
        <v>-0.03</v>
      </c>
      <c r="BL337" s="539">
        <f t="shared" si="19"/>
        <v>-0.03</v>
      </c>
      <c r="BM337" s="539">
        <f t="shared" si="19"/>
        <v>-0.03</v>
      </c>
      <c r="BN337" s="539">
        <f t="shared" si="19"/>
        <v>-0.03</v>
      </c>
      <c r="BO337" s="539">
        <f t="shared" si="19"/>
        <v>-0.03</v>
      </c>
      <c r="BP337" s="539">
        <f t="shared" si="19"/>
        <v>-0.03</v>
      </c>
      <c r="BQ337" s="539">
        <f t="shared" si="20"/>
        <v>-0.03</v>
      </c>
      <c r="BR337" s="539">
        <f t="shared" si="20"/>
        <v>-0.03</v>
      </c>
      <c r="BS337" s="539">
        <f t="shared" si="20"/>
        <v>-0.03</v>
      </c>
      <c r="BT337" s="539">
        <f t="shared" si="20"/>
        <v>-0.03</v>
      </c>
      <c r="BU337" s="539">
        <f t="shared" si="20"/>
        <v>-0.03</v>
      </c>
      <c r="BV337" s="539">
        <f t="shared" si="20"/>
        <v>-0.03</v>
      </c>
      <c r="BW337" s="539">
        <f t="shared" si="20"/>
        <v>-0.03</v>
      </c>
      <c r="BX337" s="539">
        <f t="shared" si="20"/>
        <v>-0.03</v>
      </c>
      <c r="BY337" s="539">
        <f t="shared" si="20"/>
        <v>-0.03</v>
      </c>
      <c r="BZ337" s="539">
        <f t="shared" si="20"/>
        <v>-0.03</v>
      </c>
      <c r="CA337" s="539">
        <f t="shared" si="21"/>
        <v>-0.03</v>
      </c>
      <c r="CB337" s="539">
        <f t="shared" si="21"/>
        <v>-0.03</v>
      </c>
      <c r="CC337" s="539">
        <f t="shared" si="21"/>
        <v>-0.03</v>
      </c>
      <c r="CD337" s="539">
        <f t="shared" si="21"/>
        <v>-0.03</v>
      </c>
      <c r="CE337" s="539">
        <f t="shared" si="21"/>
        <v>-0.03</v>
      </c>
      <c r="CF337" s="539">
        <f t="shared" si="21"/>
        <v>-0.03</v>
      </c>
      <c r="CG337" s="539">
        <f t="shared" si="21"/>
        <v>-0.03</v>
      </c>
      <c r="CH337" s="539">
        <f t="shared" si="21"/>
        <v>-0.03</v>
      </c>
      <c r="CI337" s="539">
        <v>-0.03</v>
      </c>
    </row>
    <row r="338" spans="1:87" ht="14.25" customHeight="1" x14ac:dyDescent="0.35">
      <c r="A338" s="42" t="s">
        <v>89</v>
      </c>
      <c r="B338" s="539">
        <v>-4.3225211619533153E-2</v>
      </c>
      <c r="C338" s="538">
        <f t="shared" si="25"/>
        <v>-4.3225211619533153E-2</v>
      </c>
      <c r="D338" s="539">
        <f t="shared" si="24"/>
        <v>-4.2836234807193944E-2</v>
      </c>
      <c r="E338" s="539">
        <f t="shared" si="24"/>
        <v>-4.2447257994854735E-2</v>
      </c>
      <c r="F338" s="539">
        <f t="shared" si="24"/>
        <v>-4.2058281182515526E-2</v>
      </c>
      <c r="G338" s="539">
        <f t="shared" si="24"/>
        <v>-4.1669304370176317E-2</v>
      </c>
      <c r="H338" s="539">
        <f t="shared" si="24"/>
        <v>-4.1280327557837108E-2</v>
      </c>
      <c r="I338" s="539">
        <f t="shared" si="24"/>
        <v>-4.0891350745497899E-2</v>
      </c>
      <c r="J338" s="539">
        <f t="shared" si="24"/>
        <v>-4.050237393315869E-2</v>
      </c>
      <c r="K338" s="539">
        <f t="shared" si="24"/>
        <v>-4.0113397120819481E-2</v>
      </c>
      <c r="L338" s="539">
        <f t="shared" si="24"/>
        <v>-3.9724420308480272E-2</v>
      </c>
      <c r="M338" s="539">
        <f t="shared" si="24"/>
        <v>-3.9335443496141063E-2</v>
      </c>
      <c r="N338" s="539">
        <f t="shared" si="24"/>
        <v>-3.8946466683801854E-2</v>
      </c>
      <c r="O338" s="539">
        <f t="shared" si="24"/>
        <v>-3.8557489871462645E-2</v>
      </c>
      <c r="P338" s="539">
        <f t="shared" si="24"/>
        <v>-3.8168513059123436E-2</v>
      </c>
      <c r="Q338" s="539">
        <f t="shared" si="24"/>
        <v>-3.7779536246784227E-2</v>
      </c>
      <c r="R338" s="539">
        <f t="shared" si="24"/>
        <v>-3.7390559434445018E-2</v>
      </c>
      <c r="S338" s="539">
        <f t="shared" si="24"/>
        <v>-3.7001582622105809E-2</v>
      </c>
      <c r="T338" s="539">
        <f t="shared" si="24"/>
        <v>-3.66126058097666E-2</v>
      </c>
      <c r="U338" s="539">
        <f t="shared" si="24"/>
        <v>-3.6223628997427391E-2</v>
      </c>
      <c r="V338" s="539">
        <f t="shared" si="24"/>
        <v>-3.5834652185088182E-2</v>
      </c>
      <c r="W338" s="539">
        <f t="shared" si="24"/>
        <v>-3.5445675372748973E-2</v>
      </c>
      <c r="X338" s="539">
        <f t="shared" si="24"/>
        <v>-3.5056698560409764E-2</v>
      </c>
      <c r="Y338" s="539">
        <f t="shared" si="24"/>
        <v>-3.4667721748070555E-2</v>
      </c>
      <c r="Z338" s="539">
        <f t="shared" si="24"/>
        <v>-3.4278744935731346E-2</v>
      </c>
      <c r="AA338" s="539">
        <f t="shared" ref="AA338:AJ338" si="27">Z338+($AK338-$C338)/($AK$304-$C$304)</f>
        <v>-3.3889768123392137E-2</v>
      </c>
      <c r="AB338" s="539">
        <f t="shared" si="27"/>
        <v>-3.3500791311052928E-2</v>
      </c>
      <c r="AC338" s="539">
        <f t="shared" si="27"/>
        <v>-3.3111814498713719E-2</v>
      </c>
      <c r="AD338" s="539">
        <f t="shared" si="27"/>
        <v>-3.272283768637451E-2</v>
      </c>
      <c r="AE338" s="539">
        <f t="shared" si="27"/>
        <v>-3.2333860874035301E-2</v>
      </c>
      <c r="AF338" s="539">
        <f t="shared" si="27"/>
        <v>-3.1944884061696092E-2</v>
      </c>
      <c r="AG338" s="539">
        <f t="shared" si="27"/>
        <v>-3.1555907249356883E-2</v>
      </c>
      <c r="AH338" s="539">
        <f t="shared" si="27"/>
        <v>-3.1166930437017674E-2</v>
      </c>
      <c r="AI338" s="539">
        <f t="shared" si="27"/>
        <v>-3.0777953624678465E-2</v>
      </c>
      <c r="AJ338" s="539">
        <f t="shared" si="27"/>
        <v>-3.0388976812339256E-2</v>
      </c>
      <c r="AK338" s="540">
        <v>-0.03</v>
      </c>
      <c r="AL338" s="539">
        <f t="shared" si="22"/>
        <v>-0.03</v>
      </c>
      <c r="AM338" s="539">
        <f t="shared" si="22"/>
        <v>-0.03</v>
      </c>
      <c r="AN338" s="539">
        <f t="shared" si="22"/>
        <v>-0.03</v>
      </c>
      <c r="AO338" s="539">
        <f t="shared" si="22"/>
        <v>-0.03</v>
      </c>
      <c r="AP338" s="539">
        <f t="shared" si="22"/>
        <v>-0.03</v>
      </c>
      <c r="AQ338" s="539">
        <f t="shared" si="22"/>
        <v>-0.03</v>
      </c>
      <c r="AR338" s="539">
        <f t="shared" si="22"/>
        <v>-0.03</v>
      </c>
      <c r="AS338" s="539">
        <f t="shared" si="22"/>
        <v>-0.03</v>
      </c>
      <c r="AT338" s="539">
        <f t="shared" si="22"/>
        <v>-0.03</v>
      </c>
      <c r="AU338" s="539">
        <f t="shared" si="22"/>
        <v>-0.03</v>
      </c>
      <c r="AV338" s="539">
        <f t="shared" si="22"/>
        <v>-0.03</v>
      </c>
      <c r="AW338" s="539">
        <f t="shared" si="22"/>
        <v>-0.03</v>
      </c>
      <c r="AX338" s="539">
        <f t="shared" si="22"/>
        <v>-0.03</v>
      </c>
      <c r="AY338" s="539">
        <f t="shared" si="22"/>
        <v>-0.03</v>
      </c>
      <c r="AZ338" s="539">
        <f t="shared" si="22"/>
        <v>-0.03</v>
      </c>
      <c r="BA338" s="539">
        <f t="shared" si="19"/>
        <v>-0.03</v>
      </c>
      <c r="BB338" s="539">
        <f t="shared" si="19"/>
        <v>-0.03</v>
      </c>
      <c r="BC338" s="539">
        <f t="shared" si="19"/>
        <v>-0.03</v>
      </c>
      <c r="BD338" s="539">
        <f t="shared" si="19"/>
        <v>-0.03</v>
      </c>
      <c r="BE338" s="539">
        <f t="shared" si="19"/>
        <v>-0.03</v>
      </c>
      <c r="BF338" s="539">
        <f t="shared" si="19"/>
        <v>-0.03</v>
      </c>
      <c r="BG338" s="539">
        <f t="shared" si="19"/>
        <v>-0.03</v>
      </c>
      <c r="BH338" s="539">
        <f t="shared" si="19"/>
        <v>-0.03</v>
      </c>
      <c r="BI338" s="539">
        <f t="shared" si="19"/>
        <v>-0.03</v>
      </c>
      <c r="BJ338" s="539">
        <f t="shared" si="19"/>
        <v>-0.03</v>
      </c>
      <c r="BK338" s="539">
        <f t="shared" si="19"/>
        <v>-0.03</v>
      </c>
      <c r="BL338" s="539">
        <f t="shared" si="19"/>
        <v>-0.03</v>
      </c>
      <c r="BM338" s="539">
        <f t="shared" si="19"/>
        <v>-0.03</v>
      </c>
      <c r="BN338" s="539">
        <f t="shared" si="19"/>
        <v>-0.03</v>
      </c>
      <c r="BO338" s="539">
        <f t="shared" si="19"/>
        <v>-0.03</v>
      </c>
      <c r="BP338" s="539">
        <f t="shared" si="19"/>
        <v>-0.03</v>
      </c>
      <c r="BQ338" s="539">
        <f t="shared" si="20"/>
        <v>-0.03</v>
      </c>
      <c r="BR338" s="539">
        <f t="shared" si="20"/>
        <v>-0.03</v>
      </c>
      <c r="BS338" s="539">
        <f t="shared" si="20"/>
        <v>-0.03</v>
      </c>
      <c r="BT338" s="539">
        <f t="shared" si="20"/>
        <v>-0.03</v>
      </c>
      <c r="BU338" s="539">
        <f t="shared" si="20"/>
        <v>-0.03</v>
      </c>
      <c r="BV338" s="539">
        <f t="shared" si="20"/>
        <v>-0.03</v>
      </c>
      <c r="BW338" s="539">
        <f t="shared" si="20"/>
        <v>-0.03</v>
      </c>
      <c r="BX338" s="539">
        <f t="shared" si="20"/>
        <v>-0.03</v>
      </c>
      <c r="BY338" s="539">
        <f t="shared" si="20"/>
        <v>-0.03</v>
      </c>
      <c r="BZ338" s="539">
        <f t="shared" si="20"/>
        <v>-0.03</v>
      </c>
      <c r="CA338" s="539">
        <f t="shared" si="21"/>
        <v>-0.03</v>
      </c>
      <c r="CB338" s="539">
        <f t="shared" si="21"/>
        <v>-0.03</v>
      </c>
      <c r="CC338" s="539">
        <f t="shared" si="21"/>
        <v>-0.03</v>
      </c>
      <c r="CD338" s="539">
        <f t="shared" si="21"/>
        <v>-0.03</v>
      </c>
      <c r="CE338" s="539">
        <f t="shared" si="21"/>
        <v>-0.03</v>
      </c>
      <c r="CF338" s="539">
        <f t="shared" si="21"/>
        <v>-0.03</v>
      </c>
      <c r="CG338" s="539">
        <f t="shared" si="21"/>
        <v>-0.03</v>
      </c>
      <c r="CH338" s="539">
        <f t="shared" si="21"/>
        <v>-0.03</v>
      </c>
      <c r="CI338" s="539">
        <v>-0.03</v>
      </c>
    </row>
    <row r="339" spans="1:87" ht="14.25" customHeight="1" x14ac:dyDescent="0.35">
      <c r="A339" s="42" t="s">
        <v>90</v>
      </c>
      <c r="B339" s="539">
        <v>-4.3848823714911611E-2</v>
      </c>
      <c r="C339" s="538">
        <f t="shared" si="25"/>
        <v>-4.3848823714911611E-2</v>
      </c>
      <c r="D339" s="539">
        <f t="shared" ref="D339:AJ339" si="28">C339+($AK339-$C339)/($AK$304-$C$304)</f>
        <v>-4.4323858311531857E-2</v>
      </c>
      <c r="E339" s="539">
        <f t="shared" si="28"/>
        <v>-4.4798892908152102E-2</v>
      </c>
      <c r="F339" s="539">
        <f t="shared" si="28"/>
        <v>-4.5273927504772347E-2</v>
      </c>
      <c r="G339" s="539">
        <f t="shared" si="28"/>
        <v>-4.5748962101392593E-2</v>
      </c>
      <c r="H339" s="539">
        <f t="shared" si="28"/>
        <v>-4.6223996698012838E-2</v>
      </c>
      <c r="I339" s="539">
        <f t="shared" si="28"/>
        <v>-4.6699031294633084E-2</v>
      </c>
      <c r="J339" s="539">
        <f t="shared" si="28"/>
        <v>-4.7174065891253329E-2</v>
      </c>
      <c r="K339" s="539">
        <f t="shared" si="28"/>
        <v>-4.7649100487873575E-2</v>
      </c>
      <c r="L339" s="539">
        <f t="shared" si="28"/>
        <v>-4.812413508449382E-2</v>
      </c>
      <c r="M339" s="539">
        <f t="shared" si="28"/>
        <v>-4.8599169681114066E-2</v>
      </c>
      <c r="N339" s="539">
        <f t="shared" si="28"/>
        <v>-4.9074204277734311E-2</v>
      </c>
      <c r="O339" s="539">
        <f t="shared" si="28"/>
        <v>-4.9549238874354556E-2</v>
      </c>
      <c r="P339" s="539">
        <f t="shared" si="28"/>
        <v>-5.0024273470974802E-2</v>
      </c>
      <c r="Q339" s="539">
        <f t="shared" si="28"/>
        <v>-5.0499308067595047E-2</v>
      </c>
      <c r="R339" s="539">
        <f t="shared" si="28"/>
        <v>-5.0974342664215293E-2</v>
      </c>
      <c r="S339" s="539">
        <f t="shared" si="28"/>
        <v>-5.1449377260835538E-2</v>
      </c>
      <c r="T339" s="539">
        <f t="shared" si="28"/>
        <v>-5.1924411857455784E-2</v>
      </c>
      <c r="U339" s="539">
        <f t="shared" si="28"/>
        <v>-5.2399446454076029E-2</v>
      </c>
      <c r="V339" s="539">
        <f t="shared" si="28"/>
        <v>-5.2874481050696275E-2</v>
      </c>
      <c r="W339" s="539">
        <f t="shared" si="28"/>
        <v>-5.334951564731652E-2</v>
      </c>
      <c r="X339" s="539">
        <f t="shared" si="28"/>
        <v>-5.3824550243936765E-2</v>
      </c>
      <c r="Y339" s="539">
        <f t="shared" si="28"/>
        <v>-5.4299584840557011E-2</v>
      </c>
      <c r="Z339" s="539">
        <f t="shared" si="28"/>
        <v>-5.4774619437177256E-2</v>
      </c>
      <c r="AA339" s="539">
        <f t="shared" si="28"/>
        <v>-5.5249654033797502E-2</v>
      </c>
      <c r="AB339" s="539">
        <f t="shared" si="28"/>
        <v>-5.5724688630417747E-2</v>
      </c>
      <c r="AC339" s="539">
        <f t="shared" si="28"/>
        <v>-5.6199723227037993E-2</v>
      </c>
      <c r="AD339" s="539">
        <f t="shared" si="28"/>
        <v>-5.6674757823658238E-2</v>
      </c>
      <c r="AE339" s="539">
        <f t="shared" si="28"/>
        <v>-5.7149792420278483E-2</v>
      </c>
      <c r="AF339" s="539">
        <f t="shared" si="28"/>
        <v>-5.7624827016898729E-2</v>
      </c>
      <c r="AG339" s="539">
        <f t="shared" si="28"/>
        <v>-5.8099861613518974E-2</v>
      </c>
      <c r="AH339" s="539">
        <f t="shared" si="28"/>
        <v>-5.857489621013922E-2</v>
      </c>
      <c r="AI339" s="539">
        <f t="shared" si="28"/>
        <v>-5.9049930806759465E-2</v>
      </c>
      <c r="AJ339" s="539">
        <f t="shared" si="28"/>
        <v>-5.9524965403379711E-2</v>
      </c>
      <c r="AK339" s="541">
        <v>-0.06</v>
      </c>
      <c r="AL339" s="539">
        <f t="shared" si="22"/>
        <v>-5.9399999999999994E-2</v>
      </c>
      <c r="AM339" s="539">
        <f t="shared" si="22"/>
        <v>-5.8799999999999991E-2</v>
      </c>
      <c r="AN339" s="539">
        <f t="shared" si="22"/>
        <v>-5.8199999999999988E-2</v>
      </c>
      <c r="AO339" s="539">
        <f t="shared" si="22"/>
        <v>-5.7599999999999985E-2</v>
      </c>
      <c r="AP339" s="539">
        <f t="shared" si="22"/>
        <v>-5.6999999999999981E-2</v>
      </c>
      <c r="AQ339" s="539">
        <f t="shared" si="22"/>
        <v>-5.6399999999999978E-2</v>
      </c>
      <c r="AR339" s="539">
        <f t="shared" si="22"/>
        <v>-5.5799999999999975E-2</v>
      </c>
      <c r="AS339" s="539">
        <f t="shared" si="22"/>
        <v>-5.5199999999999971E-2</v>
      </c>
      <c r="AT339" s="539">
        <f t="shared" si="22"/>
        <v>-5.4599999999999968E-2</v>
      </c>
      <c r="AU339" s="539">
        <f t="shared" si="22"/>
        <v>-5.3999999999999965E-2</v>
      </c>
      <c r="AV339" s="539">
        <f t="shared" si="22"/>
        <v>-5.3399999999999961E-2</v>
      </c>
      <c r="AW339" s="539">
        <f t="shared" si="22"/>
        <v>-5.2799999999999958E-2</v>
      </c>
      <c r="AX339" s="539">
        <f t="shared" si="22"/>
        <v>-5.2199999999999955E-2</v>
      </c>
      <c r="AY339" s="539">
        <f t="shared" si="22"/>
        <v>-5.1599999999999951E-2</v>
      </c>
      <c r="AZ339" s="539">
        <f t="shared" si="22"/>
        <v>-5.0999999999999948E-2</v>
      </c>
      <c r="BA339" s="539">
        <f t="shared" si="19"/>
        <v>-5.0399999999999945E-2</v>
      </c>
      <c r="BB339" s="539">
        <f t="shared" si="19"/>
        <v>-4.9799999999999942E-2</v>
      </c>
      <c r="BC339" s="539">
        <f t="shared" si="19"/>
        <v>-4.9199999999999938E-2</v>
      </c>
      <c r="BD339" s="539">
        <f t="shared" si="19"/>
        <v>-4.8599999999999935E-2</v>
      </c>
      <c r="BE339" s="539">
        <f t="shared" si="19"/>
        <v>-4.7999999999999932E-2</v>
      </c>
      <c r="BF339" s="539">
        <f t="shared" si="19"/>
        <v>-4.7399999999999928E-2</v>
      </c>
      <c r="BG339" s="539">
        <f t="shared" si="19"/>
        <v>-4.6799999999999925E-2</v>
      </c>
      <c r="BH339" s="539">
        <f t="shared" si="19"/>
        <v>-4.6199999999999922E-2</v>
      </c>
      <c r="BI339" s="539">
        <f t="shared" si="19"/>
        <v>-4.5599999999999918E-2</v>
      </c>
      <c r="BJ339" s="539">
        <f t="shared" si="19"/>
        <v>-4.4999999999999915E-2</v>
      </c>
      <c r="BK339" s="539">
        <f t="shared" si="19"/>
        <v>-4.4399999999999912E-2</v>
      </c>
      <c r="BL339" s="539">
        <f t="shared" si="19"/>
        <v>-4.3799999999999908E-2</v>
      </c>
      <c r="BM339" s="539">
        <f t="shared" si="19"/>
        <v>-4.3199999999999905E-2</v>
      </c>
      <c r="BN339" s="539">
        <f t="shared" si="19"/>
        <v>-4.2599999999999902E-2</v>
      </c>
      <c r="BO339" s="539">
        <f t="shared" si="19"/>
        <v>-4.1999999999999899E-2</v>
      </c>
      <c r="BP339" s="539">
        <f t="shared" si="19"/>
        <v>-4.1399999999999895E-2</v>
      </c>
      <c r="BQ339" s="539">
        <f t="shared" si="20"/>
        <v>-4.0799999999999892E-2</v>
      </c>
      <c r="BR339" s="539">
        <f t="shared" si="20"/>
        <v>-4.0199999999999889E-2</v>
      </c>
      <c r="BS339" s="539">
        <f t="shared" si="20"/>
        <v>-3.9599999999999885E-2</v>
      </c>
      <c r="BT339" s="539">
        <f t="shared" si="20"/>
        <v>-3.8999999999999882E-2</v>
      </c>
      <c r="BU339" s="539">
        <f t="shared" si="20"/>
        <v>-3.8399999999999879E-2</v>
      </c>
      <c r="BV339" s="539">
        <f t="shared" si="20"/>
        <v>-3.7799999999999875E-2</v>
      </c>
      <c r="BW339" s="539">
        <f t="shared" si="20"/>
        <v>-3.7199999999999872E-2</v>
      </c>
      <c r="BX339" s="539">
        <f t="shared" si="20"/>
        <v>-3.6599999999999869E-2</v>
      </c>
      <c r="BY339" s="539">
        <f t="shared" si="20"/>
        <v>-3.5999999999999865E-2</v>
      </c>
      <c r="BZ339" s="539">
        <f t="shared" si="20"/>
        <v>-3.5399999999999862E-2</v>
      </c>
      <c r="CA339" s="539">
        <f t="shared" si="21"/>
        <v>-3.4799999999999859E-2</v>
      </c>
      <c r="CB339" s="539">
        <f t="shared" si="21"/>
        <v>-3.4199999999999856E-2</v>
      </c>
      <c r="CC339" s="539">
        <f t="shared" si="21"/>
        <v>-3.3599999999999852E-2</v>
      </c>
      <c r="CD339" s="539">
        <f t="shared" si="21"/>
        <v>-3.2999999999999849E-2</v>
      </c>
      <c r="CE339" s="539">
        <f t="shared" si="21"/>
        <v>-3.2399999999999846E-2</v>
      </c>
      <c r="CF339" s="539">
        <f t="shared" si="21"/>
        <v>-3.1799999999999842E-2</v>
      </c>
      <c r="CG339" s="539">
        <f t="shared" si="21"/>
        <v>-3.1199999999999842E-2</v>
      </c>
      <c r="CH339" s="539">
        <f t="shared" si="21"/>
        <v>-3.0599999999999843E-2</v>
      </c>
      <c r="CI339" s="539">
        <v>-0.03</v>
      </c>
    </row>
    <row r="341" spans="1:87" ht="14.25" customHeight="1" x14ac:dyDescent="0.35">
      <c r="A341" s="143" t="s">
        <v>1307</v>
      </c>
      <c r="B341" s="2"/>
    </row>
    <row r="342" spans="1:87" ht="14.25" customHeight="1" x14ac:dyDescent="0.35">
      <c r="A342" s="34" t="s">
        <v>1308</v>
      </c>
      <c r="B342" s="2"/>
    </row>
    <row r="343" spans="1:87" ht="14.25" customHeight="1" x14ac:dyDescent="0.35">
      <c r="B343" s="34" t="s">
        <v>1308</v>
      </c>
      <c r="C343" s="52" t="s">
        <v>1309</v>
      </c>
      <c r="D343" s="52" t="s">
        <v>1307</v>
      </c>
    </row>
    <row r="344" spans="1:87" ht="14.25" customHeight="1" x14ac:dyDescent="0.35">
      <c r="A344" s="5" t="s">
        <v>671</v>
      </c>
      <c r="B344" s="66" t="s">
        <v>128</v>
      </c>
      <c r="C344" s="66" t="s">
        <v>322</v>
      </c>
      <c r="D344" s="66" t="s">
        <v>13</v>
      </c>
    </row>
    <row r="345" spans="1:87" ht="14.25" customHeight="1" x14ac:dyDescent="0.35">
      <c r="A345" s="42" t="s">
        <v>228</v>
      </c>
      <c r="B345" s="40">
        <v>1</v>
      </c>
      <c r="C345" s="54">
        <v>2015</v>
      </c>
      <c r="D345" s="283">
        <v>0.2</v>
      </c>
    </row>
    <row r="346" spans="1:87" ht="14.25" customHeight="1" x14ac:dyDescent="0.35">
      <c r="A346" s="42" t="s">
        <v>95</v>
      </c>
      <c r="B346" s="40">
        <v>1</v>
      </c>
      <c r="C346" s="54">
        <v>2015</v>
      </c>
      <c r="D346" s="283">
        <v>0.2</v>
      </c>
    </row>
    <row r="347" spans="1:87" ht="14.25" customHeight="1" x14ac:dyDescent="0.35">
      <c r="A347" s="42" t="s">
        <v>96</v>
      </c>
      <c r="B347" s="40">
        <v>1</v>
      </c>
      <c r="C347" s="54">
        <v>2015</v>
      </c>
      <c r="D347" s="283">
        <v>0.2</v>
      </c>
    </row>
    <row r="348" spans="1:87" ht="14.25" customHeight="1" x14ac:dyDescent="0.35">
      <c r="A348" s="42" t="s">
        <v>97</v>
      </c>
      <c r="B348" s="40">
        <v>1</v>
      </c>
      <c r="C348" s="54">
        <v>2015</v>
      </c>
      <c r="D348" s="283">
        <v>0.2</v>
      </c>
    </row>
    <row r="349" spans="1:87" ht="14.25" customHeight="1" x14ac:dyDescent="0.35">
      <c r="A349" s="42" t="s">
        <v>98</v>
      </c>
      <c r="B349" s="40">
        <v>1</v>
      </c>
      <c r="C349" s="54">
        <v>2015</v>
      </c>
      <c r="D349" s="283">
        <v>0.2</v>
      </c>
    </row>
    <row r="350" spans="1:87" ht="14.25" customHeight="1" x14ac:dyDescent="0.35">
      <c r="A350" s="42" t="s">
        <v>163</v>
      </c>
      <c r="B350" s="40">
        <v>1</v>
      </c>
      <c r="C350" s="54">
        <v>2015</v>
      </c>
      <c r="D350" s="283">
        <v>0.2</v>
      </c>
    </row>
    <row r="351" spans="1:87" ht="14.25" customHeight="1" x14ac:dyDescent="0.35">
      <c r="A351" s="42" t="s">
        <v>100</v>
      </c>
      <c r="B351" s="40">
        <v>1</v>
      </c>
      <c r="C351" s="54">
        <v>2015</v>
      </c>
      <c r="D351" s="283">
        <v>0.2</v>
      </c>
    </row>
    <row r="352" spans="1:87" ht="14.25" customHeight="1" x14ac:dyDescent="0.35">
      <c r="A352" s="42" t="s">
        <v>101</v>
      </c>
      <c r="B352" s="40">
        <v>1</v>
      </c>
      <c r="C352" s="54">
        <v>2015</v>
      </c>
      <c r="D352" s="283">
        <v>0.2</v>
      </c>
    </row>
    <row r="353" spans="1:4" ht="14.25" customHeight="1" x14ac:dyDescent="0.35">
      <c r="A353" s="42" t="s">
        <v>102</v>
      </c>
      <c r="B353" s="40">
        <v>1</v>
      </c>
      <c r="C353" s="54">
        <v>2015</v>
      </c>
      <c r="D353" s="283">
        <v>0.2</v>
      </c>
    </row>
    <row r="354" spans="1:4" ht="14.25" customHeight="1" x14ac:dyDescent="0.35">
      <c r="A354" s="42" t="s">
        <v>103</v>
      </c>
      <c r="B354" s="40">
        <v>1</v>
      </c>
      <c r="C354" s="54">
        <v>2015</v>
      </c>
      <c r="D354" s="283">
        <v>0.2</v>
      </c>
    </row>
    <row r="355" spans="1:4" ht="14.25" customHeight="1" x14ac:dyDescent="0.35">
      <c r="A355" s="42" t="s">
        <v>104</v>
      </c>
      <c r="B355" s="40">
        <v>1</v>
      </c>
      <c r="C355" s="54">
        <v>2015</v>
      </c>
      <c r="D355" s="283">
        <v>0.2</v>
      </c>
    </row>
    <row r="356" spans="1:4" ht="14.25" customHeight="1" x14ac:dyDescent="0.35">
      <c r="A356" s="42" t="s">
        <v>105</v>
      </c>
      <c r="B356" s="40">
        <v>1</v>
      </c>
      <c r="C356" s="54">
        <v>2015</v>
      </c>
      <c r="D356" s="283">
        <v>0.2</v>
      </c>
    </row>
    <row r="357" spans="1:4" ht="14.25" customHeight="1" x14ac:dyDescent="0.35">
      <c r="A357" s="42" t="s">
        <v>106</v>
      </c>
      <c r="B357" s="40">
        <v>1</v>
      </c>
      <c r="C357" s="54">
        <v>2015</v>
      </c>
      <c r="D357" s="283">
        <v>0.2</v>
      </c>
    </row>
    <row r="358" spans="1:4" ht="14.25" customHeight="1" x14ac:dyDescent="0.35">
      <c r="A358" s="42" t="s">
        <v>107</v>
      </c>
      <c r="B358" s="40">
        <v>1</v>
      </c>
      <c r="C358" s="54">
        <v>2015</v>
      </c>
      <c r="D358" s="283">
        <v>0.2</v>
      </c>
    </row>
    <row r="359" spans="1:4" ht="14.25" customHeight="1" x14ac:dyDescent="0.35">
      <c r="A359" s="42" t="s">
        <v>108</v>
      </c>
      <c r="B359" s="40">
        <v>1</v>
      </c>
      <c r="C359" s="54">
        <v>2015</v>
      </c>
      <c r="D359" s="283">
        <v>0.2</v>
      </c>
    </row>
    <row r="360" spans="1:4" ht="14.25" customHeight="1" x14ac:dyDescent="0.35">
      <c r="A360" s="42" t="s">
        <v>109</v>
      </c>
      <c r="B360" s="40">
        <v>1</v>
      </c>
      <c r="C360" s="54">
        <v>2015</v>
      </c>
      <c r="D360" s="283">
        <v>0.2</v>
      </c>
    </row>
    <row r="361" spans="1:4" ht="14.25" customHeight="1" x14ac:dyDescent="0.35">
      <c r="A361" s="42" t="s">
        <v>229</v>
      </c>
      <c r="B361" s="40">
        <v>1</v>
      </c>
      <c r="C361" s="54">
        <v>2015</v>
      </c>
      <c r="D361" s="283">
        <v>0.2</v>
      </c>
    </row>
    <row r="362" spans="1:4" ht="14.25" customHeight="1" x14ac:dyDescent="0.35">
      <c r="A362" s="42" t="s">
        <v>111</v>
      </c>
      <c r="B362" s="40">
        <v>1</v>
      </c>
      <c r="C362" s="54">
        <v>2015</v>
      </c>
      <c r="D362" s="283">
        <v>0.2</v>
      </c>
    </row>
    <row r="363" spans="1:4" ht="14.25" customHeight="1" x14ac:dyDescent="0.35">
      <c r="A363" s="42" t="s">
        <v>112</v>
      </c>
      <c r="B363" s="40">
        <v>1</v>
      </c>
      <c r="C363" s="54">
        <v>2015</v>
      </c>
      <c r="D363" s="283">
        <v>0.2</v>
      </c>
    </row>
    <row r="364" spans="1:4" ht="14.25" customHeight="1" x14ac:dyDescent="0.35">
      <c r="A364" s="42" t="s">
        <v>113</v>
      </c>
      <c r="B364" s="40">
        <v>1</v>
      </c>
      <c r="C364" s="54">
        <v>2015</v>
      </c>
      <c r="D364" s="283">
        <v>0.2</v>
      </c>
    </row>
    <row r="365" spans="1:4" ht="14.25" customHeight="1" x14ac:dyDescent="0.35">
      <c r="A365" s="42" t="s">
        <v>114</v>
      </c>
      <c r="B365" s="40">
        <v>1</v>
      </c>
      <c r="C365" s="54">
        <v>2015</v>
      </c>
      <c r="D365" s="283">
        <v>0.2</v>
      </c>
    </row>
    <row r="366" spans="1:4" ht="14.25" customHeight="1" x14ac:dyDescent="0.35">
      <c r="A366" s="42" t="s">
        <v>115</v>
      </c>
      <c r="B366" s="40">
        <v>1</v>
      </c>
      <c r="C366" s="54">
        <v>2015</v>
      </c>
      <c r="D366" s="283">
        <v>0.2</v>
      </c>
    </row>
    <row r="367" spans="1:4" ht="14.25" customHeight="1" x14ac:dyDescent="0.35">
      <c r="A367" s="42" t="s">
        <v>116</v>
      </c>
      <c r="B367" s="40">
        <v>1</v>
      </c>
      <c r="C367" s="54">
        <v>2015</v>
      </c>
      <c r="D367" s="283">
        <v>0.2</v>
      </c>
    </row>
    <row r="368" spans="1:4" ht="14.25" customHeight="1" x14ac:dyDescent="0.35">
      <c r="A368" s="42" t="s">
        <v>117</v>
      </c>
      <c r="B368" s="40">
        <v>1</v>
      </c>
      <c r="C368" s="54">
        <v>2015</v>
      </c>
      <c r="D368" s="283">
        <v>0.2</v>
      </c>
    </row>
    <row r="369" spans="1:63" ht="14.25" customHeight="1" x14ac:dyDescent="0.35">
      <c r="A369" s="42" t="s">
        <v>118</v>
      </c>
      <c r="B369" s="40">
        <v>1</v>
      </c>
      <c r="C369" s="54">
        <v>2015</v>
      </c>
      <c r="D369" s="283">
        <v>0.2</v>
      </c>
    </row>
    <row r="370" spans="1:63" ht="14.25" customHeight="1" x14ac:dyDescent="0.35">
      <c r="A370" s="42" t="s">
        <v>119</v>
      </c>
      <c r="B370" s="40">
        <v>1</v>
      </c>
      <c r="C370" s="54">
        <v>2015</v>
      </c>
      <c r="D370" s="283">
        <v>0.2</v>
      </c>
    </row>
    <row r="371" spans="1:63" ht="14.25" customHeight="1" x14ac:dyDescent="0.35">
      <c r="A371" s="42" t="s">
        <v>120</v>
      </c>
      <c r="B371" s="40">
        <v>1</v>
      </c>
      <c r="C371" s="54">
        <v>2015</v>
      </c>
      <c r="D371" s="283">
        <v>0.2</v>
      </c>
    </row>
    <row r="372" spans="1:63" ht="14.25" customHeight="1" x14ac:dyDescent="0.35">
      <c r="A372" s="42" t="s">
        <v>83</v>
      </c>
      <c r="B372" s="40">
        <v>1</v>
      </c>
      <c r="C372" s="54">
        <v>2015</v>
      </c>
      <c r="D372" s="283">
        <v>0.2</v>
      </c>
    </row>
    <row r="373" spans="1:63" ht="14.25" customHeight="1" x14ac:dyDescent="0.35">
      <c r="A373" s="42" t="s">
        <v>144</v>
      </c>
      <c r="B373" s="40">
        <v>1</v>
      </c>
      <c r="C373" s="54">
        <v>2015</v>
      </c>
      <c r="D373" s="283">
        <v>0.2</v>
      </c>
    </row>
    <row r="374" spans="1:63" ht="14.25" customHeight="1" x14ac:dyDescent="0.35">
      <c r="A374" s="42" t="s">
        <v>164</v>
      </c>
      <c r="B374" s="40">
        <v>1</v>
      </c>
      <c r="C374" s="54">
        <v>2015</v>
      </c>
      <c r="D374" s="283">
        <v>0.2</v>
      </c>
    </row>
    <row r="375" spans="1:63" ht="14.25" customHeight="1" x14ac:dyDescent="0.35">
      <c r="A375" s="42" t="s">
        <v>145</v>
      </c>
      <c r="B375" s="40">
        <v>1</v>
      </c>
      <c r="C375" s="54">
        <v>2015</v>
      </c>
      <c r="D375" s="283">
        <v>0.2</v>
      </c>
    </row>
    <row r="376" spans="1:63" ht="14.25" customHeight="1" x14ac:dyDescent="0.35">
      <c r="A376" s="42" t="s">
        <v>87</v>
      </c>
      <c r="B376" s="40">
        <v>1</v>
      </c>
      <c r="C376" s="54">
        <v>2015</v>
      </c>
      <c r="D376" s="283">
        <v>0.2</v>
      </c>
    </row>
    <row r="377" spans="1:63" ht="14.25" customHeight="1" x14ac:dyDescent="0.35">
      <c r="A377" s="42" t="s">
        <v>146</v>
      </c>
      <c r="B377" s="40">
        <v>1</v>
      </c>
      <c r="C377" s="54">
        <v>2015</v>
      </c>
      <c r="D377" s="283">
        <v>0.2</v>
      </c>
    </row>
    <row r="378" spans="1:63" ht="14.25" customHeight="1" x14ac:dyDescent="0.35">
      <c r="A378" s="42" t="s">
        <v>89</v>
      </c>
      <c r="B378" s="40">
        <v>1</v>
      </c>
      <c r="C378" s="54">
        <v>2015</v>
      </c>
      <c r="D378" s="283">
        <v>0.2</v>
      </c>
    </row>
    <row r="379" spans="1:63" ht="14.25" customHeight="1" x14ac:dyDescent="0.35">
      <c r="A379" s="42" t="s">
        <v>90</v>
      </c>
      <c r="B379" s="40">
        <v>1</v>
      </c>
      <c r="C379" s="54">
        <v>2015</v>
      </c>
      <c r="D379" s="283">
        <v>0.2</v>
      </c>
    </row>
    <row r="380" spans="1:63" ht="14.25" customHeight="1" x14ac:dyDescent="0.35">
      <c r="A380" s="44"/>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row>
    <row r="381" spans="1:63" ht="14.25" customHeight="1" x14ac:dyDescent="0.35">
      <c r="A381" s="143" t="s">
        <v>1177</v>
      </c>
      <c r="B381" s="2"/>
    </row>
    <row r="382" spans="1:63" ht="14.25" customHeight="1" x14ac:dyDescent="0.35">
      <c r="A382" s="34" t="s">
        <v>1229</v>
      </c>
      <c r="B382" s="2"/>
    </row>
    <row r="383" spans="1:63" ht="14.25" customHeight="1" x14ac:dyDescent="0.35">
      <c r="A383" s="38" t="s">
        <v>1211</v>
      </c>
      <c r="B383" s="9" t="s">
        <v>169</v>
      </c>
    </row>
    <row r="384" spans="1:63" ht="14.25" customHeight="1" x14ac:dyDescent="0.35">
      <c r="A384" s="271">
        <v>0</v>
      </c>
      <c r="B384" s="272" t="s">
        <v>1218</v>
      </c>
    </row>
    <row r="385" spans="1:62" ht="14.25" customHeight="1" x14ac:dyDescent="0.35">
      <c r="A385" s="271">
        <v>1</v>
      </c>
      <c r="B385" s="272" t="s">
        <v>1287</v>
      </c>
    </row>
    <row r="386" spans="1:62" ht="14.25" customHeight="1" x14ac:dyDescent="0.35">
      <c r="A386" s="39" t="s">
        <v>170</v>
      </c>
      <c r="B386" s="40">
        <v>0</v>
      </c>
    </row>
    <row r="388" spans="1:62" ht="14.25" customHeight="1" x14ac:dyDescent="0.35">
      <c r="A388" s="14" t="s">
        <v>649</v>
      </c>
      <c r="B388" s="279" t="s">
        <v>1230</v>
      </c>
    </row>
    <row r="389" spans="1:62" ht="14.25" customHeight="1" x14ac:dyDescent="0.35">
      <c r="A389" s="74" t="s">
        <v>380</v>
      </c>
      <c r="B389" s="273" t="s">
        <v>12</v>
      </c>
    </row>
    <row r="390" spans="1:62" ht="14.25" customHeight="1" x14ac:dyDescent="0.35">
      <c r="A390" s="74" t="s">
        <v>127</v>
      </c>
      <c r="B390" s="93">
        <v>2025</v>
      </c>
    </row>
    <row r="391" spans="1:62" ht="14.25" customHeight="1" x14ac:dyDescent="0.35">
      <c r="A391" s="118"/>
    </row>
    <row r="392" spans="1:62" ht="14.25" customHeight="1" x14ac:dyDescent="0.35">
      <c r="A392" s="94" t="s">
        <v>1231</v>
      </c>
    </row>
    <row r="393" spans="1:62" ht="14.25" customHeight="1" x14ac:dyDescent="0.35">
      <c r="A393" s="39" t="s">
        <v>1232</v>
      </c>
      <c r="B393" s="97" t="s">
        <v>927</v>
      </c>
      <c r="C393" s="97" t="s">
        <v>928</v>
      </c>
      <c r="D393" s="97" t="s">
        <v>929</v>
      </c>
      <c r="E393" s="97" t="s">
        <v>930</v>
      </c>
      <c r="F393" s="97" t="s">
        <v>931</v>
      </c>
      <c r="G393" s="97" t="s">
        <v>932</v>
      </c>
      <c r="H393" s="97" t="s">
        <v>933</v>
      </c>
      <c r="I393" s="97" t="s">
        <v>934</v>
      </c>
      <c r="J393" s="97" t="s">
        <v>935</v>
      </c>
      <c r="K393" s="97" t="s">
        <v>936</v>
      </c>
      <c r="L393" s="97" t="s">
        <v>937</v>
      </c>
      <c r="M393" s="97" t="s">
        <v>938</v>
      </c>
      <c r="N393" s="97" t="s">
        <v>939</v>
      </c>
      <c r="O393" s="97" t="s">
        <v>940</v>
      </c>
      <c r="P393" s="97" t="s">
        <v>941</v>
      </c>
      <c r="Q393" s="97" t="s">
        <v>942</v>
      </c>
      <c r="R393" s="97" t="s">
        <v>943</v>
      </c>
      <c r="S393" s="97" t="s">
        <v>944</v>
      </c>
      <c r="T393" s="97" t="s">
        <v>945</v>
      </c>
      <c r="U393" s="97" t="s">
        <v>946</v>
      </c>
      <c r="V393" s="97" t="s">
        <v>947</v>
      </c>
      <c r="W393" s="97" t="s">
        <v>948</v>
      </c>
      <c r="X393" s="97" t="s">
        <v>949</v>
      </c>
      <c r="Y393" s="97" t="s">
        <v>950</v>
      </c>
      <c r="Z393" s="97" t="s">
        <v>951</v>
      </c>
      <c r="AA393" s="97" t="s">
        <v>952</v>
      </c>
      <c r="AB393" s="97" t="s">
        <v>953</v>
      </c>
      <c r="AC393" s="97" t="s">
        <v>954</v>
      </c>
      <c r="AD393" s="97" t="s">
        <v>955</v>
      </c>
      <c r="AE393" s="97" t="s">
        <v>956</v>
      </c>
      <c r="AF393" s="97" t="s">
        <v>957</v>
      </c>
      <c r="AG393" s="97" t="s">
        <v>958</v>
      </c>
      <c r="AH393" s="97" t="s">
        <v>959</v>
      </c>
      <c r="AI393" s="97" t="s">
        <v>960</v>
      </c>
      <c r="AJ393" s="97" t="s">
        <v>961</v>
      </c>
      <c r="AK393" s="97" t="s">
        <v>962</v>
      </c>
      <c r="AL393" s="97" t="s">
        <v>963</v>
      </c>
      <c r="AM393" s="97" t="s">
        <v>964</v>
      </c>
      <c r="AN393" s="97" t="s">
        <v>965</v>
      </c>
      <c r="AO393" s="97" t="s">
        <v>966</v>
      </c>
      <c r="AP393" s="97" t="s">
        <v>967</v>
      </c>
      <c r="AQ393" s="97" t="s">
        <v>968</v>
      </c>
      <c r="AR393" s="97" t="s">
        <v>969</v>
      </c>
      <c r="AS393" s="97" t="s">
        <v>970</v>
      </c>
      <c r="AT393" s="97" t="s">
        <v>971</v>
      </c>
      <c r="AU393" s="97" t="s">
        <v>972</v>
      </c>
      <c r="AV393" s="97" t="s">
        <v>973</v>
      </c>
      <c r="AW393" s="97" t="s">
        <v>974</v>
      </c>
      <c r="AX393" s="97" t="s">
        <v>975</v>
      </c>
      <c r="AY393" s="97" t="s">
        <v>976</v>
      </c>
      <c r="AZ393" s="97" t="s">
        <v>977</v>
      </c>
      <c r="BA393" s="97" t="s">
        <v>978</v>
      </c>
      <c r="BB393" s="97" t="s">
        <v>979</v>
      </c>
      <c r="BC393" s="97" t="s">
        <v>980</v>
      </c>
      <c r="BD393" s="97" t="s">
        <v>981</v>
      </c>
      <c r="BE393" s="97" t="s">
        <v>982</v>
      </c>
      <c r="BF393" s="97" t="s">
        <v>983</v>
      </c>
      <c r="BG393" s="97" t="s">
        <v>984</v>
      </c>
      <c r="BH393" s="97" t="s">
        <v>985</v>
      </c>
      <c r="BI393" s="97" t="s">
        <v>986</v>
      </c>
      <c r="BJ393" s="97" t="s">
        <v>987</v>
      </c>
    </row>
    <row r="394" spans="1:62" ht="14.25" customHeight="1" x14ac:dyDescent="0.35">
      <c r="A394" s="45" t="s">
        <v>228</v>
      </c>
      <c r="B394" s="286">
        <v>0</v>
      </c>
      <c r="C394" s="286">
        <v>0</v>
      </c>
      <c r="D394" s="286">
        <v>0</v>
      </c>
      <c r="E394" s="286">
        <v>0</v>
      </c>
      <c r="F394" s="286">
        <v>0</v>
      </c>
      <c r="G394" s="286">
        <v>0</v>
      </c>
      <c r="H394" s="286">
        <v>0</v>
      </c>
      <c r="I394" s="286">
        <v>0</v>
      </c>
      <c r="J394" s="286">
        <v>0</v>
      </c>
      <c r="K394" s="286">
        <v>0</v>
      </c>
      <c r="L394" s="286">
        <v>0</v>
      </c>
      <c r="M394" s="286">
        <v>0</v>
      </c>
      <c r="N394" s="286">
        <v>0</v>
      </c>
      <c r="O394" s="286">
        <v>0</v>
      </c>
      <c r="P394" s="286">
        <v>0</v>
      </c>
      <c r="Q394" s="286">
        <v>0</v>
      </c>
      <c r="R394" s="286">
        <v>0</v>
      </c>
      <c r="S394" s="286">
        <v>0</v>
      </c>
      <c r="T394" s="286">
        <v>0</v>
      </c>
      <c r="U394" s="286">
        <v>0</v>
      </c>
      <c r="V394" s="286">
        <v>0</v>
      </c>
      <c r="W394" s="286">
        <v>0</v>
      </c>
      <c r="X394" s="286">
        <v>0</v>
      </c>
      <c r="Y394" s="286">
        <v>0</v>
      </c>
      <c r="Z394" s="286">
        <v>0</v>
      </c>
      <c r="AA394" s="286">
        <v>0</v>
      </c>
      <c r="AB394" s="286">
        <v>0</v>
      </c>
      <c r="AC394" s="286">
        <v>0</v>
      </c>
      <c r="AD394" s="286">
        <v>0</v>
      </c>
      <c r="AE394" s="286">
        <v>0</v>
      </c>
      <c r="AF394" s="286">
        <v>0</v>
      </c>
      <c r="AG394" s="286">
        <v>0</v>
      </c>
      <c r="AH394" s="286">
        <v>0</v>
      </c>
      <c r="AI394" s="286">
        <v>0</v>
      </c>
      <c r="AJ394" s="286">
        <v>0</v>
      </c>
      <c r="AK394" s="286">
        <v>0</v>
      </c>
      <c r="AL394" s="286">
        <v>0</v>
      </c>
      <c r="AM394" s="286">
        <v>0</v>
      </c>
      <c r="AN394" s="286">
        <v>0</v>
      </c>
      <c r="AO394" s="286">
        <v>0</v>
      </c>
      <c r="AP394" s="286">
        <v>0</v>
      </c>
      <c r="AQ394" s="286">
        <v>0</v>
      </c>
      <c r="AR394" s="286">
        <v>0</v>
      </c>
      <c r="AS394" s="286">
        <v>0</v>
      </c>
      <c r="AT394" s="286">
        <v>0</v>
      </c>
      <c r="AU394" s="286">
        <v>0</v>
      </c>
      <c r="AV394" s="286">
        <v>0</v>
      </c>
      <c r="AW394" s="286">
        <v>0</v>
      </c>
      <c r="AX394" s="286">
        <v>0</v>
      </c>
      <c r="AY394" s="286">
        <v>0</v>
      </c>
      <c r="AZ394" s="286">
        <v>0</v>
      </c>
      <c r="BA394" s="286">
        <v>0</v>
      </c>
      <c r="BB394" s="286">
        <v>0</v>
      </c>
      <c r="BC394" s="286">
        <v>0</v>
      </c>
      <c r="BD394" s="286">
        <v>0</v>
      </c>
      <c r="BE394" s="286">
        <v>0</v>
      </c>
      <c r="BF394" s="286">
        <v>0</v>
      </c>
      <c r="BG394" s="286">
        <v>0</v>
      </c>
      <c r="BH394" s="286">
        <v>0</v>
      </c>
      <c r="BI394" s="286">
        <v>0</v>
      </c>
      <c r="BJ394" s="281">
        <v>0.12213598270117</v>
      </c>
    </row>
    <row r="395" spans="1:62" ht="14.25" customHeight="1" x14ac:dyDescent="0.35">
      <c r="A395" s="41" t="s">
        <v>95</v>
      </c>
      <c r="B395" s="281">
        <v>8.2145261962912275E-2</v>
      </c>
      <c r="C395" s="281">
        <v>5.2913342424226559E-2</v>
      </c>
      <c r="D395" s="281">
        <v>9.7765486611567226E-2</v>
      </c>
      <c r="E395" s="281">
        <v>4.7475717505784179E-2</v>
      </c>
      <c r="F395" s="281">
        <v>3.2505755482545973E-2</v>
      </c>
      <c r="G395" s="281">
        <v>5.9114125520546817E-2</v>
      </c>
      <c r="H395" s="281">
        <v>7.1731329718187103E-2</v>
      </c>
      <c r="I395" s="281">
        <v>7.327937509840772E-2</v>
      </c>
      <c r="J395" s="281">
        <v>0.10200196341705542</v>
      </c>
      <c r="K395" s="281">
        <v>0.12936613460508334</v>
      </c>
      <c r="L395" s="281">
        <v>0.12037964064088748</v>
      </c>
      <c r="M395" s="281">
        <v>7.1320290274380277E-2</v>
      </c>
      <c r="N395" s="281">
        <v>5.3394518466691021E-2</v>
      </c>
      <c r="O395" s="281">
        <v>9.0488729866395418E-2</v>
      </c>
      <c r="P395" s="281">
        <v>0.10358745654744442</v>
      </c>
      <c r="Q395" s="281">
        <v>8.468266544523527E-2</v>
      </c>
      <c r="R395" s="281">
        <v>0.11255659445096416</v>
      </c>
      <c r="S395" s="281">
        <v>8.9552764281521646E-2</v>
      </c>
      <c r="T395" s="281">
        <v>7.1605214006777634E-2</v>
      </c>
      <c r="U395" s="281">
        <v>4.8780198671299575E-2</v>
      </c>
      <c r="V395" s="281">
        <v>8.2846688995675224E-2</v>
      </c>
      <c r="W395" s="281">
        <v>0.11711884336455171</v>
      </c>
      <c r="X395" s="281">
        <v>0.12844700964046868</v>
      </c>
      <c r="Y395" s="281">
        <v>0.10626650798731124</v>
      </c>
      <c r="Z395" s="281">
        <v>0.11371289863265094</v>
      </c>
      <c r="AA395" s="281">
        <v>9.1609442101604113E-2</v>
      </c>
      <c r="AB395" s="281">
        <v>0.11447617785435486</v>
      </c>
      <c r="AC395" s="281">
        <v>0.14859675753294713</v>
      </c>
      <c r="AD395" s="281">
        <v>0.14495479872307598</v>
      </c>
      <c r="AE395" s="281">
        <v>0.1177369838201992</v>
      </c>
      <c r="AF395" s="281">
        <v>8.5654832953508384E-2</v>
      </c>
      <c r="AG395" s="281">
        <v>9.5363064312393497E-2</v>
      </c>
      <c r="AH395" s="281">
        <v>0.11506761436896901</v>
      </c>
      <c r="AI395" s="281">
        <v>0.15498571732600877</v>
      </c>
      <c r="AJ395" s="281">
        <v>0.14276585601333458</v>
      </c>
      <c r="AK395" s="281">
        <v>0.12803017893323798</v>
      </c>
      <c r="AL395" s="281">
        <v>0.14320806556236407</v>
      </c>
      <c r="AM395" s="281">
        <v>0.12416596540324212</v>
      </c>
      <c r="AN395" s="281">
        <v>0.14494155954807289</v>
      </c>
      <c r="AO395" s="281">
        <v>0.15791142751823911</v>
      </c>
      <c r="AP395" s="281">
        <v>0.13933334763953242</v>
      </c>
      <c r="AQ395" s="281">
        <v>0.14050868676963468</v>
      </c>
      <c r="AR395" s="281">
        <v>0.11827012049510652</v>
      </c>
      <c r="AS395" s="281">
        <v>0.13786086641491471</v>
      </c>
      <c r="AT395" s="281">
        <v>0.13176097144220908</v>
      </c>
      <c r="AU395" s="281">
        <v>0.15875360006199202</v>
      </c>
      <c r="AV395" s="281">
        <v>0.15934266926176438</v>
      </c>
      <c r="AW395" s="281">
        <v>0.13366281235808461</v>
      </c>
      <c r="AX395" s="281">
        <v>0.18958825943333765</v>
      </c>
      <c r="AY395" s="281">
        <v>0.1451022721554909</v>
      </c>
      <c r="AZ395" s="281">
        <v>0.15477475419810308</v>
      </c>
      <c r="BA395" s="281">
        <v>0.18078364472430059</v>
      </c>
      <c r="BB395" s="281">
        <v>0.16676233825425882</v>
      </c>
      <c r="BC395" s="281">
        <v>0.17404899673015492</v>
      </c>
      <c r="BD395" s="281">
        <v>0.15067629367589852</v>
      </c>
      <c r="BE395" s="281">
        <v>0.17468744865478752</v>
      </c>
      <c r="BF395" s="281">
        <v>0.13521341256867575</v>
      </c>
      <c r="BG395" s="281">
        <v>0.17101749474678846</v>
      </c>
      <c r="BH395" s="281">
        <v>0.18329162453108513</v>
      </c>
      <c r="BI395" s="281">
        <v>0.16927309912323685</v>
      </c>
      <c r="BJ395" s="281">
        <v>0</v>
      </c>
    </row>
    <row r="396" spans="1:62" ht="14.25" customHeight="1" x14ac:dyDescent="0.35">
      <c r="A396" s="41" t="s">
        <v>96</v>
      </c>
      <c r="B396" s="281">
        <v>1.0633609083688362E-2</v>
      </c>
      <c r="C396" s="281">
        <v>1.4141940183340269E-2</v>
      </c>
      <c r="D396" s="281">
        <v>1.7964935112690761E-2</v>
      </c>
      <c r="E396" s="281">
        <v>4.3169523402521476E-2</v>
      </c>
      <c r="F396" s="281">
        <v>4.0688122586467458E-2</v>
      </c>
      <c r="G396" s="281">
        <v>3.4217425924774648E-2</v>
      </c>
      <c r="H396" s="281">
        <v>5.359406421561074E-3</v>
      </c>
      <c r="I396" s="281">
        <v>1.1776518404682535E-2</v>
      </c>
      <c r="J396" s="281">
        <v>9.5331938648661064E-3</v>
      </c>
      <c r="K396" s="281">
        <v>1.9262605429041284E-2</v>
      </c>
      <c r="L396" s="281">
        <v>3.0256326104500322E-2</v>
      </c>
      <c r="M396" s="281">
        <v>1.7450652586709803E-2</v>
      </c>
      <c r="N396" s="281">
        <v>7.041532004612161E-3</v>
      </c>
      <c r="O396" s="281">
        <v>2.698726417176224E-2</v>
      </c>
      <c r="P396" s="281">
        <v>2.4416380434679908E-2</v>
      </c>
      <c r="Q396" s="281">
        <v>4.4493948885279536E-2</v>
      </c>
      <c r="R396" s="281">
        <v>4.3561030221063231E-2</v>
      </c>
      <c r="S396" s="281">
        <v>3.6321438881555382E-2</v>
      </c>
      <c r="T396" s="281">
        <v>3.7677539464496218E-3</v>
      </c>
      <c r="U396" s="281">
        <v>2.3107608322114091E-2</v>
      </c>
      <c r="V396" s="281">
        <v>1.3125634040240695E-2</v>
      </c>
      <c r="W396" s="281">
        <v>3.9023923309314826E-2</v>
      </c>
      <c r="X396" s="281">
        <v>3.2085248465048274E-2</v>
      </c>
      <c r="Y396" s="281">
        <v>2.8275512459303997E-2</v>
      </c>
      <c r="Z396" s="281">
        <v>1.8310691308468314E-2</v>
      </c>
      <c r="AA396" s="281">
        <v>3.4825645753829237E-2</v>
      </c>
      <c r="AB396" s="281">
        <v>2.7172361728442142E-2</v>
      </c>
      <c r="AC396" s="281">
        <v>5.2906336613746927E-2</v>
      </c>
      <c r="AD396" s="281">
        <v>3.8873637101209356E-2</v>
      </c>
      <c r="AE396" s="281">
        <v>5.0112869649245897E-2</v>
      </c>
      <c r="AF396" s="281">
        <v>9.4031438076916732E-3</v>
      </c>
      <c r="AG396" s="281">
        <v>2.9348881751188695E-2</v>
      </c>
      <c r="AH396" s="281">
        <v>1.8635332767459812E-2</v>
      </c>
      <c r="AI396" s="281">
        <v>4.6797256738582205E-2</v>
      </c>
      <c r="AJ396" s="281">
        <v>3.9865638678235137E-2</v>
      </c>
      <c r="AK396" s="281">
        <v>3.4246415703202096E-2</v>
      </c>
      <c r="AL396" s="281">
        <v>3.7787845714926251E-2</v>
      </c>
      <c r="AM396" s="281">
        <v>3.6268436489905881E-2</v>
      </c>
      <c r="AN396" s="281">
        <v>4.2126113426000637E-2</v>
      </c>
      <c r="AO396" s="281">
        <v>4.9716148205576856E-2</v>
      </c>
      <c r="AP396" s="281">
        <v>4.8487968198371978E-2</v>
      </c>
      <c r="AQ396" s="281">
        <v>5.0303668676117054E-2</v>
      </c>
      <c r="AR396" s="281">
        <v>1.3436867969320384E-2</v>
      </c>
      <c r="AS396" s="281">
        <v>4.6286803333376696E-2</v>
      </c>
      <c r="AT396" s="281">
        <v>2.8334691587231738E-2</v>
      </c>
      <c r="AU396" s="281">
        <v>4.8233812402018308E-2</v>
      </c>
      <c r="AV396" s="281">
        <v>4.6168320388639758E-2</v>
      </c>
      <c r="AW396" s="281">
        <v>4.2115566546862729E-2</v>
      </c>
      <c r="AX396" s="281">
        <v>4.9623890429942974E-2</v>
      </c>
      <c r="AY396" s="281">
        <v>4.9182762330624262E-2</v>
      </c>
      <c r="AZ396" s="281">
        <v>4.5330072776044505E-2</v>
      </c>
      <c r="BA396" s="281">
        <v>5.1936557720703137E-2</v>
      </c>
      <c r="BB396" s="281">
        <v>5.0434906575628921E-2</v>
      </c>
      <c r="BC396" s="281">
        <v>5.1392423669437859E-2</v>
      </c>
      <c r="BD396" s="281">
        <v>3.0257245573422513E-2</v>
      </c>
      <c r="BE396" s="281">
        <v>3.8181037238186812E-2</v>
      </c>
      <c r="BF396" s="281">
        <v>3.8172774303100614E-2</v>
      </c>
      <c r="BG396" s="281">
        <v>5.1879246262300539E-2</v>
      </c>
      <c r="BH396" s="281">
        <v>4.5655317390073454E-2</v>
      </c>
      <c r="BI396" s="281">
        <v>4.5264740810578616E-2</v>
      </c>
      <c r="BJ396" s="281">
        <v>0</v>
      </c>
    </row>
    <row r="397" spans="1:62" ht="14.25" customHeight="1" x14ac:dyDescent="0.35">
      <c r="A397" s="41" t="s">
        <v>97</v>
      </c>
      <c r="B397" s="281">
        <v>1.5002158777305571E-3</v>
      </c>
      <c r="C397" s="281">
        <v>1.7835393721448899E-2</v>
      </c>
      <c r="D397" s="281">
        <v>8.5071590254643583E-3</v>
      </c>
      <c r="E397" s="281">
        <v>4.6236780755479032E-2</v>
      </c>
      <c r="F397" s="281">
        <v>3.7728914085738079E-2</v>
      </c>
      <c r="G397" s="281">
        <v>5.4665726621425471E-2</v>
      </c>
      <c r="H397" s="281">
        <v>2.557018109982222E-3</v>
      </c>
      <c r="I397" s="281">
        <v>1.5326007448940842E-2</v>
      </c>
      <c r="J397" s="281">
        <v>8.5364193148257696E-3</v>
      </c>
      <c r="K397" s="281">
        <v>3.5858295590676617E-2</v>
      </c>
      <c r="L397" s="281">
        <v>3.2656156675680843E-2</v>
      </c>
      <c r="M397" s="281">
        <v>2.7503399333799861E-2</v>
      </c>
      <c r="N397" s="281">
        <v>3.6464898495451592E-3</v>
      </c>
      <c r="O397" s="281">
        <v>4.0207810005148177E-2</v>
      </c>
      <c r="P397" s="281">
        <v>1.7769477452449587E-2</v>
      </c>
      <c r="Q397" s="281">
        <v>5.7767209071227239E-2</v>
      </c>
      <c r="R397" s="281">
        <v>4.9001490252252249E-2</v>
      </c>
      <c r="S397" s="281">
        <v>5.5553976692302325E-2</v>
      </c>
      <c r="T397" s="281">
        <v>1.6281059223433537E-3</v>
      </c>
      <c r="U397" s="281">
        <v>2.6993036107783943E-2</v>
      </c>
      <c r="V397" s="281">
        <v>1.2737771864662047E-2</v>
      </c>
      <c r="W397" s="281">
        <v>5.2569329523758639E-2</v>
      </c>
      <c r="X397" s="281">
        <v>4.635511202063447E-2</v>
      </c>
      <c r="Y397" s="281">
        <v>4.0207134399045129E-2</v>
      </c>
      <c r="Z397" s="281">
        <v>1.333982103225299E-2</v>
      </c>
      <c r="AA397" s="281">
        <v>5.8769795043786162E-2</v>
      </c>
      <c r="AB397" s="281">
        <v>3.074253983346658E-2</v>
      </c>
      <c r="AC397" s="281">
        <v>6.5146602344996182E-2</v>
      </c>
      <c r="AD397" s="281">
        <v>6.0490110711318136E-2</v>
      </c>
      <c r="AE397" s="281">
        <v>5.5299161528689071E-2</v>
      </c>
      <c r="AF397" s="281">
        <v>5.9620077754412703E-4</v>
      </c>
      <c r="AG397" s="281">
        <v>3.6360742374360579E-2</v>
      </c>
      <c r="AH397" s="281">
        <v>1.7119838777539923E-2</v>
      </c>
      <c r="AI397" s="281">
        <v>5.7943420986782235E-2</v>
      </c>
      <c r="AJ397" s="281">
        <v>4.9121319875157381E-2</v>
      </c>
      <c r="AK397" s="281">
        <v>4.9561032363615809E-2</v>
      </c>
      <c r="AL397" s="281">
        <v>4.392310247640141E-2</v>
      </c>
      <c r="AM397" s="281">
        <v>7.2102594579515678E-2</v>
      </c>
      <c r="AN397" s="281">
        <v>4.7975354122334321E-2</v>
      </c>
      <c r="AO397" s="281">
        <v>7.7950678093120992E-2</v>
      </c>
      <c r="AP397" s="281">
        <v>7.1855716490414501E-2</v>
      </c>
      <c r="AQ397" s="281">
        <v>7.203834361800325E-2</v>
      </c>
      <c r="AR397" s="281">
        <v>8.1802764565443165E-3</v>
      </c>
      <c r="AS397" s="281">
        <v>5.8198480576100525E-2</v>
      </c>
      <c r="AT397" s="281">
        <v>3.0841496706850744E-2</v>
      </c>
      <c r="AU397" s="281">
        <v>6.3753022735777279E-2</v>
      </c>
      <c r="AV397" s="281">
        <v>5.946114996235588E-2</v>
      </c>
      <c r="AW397" s="281">
        <v>5.2644983043064919E-2</v>
      </c>
      <c r="AX397" s="281">
        <v>7.504783621521724E-2</v>
      </c>
      <c r="AY397" s="281">
        <v>0.104649112283347</v>
      </c>
      <c r="AZ397" s="281">
        <v>8.8135337758723689E-2</v>
      </c>
      <c r="BA397" s="281">
        <v>9.0089676564407709E-2</v>
      </c>
      <c r="BB397" s="281">
        <v>8.9209755951318331E-2</v>
      </c>
      <c r="BC397" s="281">
        <v>7.0637552987622379E-2</v>
      </c>
      <c r="BD397" s="281">
        <v>4.5954505402229992E-2</v>
      </c>
      <c r="BE397" s="281">
        <v>7.0975995002237183E-2</v>
      </c>
      <c r="BF397" s="281">
        <v>5.5459678884611979E-2</v>
      </c>
      <c r="BG397" s="281">
        <v>7.7993136288794562E-2</v>
      </c>
      <c r="BH397" s="281">
        <v>7.3520611321823665E-2</v>
      </c>
      <c r="BI397" s="281">
        <v>6.2072234012010112E-2</v>
      </c>
      <c r="BJ397" s="281">
        <v>0</v>
      </c>
    </row>
    <row r="398" spans="1:62" ht="14.25" customHeight="1" x14ac:dyDescent="0.35">
      <c r="A398" s="41" t="s">
        <v>98</v>
      </c>
      <c r="B398" s="281">
        <v>1.4384360047503417E-2</v>
      </c>
      <c r="C398" s="281">
        <v>9.0095487334955517E-3</v>
      </c>
      <c r="D398" s="281">
        <v>1.6197676304378749E-2</v>
      </c>
      <c r="E398" s="281">
        <v>3.6756840900744409E-2</v>
      </c>
      <c r="F398" s="281">
        <v>3.5636625743619449E-2</v>
      </c>
      <c r="G398" s="281">
        <v>3.2874313814587185E-2</v>
      </c>
      <c r="H398" s="281">
        <v>2.1958740871037018E-2</v>
      </c>
      <c r="I398" s="281">
        <v>8.6082769095326053E-3</v>
      </c>
      <c r="J398" s="281">
        <v>2.3050907772187986E-2</v>
      </c>
      <c r="K398" s="281">
        <v>3.3446143283785972E-2</v>
      </c>
      <c r="L398" s="281">
        <v>3.4102532962401372E-2</v>
      </c>
      <c r="M398" s="281">
        <v>2.7697417005410743E-2</v>
      </c>
      <c r="N398" s="281">
        <v>1.6355046223562035E-2</v>
      </c>
      <c r="O398" s="281">
        <v>2.0610154231977176E-2</v>
      </c>
      <c r="P398" s="281">
        <v>2.077317053113097E-2</v>
      </c>
      <c r="Q398" s="281">
        <v>6.0232752845416279E-2</v>
      </c>
      <c r="R398" s="281">
        <v>5.8478281727950547E-2</v>
      </c>
      <c r="S398" s="281">
        <v>5.9409668733051479E-2</v>
      </c>
      <c r="T398" s="281">
        <v>1.50738226280034E-2</v>
      </c>
      <c r="U398" s="281">
        <v>2.708954315269417E-2</v>
      </c>
      <c r="V398" s="281">
        <v>1.7577334625457488E-2</v>
      </c>
      <c r="W398" s="281">
        <v>5.7562392656328412E-2</v>
      </c>
      <c r="X398" s="281">
        <v>5.3636651973288263E-2</v>
      </c>
      <c r="Y398" s="281">
        <v>4.6705341827535482E-2</v>
      </c>
      <c r="Z398" s="281">
        <v>4.5561955543797175E-2</v>
      </c>
      <c r="AA398" s="281">
        <v>3.8096299318289936E-2</v>
      </c>
      <c r="AB398" s="281">
        <v>4.7999838096934422E-2</v>
      </c>
      <c r="AC398" s="281">
        <v>8.8420860821115124E-2</v>
      </c>
      <c r="AD398" s="281">
        <v>8.0800572979987176E-2</v>
      </c>
      <c r="AE398" s="281">
        <v>8.6224218891872817E-2</v>
      </c>
      <c r="AF398" s="281">
        <v>1.5901859685627504E-2</v>
      </c>
      <c r="AG398" s="281">
        <v>3.3537648245185146E-2</v>
      </c>
      <c r="AH398" s="281">
        <v>3.4222045049711054E-2</v>
      </c>
      <c r="AI398" s="281">
        <v>6.5354161216638201E-2</v>
      </c>
      <c r="AJ398" s="281">
        <v>6.9716557152637873E-2</v>
      </c>
      <c r="AK398" s="281">
        <v>6.1502214550646056E-2</v>
      </c>
      <c r="AL398" s="281">
        <v>9.1134845258072375E-2</v>
      </c>
      <c r="AM398" s="281">
        <v>5.6414253298701124E-2</v>
      </c>
      <c r="AN398" s="281">
        <v>0.10149389874891579</v>
      </c>
      <c r="AO398" s="281">
        <v>0.10581615435334479</v>
      </c>
      <c r="AP398" s="281">
        <v>0.10340048281171596</v>
      </c>
      <c r="AQ398" s="281">
        <v>0.11789474560678574</v>
      </c>
      <c r="AR398" s="281">
        <v>3.646583662849464E-2</v>
      </c>
      <c r="AS398" s="281">
        <v>6.608219270896265E-2</v>
      </c>
      <c r="AT398" s="281">
        <v>6.190170872398186E-2</v>
      </c>
      <c r="AU398" s="281">
        <v>7.3806108907740878E-2</v>
      </c>
      <c r="AV398" s="281">
        <v>8.116033449043368E-2</v>
      </c>
      <c r="AW398" s="281">
        <v>8.2004620274623602E-2</v>
      </c>
      <c r="AX398" s="281">
        <v>0.12995078298236656</v>
      </c>
      <c r="AY398" s="281">
        <v>7.7360303894849686E-2</v>
      </c>
      <c r="AZ398" s="281">
        <v>0.13995029215721783</v>
      </c>
      <c r="BA398" s="281">
        <v>0.15488233121399142</v>
      </c>
      <c r="BB398" s="281">
        <v>0.11543087412538117</v>
      </c>
      <c r="BC398" s="281">
        <v>0.11538078306717606</v>
      </c>
      <c r="BD398" s="281">
        <v>0.1118280036327734</v>
      </c>
      <c r="BE398" s="281">
        <v>0.10248899286152312</v>
      </c>
      <c r="BF398" s="281">
        <v>0.10626536823204251</v>
      </c>
      <c r="BG398" s="281">
        <v>0.12249294094478884</v>
      </c>
      <c r="BH398" s="281">
        <v>0.11884148092420499</v>
      </c>
      <c r="BI398" s="281">
        <v>9.7537061853747539E-2</v>
      </c>
      <c r="BJ398" s="281">
        <v>0</v>
      </c>
    </row>
    <row r="399" spans="1:62" ht="14.25" customHeight="1" x14ac:dyDescent="0.35">
      <c r="A399" s="41" t="s">
        <v>163</v>
      </c>
      <c r="B399" s="281">
        <v>9.5666829225579605E-3</v>
      </c>
      <c r="C399" s="281">
        <v>1.0303563463686502E-2</v>
      </c>
      <c r="D399" s="281">
        <v>2.5533975589241167E-2</v>
      </c>
      <c r="E399" s="281">
        <v>1.3078451337025192E-2</v>
      </c>
      <c r="F399" s="281">
        <v>3.3863122845376716E-2</v>
      </c>
      <c r="G399" s="281">
        <v>6.2910721547047271E-2</v>
      </c>
      <c r="H399" s="281">
        <v>1.2408459985432855E-2</v>
      </c>
      <c r="I399" s="281">
        <v>6.9212773773823528E-3</v>
      </c>
      <c r="J399" s="281">
        <v>1.8117860655466046E-2</v>
      </c>
      <c r="K399" s="281">
        <v>1.2395793941130094E-2</v>
      </c>
      <c r="L399" s="281">
        <v>3.4765406549719734E-2</v>
      </c>
      <c r="M399" s="281">
        <v>1.5159567721414793E-2</v>
      </c>
      <c r="N399" s="281">
        <v>1.2107476830549262E-2</v>
      </c>
      <c r="O399" s="281">
        <v>1.7584711574076622E-2</v>
      </c>
      <c r="P399" s="281">
        <v>1.5931793867058511E-2</v>
      </c>
      <c r="Q399" s="281">
        <v>4.313153242892636E-2</v>
      </c>
      <c r="R399" s="281">
        <v>4.9822419611303966E-2</v>
      </c>
      <c r="S399" s="281">
        <v>7.174229845740325E-2</v>
      </c>
      <c r="T399" s="281">
        <v>7.7905356310786975E-3</v>
      </c>
      <c r="U399" s="281">
        <v>1.8314280089776383E-2</v>
      </c>
      <c r="V399" s="281">
        <v>1.3301505089202368E-2</v>
      </c>
      <c r="W399" s="281">
        <v>3.7555073356314243E-2</v>
      </c>
      <c r="X399" s="281">
        <v>4.9719204255886232E-2</v>
      </c>
      <c r="Y399" s="281">
        <v>3.560312951954734E-2</v>
      </c>
      <c r="Z399" s="281">
        <v>2.1969384315592311E-2</v>
      </c>
      <c r="AA399" s="281">
        <v>2.8876211449661456E-2</v>
      </c>
      <c r="AB399" s="281">
        <v>2.9797354626059841E-2</v>
      </c>
      <c r="AC399" s="281">
        <v>5.6950610503957527E-2</v>
      </c>
      <c r="AD399" s="281">
        <v>5.4033550184878612E-2</v>
      </c>
      <c r="AE399" s="281">
        <v>6.3467435053498819E-2</v>
      </c>
      <c r="AF399" s="281">
        <v>1.3329899516163601E-2</v>
      </c>
      <c r="AG399" s="281">
        <v>2.5471021512570538E-2</v>
      </c>
      <c r="AH399" s="281">
        <v>2.1923320792333282E-2</v>
      </c>
      <c r="AI399" s="281">
        <v>5.0251923107378429E-2</v>
      </c>
      <c r="AJ399" s="281">
        <v>5.4583728368986097E-2</v>
      </c>
      <c r="AK399" s="281">
        <v>4.9366997432070181E-2</v>
      </c>
      <c r="AL399" s="281">
        <v>4.9535240988336858E-2</v>
      </c>
      <c r="AM399" s="281">
        <v>3.3549696386907163E-2</v>
      </c>
      <c r="AN399" s="281">
        <v>5.7096044755809025E-2</v>
      </c>
      <c r="AO399" s="281">
        <v>6.7637059406991218E-2</v>
      </c>
      <c r="AP399" s="281">
        <v>6.5450599931030778E-2</v>
      </c>
      <c r="AQ399" s="281">
        <v>4.5832721341805813E-2</v>
      </c>
      <c r="AR399" s="281">
        <v>2.7744197996217995E-2</v>
      </c>
      <c r="AS399" s="281">
        <v>4.4850193089506364E-2</v>
      </c>
      <c r="AT399" s="281">
        <v>4.2229342061468549E-2</v>
      </c>
      <c r="AU399" s="281">
        <v>6.234391246508697E-2</v>
      </c>
      <c r="AV399" s="281">
        <v>5.9500958343913349E-2</v>
      </c>
      <c r="AW399" s="281">
        <v>5.5996677568011466E-2</v>
      </c>
      <c r="AX399" s="281">
        <v>7.164584461383551E-2</v>
      </c>
      <c r="AY399" s="281">
        <v>4.632249248200853E-2</v>
      </c>
      <c r="AZ399" s="281">
        <v>6.8738333361777454E-2</v>
      </c>
      <c r="BA399" s="281">
        <v>7.883416648340702E-2</v>
      </c>
      <c r="BB399" s="281">
        <v>6.2742324003178807E-2</v>
      </c>
      <c r="BC399" s="281">
        <v>3.8890833279097772E-2</v>
      </c>
      <c r="BD399" s="281">
        <v>5.9687300182827294E-2</v>
      </c>
      <c r="BE399" s="281">
        <v>5.0312467656864292E-2</v>
      </c>
      <c r="BF399" s="281">
        <v>5.9683270671446964E-2</v>
      </c>
      <c r="BG399" s="281">
        <v>6.7949596040092597E-2</v>
      </c>
      <c r="BH399" s="281">
        <v>6.8630045564396835E-2</v>
      </c>
      <c r="BI399" s="281">
        <v>6.6229699829915625E-2</v>
      </c>
      <c r="BJ399" s="281">
        <v>0</v>
      </c>
    </row>
    <row r="400" spans="1:62" ht="14.25" customHeight="1" x14ac:dyDescent="0.35">
      <c r="A400" s="41" t="s">
        <v>100</v>
      </c>
      <c r="B400" s="281">
        <v>0.1795758598546095</v>
      </c>
      <c r="C400" s="281">
        <v>0.14997860135815794</v>
      </c>
      <c r="D400" s="281">
        <v>0.307690265680367</v>
      </c>
      <c r="E400" s="281">
        <v>0.25580214404157303</v>
      </c>
      <c r="F400" s="281">
        <v>0.2176870210846216</v>
      </c>
      <c r="G400" s="281">
        <v>0.22460435776112606</v>
      </c>
      <c r="H400" s="281">
        <v>0.21280993073897075</v>
      </c>
      <c r="I400" s="281">
        <v>0.15783746304366691</v>
      </c>
      <c r="J400" s="281">
        <v>0.22111509275851093</v>
      </c>
      <c r="K400" s="281">
        <v>0.26941088086670884</v>
      </c>
      <c r="L400" s="281">
        <v>0.27400247456494642</v>
      </c>
      <c r="M400" s="281">
        <v>0.27642363990636298</v>
      </c>
      <c r="N400" s="281">
        <v>0.24079142148275121</v>
      </c>
      <c r="O400" s="281">
        <v>0.22653820835139585</v>
      </c>
      <c r="P400" s="281">
        <v>0.2681444146672235</v>
      </c>
      <c r="Q400" s="281">
        <v>0.28907303962348396</v>
      </c>
      <c r="R400" s="281">
        <v>0.26035712173586567</v>
      </c>
      <c r="S400" s="281">
        <v>0.26754736727132783</v>
      </c>
      <c r="T400" s="281">
        <v>0.25101393964015006</v>
      </c>
      <c r="U400" s="281">
        <v>0.19373836338571201</v>
      </c>
      <c r="V400" s="281">
        <v>0.24791674315206511</v>
      </c>
      <c r="W400" s="281">
        <v>0.30639119773842882</v>
      </c>
      <c r="X400" s="281">
        <v>0.28875831026035514</v>
      </c>
      <c r="Y400" s="281">
        <v>0.2887793198267295</v>
      </c>
      <c r="Z400" s="281">
        <v>0.25998322497098414</v>
      </c>
      <c r="AA400" s="281">
        <v>0.2195651657682062</v>
      </c>
      <c r="AB400" s="281">
        <v>0.26347229403614719</v>
      </c>
      <c r="AC400" s="281">
        <v>0.29377339135820879</v>
      </c>
      <c r="AD400" s="281">
        <v>0.28920448026580547</v>
      </c>
      <c r="AE400" s="281">
        <v>0.3265193032608068</v>
      </c>
      <c r="AF400" s="281">
        <v>0.25160758014597362</v>
      </c>
      <c r="AG400" s="281">
        <v>0.2333992903476465</v>
      </c>
      <c r="AH400" s="281">
        <v>0.27139581799631901</v>
      </c>
      <c r="AI400" s="281">
        <v>0.31928737125072781</v>
      </c>
      <c r="AJ400" s="281">
        <v>0.30240705966376474</v>
      </c>
      <c r="AK400" s="281">
        <v>0.3017419154984568</v>
      </c>
      <c r="AL400" s="281">
        <v>0.29686581179045607</v>
      </c>
      <c r="AM400" s="281">
        <v>0.27693384313974523</v>
      </c>
      <c r="AN400" s="281">
        <v>0.30251888803029564</v>
      </c>
      <c r="AO400" s="281">
        <v>0.29347052084572001</v>
      </c>
      <c r="AP400" s="281">
        <v>0.28139788429243051</v>
      </c>
      <c r="AQ400" s="281">
        <v>0.35642296621686631</v>
      </c>
      <c r="AR400" s="281">
        <v>0.27882011064006562</v>
      </c>
      <c r="AS400" s="281">
        <v>0.28476005982702485</v>
      </c>
      <c r="AT400" s="281">
        <v>0.30179594552292244</v>
      </c>
      <c r="AU400" s="281">
        <v>0.33648321426235495</v>
      </c>
      <c r="AV400" s="281">
        <v>0.31905708158080021</v>
      </c>
      <c r="AW400" s="281">
        <v>0.31130522430595392</v>
      </c>
      <c r="AX400" s="281">
        <v>0.33661770371264726</v>
      </c>
      <c r="AY400" s="281">
        <v>0.31091964315363663</v>
      </c>
      <c r="AZ400" s="281">
        <v>0.3721237133391318</v>
      </c>
      <c r="BA400" s="281">
        <v>0.32304787200880825</v>
      </c>
      <c r="BB400" s="281">
        <v>0.39245171733498868</v>
      </c>
      <c r="BC400" s="281">
        <v>0.50150967669146151</v>
      </c>
      <c r="BD400" s="281">
        <v>0.32021095609992367</v>
      </c>
      <c r="BE400" s="281">
        <v>0.35927718806707293</v>
      </c>
      <c r="BF400" s="281">
        <v>0.35723906654876358</v>
      </c>
      <c r="BG400" s="281">
        <v>0.34222238308627456</v>
      </c>
      <c r="BH400" s="281">
        <v>0.35527535758512202</v>
      </c>
      <c r="BI400" s="281">
        <v>0.49634045282180728</v>
      </c>
      <c r="BJ400" s="281">
        <v>0</v>
      </c>
    </row>
    <row r="401" spans="1:62" ht="14.25" customHeight="1" x14ac:dyDescent="0.35">
      <c r="A401" s="41" t="s">
        <v>101</v>
      </c>
      <c r="B401" s="281">
        <v>1.5010522280635451E-2</v>
      </c>
      <c r="C401" s="281">
        <v>1.5558333331399908E-2</v>
      </c>
      <c r="D401" s="281">
        <v>2.499457213430336E-2</v>
      </c>
      <c r="E401" s="281">
        <v>4.5818045393418792E-2</v>
      </c>
      <c r="F401" s="281">
        <v>5.1645562749182874E-2</v>
      </c>
      <c r="G401" s="281">
        <v>4.2321386960094944E-2</v>
      </c>
      <c r="H401" s="281">
        <v>1.4797889561428083E-2</v>
      </c>
      <c r="I401" s="281">
        <v>1.6613226175745621E-2</v>
      </c>
      <c r="J401" s="281">
        <v>3.9038826903782083E-2</v>
      </c>
      <c r="K401" s="281">
        <v>5.7456267491455069E-2</v>
      </c>
      <c r="L401" s="281">
        <v>4.0554179194165221E-2</v>
      </c>
      <c r="M401" s="281">
        <v>4.9317747617775638E-2</v>
      </c>
      <c r="N401" s="281">
        <v>4.6594300483448793E-3</v>
      </c>
      <c r="O401" s="281">
        <v>3.294656454029795E-2</v>
      </c>
      <c r="P401" s="281">
        <v>3.6364242070733396E-2</v>
      </c>
      <c r="Q401" s="281">
        <v>7.3550572371562623E-2</v>
      </c>
      <c r="R401" s="281">
        <v>6.8258941588375657E-2</v>
      </c>
      <c r="S401" s="281">
        <v>6.7726722000605602E-2</v>
      </c>
      <c r="T401" s="281">
        <v>4.845150389220375E-3</v>
      </c>
      <c r="U401" s="281">
        <v>3.5779929408313996E-2</v>
      </c>
      <c r="V401" s="281">
        <v>2.1306160661861712E-2</v>
      </c>
      <c r="W401" s="281">
        <v>6.9462905122637406E-2</v>
      </c>
      <c r="X401" s="281">
        <v>6.545186436107342E-2</v>
      </c>
      <c r="Y401" s="281">
        <v>6.1934148258500694E-2</v>
      </c>
      <c r="Z401" s="281">
        <v>3.7365909631004161E-2</v>
      </c>
      <c r="AA401" s="281">
        <v>5.3402400311053387E-2</v>
      </c>
      <c r="AB401" s="281">
        <v>7.0750576850658733E-2</v>
      </c>
      <c r="AC401" s="281">
        <v>8.2301582463601503E-2</v>
      </c>
      <c r="AD401" s="281">
        <v>7.4756022816497208E-2</v>
      </c>
      <c r="AE401" s="281">
        <v>7.5539483194437665E-2</v>
      </c>
      <c r="AF401" s="281">
        <v>1.2049026031371255E-2</v>
      </c>
      <c r="AG401" s="281">
        <v>4.5725892283902864E-2</v>
      </c>
      <c r="AH401" s="281">
        <v>5.7161906244435567E-2</v>
      </c>
      <c r="AI401" s="281">
        <v>7.5666563979553861E-2</v>
      </c>
      <c r="AJ401" s="281">
        <v>7.8160727372683342E-2</v>
      </c>
      <c r="AK401" s="281">
        <v>7.131720522994961E-2</v>
      </c>
      <c r="AL401" s="281">
        <v>8.1926797264468054E-2</v>
      </c>
      <c r="AM401" s="281">
        <v>6.4905105270350066E-2</v>
      </c>
      <c r="AN401" s="281">
        <v>7.7709201460643168E-2</v>
      </c>
      <c r="AO401" s="281">
        <v>8.6330433111634824E-2</v>
      </c>
      <c r="AP401" s="281">
        <v>8.1527393296745465E-2</v>
      </c>
      <c r="AQ401" s="281">
        <v>8.3030244156588995E-2</v>
      </c>
      <c r="AR401" s="281">
        <v>6.6161546577010358E-2</v>
      </c>
      <c r="AS401" s="281">
        <v>7.7218110571165344E-2</v>
      </c>
      <c r="AT401" s="281">
        <v>7.6641544071891651E-2</v>
      </c>
      <c r="AU401" s="281">
        <v>9.0080810974100881E-2</v>
      </c>
      <c r="AV401" s="281">
        <v>8.2502979959839337E-2</v>
      </c>
      <c r="AW401" s="281">
        <v>8.1949058101911443E-2</v>
      </c>
      <c r="AX401" s="281">
        <v>0.10571020328655294</v>
      </c>
      <c r="AY401" s="281">
        <v>9.086810077238941E-2</v>
      </c>
      <c r="AZ401" s="281">
        <v>9.3693652931099228E-2</v>
      </c>
      <c r="BA401" s="281">
        <v>9.7867471315500401E-2</v>
      </c>
      <c r="BB401" s="281">
        <v>9.0969399960949215E-2</v>
      </c>
      <c r="BC401" s="281">
        <v>9.6900126886910173E-2</v>
      </c>
      <c r="BD401" s="281">
        <v>0.11162072615276648</v>
      </c>
      <c r="BE401" s="281">
        <v>0.10271704311340775</v>
      </c>
      <c r="BF401" s="281">
        <v>9.5980756797269404E-2</v>
      </c>
      <c r="BG401" s="281">
        <v>9.6313049726168207E-2</v>
      </c>
      <c r="BH401" s="281">
        <v>0.10345070194585609</v>
      </c>
      <c r="BI401" s="281">
        <v>0.10060213932340886</v>
      </c>
      <c r="BJ401" s="281">
        <v>0</v>
      </c>
    </row>
    <row r="402" spans="1:62" ht="14.25" customHeight="1" x14ac:dyDescent="0.35">
      <c r="A402" s="41" t="s">
        <v>102</v>
      </c>
      <c r="B402" s="281">
        <v>4.3592796317310417E-2</v>
      </c>
      <c r="C402" s="281">
        <v>4.5898054491974032E-2</v>
      </c>
      <c r="D402" s="281">
        <v>7.1153840750620118E-2</v>
      </c>
      <c r="E402" s="281">
        <v>0.10344343572752841</v>
      </c>
      <c r="F402" s="281">
        <v>0.11665453645066115</v>
      </c>
      <c r="G402" s="281">
        <v>0.10192704905217757</v>
      </c>
      <c r="H402" s="281">
        <v>4.3154214910712987E-2</v>
      </c>
      <c r="I402" s="281">
        <v>7.2242137975742041E-2</v>
      </c>
      <c r="J402" s="281">
        <v>6.4404720183283595E-2</v>
      </c>
      <c r="K402" s="281">
        <v>0.10912148032655605</v>
      </c>
      <c r="L402" s="281">
        <v>9.9649467638233E-2</v>
      </c>
      <c r="M402" s="281">
        <v>9.4862975061665522E-2</v>
      </c>
      <c r="N402" s="281">
        <v>5.5390919147256933E-2</v>
      </c>
      <c r="O402" s="281">
        <v>8.4273702501240874E-2</v>
      </c>
      <c r="P402" s="281">
        <v>0.10908698150408982</v>
      </c>
      <c r="Q402" s="281">
        <v>0.13774033033039806</v>
      </c>
      <c r="R402" s="281">
        <v>0.14070854744869485</v>
      </c>
      <c r="S402" s="281">
        <v>0.1286444689608475</v>
      </c>
      <c r="T402" s="281">
        <v>4.8474918310739488E-2</v>
      </c>
      <c r="U402" s="281">
        <v>5.0264653410414709E-2</v>
      </c>
      <c r="V402" s="281">
        <v>8.9168949979309742E-2</v>
      </c>
      <c r="W402" s="281">
        <v>0.12655638580051687</v>
      </c>
      <c r="X402" s="281">
        <v>0.1200338136047983</v>
      </c>
      <c r="Y402" s="281">
        <v>0.12099158159289858</v>
      </c>
      <c r="Z402" s="281">
        <v>9.8850348975605559E-2</v>
      </c>
      <c r="AA402" s="281">
        <v>8.7780872268543614E-2</v>
      </c>
      <c r="AB402" s="281">
        <v>0.1287385285543044</v>
      </c>
      <c r="AC402" s="281">
        <v>0.15787846721320728</v>
      </c>
      <c r="AD402" s="281">
        <v>0.16051773657264756</v>
      </c>
      <c r="AE402" s="281">
        <v>0.16108851779327568</v>
      </c>
      <c r="AF402" s="281">
        <v>8.598053723063083E-2</v>
      </c>
      <c r="AG402" s="281">
        <v>9.567126593281465E-2</v>
      </c>
      <c r="AH402" s="281">
        <v>0.11494065732257411</v>
      </c>
      <c r="AI402" s="281">
        <v>0.14696245468101918</v>
      </c>
      <c r="AJ402" s="281">
        <v>0.13737770213553324</v>
      </c>
      <c r="AK402" s="281">
        <v>0.14685346105054775</v>
      </c>
      <c r="AL402" s="281">
        <v>0.13852185864302041</v>
      </c>
      <c r="AM402" s="281">
        <v>0.12327282473762856</v>
      </c>
      <c r="AN402" s="281">
        <v>0.15861878325981102</v>
      </c>
      <c r="AO402" s="281">
        <v>0.1708951182016098</v>
      </c>
      <c r="AP402" s="281">
        <v>0.17693671176331094</v>
      </c>
      <c r="AQ402" s="281">
        <v>0.18374889670473715</v>
      </c>
      <c r="AR402" s="281">
        <v>0.11727545580400353</v>
      </c>
      <c r="AS402" s="281">
        <v>0.12880528436959632</v>
      </c>
      <c r="AT402" s="281">
        <v>0.14142299646319653</v>
      </c>
      <c r="AU402" s="281">
        <v>0.16071748128804197</v>
      </c>
      <c r="AV402" s="281">
        <v>0.15565477175288636</v>
      </c>
      <c r="AW402" s="281">
        <v>0.16079577152367475</v>
      </c>
      <c r="AX402" s="281">
        <v>0.19836564124607287</v>
      </c>
      <c r="AY402" s="281">
        <v>0.15695100378491575</v>
      </c>
      <c r="AZ402" s="281">
        <v>0.20758383022014384</v>
      </c>
      <c r="BA402" s="281">
        <v>0.2109353794618955</v>
      </c>
      <c r="BB402" s="281">
        <v>0.21314290820810611</v>
      </c>
      <c r="BC402" s="281">
        <v>0.25733027777325695</v>
      </c>
      <c r="BD402" s="281">
        <v>0.16777569677456777</v>
      </c>
      <c r="BE402" s="281">
        <v>0.16621260838326557</v>
      </c>
      <c r="BF402" s="281">
        <v>0.18865199600188923</v>
      </c>
      <c r="BG402" s="281">
        <v>0.19590421830580285</v>
      </c>
      <c r="BH402" s="281">
        <v>0.1887930713718195</v>
      </c>
      <c r="BI402" s="281">
        <v>0.20116735120875293</v>
      </c>
      <c r="BJ402" s="281">
        <v>0</v>
      </c>
    </row>
    <row r="403" spans="1:62" ht="14.25" customHeight="1" x14ac:dyDescent="0.35">
      <c r="A403" s="41" t="s">
        <v>103</v>
      </c>
      <c r="B403" s="281">
        <v>7.9373946297303946E-2</v>
      </c>
      <c r="C403" s="281">
        <v>2.937344612202061E-2</v>
      </c>
      <c r="D403" s="281">
        <v>6.4124991458929109E-2</v>
      </c>
      <c r="E403" s="281">
        <v>6.4909680045136142E-2</v>
      </c>
      <c r="F403" s="281">
        <v>7.6357934144920564E-2</v>
      </c>
      <c r="G403" s="281">
        <v>5.8424488333640244E-2</v>
      </c>
      <c r="H403" s="281">
        <v>7.6465494309312473E-2</v>
      </c>
      <c r="I403" s="281">
        <v>0.11556168390777112</v>
      </c>
      <c r="J403" s="281">
        <v>4.8701588660701588E-2</v>
      </c>
      <c r="K403" s="281">
        <v>6.5366428851251018E-2</v>
      </c>
      <c r="L403" s="281">
        <v>8.1492323606581013E-2</v>
      </c>
      <c r="M403" s="281">
        <v>6.9612114301322775E-2</v>
      </c>
      <c r="N403" s="281">
        <v>8.1382230946206696E-2</v>
      </c>
      <c r="O403" s="281">
        <v>6.7129673074009688E-2</v>
      </c>
      <c r="P403" s="281">
        <v>6.9926051150393728E-2</v>
      </c>
      <c r="Q403" s="281">
        <v>8.5739309836375899E-2</v>
      </c>
      <c r="R403" s="281">
        <v>7.4512672288836207E-2</v>
      </c>
      <c r="S403" s="281">
        <v>7.0551434729475518E-2</v>
      </c>
      <c r="T403" s="281">
        <v>6.2085766727293525E-2</v>
      </c>
      <c r="U403" s="281">
        <v>6.8196989501015562E-2</v>
      </c>
      <c r="V403" s="281">
        <v>5.5126123877887137E-2</v>
      </c>
      <c r="W403" s="281">
        <v>8.141202580644942E-2</v>
      </c>
      <c r="X403" s="281">
        <v>8.234168840809053E-2</v>
      </c>
      <c r="Y403" s="281">
        <v>7.6553373455635093E-2</v>
      </c>
      <c r="Z403" s="281">
        <v>8.195466062629761E-2</v>
      </c>
      <c r="AA403" s="281">
        <v>7.4911234395019094E-2</v>
      </c>
      <c r="AB403" s="281">
        <v>7.5869963429507498E-2</v>
      </c>
      <c r="AC403" s="281">
        <v>9.7479257115642676E-2</v>
      </c>
      <c r="AD403" s="281">
        <v>8.7996736748732873E-2</v>
      </c>
      <c r="AE403" s="281">
        <v>9.2017306749789779E-2</v>
      </c>
      <c r="AF403" s="281">
        <v>5.9104640868809372E-2</v>
      </c>
      <c r="AG403" s="281">
        <v>8.3604265956039009E-2</v>
      </c>
      <c r="AH403" s="281">
        <v>6.895041051670095E-2</v>
      </c>
      <c r="AI403" s="281">
        <v>9.0694873076608201E-2</v>
      </c>
      <c r="AJ403" s="281">
        <v>8.7189342714849391E-2</v>
      </c>
      <c r="AK403" s="281">
        <v>7.9553178582538714E-2</v>
      </c>
      <c r="AL403" s="281">
        <v>9.3954926518534029E-2</v>
      </c>
      <c r="AM403" s="281">
        <v>8.7367139220362669E-2</v>
      </c>
      <c r="AN403" s="281">
        <v>8.9958003116387061E-2</v>
      </c>
      <c r="AO403" s="281">
        <v>0.10848745805106894</v>
      </c>
      <c r="AP403" s="281">
        <v>9.763241688334702E-2</v>
      </c>
      <c r="AQ403" s="281">
        <v>9.9544053845027541E-2</v>
      </c>
      <c r="AR403" s="281">
        <v>7.4777582439446183E-2</v>
      </c>
      <c r="AS403" s="281">
        <v>9.4259594333423374E-2</v>
      </c>
      <c r="AT403" s="281">
        <v>7.996200272585488E-2</v>
      </c>
      <c r="AU403" s="281">
        <v>9.6763306268917909E-2</v>
      </c>
      <c r="AV403" s="281">
        <v>8.7447793832924989E-2</v>
      </c>
      <c r="AW403" s="281">
        <v>9.7625380060430478E-2</v>
      </c>
      <c r="AX403" s="281">
        <v>0.12104367232475272</v>
      </c>
      <c r="AY403" s="281">
        <v>0.10636390792894572</v>
      </c>
      <c r="AZ403" s="281">
        <v>0.12768532659572385</v>
      </c>
      <c r="BA403" s="281">
        <v>0.13228269994396835</v>
      </c>
      <c r="BB403" s="281">
        <v>0.12653555842237943</v>
      </c>
      <c r="BC403" s="281">
        <v>0.1192390807361122</v>
      </c>
      <c r="BD403" s="281">
        <v>9.6520042998027841E-2</v>
      </c>
      <c r="BE403" s="281">
        <v>0.11166605786432507</v>
      </c>
      <c r="BF403" s="281">
        <v>9.6364826521817881E-2</v>
      </c>
      <c r="BG403" s="281">
        <v>0.11544200020235931</v>
      </c>
      <c r="BH403" s="281">
        <v>0.10169646614620256</v>
      </c>
      <c r="BI403" s="281">
        <v>0.11808291152095701</v>
      </c>
      <c r="BJ403" s="281">
        <v>0</v>
      </c>
    </row>
    <row r="404" spans="1:62" ht="14.25" customHeight="1" x14ac:dyDescent="0.35">
      <c r="A404" s="41" t="s">
        <v>104</v>
      </c>
      <c r="B404" s="281">
        <v>4.2510838329887127E-2</v>
      </c>
      <c r="C404" s="281">
        <v>2.035427191515608E-2</v>
      </c>
      <c r="D404" s="281">
        <v>6.8687261492963683E-2</v>
      </c>
      <c r="E404" s="281">
        <v>8.552709746626555E-2</v>
      </c>
      <c r="F404" s="281">
        <v>9.6097461548677321E-2</v>
      </c>
      <c r="G404" s="281">
        <v>9.8705113618564419E-2</v>
      </c>
      <c r="H404" s="281">
        <v>8.5443525177609878E-2</v>
      </c>
      <c r="I404" s="281">
        <v>5.2828553234697373E-2</v>
      </c>
      <c r="J404" s="281">
        <v>5.9574917932343263E-2</v>
      </c>
      <c r="K404" s="281">
        <v>8.9446798483262507E-2</v>
      </c>
      <c r="L404" s="281">
        <v>8.7781791805837908E-2</v>
      </c>
      <c r="M404" s="281">
        <v>6.4924825636900288E-2</v>
      </c>
      <c r="N404" s="281">
        <v>5.474884641599808E-2</v>
      </c>
      <c r="O404" s="281">
        <v>2.6103452293141371E-2</v>
      </c>
      <c r="P404" s="281">
        <v>8.2505662168471716E-2</v>
      </c>
      <c r="Q404" s="281">
        <v>0.113663928703353</v>
      </c>
      <c r="R404" s="281">
        <v>0.10782932491998837</v>
      </c>
      <c r="S404" s="281">
        <v>6.9867875353489442E-2</v>
      </c>
      <c r="T404" s="281">
        <v>5.7553561936503413E-2</v>
      </c>
      <c r="U404" s="281">
        <v>3.4775394178469123E-2</v>
      </c>
      <c r="V404" s="281">
        <v>7.0730936381012022E-2</v>
      </c>
      <c r="W404" s="281">
        <v>0.10851674569028819</v>
      </c>
      <c r="X404" s="281">
        <v>0.1089253185650657</v>
      </c>
      <c r="Y404" s="281">
        <v>9.6488935483333885E-2</v>
      </c>
      <c r="Z404" s="281">
        <v>8.8585507732376015E-2</v>
      </c>
      <c r="AA404" s="281">
        <v>4.0298090162290363E-2</v>
      </c>
      <c r="AB404" s="281">
        <v>9.5965125023850809E-2</v>
      </c>
      <c r="AC404" s="281">
        <v>0.12963728693082743</v>
      </c>
      <c r="AD404" s="281">
        <v>0.11569745188612561</v>
      </c>
      <c r="AE404" s="281">
        <v>0.12982403234542012</v>
      </c>
      <c r="AF404" s="281">
        <v>7.2054781032610329E-2</v>
      </c>
      <c r="AG404" s="281">
        <v>4.3694097434630118E-2</v>
      </c>
      <c r="AH404" s="281">
        <v>8.7222570361693355E-2</v>
      </c>
      <c r="AI404" s="281">
        <v>0.12434223207972862</v>
      </c>
      <c r="AJ404" s="281">
        <v>0.11782390044059035</v>
      </c>
      <c r="AK404" s="281">
        <v>0.114326616143913</v>
      </c>
      <c r="AL404" s="281">
        <v>0.11598391969300796</v>
      </c>
      <c r="AM404" s="281">
        <v>8.9998901088751554E-2</v>
      </c>
      <c r="AN404" s="281">
        <v>0.11410439548575305</v>
      </c>
      <c r="AO404" s="281">
        <v>0.10686836301553684</v>
      </c>
      <c r="AP404" s="281">
        <v>0.12391983430272201</v>
      </c>
      <c r="AQ404" s="281">
        <v>0.12594322860432608</v>
      </c>
      <c r="AR404" s="281">
        <v>0.11096504545414465</v>
      </c>
      <c r="AS404" s="281">
        <v>9.0968839218317457E-2</v>
      </c>
      <c r="AT404" s="281">
        <v>0.10564957799300562</v>
      </c>
      <c r="AU404" s="281">
        <v>0.12500987338883748</v>
      </c>
      <c r="AV404" s="281">
        <v>0.13042392120289334</v>
      </c>
      <c r="AW404" s="281">
        <v>0.12147371630010895</v>
      </c>
      <c r="AX404" s="281">
        <v>9.8938933399134704E-2</v>
      </c>
      <c r="AY404" s="281">
        <v>0.11248129507398341</v>
      </c>
      <c r="AZ404" s="281">
        <v>8.2170871106736515E-2</v>
      </c>
      <c r="BA404" s="281">
        <v>0.13598204431787467</v>
      </c>
      <c r="BB404" s="281">
        <v>0.12058638753504869</v>
      </c>
      <c r="BC404" s="281">
        <v>9.0472966026021409E-2</v>
      </c>
      <c r="BD404" s="281">
        <v>0.103989863184375</v>
      </c>
      <c r="BE404" s="281">
        <v>0.1277698551346419</v>
      </c>
      <c r="BF404" s="281">
        <v>8.2517113662638586E-2</v>
      </c>
      <c r="BG404" s="281">
        <v>0.12265451415670696</v>
      </c>
      <c r="BH404" s="281">
        <v>9.3219174919630943E-2</v>
      </c>
      <c r="BI404" s="281">
        <v>0.11797912317998517</v>
      </c>
      <c r="BJ404" s="281">
        <v>0</v>
      </c>
    </row>
    <row r="405" spans="1:62" ht="14.25" customHeight="1" x14ac:dyDescent="0.35">
      <c r="A405" s="41" t="s">
        <v>105</v>
      </c>
      <c r="B405" s="281">
        <v>4.2840608820102155E-2</v>
      </c>
      <c r="C405" s="281">
        <v>3.0934154851126345E-2</v>
      </c>
      <c r="D405" s="281">
        <v>5.0486783662719477E-2</v>
      </c>
      <c r="E405" s="281">
        <v>6.6135854468383728E-2</v>
      </c>
      <c r="F405" s="281">
        <v>5.9855200693762572E-2</v>
      </c>
      <c r="G405" s="281">
        <v>4.9943379351990252E-2</v>
      </c>
      <c r="H405" s="281">
        <v>4.3138013330645965E-2</v>
      </c>
      <c r="I405" s="281">
        <v>1.0630680200824123E-2</v>
      </c>
      <c r="J405" s="281">
        <v>5.3103489477402899E-2</v>
      </c>
      <c r="K405" s="281">
        <v>6.4071694847604166E-2</v>
      </c>
      <c r="L405" s="281">
        <v>6.1242602762586883E-2</v>
      </c>
      <c r="M405" s="281">
        <v>4.774813781198365E-2</v>
      </c>
      <c r="N405" s="281">
        <v>4.952672779149913E-2</v>
      </c>
      <c r="O405" s="281">
        <v>3.2837833853987225E-2</v>
      </c>
      <c r="P405" s="281">
        <v>5.59056647283101E-2</v>
      </c>
      <c r="Q405" s="281">
        <v>6.8294453054489168E-2</v>
      </c>
      <c r="R405" s="281">
        <v>6.204790552075707E-2</v>
      </c>
      <c r="S405" s="281">
        <v>6.4843023400169078E-2</v>
      </c>
      <c r="T405" s="281">
        <v>4.6948366557017583E-2</v>
      </c>
      <c r="U405" s="281">
        <v>6.0546168547342308E-2</v>
      </c>
      <c r="V405" s="281">
        <v>5.1908299814693637E-2</v>
      </c>
      <c r="W405" s="281">
        <v>7.0129975706439293E-2</v>
      </c>
      <c r="X405" s="281">
        <v>6.1411043222358006E-2</v>
      </c>
      <c r="Y405" s="281">
        <v>6.0361298123515573E-2</v>
      </c>
      <c r="Z405" s="281">
        <v>5.6699824956581608E-2</v>
      </c>
      <c r="AA405" s="281">
        <v>4.5660432827535173E-2</v>
      </c>
      <c r="AB405" s="281">
        <v>5.7923492220498612E-2</v>
      </c>
      <c r="AC405" s="281">
        <v>7.1789553107991497E-2</v>
      </c>
      <c r="AD405" s="281">
        <v>6.3706267505124828E-2</v>
      </c>
      <c r="AE405" s="281">
        <v>6.9019917887350374E-2</v>
      </c>
      <c r="AF405" s="281">
        <v>4.7727156139068076E-2</v>
      </c>
      <c r="AG405" s="281">
        <v>3.684932618439983E-2</v>
      </c>
      <c r="AH405" s="281">
        <v>5.6007702505638003E-2</v>
      </c>
      <c r="AI405" s="281">
        <v>7.0258607969839945E-2</v>
      </c>
      <c r="AJ405" s="281">
        <v>6.2489752131672315E-2</v>
      </c>
      <c r="AK405" s="281">
        <v>6.9023930013453319E-2</v>
      </c>
      <c r="AL405" s="281">
        <v>6.1322106516463248E-2</v>
      </c>
      <c r="AM405" s="281">
        <v>7.0023214065980333E-2</v>
      </c>
      <c r="AN405" s="281">
        <v>6.2483124986385273E-2</v>
      </c>
      <c r="AO405" s="281">
        <v>7.5056805207536187E-2</v>
      </c>
      <c r="AP405" s="281">
        <v>6.7142771073978008E-2</v>
      </c>
      <c r="AQ405" s="281">
        <v>6.7030031786910388E-2</v>
      </c>
      <c r="AR405" s="281">
        <v>5.4788140841927374E-2</v>
      </c>
      <c r="AS405" s="281">
        <v>8.4012838482991722E-2</v>
      </c>
      <c r="AT405" s="281">
        <v>6.0723540986022624E-2</v>
      </c>
      <c r="AU405" s="281">
        <v>7.4931776802215536E-2</v>
      </c>
      <c r="AV405" s="281">
        <v>6.8744136324434019E-2</v>
      </c>
      <c r="AW405" s="281">
        <v>6.7089141969041741E-2</v>
      </c>
      <c r="AX405" s="281">
        <v>7.3367673525069788E-2</v>
      </c>
      <c r="AY405" s="281">
        <v>9.1597446392730791E-2</v>
      </c>
      <c r="AZ405" s="281">
        <v>7.4193759727608902E-2</v>
      </c>
      <c r="BA405" s="281">
        <v>7.9321364072851674E-2</v>
      </c>
      <c r="BB405" s="281">
        <v>7.6869643465948254E-2</v>
      </c>
      <c r="BC405" s="281">
        <v>7.8070529830386814E-2</v>
      </c>
      <c r="BD405" s="281">
        <v>7.2041195594083812E-2</v>
      </c>
      <c r="BE405" s="281">
        <v>8.030007489986013E-2</v>
      </c>
      <c r="BF405" s="281">
        <v>6.9622548273710463E-2</v>
      </c>
      <c r="BG405" s="281">
        <v>7.7690211386118119E-2</v>
      </c>
      <c r="BH405" s="281">
        <v>7.4198516436085049E-2</v>
      </c>
      <c r="BI405" s="281">
        <v>7.2393922044062434E-2</v>
      </c>
      <c r="BJ405" s="281">
        <v>0</v>
      </c>
    </row>
    <row r="406" spans="1:62" ht="14.25" customHeight="1" x14ac:dyDescent="0.35">
      <c r="A406" s="41" t="s">
        <v>106</v>
      </c>
      <c r="B406" s="281">
        <v>1.3670983289513198E-2</v>
      </c>
      <c r="C406" s="281">
        <v>1.0090223439605523E-2</v>
      </c>
      <c r="D406" s="281">
        <v>3.8598217668569357E-2</v>
      </c>
      <c r="E406" s="281">
        <v>5.2812205121127297E-2</v>
      </c>
      <c r="F406" s="281">
        <v>4.0833636077346074E-2</v>
      </c>
      <c r="G406" s="281">
        <v>6.1372671475493211E-2</v>
      </c>
      <c r="H406" s="281">
        <v>-8.587067050746704E-3</v>
      </c>
      <c r="I406" s="281">
        <v>7.6606350697131257E-3</v>
      </c>
      <c r="J406" s="281">
        <v>-2.0010835064119922E-2</v>
      </c>
      <c r="K406" s="281">
        <v>-1.6287459640897891E-2</v>
      </c>
      <c r="L406" s="281">
        <v>2.8724088886764351E-2</v>
      </c>
      <c r="M406" s="281">
        <v>-4.5331910795344536E-2</v>
      </c>
      <c r="N406" s="281">
        <v>3.0158434933210725E-2</v>
      </c>
      <c r="O406" s="281">
        <v>3.2686851342908108E-2</v>
      </c>
      <c r="P406" s="281">
        <v>5.1130864382628802E-2</v>
      </c>
      <c r="Q406" s="281">
        <v>9.7249366246009938E-2</v>
      </c>
      <c r="R406" s="281">
        <v>8.9684791975371617E-2</v>
      </c>
      <c r="S406" s="281">
        <v>7.2904361609367779E-2</v>
      </c>
      <c r="T406" s="281">
        <v>2.8956316614016653E-2</v>
      </c>
      <c r="U406" s="281">
        <v>2.2249147405259909E-2</v>
      </c>
      <c r="V406" s="281">
        <v>3.834325232551429E-2</v>
      </c>
      <c r="W406" s="281">
        <v>6.6001238037535909E-2</v>
      </c>
      <c r="X406" s="281">
        <v>8.1588626956765886E-2</v>
      </c>
      <c r="Y406" s="281">
        <v>5.4405841729273825E-2</v>
      </c>
      <c r="Z406" s="281">
        <v>3.4684888268958151E-2</v>
      </c>
      <c r="AA406" s="281">
        <v>5.4813481653884007E-2</v>
      </c>
      <c r="AB406" s="281">
        <v>5.9280120575796916E-2</v>
      </c>
      <c r="AC406" s="281">
        <v>9.5583277193844962E-2</v>
      </c>
      <c r="AD406" s="281">
        <v>7.4695291756591856E-2</v>
      </c>
      <c r="AE406" s="281">
        <v>8.2081128794512945E-2</v>
      </c>
      <c r="AF406" s="281">
        <v>4.0286214432769217E-2</v>
      </c>
      <c r="AG406" s="281">
        <v>3.1232650017630176E-2</v>
      </c>
      <c r="AH406" s="281">
        <v>5.765380180368606E-2</v>
      </c>
      <c r="AI406" s="281">
        <v>9.4125840670070057E-2</v>
      </c>
      <c r="AJ406" s="281">
        <v>8.7524519993889507E-2</v>
      </c>
      <c r="AK406" s="281">
        <v>7.4301364700611869E-2</v>
      </c>
      <c r="AL406" s="281">
        <v>7.0569469703301302E-2</v>
      </c>
      <c r="AM406" s="281">
        <v>7.3731055419907515E-2</v>
      </c>
      <c r="AN406" s="281">
        <v>8.220336721720152E-2</v>
      </c>
      <c r="AO406" s="281">
        <v>8.566719779712037E-2</v>
      </c>
      <c r="AP406" s="281">
        <v>8.7018867947339665E-2</v>
      </c>
      <c r="AQ406" s="281">
        <v>6.4410129594231535E-2</v>
      </c>
      <c r="AR406" s="281">
        <v>4.0169665532887436E-2</v>
      </c>
      <c r="AS406" s="281">
        <v>5.1932455457378804E-2</v>
      </c>
      <c r="AT406" s="281">
        <v>6.1905160897340564E-2</v>
      </c>
      <c r="AU406" s="281">
        <v>8.8329250351533162E-2</v>
      </c>
      <c r="AV406" s="281">
        <v>8.4422750996139023E-2</v>
      </c>
      <c r="AW406" s="281">
        <v>7.9100276682163892E-2</v>
      </c>
      <c r="AX406" s="281">
        <v>8.1898780387987577E-2</v>
      </c>
      <c r="AY406" s="281">
        <v>0.11790913775351251</v>
      </c>
      <c r="AZ406" s="281">
        <v>7.7149251372941874E-2</v>
      </c>
      <c r="BA406" s="281">
        <v>7.8502148420524553E-2</v>
      </c>
      <c r="BB406" s="281">
        <v>8.4636377392736772E-2</v>
      </c>
      <c r="BC406" s="281">
        <v>6.6942251746002171E-2</v>
      </c>
      <c r="BD406" s="281">
        <v>7.4330430135128508E-2</v>
      </c>
      <c r="BE406" s="281">
        <v>5.3381386621462738E-2</v>
      </c>
      <c r="BF406" s="281">
        <v>8.4148530106710431E-2</v>
      </c>
      <c r="BG406" s="281">
        <v>8.4893889540906514E-2</v>
      </c>
      <c r="BH406" s="281">
        <v>9.0075580667459632E-2</v>
      </c>
      <c r="BI406" s="281">
        <v>7.6265431771079861E-2</v>
      </c>
      <c r="BJ406" s="281">
        <v>0</v>
      </c>
    </row>
    <row r="407" spans="1:62" ht="14.25" customHeight="1" x14ac:dyDescent="0.35">
      <c r="A407" s="41" t="s">
        <v>107</v>
      </c>
      <c r="B407" s="281">
        <v>3.3877540069927317E-3</v>
      </c>
      <c r="C407" s="281">
        <v>1.0963834876483775E-2</v>
      </c>
      <c r="D407" s="281">
        <v>2.1155669528605963E-2</v>
      </c>
      <c r="E407" s="281">
        <v>4.3926580092819474E-2</v>
      </c>
      <c r="F407" s="281">
        <v>3.0985722351167821E-2</v>
      </c>
      <c r="G407" s="281">
        <v>5.9067431298349168E-2</v>
      </c>
      <c r="H407" s="281">
        <v>2.3429582970809167E-3</v>
      </c>
      <c r="I407" s="281">
        <v>1.5219487204129266E-2</v>
      </c>
      <c r="J407" s="281">
        <v>8.2117167001778488E-3</v>
      </c>
      <c r="K407" s="281">
        <v>4.1379246156483626E-2</v>
      </c>
      <c r="L407" s="281">
        <v>1.8319378500393283E-2</v>
      </c>
      <c r="M407" s="281">
        <v>1.4401717806249045E-2</v>
      </c>
      <c r="N407" s="281">
        <v>4.3526711350360013E-3</v>
      </c>
      <c r="O407" s="281">
        <v>1.5139800991654639E-2</v>
      </c>
      <c r="P407" s="281">
        <v>3.8115193241630062E-2</v>
      </c>
      <c r="Q407" s="281">
        <v>0.10481489073026556</v>
      </c>
      <c r="R407" s="281">
        <v>4.2579365090901447E-2</v>
      </c>
      <c r="S407" s="281">
        <v>8.4802357424746941E-2</v>
      </c>
      <c r="T407" s="281">
        <v>2.5662006192806461E-3</v>
      </c>
      <c r="U407" s="281">
        <v>2.2078696411264665E-3</v>
      </c>
      <c r="V407" s="281">
        <v>2.3014561777369158E-2</v>
      </c>
      <c r="W407" s="281">
        <v>7.2843230972563136E-2</v>
      </c>
      <c r="X407" s="281">
        <v>5.0998535458885892E-2</v>
      </c>
      <c r="Y407" s="281">
        <v>5.8197424159302548E-2</v>
      </c>
      <c r="Z407" s="281">
        <v>7.6463550033217212E-2</v>
      </c>
      <c r="AA407" s="281">
        <v>2.4753907447924984E-2</v>
      </c>
      <c r="AB407" s="281">
        <v>9.1761563962145021E-2</v>
      </c>
      <c r="AC407" s="281">
        <v>0.15367091513050668</v>
      </c>
      <c r="AD407" s="281">
        <v>8.6268553802012857E-2</v>
      </c>
      <c r="AE407" s="281">
        <v>0.10920743849689692</v>
      </c>
      <c r="AF407" s="281">
        <v>5.2253871216061867E-3</v>
      </c>
      <c r="AG407" s="281">
        <v>3.7801318324595351E-2</v>
      </c>
      <c r="AH407" s="281">
        <v>4.8583818017773284E-2</v>
      </c>
      <c r="AI407" s="281">
        <v>0.12254837931791839</v>
      </c>
      <c r="AJ407" s="281">
        <v>8.5744042509453777E-2</v>
      </c>
      <c r="AK407" s="281">
        <v>8.5054257412681675E-2</v>
      </c>
      <c r="AL407" s="281">
        <v>0.12745223269287803</v>
      </c>
      <c r="AM407" s="281">
        <v>6.1487692818611085E-2</v>
      </c>
      <c r="AN407" s="281">
        <v>0.15138608146690691</v>
      </c>
      <c r="AO407" s="281">
        <v>0.20917101104785657</v>
      </c>
      <c r="AP407" s="281">
        <v>0.12091114950355901</v>
      </c>
      <c r="AQ407" s="281">
        <v>0.12843981094884344</v>
      </c>
      <c r="AR407" s="281">
        <v>6.5571235650307508E-2</v>
      </c>
      <c r="AS407" s="281">
        <v>4.5603285803208729E-2</v>
      </c>
      <c r="AT407" s="281">
        <v>9.6027936733734165E-2</v>
      </c>
      <c r="AU407" s="281">
        <v>0.14976500190575009</v>
      </c>
      <c r="AV407" s="281">
        <v>0.12125286130841792</v>
      </c>
      <c r="AW407" s="281">
        <v>0.10722436484278886</v>
      </c>
      <c r="AX407" s="281">
        <v>0.1922898158867738</v>
      </c>
      <c r="AY407" s="281">
        <v>9.444538556212384E-2</v>
      </c>
      <c r="AZ407" s="281">
        <v>0.18761428181903872</v>
      </c>
      <c r="BA407" s="281">
        <v>0.23291702177825507</v>
      </c>
      <c r="BB407" s="281">
        <v>0.17595553884952719</v>
      </c>
      <c r="BC407" s="281">
        <v>0.16917851726219779</v>
      </c>
      <c r="BD407" s="281">
        <v>0.11965488511633859</v>
      </c>
      <c r="BE407" s="281">
        <v>0.10426734553179684</v>
      </c>
      <c r="BF407" s="281">
        <v>0.16345264518756919</v>
      </c>
      <c r="BG407" s="281">
        <v>0.19305785926599034</v>
      </c>
      <c r="BH407" s="281">
        <v>0.15775157581765142</v>
      </c>
      <c r="BI407" s="281">
        <v>0.1813005548159998</v>
      </c>
      <c r="BJ407" s="281">
        <v>0</v>
      </c>
    </row>
    <row r="408" spans="1:62" ht="14.25" customHeight="1" x14ac:dyDescent="0.35">
      <c r="A408" s="41" t="s">
        <v>108</v>
      </c>
      <c r="B408" s="286">
        <v>0</v>
      </c>
      <c r="C408" s="286">
        <v>0</v>
      </c>
      <c r="D408" s="286">
        <v>0</v>
      </c>
      <c r="E408" s="286">
        <v>0</v>
      </c>
      <c r="F408" s="286">
        <v>0</v>
      </c>
      <c r="G408" s="286">
        <v>0</v>
      </c>
      <c r="H408" s="286">
        <v>0</v>
      </c>
      <c r="I408" s="286">
        <v>0</v>
      </c>
      <c r="J408" s="286">
        <v>0</v>
      </c>
      <c r="K408" s="286">
        <v>0</v>
      </c>
      <c r="L408" s="286">
        <v>0</v>
      </c>
      <c r="M408" s="286">
        <v>0</v>
      </c>
      <c r="N408" s="286">
        <v>0</v>
      </c>
      <c r="O408" s="286">
        <v>0</v>
      </c>
      <c r="P408" s="286">
        <v>0</v>
      </c>
      <c r="Q408" s="286">
        <v>0</v>
      </c>
      <c r="R408" s="286">
        <v>0</v>
      </c>
      <c r="S408" s="286">
        <v>0</v>
      </c>
      <c r="T408" s="286">
        <v>0</v>
      </c>
      <c r="U408" s="286">
        <v>0</v>
      </c>
      <c r="V408" s="286">
        <v>0</v>
      </c>
      <c r="W408" s="286">
        <v>0</v>
      </c>
      <c r="X408" s="286">
        <v>0</v>
      </c>
      <c r="Y408" s="286">
        <v>0</v>
      </c>
      <c r="Z408" s="286">
        <v>0</v>
      </c>
      <c r="AA408" s="286">
        <v>0</v>
      </c>
      <c r="AB408" s="286">
        <v>0</v>
      </c>
      <c r="AC408" s="286">
        <v>0</v>
      </c>
      <c r="AD408" s="286">
        <v>0</v>
      </c>
      <c r="AE408" s="286">
        <v>0</v>
      </c>
      <c r="AF408" s="286">
        <v>0</v>
      </c>
      <c r="AG408" s="286">
        <v>0</v>
      </c>
      <c r="AH408" s="286">
        <v>0</v>
      </c>
      <c r="AI408" s="286">
        <v>0</v>
      </c>
      <c r="AJ408" s="286">
        <v>0</v>
      </c>
      <c r="AK408" s="286">
        <v>0</v>
      </c>
      <c r="AL408" s="286">
        <v>0</v>
      </c>
      <c r="AM408" s="286">
        <v>0</v>
      </c>
      <c r="AN408" s="286">
        <v>0</v>
      </c>
      <c r="AO408" s="286">
        <v>0</v>
      </c>
      <c r="AP408" s="286">
        <v>0</v>
      </c>
      <c r="AQ408" s="286">
        <v>0</v>
      </c>
      <c r="AR408" s="286">
        <v>0</v>
      </c>
      <c r="AS408" s="286">
        <v>0</v>
      </c>
      <c r="AT408" s="286">
        <v>0</v>
      </c>
      <c r="AU408" s="286">
        <v>0</v>
      </c>
      <c r="AV408" s="286">
        <v>0</v>
      </c>
      <c r="AW408" s="286">
        <v>0</v>
      </c>
      <c r="AX408" s="286">
        <v>0</v>
      </c>
      <c r="AY408" s="286">
        <v>0</v>
      </c>
      <c r="AZ408" s="286">
        <v>0</v>
      </c>
      <c r="BA408" s="286">
        <v>0</v>
      </c>
      <c r="BB408" s="286">
        <v>0</v>
      </c>
      <c r="BC408" s="286">
        <v>0</v>
      </c>
      <c r="BD408" s="286">
        <v>0</v>
      </c>
      <c r="BE408" s="286">
        <v>0</v>
      </c>
      <c r="BF408" s="286">
        <v>0</v>
      </c>
      <c r="BG408" s="286">
        <v>0</v>
      </c>
      <c r="BH408" s="286">
        <v>0</v>
      </c>
      <c r="BI408" s="286">
        <v>0</v>
      </c>
      <c r="BJ408" s="281">
        <v>0.12446116143810466</v>
      </c>
    </row>
    <row r="409" spans="1:62" ht="14.25" customHeight="1" x14ac:dyDescent="0.35">
      <c r="A409" s="41" t="s">
        <v>109</v>
      </c>
      <c r="B409" s="281">
        <v>9.9315022398324508E-3</v>
      </c>
      <c r="C409" s="281">
        <v>1.1190482754446771E-2</v>
      </c>
      <c r="D409" s="281">
        <v>2.8985678984671619E-2</v>
      </c>
      <c r="E409" s="281">
        <v>5.163373928305371E-2</v>
      </c>
      <c r="F409" s="281">
        <v>5.674348947869693E-2</v>
      </c>
      <c r="G409" s="281">
        <v>4.1562750575411339E-2</v>
      </c>
      <c r="H409" s="281">
        <v>1.7031053123479408E-2</v>
      </c>
      <c r="I409" s="281">
        <v>1.2729862432466179E-2</v>
      </c>
      <c r="J409" s="281">
        <v>2.6535912395768212E-2</v>
      </c>
      <c r="K409" s="281">
        <v>2.9660159857428686E-2</v>
      </c>
      <c r="L409" s="281">
        <v>4.184419239140362E-2</v>
      </c>
      <c r="M409" s="281">
        <v>3.0770773531398083E-2</v>
      </c>
      <c r="N409" s="281">
        <v>9.6295220057690985E-3</v>
      </c>
      <c r="O409" s="281">
        <v>3.3091902389867194E-2</v>
      </c>
      <c r="P409" s="281">
        <v>4.147715837769253E-2</v>
      </c>
      <c r="Q409" s="281">
        <v>5.8108382481451851E-2</v>
      </c>
      <c r="R409" s="281">
        <v>6.1354871740620383E-2</v>
      </c>
      <c r="S409" s="281">
        <v>5.4529959870716863E-2</v>
      </c>
      <c r="T409" s="281">
        <v>7.8459621312636663E-3</v>
      </c>
      <c r="U409" s="281">
        <v>3.3099539900778324E-2</v>
      </c>
      <c r="V409" s="281">
        <v>2.6269736636431461E-2</v>
      </c>
      <c r="W409" s="281">
        <v>5.322477910552733E-2</v>
      </c>
      <c r="X409" s="281">
        <v>5.9531116963927252E-2</v>
      </c>
      <c r="Y409" s="281">
        <v>5.7271942936573915E-2</v>
      </c>
      <c r="Z409" s="281">
        <v>3.1678774985918659E-2</v>
      </c>
      <c r="AA409" s="281">
        <v>5.1735806785730948E-2</v>
      </c>
      <c r="AB409" s="281">
        <v>7.0942768204631634E-2</v>
      </c>
      <c r="AC409" s="281">
        <v>7.529702347466552E-2</v>
      </c>
      <c r="AD409" s="281">
        <v>6.5728617694116059E-2</v>
      </c>
      <c r="AE409" s="281">
        <v>7.838009052074689E-2</v>
      </c>
      <c r="AF409" s="281">
        <v>1.3999012757098007E-2</v>
      </c>
      <c r="AG409" s="281">
        <v>4.5952874863216163E-2</v>
      </c>
      <c r="AH409" s="281">
        <v>4.7803500344047359E-2</v>
      </c>
      <c r="AI409" s="281">
        <v>6.4882027440109943E-2</v>
      </c>
      <c r="AJ409" s="281">
        <v>8.2904846884220298E-2</v>
      </c>
      <c r="AK409" s="281">
        <v>6.6856745175010834E-2</v>
      </c>
      <c r="AL409" s="281">
        <v>6.4805597201549048E-2</v>
      </c>
      <c r="AM409" s="281">
        <v>6.5601551016795948E-2</v>
      </c>
      <c r="AN409" s="281">
        <v>8.8798403365113646E-2</v>
      </c>
      <c r="AO409" s="281">
        <v>7.561639437753935E-2</v>
      </c>
      <c r="AP409" s="281">
        <v>8.7739012309436856E-2</v>
      </c>
      <c r="AQ409" s="281">
        <v>8.5913361464861518E-2</v>
      </c>
      <c r="AR409" s="281">
        <v>4.6266199057689826E-2</v>
      </c>
      <c r="AS409" s="281">
        <v>7.8099913821069206E-2</v>
      </c>
      <c r="AT409" s="281">
        <v>8.1575445599756741E-2</v>
      </c>
      <c r="AU409" s="281">
        <v>7.2191605108294324E-2</v>
      </c>
      <c r="AV409" s="281">
        <v>9.6057166071272099E-2</v>
      </c>
      <c r="AW409" s="281">
        <v>8.3062574008956391E-2</v>
      </c>
      <c r="AX409" s="281">
        <v>9.8750884223659699E-2</v>
      </c>
      <c r="AY409" s="281">
        <v>0.10085457819705956</v>
      </c>
      <c r="AZ409" s="281">
        <v>0.1002185986482247</v>
      </c>
      <c r="BA409" s="281">
        <v>8.9859399346678054E-2</v>
      </c>
      <c r="BB409" s="281">
        <v>0.10505818402604765</v>
      </c>
      <c r="BC409" s="281">
        <v>9.5166205306942114E-2</v>
      </c>
      <c r="BD409" s="281">
        <v>0.10037799902120947</v>
      </c>
      <c r="BE409" s="281">
        <v>8.8406762404563105E-2</v>
      </c>
      <c r="BF409" s="281">
        <v>9.3742800879981075E-2</v>
      </c>
      <c r="BG409" s="281">
        <v>9.6366418841939347E-2</v>
      </c>
      <c r="BH409" s="281">
        <v>0.10373427621093936</v>
      </c>
      <c r="BI409" s="281">
        <v>9.8990550344474501E-2</v>
      </c>
      <c r="BJ409" s="281">
        <v>0</v>
      </c>
    </row>
    <row r="410" spans="1:62" ht="14.25" customHeight="1" x14ac:dyDescent="0.35">
      <c r="A410" s="41" t="s">
        <v>229</v>
      </c>
      <c r="B410" s="281">
        <v>4.3757687724415252E-3</v>
      </c>
      <c r="C410" s="281">
        <v>9.7018407328849244E-3</v>
      </c>
      <c r="D410" s="281">
        <v>2.1904665295296118E-2</v>
      </c>
      <c r="E410" s="281">
        <v>5.258263338461884E-2</v>
      </c>
      <c r="F410" s="281">
        <v>3.9903755394513851E-2</v>
      </c>
      <c r="G410" s="281">
        <v>4.6948787240219843E-2</v>
      </c>
      <c r="H410" s="281">
        <v>5.3194423367635413E-3</v>
      </c>
      <c r="I410" s="281">
        <v>8.5416556237281217E-3</v>
      </c>
      <c r="J410" s="281">
        <v>1.5276160565204653E-2</v>
      </c>
      <c r="K410" s="281">
        <v>2.6155973577745746E-2</v>
      </c>
      <c r="L410" s="281">
        <v>3.2245893957541891E-2</v>
      </c>
      <c r="M410" s="281">
        <v>1.3770809013355116E-2</v>
      </c>
      <c r="N410" s="281">
        <v>9.4660567260202323E-3</v>
      </c>
      <c r="O410" s="281">
        <v>3.0820378392654422E-2</v>
      </c>
      <c r="P410" s="281">
        <v>1.8463729594975466E-2</v>
      </c>
      <c r="Q410" s="281">
        <v>6.1867411701151412E-2</v>
      </c>
      <c r="R410" s="281">
        <v>5.8905446621154336E-2</v>
      </c>
      <c r="S410" s="281">
        <v>6.2239876973711764E-2</v>
      </c>
      <c r="T410" s="281">
        <v>3.8267839140552046E-3</v>
      </c>
      <c r="U410" s="281">
        <v>2.054094386800806E-2</v>
      </c>
      <c r="V410" s="281">
        <v>1.5814827154543104E-2</v>
      </c>
      <c r="W410" s="281">
        <v>3.5276985569435822E-2</v>
      </c>
      <c r="X410" s="281">
        <v>4.2987167110225703E-2</v>
      </c>
      <c r="Y410" s="281">
        <v>3.0983267830033894E-2</v>
      </c>
      <c r="Z410" s="281">
        <v>1.4321675647580329E-2</v>
      </c>
      <c r="AA410" s="281">
        <v>4.6831133555936579E-2</v>
      </c>
      <c r="AB410" s="281">
        <v>4.2755146871953503E-2</v>
      </c>
      <c r="AC410" s="281">
        <v>6.4390950481376941E-2</v>
      </c>
      <c r="AD410" s="281">
        <v>5.6462373774137965E-2</v>
      </c>
      <c r="AE410" s="281">
        <v>6.3123838862920972E-2</v>
      </c>
      <c r="AF410" s="281">
        <v>7.5992659625271804E-3</v>
      </c>
      <c r="AG410" s="281">
        <v>2.7782769461489127E-2</v>
      </c>
      <c r="AH410" s="281">
        <v>2.4776165839579492E-2</v>
      </c>
      <c r="AI410" s="281">
        <v>4.4375448493311022E-2</v>
      </c>
      <c r="AJ410" s="281">
        <v>4.6266687623670942E-2</v>
      </c>
      <c r="AK410" s="281">
        <v>3.8888907918700366E-2</v>
      </c>
      <c r="AL410" s="281">
        <v>5.2008539371896742E-2</v>
      </c>
      <c r="AM410" s="281">
        <v>6.1375973324868757E-2</v>
      </c>
      <c r="AN410" s="281">
        <v>5.4317525046655851E-2</v>
      </c>
      <c r="AO410" s="281">
        <v>5.5409994379949701E-2</v>
      </c>
      <c r="AP410" s="281">
        <v>6.5197869956941851E-2</v>
      </c>
      <c r="AQ410" s="281">
        <v>5.2754159153805581E-2</v>
      </c>
      <c r="AR410" s="281">
        <v>2.1004698238566554E-2</v>
      </c>
      <c r="AS410" s="281">
        <v>4.3790429865961364E-2</v>
      </c>
      <c r="AT410" s="281">
        <v>4.5727959365094904E-2</v>
      </c>
      <c r="AU410" s="281">
        <v>5.7020318132434591E-2</v>
      </c>
      <c r="AV410" s="281">
        <v>5.9735135073718054E-2</v>
      </c>
      <c r="AW410" s="281">
        <v>4.5116085243120704E-2</v>
      </c>
      <c r="AX410" s="281">
        <v>6.5935280380767208E-2</v>
      </c>
      <c r="AY410" s="281">
        <v>9.0277734260772999E-2</v>
      </c>
      <c r="AZ410" s="281">
        <v>6.0241359859217733E-2</v>
      </c>
      <c r="BA410" s="281">
        <v>6.8556271324503537E-2</v>
      </c>
      <c r="BB410" s="281">
        <v>5.1954807676127812E-2</v>
      </c>
      <c r="BC410" s="281">
        <v>4.9473335380088135E-2</v>
      </c>
      <c r="BD410" s="281">
        <v>4.0729541309436873E-2</v>
      </c>
      <c r="BE410" s="281">
        <v>5.6112012409211626E-2</v>
      </c>
      <c r="BF410" s="281">
        <v>5.0264226916935405E-2</v>
      </c>
      <c r="BG410" s="281">
        <v>6.1078118995959947E-2</v>
      </c>
      <c r="BH410" s="281">
        <v>4.392928619297283E-2</v>
      </c>
      <c r="BI410" s="281">
        <v>4.0044937077046018E-2</v>
      </c>
      <c r="BJ410" s="281">
        <v>0</v>
      </c>
    </row>
    <row r="411" spans="1:62" ht="14.25" customHeight="1" x14ac:dyDescent="0.35">
      <c r="A411" s="41" t="s">
        <v>111</v>
      </c>
      <c r="B411" s="281">
        <v>8.7515285430539103E-2</v>
      </c>
      <c r="C411" s="281">
        <v>8.3818754630881717E-2</v>
      </c>
      <c r="D411" s="281">
        <v>0.13691777939908772</v>
      </c>
      <c r="E411" s="281">
        <v>0.13785188217882119</v>
      </c>
      <c r="F411" s="281">
        <v>2.5238202691430262E-2</v>
      </c>
      <c r="G411" s="281">
        <v>5.4536916818768474E-2</v>
      </c>
      <c r="H411" s="281">
        <v>0.1670035586280518</v>
      </c>
      <c r="I411" s="281">
        <v>7.6084437901629096E-2</v>
      </c>
      <c r="J411" s="281">
        <v>0.2172565311124329</v>
      </c>
      <c r="K411" s="281">
        <v>0.11206569700187349</v>
      </c>
      <c r="L411" s="281">
        <v>0.12873609446093021</v>
      </c>
      <c r="M411" s="281">
        <v>7.2401334449701912E-2</v>
      </c>
      <c r="N411" s="281">
        <v>0.13005380729370358</v>
      </c>
      <c r="O411" s="281">
        <v>0.14292052356046145</v>
      </c>
      <c r="P411" s="281">
        <v>0.11022452140493956</v>
      </c>
      <c r="Q411" s="281">
        <v>0.16019588655625913</v>
      </c>
      <c r="R411" s="281">
        <v>5.4449855742453646E-2</v>
      </c>
      <c r="S411" s="281">
        <v>7.9856715036593834E-2</v>
      </c>
      <c r="T411" s="281">
        <v>7.3042151010525802E-2</v>
      </c>
      <c r="U411" s="281">
        <v>9.4387290485943992E-2</v>
      </c>
      <c r="V411" s="281">
        <v>0.10197690634683361</v>
      </c>
      <c r="W411" s="281">
        <v>9.7182709690768199E-2</v>
      </c>
      <c r="X411" s="281">
        <v>0.10316730397053406</v>
      </c>
      <c r="Y411" s="281">
        <v>7.9981903524053433E-2</v>
      </c>
      <c r="Z411" s="281">
        <v>0.12672720161850201</v>
      </c>
      <c r="AA411" s="281">
        <v>0.14120192268878701</v>
      </c>
      <c r="AB411" s="281">
        <v>0.13595188254407878</v>
      </c>
      <c r="AC411" s="281">
        <v>0.15768653750347206</v>
      </c>
      <c r="AD411" s="281">
        <v>0.10431666890882903</v>
      </c>
      <c r="AE411" s="281">
        <v>0.11482480951207834</v>
      </c>
      <c r="AF411" s="281">
        <v>0.10349108322480312</v>
      </c>
      <c r="AG411" s="281">
        <v>9.2710796935063886E-2</v>
      </c>
      <c r="AH411" s="281">
        <v>0.10604384000105604</v>
      </c>
      <c r="AI411" s="281">
        <v>0.1170847935373866</v>
      </c>
      <c r="AJ411" s="281">
        <v>0.11409682490498875</v>
      </c>
      <c r="AK411" s="281">
        <v>9.192180148847362E-2</v>
      </c>
      <c r="AL411" s="281">
        <v>0.17106132176601893</v>
      </c>
      <c r="AM411" s="281">
        <v>0.16738015712140339</v>
      </c>
      <c r="AN411" s="281">
        <v>0.15787150055094173</v>
      </c>
      <c r="AO411" s="281">
        <v>0.16400645759968163</v>
      </c>
      <c r="AP411" s="281">
        <v>0.12255189558743838</v>
      </c>
      <c r="AQ411" s="281">
        <v>0.12846964520723786</v>
      </c>
      <c r="AR411" s="281">
        <v>9.9472856186574823E-2</v>
      </c>
      <c r="AS411" s="281">
        <v>0.12213730954564503</v>
      </c>
      <c r="AT411" s="281">
        <v>0.13688069092960931</v>
      </c>
      <c r="AU411" s="281">
        <v>0.13829863670229942</v>
      </c>
      <c r="AV411" s="281">
        <v>0.11656761182273773</v>
      </c>
      <c r="AW411" s="281">
        <v>0.11259893814270419</v>
      </c>
      <c r="AX411" s="281">
        <v>0.20193235711685251</v>
      </c>
      <c r="AY411" s="281">
        <v>0.20003980384529302</v>
      </c>
      <c r="AZ411" s="281">
        <v>0.14873029711818359</v>
      </c>
      <c r="BA411" s="281">
        <v>0.18690177372108033</v>
      </c>
      <c r="BB411" s="281">
        <v>0.1945752517595945</v>
      </c>
      <c r="BC411" s="281">
        <v>0.1467537834589269</v>
      </c>
      <c r="BD411" s="281">
        <v>0.1276260022945534</v>
      </c>
      <c r="BE411" s="281">
        <v>0.13724482922733139</v>
      </c>
      <c r="BF411" s="281">
        <v>0.129835383740556</v>
      </c>
      <c r="BG411" s="281">
        <v>0.17069649365941</v>
      </c>
      <c r="BH411" s="281">
        <v>0.13265642327026714</v>
      </c>
      <c r="BI411" s="281">
        <v>0.14590791665505792</v>
      </c>
      <c r="BJ411" s="281">
        <v>0</v>
      </c>
    </row>
    <row r="412" spans="1:62" ht="14.25" customHeight="1" x14ac:dyDescent="0.35">
      <c r="A412" s="41" t="s">
        <v>112</v>
      </c>
      <c r="B412" s="286">
        <v>0</v>
      </c>
      <c r="C412" s="286">
        <v>0</v>
      </c>
      <c r="D412" s="286">
        <v>0</v>
      </c>
      <c r="E412" s="286">
        <v>0</v>
      </c>
      <c r="F412" s="286">
        <v>0</v>
      </c>
      <c r="G412" s="286">
        <v>0</v>
      </c>
      <c r="H412" s="286">
        <v>0</v>
      </c>
      <c r="I412" s="286">
        <v>0</v>
      </c>
      <c r="J412" s="286">
        <v>0</v>
      </c>
      <c r="K412" s="286">
        <v>0</v>
      </c>
      <c r="L412" s="286">
        <v>0</v>
      </c>
      <c r="M412" s="286">
        <v>0</v>
      </c>
      <c r="N412" s="286">
        <v>0</v>
      </c>
      <c r="O412" s="286">
        <v>0</v>
      </c>
      <c r="P412" s="286">
        <v>0</v>
      </c>
      <c r="Q412" s="286">
        <v>0</v>
      </c>
      <c r="R412" s="286">
        <v>0</v>
      </c>
      <c r="S412" s="286">
        <v>0</v>
      </c>
      <c r="T412" s="286">
        <v>0</v>
      </c>
      <c r="U412" s="286">
        <v>0</v>
      </c>
      <c r="V412" s="286">
        <v>0</v>
      </c>
      <c r="W412" s="286">
        <v>0</v>
      </c>
      <c r="X412" s="286">
        <v>0</v>
      </c>
      <c r="Y412" s="286">
        <v>0</v>
      </c>
      <c r="Z412" s="286">
        <v>0</v>
      </c>
      <c r="AA412" s="286">
        <v>0</v>
      </c>
      <c r="AB412" s="286">
        <v>0</v>
      </c>
      <c r="AC412" s="286">
        <v>0</v>
      </c>
      <c r="AD412" s="286">
        <v>0</v>
      </c>
      <c r="AE412" s="286">
        <v>0</v>
      </c>
      <c r="AF412" s="286">
        <v>0</v>
      </c>
      <c r="AG412" s="286">
        <v>0</v>
      </c>
      <c r="AH412" s="286">
        <v>0</v>
      </c>
      <c r="AI412" s="286">
        <v>0</v>
      </c>
      <c r="AJ412" s="286">
        <v>0</v>
      </c>
      <c r="AK412" s="286">
        <v>0</v>
      </c>
      <c r="AL412" s="286">
        <v>0</v>
      </c>
      <c r="AM412" s="286">
        <v>0</v>
      </c>
      <c r="AN412" s="286">
        <v>0</v>
      </c>
      <c r="AO412" s="286">
        <v>0</v>
      </c>
      <c r="AP412" s="286">
        <v>0</v>
      </c>
      <c r="AQ412" s="286">
        <v>0</v>
      </c>
      <c r="AR412" s="286">
        <v>0</v>
      </c>
      <c r="AS412" s="286">
        <v>0</v>
      </c>
      <c r="AT412" s="286">
        <v>0</v>
      </c>
      <c r="AU412" s="286">
        <v>0</v>
      </c>
      <c r="AV412" s="286">
        <v>0</v>
      </c>
      <c r="AW412" s="286">
        <v>0</v>
      </c>
      <c r="AX412" s="286">
        <v>0</v>
      </c>
      <c r="AY412" s="286">
        <v>0</v>
      </c>
      <c r="AZ412" s="286">
        <v>0</v>
      </c>
      <c r="BA412" s="286">
        <v>0</v>
      </c>
      <c r="BB412" s="286">
        <v>0</v>
      </c>
      <c r="BC412" s="286">
        <v>0</v>
      </c>
      <c r="BD412" s="286">
        <v>0</v>
      </c>
      <c r="BE412" s="286">
        <v>0</v>
      </c>
      <c r="BF412" s="286">
        <v>0</v>
      </c>
      <c r="BG412" s="286">
        <v>0</v>
      </c>
      <c r="BH412" s="286">
        <v>0</v>
      </c>
      <c r="BI412" s="286">
        <v>0</v>
      </c>
      <c r="BJ412" s="281">
        <v>0.1413491113092788</v>
      </c>
    </row>
    <row r="413" spans="1:62" ht="14.25" customHeight="1" x14ac:dyDescent="0.35">
      <c r="A413" s="41" t="s">
        <v>113</v>
      </c>
      <c r="B413" s="286">
        <v>0</v>
      </c>
      <c r="C413" s="286">
        <v>0</v>
      </c>
      <c r="D413" s="286">
        <v>0</v>
      </c>
      <c r="E413" s="286">
        <v>0</v>
      </c>
      <c r="F413" s="286">
        <v>0</v>
      </c>
      <c r="G413" s="286">
        <v>0</v>
      </c>
      <c r="H413" s="286">
        <v>0</v>
      </c>
      <c r="I413" s="286">
        <v>0</v>
      </c>
      <c r="J413" s="286">
        <v>0</v>
      </c>
      <c r="K413" s="286">
        <v>0</v>
      </c>
      <c r="L413" s="286">
        <v>0</v>
      </c>
      <c r="M413" s="286">
        <v>0</v>
      </c>
      <c r="N413" s="286">
        <v>0</v>
      </c>
      <c r="O413" s="286">
        <v>0</v>
      </c>
      <c r="P413" s="286">
        <v>0</v>
      </c>
      <c r="Q413" s="286">
        <v>0</v>
      </c>
      <c r="R413" s="286">
        <v>0</v>
      </c>
      <c r="S413" s="286">
        <v>0</v>
      </c>
      <c r="T413" s="286">
        <v>0</v>
      </c>
      <c r="U413" s="286">
        <v>0</v>
      </c>
      <c r="V413" s="286">
        <v>0</v>
      </c>
      <c r="W413" s="286">
        <v>0</v>
      </c>
      <c r="X413" s="286">
        <v>0</v>
      </c>
      <c r="Y413" s="286">
        <v>0</v>
      </c>
      <c r="Z413" s="286">
        <v>0</v>
      </c>
      <c r="AA413" s="286">
        <v>0</v>
      </c>
      <c r="AB413" s="286">
        <v>0</v>
      </c>
      <c r="AC413" s="286">
        <v>0</v>
      </c>
      <c r="AD413" s="286">
        <v>0</v>
      </c>
      <c r="AE413" s="286">
        <v>0</v>
      </c>
      <c r="AF413" s="286">
        <v>0</v>
      </c>
      <c r="AG413" s="286">
        <v>0</v>
      </c>
      <c r="AH413" s="286">
        <v>0</v>
      </c>
      <c r="AI413" s="286">
        <v>0</v>
      </c>
      <c r="AJ413" s="286">
        <v>0</v>
      </c>
      <c r="AK413" s="286">
        <v>0</v>
      </c>
      <c r="AL413" s="286">
        <v>0</v>
      </c>
      <c r="AM413" s="286">
        <v>0</v>
      </c>
      <c r="AN413" s="286">
        <v>0</v>
      </c>
      <c r="AO413" s="286">
        <v>0</v>
      </c>
      <c r="AP413" s="286">
        <v>0</v>
      </c>
      <c r="AQ413" s="286">
        <v>0</v>
      </c>
      <c r="AR413" s="286">
        <v>0</v>
      </c>
      <c r="AS413" s="286">
        <v>0</v>
      </c>
      <c r="AT413" s="286">
        <v>0</v>
      </c>
      <c r="AU413" s="286">
        <v>0</v>
      </c>
      <c r="AV413" s="286">
        <v>0</v>
      </c>
      <c r="AW413" s="286">
        <v>0</v>
      </c>
      <c r="AX413" s="286">
        <v>0</v>
      </c>
      <c r="AY413" s="286">
        <v>0</v>
      </c>
      <c r="AZ413" s="286">
        <v>0</v>
      </c>
      <c r="BA413" s="286">
        <v>0</v>
      </c>
      <c r="BB413" s="286">
        <v>0</v>
      </c>
      <c r="BC413" s="286">
        <v>0</v>
      </c>
      <c r="BD413" s="286">
        <v>0</v>
      </c>
      <c r="BE413" s="286">
        <v>0</v>
      </c>
      <c r="BF413" s="286">
        <v>0</v>
      </c>
      <c r="BG413" s="286">
        <v>0</v>
      </c>
      <c r="BH413" s="286">
        <v>0</v>
      </c>
      <c r="BI413" s="286">
        <v>0</v>
      </c>
      <c r="BJ413" s="281">
        <v>8.6114060940416765E-2</v>
      </c>
    </row>
    <row r="414" spans="1:62" ht="14.25" customHeight="1" x14ac:dyDescent="0.35">
      <c r="A414" s="41" t="s">
        <v>114</v>
      </c>
      <c r="B414" s="281">
        <v>3.0064779790050587E-2</v>
      </c>
      <c r="C414" s="281">
        <v>1.3196993846179785E-2</v>
      </c>
      <c r="D414" s="281">
        <v>4.0804362828818296E-2</v>
      </c>
      <c r="E414" s="281">
        <v>4.9081602269837432E-2</v>
      </c>
      <c r="F414" s="281">
        <v>4.8677320271460225E-2</v>
      </c>
      <c r="G414" s="281">
        <v>4.1908935174360271E-2</v>
      </c>
      <c r="H414" s="281">
        <v>3.4866803619625554E-2</v>
      </c>
      <c r="I414" s="281">
        <v>1.5779126426399313E-2</v>
      </c>
      <c r="J414" s="281">
        <v>4.3749071198471871E-2</v>
      </c>
      <c r="K414" s="281">
        <v>4.4475925968714095E-2</v>
      </c>
      <c r="L414" s="281">
        <v>4.7543410197303654E-2</v>
      </c>
      <c r="M414" s="281">
        <v>4.2603788293098514E-2</v>
      </c>
      <c r="N414" s="281">
        <v>3.7077690195531865E-2</v>
      </c>
      <c r="O414" s="281">
        <v>2.8417147240427963E-2</v>
      </c>
      <c r="P414" s="281">
        <v>4.6449503019766317E-2</v>
      </c>
      <c r="Q414" s="281">
        <v>5.6841832255881533E-2</v>
      </c>
      <c r="R414" s="281">
        <v>5.3577122648373561E-2</v>
      </c>
      <c r="S414" s="281">
        <v>5.1378825364542968E-2</v>
      </c>
      <c r="T414" s="281">
        <v>3.5865695597308477E-2</v>
      </c>
      <c r="U414" s="281">
        <v>2.6214717185194945E-2</v>
      </c>
      <c r="V414" s="281">
        <v>4.0740503028546288E-2</v>
      </c>
      <c r="W414" s="281">
        <v>5.0682840686256302E-2</v>
      </c>
      <c r="X414" s="281">
        <v>5.136269271365098E-2</v>
      </c>
      <c r="Y414" s="281">
        <v>4.8334182065847137E-2</v>
      </c>
      <c r="Z414" s="281">
        <v>4.0995995288996015E-2</v>
      </c>
      <c r="AA414" s="281">
        <v>4.0087264477047892E-2</v>
      </c>
      <c r="AB414" s="281">
        <v>5.0670564605182426E-2</v>
      </c>
      <c r="AC414" s="281">
        <v>6.0826636413263899E-2</v>
      </c>
      <c r="AD414" s="281">
        <v>5.5291713799644454E-2</v>
      </c>
      <c r="AE414" s="281">
        <v>5.262261964639376E-2</v>
      </c>
      <c r="AF414" s="281">
        <v>3.7855611535178087E-2</v>
      </c>
      <c r="AG414" s="281">
        <v>3.0571683598707895E-2</v>
      </c>
      <c r="AH414" s="281">
        <v>4.7115907498563425E-2</v>
      </c>
      <c r="AI414" s="281">
        <v>5.4094507959282119E-2</v>
      </c>
      <c r="AJ414" s="281">
        <v>5.3989606373573022E-2</v>
      </c>
      <c r="AK414" s="281">
        <v>4.8807148351380246E-2</v>
      </c>
      <c r="AL414" s="281">
        <v>4.9337084529214106E-2</v>
      </c>
      <c r="AM414" s="281">
        <v>4.7302343916874358E-2</v>
      </c>
      <c r="AN414" s="281">
        <v>5.9769591681769534E-2</v>
      </c>
      <c r="AO414" s="281">
        <v>6.0435946983284194E-2</v>
      </c>
      <c r="AP414" s="281">
        <v>5.793614351478845E-2</v>
      </c>
      <c r="AQ414" s="281">
        <v>5.7921979031280442E-2</v>
      </c>
      <c r="AR414" s="281">
        <v>4.0413658439040115E-2</v>
      </c>
      <c r="AS414" s="281">
        <v>5.1698787676075768E-2</v>
      </c>
      <c r="AT414" s="281">
        <v>5.1223645505975059E-2</v>
      </c>
      <c r="AU414" s="281">
        <v>5.877312684192202E-2</v>
      </c>
      <c r="AV414" s="281">
        <v>5.5219267305574783E-2</v>
      </c>
      <c r="AW414" s="281">
        <v>5.3185602172926061E-2</v>
      </c>
      <c r="AX414" s="281">
        <v>6.0773089328947885E-2</v>
      </c>
      <c r="AY414" s="281">
        <v>6.7630764862504689E-2</v>
      </c>
      <c r="AZ414" s="281">
        <v>6.1346013073411643E-2</v>
      </c>
      <c r="BA414" s="281">
        <v>6.5112265139457712E-2</v>
      </c>
      <c r="BB414" s="281">
        <v>6.0335585933163426E-2</v>
      </c>
      <c r="BC414" s="281">
        <v>6.3043377895587616E-2</v>
      </c>
      <c r="BD414" s="281">
        <v>5.3662413068185935E-2</v>
      </c>
      <c r="BE414" s="281">
        <v>6.589161238661348E-2</v>
      </c>
      <c r="BF414" s="281">
        <v>6.0162185471039527E-2</v>
      </c>
      <c r="BG414" s="281">
        <v>6.243875207263714E-2</v>
      </c>
      <c r="BH414" s="281">
        <v>5.9641203104581098E-2</v>
      </c>
      <c r="BI414" s="281">
        <v>5.7969511249505536E-2</v>
      </c>
      <c r="BJ414" s="281">
        <v>0</v>
      </c>
    </row>
    <row r="415" spans="1:62" ht="14.25" customHeight="1" x14ac:dyDescent="0.35">
      <c r="A415" s="41" t="s">
        <v>115</v>
      </c>
      <c r="B415" s="281">
        <v>1.6568199883905999E-2</v>
      </c>
      <c r="C415" s="281">
        <v>1.5228580343117238E-2</v>
      </c>
      <c r="D415" s="281">
        <v>2.1512805930560343E-2</v>
      </c>
      <c r="E415" s="281">
        <v>3.7676227900453191E-2</v>
      </c>
      <c r="F415" s="281">
        <v>3.7213549521534391E-2</v>
      </c>
      <c r="G415" s="281">
        <v>2.5384997313725913E-2</v>
      </c>
      <c r="H415" s="281">
        <v>1.4506797203414204E-2</v>
      </c>
      <c r="I415" s="281">
        <v>1.740070572648857E-2</v>
      </c>
      <c r="J415" s="281">
        <v>1.8395473653374045E-2</v>
      </c>
      <c r="K415" s="281">
        <v>4.0867689720648054E-2</v>
      </c>
      <c r="L415" s="281">
        <v>3.6437001808411952E-2</v>
      </c>
      <c r="M415" s="281">
        <v>3.3654991352639899E-2</v>
      </c>
      <c r="N415" s="281">
        <v>2.2769582038535918E-2</v>
      </c>
      <c r="O415" s="281">
        <v>3.1517554286593787E-2</v>
      </c>
      <c r="P415" s="281">
        <v>3.3011383650914945E-2</v>
      </c>
      <c r="Q415" s="281">
        <v>5.9250131696145181E-2</v>
      </c>
      <c r="R415" s="281">
        <v>4.9391225036080552E-2</v>
      </c>
      <c r="S415" s="281">
        <v>3.8106083213232056E-2</v>
      </c>
      <c r="T415" s="281">
        <v>9.9306585030279788E-3</v>
      </c>
      <c r="U415" s="281">
        <v>3.7670861209913482E-2</v>
      </c>
      <c r="V415" s="281">
        <v>1.8571269360687946E-2</v>
      </c>
      <c r="W415" s="281">
        <v>5.2902838424949687E-2</v>
      </c>
      <c r="X415" s="281">
        <v>4.4893346916182866E-2</v>
      </c>
      <c r="Y415" s="281">
        <v>4.1503509006270631E-2</v>
      </c>
      <c r="Z415" s="281">
        <v>4.2531285553549174E-2</v>
      </c>
      <c r="AA415" s="281">
        <v>5.7687327531514267E-2</v>
      </c>
      <c r="AB415" s="281">
        <v>5.9177913708488301E-2</v>
      </c>
      <c r="AC415" s="281">
        <v>7.6041927296648687E-2</v>
      </c>
      <c r="AD415" s="281">
        <v>6.1995633090045403E-2</v>
      </c>
      <c r="AE415" s="281">
        <v>5.819236049151813E-2</v>
      </c>
      <c r="AF415" s="281">
        <v>1.9873742378825918E-2</v>
      </c>
      <c r="AG415" s="281">
        <v>4.3491648062486232E-2</v>
      </c>
      <c r="AH415" s="281">
        <v>3.1722112661485946E-2</v>
      </c>
      <c r="AI415" s="281">
        <v>6.8336311877648562E-2</v>
      </c>
      <c r="AJ415" s="281">
        <v>5.1639934945893771E-2</v>
      </c>
      <c r="AK415" s="281">
        <v>5.0533317002931059E-2</v>
      </c>
      <c r="AL415" s="281">
        <v>8.1065248532419143E-2</v>
      </c>
      <c r="AM415" s="281">
        <v>7.8756116661496817E-2</v>
      </c>
      <c r="AN415" s="281">
        <v>8.0051564650863216E-2</v>
      </c>
      <c r="AO415" s="281">
        <v>0.10604889073508793</v>
      </c>
      <c r="AP415" s="281">
        <v>8.8294090820264973E-2</v>
      </c>
      <c r="AQ415" s="281">
        <v>8.6089138468057727E-2</v>
      </c>
      <c r="AR415" s="281">
        <v>4.1826800821314181E-2</v>
      </c>
      <c r="AS415" s="281">
        <v>7.6635776279427012E-2</v>
      </c>
      <c r="AT415" s="281">
        <v>5.4736839300517023E-2</v>
      </c>
      <c r="AU415" s="281">
        <v>9.1015035605342701E-2</v>
      </c>
      <c r="AV415" s="281">
        <v>7.4791625690954822E-2</v>
      </c>
      <c r="AW415" s="281">
        <v>5.6148319561695657E-2</v>
      </c>
      <c r="AX415" s="281">
        <v>0.12138660149759174</v>
      </c>
      <c r="AY415" s="281">
        <v>9.9438111572185267E-2</v>
      </c>
      <c r="AZ415" s="281">
        <v>0.10613332212629382</v>
      </c>
      <c r="BA415" s="281">
        <v>0.13321105439181438</v>
      </c>
      <c r="BB415" s="281">
        <v>0.12355531861010723</v>
      </c>
      <c r="BC415" s="281">
        <v>0.11391962745973641</v>
      </c>
      <c r="BD415" s="281">
        <v>9.6024421242890956E-2</v>
      </c>
      <c r="BE415" s="281">
        <v>9.3535795314306378E-2</v>
      </c>
      <c r="BF415" s="281">
        <v>9.1598013262073813E-2</v>
      </c>
      <c r="BG415" s="281">
        <v>0.11824993705049228</v>
      </c>
      <c r="BH415" s="281">
        <v>0.1017501062360316</v>
      </c>
      <c r="BI415" s="281">
        <v>0.10506516936757787</v>
      </c>
      <c r="BJ415" s="281">
        <v>0</v>
      </c>
    </row>
    <row r="416" spans="1:62" ht="14.25" customHeight="1" x14ac:dyDescent="0.35">
      <c r="A416" s="41" t="s">
        <v>116</v>
      </c>
      <c r="B416" s="286">
        <v>0</v>
      </c>
      <c r="C416" s="286">
        <v>0</v>
      </c>
      <c r="D416" s="286">
        <v>0</v>
      </c>
      <c r="E416" s="286">
        <v>0</v>
      </c>
      <c r="F416" s="286">
        <v>0</v>
      </c>
      <c r="G416" s="286">
        <v>0</v>
      </c>
      <c r="H416" s="286">
        <v>0</v>
      </c>
      <c r="I416" s="286">
        <v>0</v>
      </c>
      <c r="J416" s="286">
        <v>0</v>
      </c>
      <c r="K416" s="286">
        <v>0</v>
      </c>
      <c r="L416" s="286">
        <v>0</v>
      </c>
      <c r="M416" s="286">
        <v>0</v>
      </c>
      <c r="N416" s="286">
        <v>0</v>
      </c>
      <c r="O416" s="286">
        <v>0</v>
      </c>
      <c r="P416" s="286">
        <v>0</v>
      </c>
      <c r="Q416" s="286">
        <v>0</v>
      </c>
      <c r="R416" s="286">
        <v>0</v>
      </c>
      <c r="S416" s="286">
        <v>0</v>
      </c>
      <c r="T416" s="286">
        <v>0</v>
      </c>
      <c r="U416" s="286">
        <v>0</v>
      </c>
      <c r="V416" s="286">
        <v>0</v>
      </c>
      <c r="W416" s="286">
        <v>0</v>
      </c>
      <c r="X416" s="286">
        <v>0</v>
      </c>
      <c r="Y416" s="286">
        <v>0</v>
      </c>
      <c r="Z416" s="286">
        <v>0</v>
      </c>
      <c r="AA416" s="286">
        <v>0</v>
      </c>
      <c r="AB416" s="286">
        <v>0</v>
      </c>
      <c r="AC416" s="286">
        <v>0</v>
      </c>
      <c r="AD416" s="286">
        <v>0</v>
      </c>
      <c r="AE416" s="286">
        <v>0</v>
      </c>
      <c r="AF416" s="286">
        <v>0</v>
      </c>
      <c r="AG416" s="286">
        <v>0</v>
      </c>
      <c r="AH416" s="286">
        <v>0</v>
      </c>
      <c r="AI416" s="286">
        <v>0</v>
      </c>
      <c r="AJ416" s="286">
        <v>0</v>
      </c>
      <c r="AK416" s="286">
        <v>0</v>
      </c>
      <c r="AL416" s="286">
        <v>0</v>
      </c>
      <c r="AM416" s="286">
        <v>0</v>
      </c>
      <c r="AN416" s="286">
        <v>0</v>
      </c>
      <c r="AO416" s="286">
        <v>0</v>
      </c>
      <c r="AP416" s="286">
        <v>0</v>
      </c>
      <c r="AQ416" s="286">
        <v>0</v>
      </c>
      <c r="AR416" s="286">
        <v>0</v>
      </c>
      <c r="AS416" s="286">
        <v>0</v>
      </c>
      <c r="AT416" s="286">
        <v>0</v>
      </c>
      <c r="AU416" s="286">
        <v>0</v>
      </c>
      <c r="AV416" s="286">
        <v>0</v>
      </c>
      <c r="AW416" s="286">
        <v>0</v>
      </c>
      <c r="AX416" s="286">
        <v>0</v>
      </c>
      <c r="AY416" s="286">
        <v>0</v>
      </c>
      <c r="AZ416" s="286">
        <v>0</v>
      </c>
      <c r="BA416" s="286">
        <v>0</v>
      </c>
      <c r="BB416" s="286">
        <v>0</v>
      </c>
      <c r="BC416" s="286">
        <v>0</v>
      </c>
      <c r="BD416" s="286">
        <v>0</v>
      </c>
      <c r="BE416" s="286">
        <v>0</v>
      </c>
      <c r="BF416" s="286">
        <v>0</v>
      </c>
      <c r="BG416" s="286">
        <v>0</v>
      </c>
      <c r="BH416" s="286">
        <v>0</v>
      </c>
      <c r="BI416" s="286">
        <v>0</v>
      </c>
      <c r="BJ416" s="281">
        <v>6.7129094529682298E-2</v>
      </c>
    </row>
    <row r="417" spans="1:63" ht="14.25" customHeight="1" x14ac:dyDescent="0.35">
      <c r="A417" s="41" t="s">
        <v>117</v>
      </c>
      <c r="B417" s="281">
        <v>1.9263155983248102E-2</v>
      </c>
      <c r="C417" s="281">
        <v>6.4881694469791579E-3</v>
      </c>
      <c r="D417" s="281">
        <v>3.2023469018128276E-2</v>
      </c>
      <c r="E417" s="281">
        <v>5.692579248987846E-2</v>
      </c>
      <c r="F417" s="281">
        <v>5.393620513213257E-2</v>
      </c>
      <c r="G417" s="281">
        <v>6.1046638083840511E-2</v>
      </c>
      <c r="H417" s="281">
        <v>1.9378964026652887E-2</v>
      </c>
      <c r="I417" s="281">
        <v>5.1507137123085484E-3</v>
      </c>
      <c r="J417" s="281">
        <v>2.1346414187371869E-2</v>
      </c>
      <c r="K417" s="281">
        <v>4.670602646032334E-2</v>
      </c>
      <c r="L417" s="281">
        <v>4.1227235514711927E-2</v>
      </c>
      <c r="M417" s="281">
        <v>3.225969146827936E-2</v>
      </c>
      <c r="N417" s="281">
        <v>9.891989233077941E-3</v>
      </c>
      <c r="O417" s="281">
        <v>1.7364398375431182E-2</v>
      </c>
      <c r="P417" s="281">
        <v>2.9083472699623993E-2</v>
      </c>
      <c r="Q417" s="281">
        <v>4.7856300727457717E-2</v>
      </c>
      <c r="R417" s="281">
        <v>4.7785351569665784E-2</v>
      </c>
      <c r="S417" s="281">
        <v>6.4330842331350349E-2</v>
      </c>
      <c r="T417" s="281">
        <v>1.1316387363281935E-2</v>
      </c>
      <c r="U417" s="281">
        <v>1.438564973269911E-2</v>
      </c>
      <c r="V417" s="281">
        <v>1.4128641575204139E-2</v>
      </c>
      <c r="W417" s="281">
        <v>4.906320945996432E-2</v>
      </c>
      <c r="X417" s="281">
        <v>4.504995165304166E-2</v>
      </c>
      <c r="Y417" s="281">
        <v>4.2968774351379732E-2</v>
      </c>
      <c r="Z417" s="281">
        <v>1.0853125161681586E-2</v>
      </c>
      <c r="AA417" s="281">
        <v>3.1616318591970782E-2</v>
      </c>
      <c r="AB417" s="281">
        <v>2.8400597967343212E-2</v>
      </c>
      <c r="AC417" s="281">
        <v>5.7069605828489488E-2</v>
      </c>
      <c r="AD417" s="281">
        <v>4.0629018777211284E-2</v>
      </c>
      <c r="AE417" s="281">
        <v>5.7902753570307317E-2</v>
      </c>
      <c r="AF417" s="281">
        <v>1.110201047330687E-2</v>
      </c>
      <c r="AG417" s="281">
        <v>2.0231029433669757E-2</v>
      </c>
      <c r="AH417" s="281">
        <v>1.6536227865921346E-2</v>
      </c>
      <c r="AI417" s="281">
        <v>5.2858005458687352E-2</v>
      </c>
      <c r="AJ417" s="281">
        <v>4.2701243745081045E-2</v>
      </c>
      <c r="AK417" s="281">
        <v>4.1606283545992731E-2</v>
      </c>
      <c r="AL417" s="281">
        <v>1.3135603013923022E-2</v>
      </c>
      <c r="AM417" s="281">
        <v>4.5840840553589238E-2</v>
      </c>
      <c r="AN417" s="281">
        <v>3.3133973254998318E-2</v>
      </c>
      <c r="AO417" s="281">
        <v>5.1195182101443519E-2</v>
      </c>
      <c r="AP417" s="281">
        <v>4.2152099068718592E-2</v>
      </c>
      <c r="AQ417" s="281">
        <v>4.5315967284461217E-2</v>
      </c>
      <c r="AR417" s="281">
        <v>1.4099714409277811E-2</v>
      </c>
      <c r="AS417" s="281">
        <v>3.5558021218754642E-2</v>
      </c>
      <c r="AT417" s="281">
        <v>2.527663910515612E-2</v>
      </c>
      <c r="AU417" s="281">
        <v>5.4757773043169471E-2</v>
      </c>
      <c r="AV417" s="281">
        <v>4.2213077211345158E-2</v>
      </c>
      <c r="AW417" s="281">
        <v>4.4117817092761955E-2</v>
      </c>
      <c r="AX417" s="281">
        <v>4.2750934238017499E-2</v>
      </c>
      <c r="AY417" s="281">
        <v>6.8062992560510016E-2</v>
      </c>
      <c r="AZ417" s="281">
        <v>5.1401689172795015E-2</v>
      </c>
      <c r="BA417" s="281">
        <v>5.3895696683674832E-2</v>
      </c>
      <c r="BB417" s="281">
        <v>4.5880449418182562E-2</v>
      </c>
      <c r="BC417" s="281">
        <v>4.2706806433001995E-2</v>
      </c>
      <c r="BD417" s="281">
        <v>3.2980444688490304E-2</v>
      </c>
      <c r="BE417" s="281">
        <v>4.7474304783703368E-2</v>
      </c>
      <c r="BF417" s="281">
        <v>3.5309445153781031E-2</v>
      </c>
      <c r="BG417" s="281">
        <v>5.3019846724342547E-2</v>
      </c>
      <c r="BH417" s="281">
        <v>4.5653268665321968E-2</v>
      </c>
      <c r="BI417" s="281">
        <v>4.7158995507940484E-2</v>
      </c>
      <c r="BJ417" s="281">
        <v>0</v>
      </c>
    </row>
    <row r="418" spans="1:63" ht="14.25" customHeight="1" x14ac:dyDescent="0.35">
      <c r="A418" s="41" t="s">
        <v>118</v>
      </c>
      <c r="B418" s="286">
        <v>0</v>
      </c>
      <c r="C418" s="286">
        <v>0</v>
      </c>
      <c r="D418" s="286">
        <v>0</v>
      </c>
      <c r="E418" s="286">
        <v>0</v>
      </c>
      <c r="F418" s="286">
        <v>0</v>
      </c>
      <c r="G418" s="286">
        <v>0</v>
      </c>
      <c r="H418" s="286">
        <v>0</v>
      </c>
      <c r="I418" s="286">
        <v>0</v>
      </c>
      <c r="J418" s="286">
        <v>0</v>
      </c>
      <c r="K418" s="286">
        <v>0</v>
      </c>
      <c r="L418" s="286">
        <v>0</v>
      </c>
      <c r="M418" s="286">
        <v>0</v>
      </c>
      <c r="N418" s="286">
        <v>0</v>
      </c>
      <c r="O418" s="286">
        <v>0</v>
      </c>
      <c r="P418" s="286">
        <v>0</v>
      </c>
      <c r="Q418" s="286">
        <v>0</v>
      </c>
      <c r="R418" s="286">
        <v>0</v>
      </c>
      <c r="S418" s="286">
        <v>0</v>
      </c>
      <c r="T418" s="286">
        <v>0</v>
      </c>
      <c r="U418" s="286">
        <v>0</v>
      </c>
      <c r="V418" s="286">
        <v>0</v>
      </c>
      <c r="W418" s="286">
        <v>0</v>
      </c>
      <c r="X418" s="286">
        <v>0</v>
      </c>
      <c r="Y418" s="286">
        <v>0</v>
      </c>
      <c r="Z418" s="286">
        <v>0</v>
      </c>
      <c r="AA418" s="286">
        <v>0</v>
      </c>
      <c r="AB418" s="286">
        <v>0</v>
      </c>
      <c r="AC418" s="286">
        <v>0</v>
      </c>
      <c r="AD418" s="286">
        <v>0</v>
      </c>
      <c r="AE418" s="286">
        <v>0</v>
      </c>
      <c r="AF418" s="286">
        <v>0</v>
      </c>
      <c r="AG418" s="286">
        <v>0</v>
      </c>
      <c r="AH418" s="286">
        <v>0</v>
      </c>
      <c r="AI418" s="286">
        <v>0</v>
      </c>
      <c r="AJ418" s="286">
        <v>0</v>
      </c>
      <c r="AK418" s="286">
        <v>0</v>
      </c>
      <c r="AL418" s="286">
        <v>0</v>
      </c>
      <c r="AM418" s="286">
        <v>0</v>
      </c>
      <c r="AN418" s="286">
        <v>0</v>
      </c>
      <c r="AO418" s="286">
        <v>0</v>
      </c>
      <c r="AP418" s="286">
        <v>0</v>
      </c>
      <c r="AQ418" s="286">
        <v>0</v>
      </c>
      <c r="AR418" s="286">
        <v>0</v>
      </c>
      <c r="AS418" s="286">
        <v>0</v>
      </c>
      <c r="AT418" s="286">
        <v>0</v>
      </c>
      <c r="AU418" s="286">
        <v>0</v>
      </c>
      <c r="AV418" s="286">
        <v>0</v>
      </c>
      <c r="AW418" s="286">
        <v>0</v>
      </c>
      <c r="AX418" s="286">
        <v>0</v>
      </c>
      <c r="AY418" s="286">
        <v>0</v>
      </c>
      <c r="AZ418" s="286">
        <v>0</v>
      </c>
      <c r="BA418" s="286">
        <v>0</v>
      </c>
      <c r="BB418" s="286">
        <v>0</v>
      </c>
      <c r="BC418" s="286">
        <v>0</v>
      </c>
      <c r="BD418" s="286">
        <v>0</v>
      </c>
      <c r="BE418" s="286">
        <v>0</v>
      </c>
      <c r="BF418" s="286">
        <v>0</v>
      </c>
      <c r="BG418" s="286">
        <v>0</v>
      </c>
      <c r="BH418" s="286">
        <v>0</v>
      </c>
      <c r="BI418" s="286">
        <v>0</v>
      </c>
      <c r="BJ418" s="281">
        <v>6.0014714004124253E-2</v>
      </c>
    </row>
    <row r="419" spans="1:63" ht="14.25" customHeight="1" x14ac:dyDescent="0.35">
      <c r="A419" s="41" t="s">
        <v>119</v>
      </c>
      <c r="B419" s="281">
        <v>4.5309079137911545E-2</v>
      </c>
      <c r="C419" s="281">
        <v>0.13006046827461223</v>
      </c>
      <c r="D419" s="281">
        <v>2.8408813814574545E-2</v>
      </c>
      <c r="E419" s="281">
        <v>3.9803526592667615E-2</v>
      </c>
      <c r="F419" s="281">
        <v>4.4810252598777169E-2</v>
      </c>
      <c r="G419" s="281">
        <v>3.135577182842722E-2</v>
      </c>
      <c r="H419" s="281">
        <v>3.3414055482418693E-2</v>
      </c>
      <c r="I419" s="281">
        <v>9.8802746217887885E-3</v>
      </c>
      <c r="J419" s="281">
        <v>3.0060537781248328E-2</v>
      </c>
      <c r="K419" s="281">
        <v>3.5520933470362961E-2</v>
      </c>
      <c r="L419" s="281">
        <v>3.1722611115813155E-2</v>
      </c>
      <c r="M419" s="281">
        <v>3.2401327279026032E-2</v>
      </c>
      <c r="N419" s="281">
        <v>2.2979769036449032E-2</v>
      </c>
      <c r="O419" s="281">
        <v>3.6993898538653369E-2</v>
      </c>
      <c r="P419" s="281">
        <v>3.6538606769043656E-2</v>
      </c>
      <c r="Q419" s="281">
        <v>5.3425191110545389E-2</v>
      </c>
      <c r="R419" s="281">
        <v>5.260770401446304E-2</v>
      </c>
      <c r="S419" s="281">
        <v>2.8224263222054263E-2</v>
      </c>
      <c r="T419" s="281">
        <v>1.9756929490301171E-2</v>
      </c>
      <c r="U419" s="281">
        <v>5.9052096183554885E-2</v>
      </c>
      <c r="V419" s="281">
        <v>2.2478958043465998E-2</v>
      </c>
      <c r="W419" s="281">
        <v>4.9398269814420338E-2</v>
      </c>
      <c r="X419" s="281">
        <v>4.2149992188630039E-2</v>
      </c>
      <c r="Y419" s="281">
        <v>3.347168340166716E-2</v>
      </c>
      <c r="Z419" s="281">
        <v>4.4925183703007507E-2</v>
      </c>
      <c r="AA419" s="281">
        <v>3.8859282745151297E-2</v>
      </c>
      <c r="AB419" s="281">
        <v>5.5901305150757752E-2</v>
      </c>
      <c r="AC419" s="281">
        <v>7.2214963245638808E-2</v>
      </c>
      <c r="AD419" s="281">
        <v>7.2232991841682262E-2</v>
      </c>
      <c r="AE419" s="281">
        <v>5.4084076084015685E-2</v>
      </c>
      <c r="AF419" s="281">
        <v>1.9286019113679498E-2</v>
      </c>
      <c r="AG419" s="281">
        <v>3.5365991744299684E-2</v>
      </c>
      <c r="AH419" s="281">
        <v>3.9468587840389688E-2</v>
      </c>
      <c r="AI419" s="281">
        <v>6.7316005175328375E-2</v>
      </c>
      <c r="AJ419" s="281">
        <v>5.8969908797230353E-2</v>
      </c>
      <c r="AK419" s="281">
        <v>4.7778419097150415E-2</v>
      </c>
      <c r="AL419" s="281">
        <v>7.6050684969048085E-2</v>
      </c>
      <c r="AM419" s="281">
        <v>5.9993458032709904E-2</v>
      </c>
      <c r="AN419" s="281">
        <v>8.4365219882876777E-2</v>
      </c>
      <c r="AO419" s="281">
        <v>8.7329086731997657E-2</v>
      </c>
      <c r="AP419" s="281">
        <v>7.8160833486350514E-2</v>
      </c>
      <c r="AQ419" s="281">
        <v>7.361477573218897E-2</v>
      </c>
      <c r="AR419" s="281">
        <v>5.8334388285367793E-2</v>
      </c>
      <c r="AS419" s="281">
        <v>7.9561180486084598E-2</v>
      </c>
      <c r="AT419" s="281">
        <v>6.8986697797289429E-2</v>
      </c>
      <c r="AU419" s="281">
        <v>8.1511976125159244E-2</v>
      </c>
      <c r="AV419" s="281">
        <v>7.5306998309215556E-2</v>
      </c>
      <c r="AW419" s="281">
        <v>5.5754296192129099E-2</v>
      </c>
      <c r="AX419" s="281">
        <v>0.11968362825824043</v>
      </c>
      <c r="AY419" s="281">
        <v>0.11837430009690335</v>
      </c>
      <c r="AZ419" s="281">
        <v>0.12166932748258459</v>
      </c>
      <c r="BA419" s="281">
        <v>0.13063728001737043</v>
      </c>
      <c r="BB419" s="281">
        <v>0.11840593458861873</v>
      </c>
      <c r="BC419" s="281">
        <v>0.11662496405608012</v>
      </c>
      <c r="BD419" s="281">
        <v>0.10766527585523411</v>
      </c>
      <c r="BE419" s="281">
        <v>7.5119369914327133E-2</v>
      </c>
      <c r="BF419" s="281">
        <v>0.10321461424367394</v>
      </c>
      <c r="BG419" s="281">
        <v>0.1044567347577357</v>
      </c>
      <c r="BH419" s="281">
        <v>0.10938062231626611</v>
      </c>
      <c r="BI419" s="281">
        <v>0.10222683728568439</v>
      </c>
      <c r="BJ419" s="281">
        <v>0</v>
      </c>
    </row>
    <row r="420" spans="1:63" ht="14.25" customHeight="1" x14ac:dyDescent="0.35">
      <c r="A420" s="41" t="s">
        <v>120</v>
      </c>
      <c r="B420" s="281">
        <v>0.11446197727946163</v>
      </c>
      <c r="C420" s="281">
        <v>9.2942758895401448E-2</v>
      </c>
      <c r="D420" s="281">
        <v>0.15609878230980104</v>
      </c>
      <c r="E420" s="281">
        <v>0.12749748569616814</v>
      </c>
      <c r="F420" s="281">
        <v>0.17972530950845708</v>
      </c>
      <c r="G420" s="281">
        <v>0.10437933503650812</v>
      </c>
      <c r="H420" s="281">
        <v>0.12835964098224445</v>
      </c>
      <c r="I420" s="281">
        <v>9.3269934325989817E-2</v>
      </c>
      <c r="J420" s="281">
        <v>0.16886952946382935</v>
      </c>
      <c r="K420" s="281">
        <v>0.1452850209849777</v>
      </c>
      <c r="L420" s="281">
        <v>0.15139796044924672</v>
      </c>
      <c r="M420" s="281">
        <v>9.7605487789977005E-2</v>
      </c>
      <c r="N420" s="281">
        <v>0.14562434021981294</v>
      </c>
      <c r="O420" s="281">
        <v>0.17413882217900123</v>
      </c>
      <c r="P420" s="281">
        <v>0.18752849130730928</v>
      </c>
      <c r="Q420" s="281">
        <v>0.16274794526196354</v>
      </c>
      <c r="R420" s="281">
        <v>0.18468009378653175</v>
      </c>
      <c r="S420" s="281">
        <v>0.14321583788551726</v>
      </c>
      <c r="T420" s="281">
        <v>0.16128831501822286</v>
      </c>
      <c r="U420" s="281">
        <v>0.13551784872710418</v>
      </c>
      <c r="V420" s="281">
        <v>0.1885512512066102</v>
      </c>
      <c r="W420" s="281">
        <v>0.17171105497069145</v>
      </c>
      <c r="X420" s="281">
        <v>0.17287085592033785</v>
      </c>
      <c r="Y420" s="281">
        <v>0.15851350905309244</v>
      </c>
      <c r="Z420" s="281">
        <v>0.18039445695946338</v>
      </c>
      <c r="AA420" s="281">
        <v>0.16928975369606689</v>
      </c>
      <c r="AB420" s="281">
        <v>0.1759524103831131</v>
      </c>
      <c r="AC420" s="281">
        <v>0.1814928404885674</v>
      </c>
      <c r="AD420" s="281">
        <v>0.19003146382661451</v>
      </c>
      <c r="AE420" s="281">
        <v>0.18152306715902031</v>
      </c>
      <c r="AF420" s="281">
        <v>0.17888290735350965</v>
      </c>
      <c r="AG420" s="281">
        <v>0.14093720430507017</v>
      </c>
      <c r="AH420" s="281">
        <v>0.1857878953447715</v>
      </c>
      <c r="AI420" s="281">
        <v>0.18436846258466785</v>
      </c>
      <c r="AJ420" s="281">
        <v>0.18652483344952828</v>
      </c>
      <c r="AK420" s="281">
        <v>0.18002974773281294</v>
      </c>
      <c r="AL420" s="281">
        <v>0.1965870814449539</v>
      </c>
      <c r="AM420" s="281">
        <v>0.18639954846054413</v>
      </c>
      <c r="AN420" s="281">
        <v>0.20086385373377141</v>
      </c>
      <c r="AO420" s="281">
        <v>0.19674830351987468</v>
      </c>
      <c r="AP420" s="281">
        <v>0.20282048422996823</v>
      </c>
      <c r="AQ420" s="281">
        <v>0.20563693290139887</v>
      </c>
      <c r="AR420" s="281">
        <v>0.18994147417983562</v>
      </c>
      <c r="AS420" s="281">
        <v>0.20470549969740567</v>
      </c>
      <c r="AT420" s="281">
        <v>0.20302679419347644</v>
      </c>
      <c r="AU420" s="281">
        <v>0.19986949572953877</v>
      </c>
      <c r="AV420" s="281">
        <v>0.19140231284579412</v>
      </c>
      <c r="AW420" s="281">
        <v>0.19297097134967831</v>
      </c>
      <c r="AX420" s="281">
        <v>0.26148658164389832</v>
      </c>
      <c r="AY420" s="281">
        <v>0.2204734788218842</v>
      </c>
      <c r="AZ420" s="281">
        <v>0.31149011444146946</v>
      </c>
      <c r="BA420" s="281">
        <v>0.23294074475803919</v>
      </c>
      <c r="BB420" s="281">
        <v>0.26957790627931261</v>
      </c>
      <c r="BC420" s="281">
        <v>0.28949107382252937</v>
      </c>
      <c r="BD420" s="281">
        <v>0.21254884110710948</v>
      </c>
      <c r="BE420" s="281">
        <v>0.22281031129228696</v>
      </c>
      <c r="BF420" s="281">
        <v>0.26036161807703617</v>
      </c>
      <c r="BG420" s="281">
        <v>0.24949483890091223</v>
      </c>
      <c r="BH420" s="281">
        <v>0.23180583179082459</v>
      </c>
      <c r="BI420" s="281">
        <v>0.23722097591014871</v>
      </c>
      <c r="BJ420" s="281">
        <v>0</v>
      </c>
    </row>
    <row r="421" spans="1:63" ht="14.25" customHeight="1" x14ac:dyDescent="0.35">
      <c r="A421" s="42" t="s">
        <v>83</v>
      </c>
      <c r="B421" s="286">
        <v>0</v>
      </c>
      <c r="C421" s="286">
        <v>0</v>
      </c>
      <c r="D421" s="286">
        <v>0</v>
      </c>
      <c r="E421" s="286">
        <v>0</v>
      </c>
      <c r="F421" s="286">
        <v>0</v>
      </c>
      <c r="G421" s="286">
        <v>0</v>
      </c>
      <c r="H421" s="286">
        <v>0</v>
      </c>
      <c r="I421" s="286">
        <v>0</v>
      </c>
      <c r="J421" s="286">
        <v>0</v>
      </c>
      <c r="K421" s="286">
        <v>0</v>
      </c>
      <c r="L421" s="286">
        <v>0</v>
      </c>
      <c r="M421" s="286">
        <v>0</v>
      </c>
      <c r="N421" s="286">
        <v>0</v>
      </c>
      <c r="O421" s="286">
        <v>0</v>
      </c>
      <c r="P421" s="286">
        <v>0</v>
      </c>
      <c r="Q421" s="286">
        <v>0</v>
      </c>
      <c r="R421" s="286">
        <v>0</v>
      </c>
      <c r="S421" s="286">
        <v>0</v>
      </c>
      <c r="T421" s="286">
        <v>0</v>
      </c>
      <c r="U421" s="286">
        <v>0</v>
      </c>
      <c r="V421" s="286">
        <v>0</v>
      </c>
      <c r="W421" s="286">
        <v>0</v>
      </c>
      <c r="X421" s="286">
        <v>0</v>
      </c>
      <c r="Y421" s="286">
        <v>0</v>
      </c>
      <c r="Z421" s="286">
        <v>0</v>
      </c>
      <c r="AA421" s="286">
        <v>0</v>
      </c>
      <c r="AB421" s="286">
        <v>0</v>
      </c>
      <c r="AC421" s="286">
        <v>0</v>
      </c>
      <c r="AD421" s="286">
        <v>0</v>
      </c>
      <c r="AE421" s="286">
        <v>0</v>
      </c>
      <c r="AF421" s="286">
        <v>0</v>
      </c>
      <c r="AG421" s="286">
        <v>0</v>
      </c>
      <c r="AH421" s="286">
        <v>0</v>
      </c>
      <c r="AI421" s="286">
        <v>0</v>
      </c>
      <c r="AJ421" s="286">
        <v>0</v>
      </c>
      <c r="AK421" s="286">
        <v>0</v>
      </c>
      <c r="AL421" s="286">
        <v>0</v>
      </c>
      <c r="AM421" s="286">
        <v>0</v>
      </c>
      <c r="AN421" s="286">
        <v>0</v>
      </c>
      <c r="AO421" s="286">
        <v>0</v>
      </c>
      <c r="AP421" s="286">
        <v>0</v>
      </c>
      <c r="AQ421" s="286">
        <v>0</v>
      </c>
      <c r="AR421" s="286">
        <v>0</v>
      </c>
      <c r="AS421" s="286">
        <v>0</v>
      </c>
      <c r="AT421" s="286">
        <v>0</v>
      </c>
      <c r="AU421" s="286">
        <v>0</v>
      </c>
      <c r="AV421" s="286">
        <v>0</v>
      </c>
      <c r="AW421" s="286">
        <v>0</v>
      </c>
      <c r="AX421" s="286">
        <v>0</v>
      </c>
      <c r="AY421" s="286">
        <v>0</v>
      </c>
      <c r="AZ421" s="286">
        <v>0</v>
      </c>
      <c r="BA421" s="286">
        <v>0</v>
      </c>
      <c r="BB421" s="286">
        <v>0</v>
      </c>
      <c r="BC421" s="286">
        <v>0</v>
      </c>
      <c r="BD421" s="286">
        <v>0</v>
      </c>
      <c r="BE421" s="286">
        <v>0</v>
      </c>
      <c r="BF421" s="286">
        <v>0</v>
      </c>
      <c r="BG421" s="286">
        <v>0</v>
      </c>
      <c r="BH421" s="286">
        <v>0</v>
      </c>
      <c r="BI421" s="286">
        <v>0</v>
      </c>
      <c r="BJ421" s="281">
        <v>9.4146368317576501E-2</v>
      </c>
    </row>
    <row r="422" spans="1:63" ht="14.25" customHeight="1" x14ac:dyDescent="0.35">
      <c r="A422" s="42" t="s">
        <v>144</v>
      </c>
      <c r="B422" s="286">
        <v>0</v>
      </c>
      <c r="C422" s="286">
        <v>0</v>
      </c>
      <c r="D422" s="286">
        <v>0</v>
      </c>
      <c r="E422" s="286">
        <v>0</v>
      </c>
      <c r="F422" s="286">
        <v>0</v>
      </c>
      <c r="G422" s="286">
        <v>0</v>
      </c>
      <c r="H422" s="286">
        <v>0</v>
      </c>
      <c r="I422" s="286">
        <v>0</v>
      </c>
      <c r="J422" s="286">
        <v>0</v>
      </c>
      <c r="K422" s="286">
        <v>0</v>
      </c>
      <c r="L422" s="286">
        <v>0</v>
      </c>
      <c r="M422" s="286">
        <v>0</v>
      </c>
      <c r="N422" s="286">
        <v>0</v>
      </c>
      <c r="O422" s="286">
        <v>0</v>
      </c>
      <c r="P422" s="286">
        <v>0</v>
      </c>
      <c r="Q422" s="286">
        <v>0</v>
      </c>
      <c r="R422" s="286">
        <v>0</v>
      </c>
      <c r="S422" s="286">
        <v>0</v>
      </c>
      <c r="T422" s="286">
        <v>0</v>
      </c>
      <c r="U422" s="286">
        <v>0</v>
      </c>
      <c r="V422" s="286">
        <v>0</v>
      </c>
      <c r="W422" s="286">
        <v>0</v>
      </c>
      <c r="X422" s="286">
        <v>0</v>
      </c>
      <c r="Y422" s="286">
        <v>0</v>
      </c>
      <c r="Z422" s="286">
        <v>0</v>
      </c>
      <c r="AA422" s="286">
        <v>0</v>
      </c>
      <c r="AB422" s="286">
        <v>0</v>
      </c>
      <c r="AC422" s="286">
        <v>0</v>
      </c>
      <c r="AD422" s="286">
        <v>0</v>
      </c>
      <c r="AE422" s="286">
        <v>0</v>
      </c>
      <c r="AF422" s="286">
        <v>0</v>
      </c>
      <c r="AG422" s="286">
        <v>0</v>
      </c>
      <c r="AH422" s="286">
        <v>0</v>
      </c>
      <c r="AI422" s="286">
        <v>0</v>
      </c>
      <c r="AJ422" s="286">
        <v>0</v>
      </c>
      <c r="AK422" s="286">
        <v>0</v>
      </c>
      <c r="AL422" s="286">
        <v>0</v>
      </c>
      <c r="AM422" s="286">
        <v>0</v>
      </c>
      <c r="AN422" s="286">
        <v>0</v>
      </c>
      <c r="AO422" s="286">
        <v>0</v>
      </c>
      <c r="AP422" s="286">
        <v>0</v>
      </c>
      <c r="AQ422" s="286">
        <v>0</v>
      </c>
      <c r="AR422" s="286">
        <v>0</v>
      </c>
      <c r="AS422" s="286">
        <v>0</v>
      </c>
      <c r="AT422" s="286">
        <v>0</v>
      </c>
      <c r="AU422" s="286">
        <v>0</v>
      </c>
      <c r="AV422" s="286">
        <v>0</v>
      </c>
      <c r="AW422" s="286">
        <v>0</v>
      </c>
      <c r="AX422" s="286">
        <v>0</v>
      </c>
      <c r="AY422" s="286">
        <v>0</v>
      </c>
      <c r="AZ422" s="286">
        <v>0</v>
      </c>
      <c r="BA422" s="286">
        <v>0</v>
      </c>
      <c r="BB422" s="286">
        <v>0</v>
      </c>
      <c r="BC422" s="286">
        <v>0</v>
      </c>
      <c r="BD422" s="286">
        <v>0</v>
      </c>
      <c r="BE422" s="286">
        <v>0</v>
      </c>
      <c r="BF422" s="286">
        <v>0</v>
      </c>
      <c r="BG422" s="286">
        <v>0</v>
      </c>
      <c r="BH422" s="286">
        <v>0</v>
      </c>
      <c r="BI422" s="286">
        <v>0</v>
      </c>
      <c r="BJ422" s="281">
        <v>4.5659979102714125E-2</v>
      </c>
    </row>
    <row r="423" spans="1:63" ht="14.25" customHeight="1" x14ac:dyDescent="0.35">
      <c r="A423" s="42" t="s">
        <v>164</v>
      </c>
      <c r="B423" s="286">
        <v>0</v>
      </c>
      <c r="C423" s="286">
        <v>0</v>
      </c>
      <c r="D423" s="286">
        <v>0</v>
      </c>
      <c r="E423" s="286">
        <v>0</v>
      </c>
      <c r="F423" s="286">
        <v>0</v>
      </c>
      <c r="G423" s="286">
        <v>0</v>
      </c>
      <c r="H423" s="286">
        <v>0</v>
      </c>
      <c r="I423" s="286">
        <v>0</v>
      </c>
      <c r="J423" s="286">
        <v>0</v>
      </c>
      <c r="K423" s="286">
        <v>0</v>
      </c>
      <c r="L423" s="286">
        <v>0</v>
      </c>
      <c r="M423" s="286">
        <v>0</v>
      </c>
      <c r="N423" s="286">
        <v>0</v>
      </c>
      <c r="O423" s="286">
        <v>0</v>
      </c>
      <c r="P423" s="286">
        <v>0</v>
      </c>
      <c r="Q423" s="286">
        <v>0</v>
      </c>
      <c r="R423" s="286">
        <v>0</v>
      </c>
      <c r="S423" s="286">
        <v>0</v>
      </c>
      <c r="T423" s="286">
        <v>0</v>
      </c>
      <c r="U423" s="286">
        <v>0</v>
      </c>
      <c r="V423" s="286">
        <v>0</v>
      </c>
      <c r="W423" s="286">
        <v>0</v>
      </c>
      <c r="X423" s="286">
        <v>0</v>
      </c>
      <c r="Y423" s="286">
        <v>0</v>
      </c>
      <c r="Z423" s="286">
        <v>0</v>
      </c>
      <c r="AA423" s="286">
        <v>0</v>
      </c>
      <c r="AB423" s="286">
        <v>0</v>
      </c>
      <c r="AC423" s="286">
        <v>0</v>
      </c>
      <c r="AD423" s="286">
        <v>0</v>
      </c>
      <c r="AE423" s="286">
        <v>0</v>
      </c>
      <c r="AF423" s="286">
        <v>0</v>
      </c>
      <c r="AG423" s="286">
        <v>0</v>
      </c>
      <c r="AH423" s="286">
        <v>0</v>
      </c>
      <c r="AI423" s="286">
        <v>0</v>
      </c>
      <c r="AJ423" s="286">
        <v>0</v>
      </c>
      <c r="AK423" s="286">
        <v>0</v>
      </c>
      <c r="AL423" s="286">
        <v>0</v>
      </c>
      <c r="AM423" s="286">
        <v>0</v>
      </c>
      <c r="AN423" s="286">
        <v>0</v>
      </c>
      <c r="AO423" s="286">
        <v>0</v>
      </c>
      <c r="AP423" s="286">
        <v>0</v>
      </c>
      <c r="AQ423" s="286">
        <v>0</v>
      </c>
      <c r="AR423" s="286">
        <v>0</v>
      </c>
      <c r="AS423" s="286">
        <v>0</v>
      </c>
      <c r="AT423" s="286">
        <v>0</v>
      </c>
      <c r="AU423" s="286">
        <v>0</v>
      </c>
      <c r="AV423" s="286">
        <v>0</v>
      </c>
      <c r="AW423" s="286">
        <v>0</v>
      </c>
      <c r="AX423" s="286">
        <v>0</v>
      </c>
      <c r="AY423" s="286">
        <v>0</v>
      </c>
      <c r="AZ423" s="286">
        <v>0</v>
      </c>
      <c r="BA423" s="286">
        <v>0</v>
      </c>
      <c r="BB423" s="286">
        <v>0</v>
      </c>
      <c r="BC423" s="286">
        <v>0</v>
      </c>
      <c r="BD423" s="286">
        <v>0</v>
      </c>
      <c r="BE423" s="286">
        <v>0</v>
      </c>
      <c r="BF423" s="286">
        <v>0</v>
      </c>
      <c r="BG423" s="286">
        <v>0</v>
      </c>
      <c r="BH423" s="286">
        <v>0</v>
      </c>
      <c r="BI423" s="286">
        <v>0</v>
      </c>
      <c r="BJ423" s="281">
        <v>7.373806779807178E-2</v>
      </c>
    </row>
    <row r="424" spans="1:63" ht="14.25" customHeight="1" x14ac:dyDescent="0.35">
      <c r="A424" s="42" t="s">
        <v>145</v>
      </c>
      <c r="B424" s="286">
        <v>0</v>
      </c>
      <c r="C424" s="286">
        <v>0</v>
      </c>
      <c r="D424" s="286">
        <v>0</v>
      </c>
      <c r="E424" s="286">
        <v>0</v>
      </c>
      <c r="F424" s="286">
        <v>0</v>
      </c>
      <c r="G424" s="286">
        <v>0</v>
      </c>
      <c r="H424" s="286">
        <v>0</v>
      </c>
      <c r="I424" s="286">
        <v>0</v>
      </c>
      <c r="J424" s="286">
        <v>0</v>
      </c>
      <c r="K424" s="286">
        <v>0</v>
      </c>
      <c r="L424" s="286">
        <v>0</v>
      </c>
      <c r="M424" s="286">
        <v>0</v>
      </c>
      <c r="N424" s="286">
        <v>0</v>
      </c>
      <c r="O424" s="286">
        <v>0</v>
      </c>
      <c r="P424" s="286">
        <v>0</v>
      </c>
      <c r="Q424" s="286">
        <v>0</v>
      </c>
      <c r="R424" s="286">
        <v>0</v>
      </c>
      <c r="S424" s="286">
        <v>0</v>
      </c>
      <c r="T424" s="286">
        <v>0</v>
      </c>
      <c r="U424" s="286">
        <v>0</v>
      </c>
      <c r="V424" s="286">
        <v>0</v>
      </c>
      <c r="W424" s="286">
        <v>0</v>
      </c>
      <c r="X424" s="286">
        <v>0</v>
      </c>
      <c r="Y424" s="286">
        <v>0</v>
      </c>
      <c r="Z424" s="286">
        <v>0</v>
      </c>
      <c r="AA424" s="286">
        <v>0</v>
      </c>
      <c r="AB424" s="286">
        <v>0</v>
      </c>
      <c r="AC424" s="286">
        <v>0</v>
      </c>
      <c r="AD424" s="286">
        <v>0</v>
      </c>
      <c r="AE424" s="286">
        <v>0</v>
      </c>
      <c r="AF424" s="286">
        <v>0</v>
      </c>
      <c r="AG424" s="286">
        <v>0</v>
      </c>
      <c r="AH424" s="286">
        <v>0</v>
      </c>
      <c r="AI424" s="286">
        <v>0</v>
      </c>
      <c r="AJ424" s="286">
        <v>0</v>
      </c>
      <c r="AK424" s="286">
        <v>0</v>
      </c>
      <c r="AL424" s="286">
        <v>0</v>
      </c>
      <c r="AM424" s="286">
        <v>0</v>
      </c>
      <c r="AN424" s="286">
        <v>0</v>
      </c>
      <c r="AO424" s="286">
        <v>0</v>
      </c>
      <c r="AP424" s="286">
        <v>0</v>
      </c>
      <c r="AQ424" s="286">
        <v>0</v>
      </c>
      <c r="AR424" s="286">
        <v>0</v>
      </c>
      <c r="AS424" s="286">
        <v>0</v>
      </c>
      <c r="AT424" s="286">
        <v>0</v>
      </c>
      <c r="AU424" s="286">
        <v>0</v>
      </c>
      <c r="AV424" s="286">
        <v>0</v>
      </c>
      <c r="AW424" s="286">
        <v>0</v>
      </c>
      <c r="AX424" s="286">
        <v>0</v>
      </c>
      <c r="AY424" s="286">
        <v>0</v>
      </c>
      <c r="AZ424" s="286">
        <v>0</v>
      </c>
      <c r="BA424" s="286">
        <v>0</v>
      </c>
      <c r="BB424" s="286">
        <v>0</v>
      </c>
      <c r="BC424" s="286">
        <v>0</v>
      </c>
      <c r="BD424" s="286">
        <v>0</v>
      </c>
      <c r="BE424" s="286">
        <v>0</v>
      </c>
      <c r="BF424" s="286">
        <v>0</v>
      </c>
      <c r="BG424" s="286">
        <v>0</v>
      </c>
      <c r="BH424" s="286">
        <v>0</v>
      </c>
      <c r="BI424" s="286">
        <v>0</v>
      </c>
      <c r="BJ424" s="281">
        <v>4.1366014467383742E-2</v>
      </c>
    </row>
    <row r="425" spans="1:63" ht="14.25" customHeight="1" x14ac:dyDescent="0.35">
      <c r="A425" s="42" t="s">
        <v>87</v>
      </c>
      <c r="B425" s="286">
        <v>0</v>
      </c>
      <c r="C425" s="286">
        <v>0</v>
      </c>
      <c r="D425" s="286">
        <v>0</v>
      </c>
      <c r="E425" s="286">
        <v>0</v>
      </c>
      <c r="F425" s="286">
        <v>0</v>
      </c>
      <c r="G425" s="286">
        <v>0</v>
      </c>
      <c r="H425" s="286">
        <v>0</v>
      </c>
      <c r="I425" s="286">
        <v>0</v>
      </c>
      <c r="J425" s="286">
        <v>0</v>
      </c>
      <c r="K425" s="286">
        <v>0</v>
      </c>
      <c r="L425" s="286">
        <v>0</v>
      </c>
      <c r="M425" s="286">
        <v>0</v>
      </c>
      <c r="N425" s="286">
        <v>0</v>
      </c>
      <c r="O425" s="286">
        <v>0</v>
      </c>
      <c r="P425" s="286">
        <v>0</v>
      </c>
      <c r="Q425" s="286">
        <v>0</v>
      </c>
      <c r="R425" s="286">
        <v>0</v>
      </c>
      <c r="S425" s="286">
        <v>0</v>
      </c>
      <c r="T425" s="286">
        <v>0</v>
      </c>
      <c r="U425" s="286">
        <v>0</v>
      </c>
      <c r="V425" s="286">
        <v>0</v>
      </c>
      <c r="W425" s="286">
        <v>0</v>
      </c>
      <c r="X425" s="286">
        <v>0</v>
      </c>
      <c r="Y425" s="286">
        <v>0</v>
      </c>
      <c r="Z425" s="286">
        <v>0</v>
      </c>
      <c r="AA425" s="286">
        <v>0</v>
      </c>
      <c r="AB425" s="286">
        <v>0</v>
      </c>
      <c r="AC425" s="286">
        <v>0</v>
      </c>
      <c r="AD425" s="286">
        <v>0</v>
      </c>
      <c r="AE425" s="286">
        <v>0</v>
      </c>
      <c r="AF425" s="286">
        <v>0</v>
      </c>
      <c r="AG425" s="286">
        <v>0</v>
      </c>
      <c r="AH425" s="286">
        <v>0</v>
      </c>
      <c r="AI425" s="286">
        <v>0</v>
      </c>
      <c r="AJ425" s="286">
        <v>0</v>
      </c>
      <c r="AK425" s="286">
        <v>0</v>
      </c>
      <c r="AL425" s="286">
        <v>0</v>
      </c>
      <c r="AM425" s="286">
        <v>0</v>
      </c>
      <c r="AN425" s="286">
        <v>0</v>
      </c>
      <c r="AO425" s="286">
        <v>0</v>
      </c>
      <c r="AP425" s="286">
        <v>0</v>
      </c>
      <c r="AQ425" s="286">
        <v>0</v>
      </c>
      <c r="AR425" s="286">
        <v>0</v>
      </c>
      <c r="AS425" s="286">
        <v>0</v>
      </c>
      <c r="AT425" s="286">
        <v>0</v>
      </c>
      <c r="AU425" s="286">
        <v>0</v>
      </c>
      <c r="AV425" s="286">
        <v>0</v>
      </c>
      <c r="AW425" s="286">
        <v>0</v>
      </c>
      <c r="AX425" s="286">
        <v>0</v>
      </c>
      <c r="AY425" s="286">
        <v>0</v>
      </c>
      <c r="AZ425" s="286">
        <v>0</v>
      </c>
      <c r="BA425" s="286">
        <v>0</v>
      </c>
      <c r="BB425" s="286">
        <v>0</v>
      </c>
      <c r="BC425" s="286">
        <v>0</v>
      </c>
      <c r="BD425" s="286">
        <v>0</v>
      </c>
      <c r="BE425" s="286">
        <v>0</v>
      </c>
      <c r="BF425" s="286">
        <v>0</v>
      </c>
      <c r="BG425" s="286">
        <v>0</v>
      </c>
      <c r="BH425" s="286">
        <v>0</v>
      </c>
      <c r="BI425" s="286">
        <v>0</v>
      </c>
      <c r="BJ425" s="281">
        <v>6.9154132906863106E-2</v>
      </c>
    </row>
    <row r="426" spans="1:63" ht="14.25" customHeight="1" x14ac:dyDescent="0.35">
      <c r="A426" s="42" t="s">
        <v>146</v>
      </c>
      <c r="B426" s="286">
        <v>0</v>
      </c>
      <c r="C426" s="286">
        <v>0</v>
      </c>
      <c r="D426" s="286">
        <v>0</v>
      </c>
      <c r="E426" s="286">
        <v>0</v>
      </c>
      <c r="F426" s="286">
        <v>0</v>
      </c>
      <c r="G426" s="286">
        <v>0</v>
      </c>
      <c r="H426" s="286">
        <v>0</v>
      </c>
      <c r="I426" s="286">
        <v>0</v>
      </c>
      <c r="J426" s="286">
        <v>0</v>
      </c>
      <c r="K426" s="286">
        <v>0</v>
      </c>
      <c r="L426" s="286">
        <v>0</v>
      </c>
      <c r="M426" s="286">
        <v>0</v>
      </c>
      <c r="N426" s="286">
        <v>0</v>
      </c>
      <c r="O426" s="286">
        <v>0</v>
      </c>
      <c r="P426" s="286">
        <v>0</v>
      </c>
      <c r="Q426" s="286">
        <v>0</v>
      </c>
      <c r="R426" s="286">
        <v>0</v>
      </c>
      <c r="S426" s="286">
        <v>0</v>
      </c>
      <c r="T426" s="286">
        <v>0</v>
      </c>
      <c r="U426" s="286">
        <v>0</v>
      </c>
      <c r="V426" s="286">
        <v>0</v>
      </c>
      <c r="W426" s="286">
        <v>0</v>
      </c>
      <c r="X426" s="286">
        <v>0</v>
      </c>
      <c r="Y426" s="286">
        <v>0</v>
      </c>
      <c r="Z426" s="286">
        <v>0</v>
      </c>
      <c r="AA426" s="286">
        <v>0</v>
      </c>
      <c r="AB426" s="286">
        <v>0</v>
      </c>
      <c r="AC426" s="286">
        <v>0</v>
      </c>
      <c r="AD426" s="286">
        <v>0</v>
      </c>
      <c r="AE426" s="286">
        <v>0</v>
      </c>
      <c r="AF426" s="286">
        <v>0</v>
      </c>
      <c r="AG426" s="286">
        <v>0</v>
      </c>
      <c r="AH426" s="286">
        <v>0</v>
      </c>
      <c r="AI426" s="286">
        <v>0</v>
      </c>
      <c r="AJ426" s="286">
        <v>0</v>
      </c>
      <c r="AK426" s="286">
        <v>0</v>
      </c>
      <c r="AL426" s="286">
        <v>0</v>
      </c>
      <c r="AM426" s="286">
        <v>0</v>
      </c>
      <c r="AN426" s="286">
        <v>0</v>
      </c>
      <c r="AO426" s="286">
        <v>0</v>
      </c>
      <c r="AP426" s="286">
        <v>0</v>
      </c>
      <c r="AQ426" s="286">
        <v>0</v>
      </c>
      <c r="AR426" s="286">
        <v>0</v>
      </c>
      <c r="AS426" s="286">
        <v>0</v>
      </c>
      <c r="AT426" s="286">
        <v>0</v>
      </c>
      <c r="AU426" s="286">
        <v>0</v>
      </c>
      <c r="AV426" s="286">
        <v>0</v>
      </c>
      <c r="AW426" s="286">
        <v>0</v>
      </c>
      <c r="AX426" s="286">
        <v>0</v>
      </c>
      <c r="AY426" s="286">
        <v>0</v>
      </c>
      <c r="AZ426" s="286">
        <v>0</v>
      </c>
      <c r="BA426" s="286">
        <v>0</v>
      </c>
      <c r="BB426" s="286">
        <v>0</v>
      </c>
      <c r="BC426" s="286">
        <v>0</v>
      </c>
      <c r="BD426" s="286">
        <v>0</v>
      </c>
      <c r="BE426" s="286">
        <v>0</v>
      </c>
      <c r="BF426" s="286">
        <v>0</v>
      </c>
      <c r="BG426" s="286">
        <v>0</v>
      </c>
      <c r="BH426" s="286">
        <v>0</v>
      </c>
      <c r="BI426" s="286">
        <v>0</v>
      </c>
      <c r="BJ426" s="281">
        <v>6.1996156954588919E-2</v>
      </c>
    </row>
    <row r="427" spans="1:63" ht="14.25" customHeight="1" x14ac:dyDescent="0.35">
      <c r="A427" s="42" t="s">
        <v>89</v>
      </c>
      <c r="B427" s="286">
        <v>0</v>
      </c>
      <c r="C427" s="286">
        <v>0</v>
      </c>
      <c r="D427" s="286">
        <v>0</v>
      </c>
      <c r="E427" s="286">
        <v>0</v>
      </c>
      <c r="F427" s="286">
        <v>0</v>
      </c>
      <c r="G427" s="286">
        <v>0</v>
      </c>
      <c r="H427" s="286">
        <v>0</v>
      </c>
      <c r="I427" s="286">
        <v>0</v>
      </c>
      <c r="J427" s="286">
        <v>0</v>
      </c>
      <c r="K427" s="286">
        <v>0</v>
      </c>
      <c r="L427" s="286">
        <v>0</v>
      </c>
      <c r="M427" s="286">
        <v>0</v>
      </c>
      <c r="N427" s="286">
        <v>0</v>
      </c>
      <c r="O427" s="286">
        <v>0</v>
      </c>
      <c r="P427" s="286">
        <v>0</v>
      </c>
      <c r="Q427" s="286">
        <v>0</v>
      </c>
      <c r="R427" s="286">
        <v>0</v>
      </c>
      <c r="S427" s="286">
        <v>0</v>
      </c>
      <c r="T427" s="286">
        <v>0</v>
      </c>
      <c r="U427" s="286">
        <v>0</v>
      </c>
      <c r="V427" s="286">
        <v>0</v>
      </c>
      <c r="W427" s="286">
        <v>0</v>
      </c>
      <c r="X427" s="286">
        <v>0</v>
      </c>
      <c r="Y427" s="286">
        <v>0</v>
      </c>
      <c r="Z427" s="286">
        <v>0</v>
      </c>
      <c r="AA427" s="286">
        <v>0</v>
      </c>
      <c r="AB427" s="286">
        <v>0</v>
      </c>
      <c r="AC427" s="286">
        <v>0</v>
      </c>
      <c r="AD427" s="286">
        <v>0</v>
      </c>
      <c r="AE427" s="286">
        <v>0</v>
      </c>
      <c r="AF427" s="286">
        <v>0</v>
      </c>
      <c r="AG427" s="286">
        <v>0</v>
      </c>
      <c r="AH427" s="286">
        <v>0</v>
      </c>
      <c r="AI427" s="286">
        <v>0</v>
      </c>
      <c r="AJ427" s="286">
        <v>0</v>
      </c>
      <c r="AK427" s="286">
        <v>0</v>
      </c>
      <c r="AL427" s="286">
        <v>0</v>
      </c>
      <c r="AM427" s="286">
        <v>0</v>
      </c>
      <c r="AN427" s="286">
        <v>0</v>
      </c>
      <c r="AO427" s="286">
        <v>0</v>
      </c>
      <c r="AP427" s="286">
        <v>0</v>
      </c>
      <c r="AQ427" s="286">
        <v>0</v>
      </c>
      <c r="AR427" s="286">
        <v>0</v>
      </c>
      <c r="AS427" s="286">
        <v>0</v>
      </c>
      <c r="AT427" s="286">
        <v>0</v>
      </c>
      <c r="AU427" s="286">
        <v>0</v>
      </c>
      <c r="AV427" s="286">
        <v>0</v>
      </c>
      <c r="AW427" s="286">
        <v>0</v>
      </c>
      <c r="AX427" s="286">
        <v>0</v>
      </c>
      <c r="AY427" s="286">
        <v>0</v>
      </c>
      <c r="AZ427" s="286">
        <v>0</v>
      </c>
      <c r="BA427" s="286">
        <v>0</v>
      </c>
      <c r="BB427" s="286">
        <v>0</v>
      </c>
      <c r="BC427" s="286">
        <v>0</v>
      </c>
      <c r="BD427" s="286">
        <v>0</v>
      </c>
      <c r="BE427" s="286">
        <v>0</v>
      </c>
      <c r="BF427" s="286">
        <v>0</v>
      </c>
      <c r="BG427" s="286">
        <v>0</v>
      </c>
      <c r="BH427" s="286">
        <v>0</v>
      </c>
      <c r="BI427" s="286">
        <v>0</v>
      </c>
      <c r="BJ427" s="281">
        <v>0.11179794876394661</v>
      </c>
    </row>
    <row r="428" spans="1:63" ht="14.25" customHeight="1" x14ac:dyDescent="0.35">
      <c r="A428" s="42" t="s">
        <v>90</v>
      </c>
      <c r="B428" s="286">
        <v>0</v>
      </c>
      <c r="C428" s="286">
        <v>0</v>
      </c>
      <c r="D428" s="286">
        <v>0</v>
      </c>
      <c r="E428" s="286">
        <v>0</v>
      </c>
      <c r="F428" s="286">
        <v>0</v>
      </c>
      <c r="G428" s="286">
        <v>0</v>
      </c>
      <c r="H428" s="286">
        <v>0</v>
      </c>
      <c r="I428" s="286">
        <v>0</v>
      </c>
      <c r="J428" s="286">
        <v>0</v>
      </c>
      <c r="K428" s="286">
        <v>0</v>
      </c>
      <c r="L428" s="286">
        <v>0</v>
      </c>
      <c r="M428" s="286">
        <v>0</v>
      </c>
      <c r="N428" s="286">
        <v>0</v>
      </c>
      <c r="O428" s="286">
        <v>0</v>
      </c>
      <c r="P428" s="286">
        <v>0</v>
      </c>
      <c r="Q428" s="286">
        <v>0</v>
      </c>
      <c r="R428" s="286">
        <v>0</v>
      </c>
      <c r="S428" s="286">
        <v>0</v>
      </c>
      <c r="T428" s="286">
        <v>0</v>
      </c>
      <c r="U428" s="286">
        <v>0</v>
      </c>
      <c r="V428" s="286">
        <v>0</v>
      </c>
      <c r="W428" s="286">
        <v>0</v>
      </c>
      <c r="X428" s="286">
        <v>0</v>
      </c>
      <c r="Y428" s="286">
        <v>0</v>
      </c>
      <c r="Z428" s="286">
        <v>0</v>
      </c>
      <c r="AA428" s="286">
        <v>0</v>
      </c>
      <c r="AB428" s="286">
        <v>0</v>
      </c>
      <c r="AC428" s="286">
        <v>0</v>
      </c>
      <c r="AD428" s="286">
        <v>0</v>
      </c>
      <c r="AE428" s="286">
        <v>0</v>
      </c>
      <c r="AF428" s="286">
        <v>0</v>
      </c>
      <c r="AG428" s="286">
        <v>0</v>
      </c>
      <c r="AH428" s="286">
        <v>0</v>
      </c>
      <c r="AI428" s="286">
        <v>0</v>
      </c>
      <c r="AJ428" s="286">
        <v>0</v>
      </c>
      <c r="AK428" s="286">
        <v>0</v>
      </c>
      <c r="AL428" s="286">
        <v>0</v>
      </c>
      <c r="AM428" s="286">
        <v>0</v>
      </c>
      <c r="AN428" s="286">
        <v>0</v>
      </c>
      <c r="AO428" s="286">
        <v>0</v>
      </c>
      <c r="AP428" s="286">
        <v>0</v>
      </c>
      <c r="AQ428" s="286">
        <v>0</v>
      </c>
      <c r="AR428" s="286">
        <v>0</v>
      </c>
      <c r="AS428" s="286">
        <v>0</v>
      </c>
      <c r="AT428" s="286">
        <v>0</v>
      </c>
      <c r="AU428" s="286">
        <v>0</v>
      </c>
      <c r="AV428" s="286">
        <v>0</v>
      </c>
      <c r="AW428" s="286">
        <v>0</v>
      </c>
      <c r="AX428" s="286">
        <v>0</v>
      </c>
      <c r="AY428" s="286">
        <v>0</v>
      </c>
      <c r="AZ428" s="286">
        <v>0</v>
      </c>
      <c r="BA428" s="286">
        <v>0</v>
      </c>
      <c r="BB428" s="286">
        <v>0</v>
      </c>
      <c r="BC428" s="286">
        <v>0</v>
      </c>
      <c r="BD428" s="286">
        <v>0</v>
      </c>
      <c r="BE428" s="286">
        <v>0</v>
      </c>
      <c r="BF428" s="286">
        <v>0</v>
      </c>
      <c r="BG428" s="286">
        <v>0</v>
      </c>
      <c r="BH428" s="286">
        <v>0</v>
      </c>
      <c r="BI428" s="286">
        <v>0</v>
      </c>
      <c r="BJ428" s="281">
        <v>5.9413413980257825E-2</v>
      </c>
    </row>
    <row r="429" spans="1:63" ht="14.25" customHeight="1" x14ac:dyDescent="0.35">
      <c r="A429" s="44"/>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row>
    <row r="430" spans="1:63" ht="14.25" customHeight="1" x14ac:dyDescent="0.35">
      <c r="A430" s="143" t="s">
        <v>1180</v>
      </c>
      <c r="B430" s="2"/>
    </row>
    <row r="431" spans="1:63" ht="14.25" customHeight="1" x14ac:dyDescent="0.35">
      <c r="A431" s="34" t="s">
        <v>1233</v>
      </c>
      <c r="B431" s="2"/>
    </row>
    <row r="432" spans="1:63" ht="14.25" customHeight="1" x14ac:dyDescent="0.35">
      <c r="A432" s="38" t="s">
        <v>1211</v>
      </c>
      <c r="B432" s="9" t="s">
        <v>169</v>
      </c>
    </row>
    <row r="433" spans="1:62" ht="14.25" customHeight="1" x14ac:dyDescent="0.35">
      <c r="A433" s="271">
        <v>0</v>
      </c>
      <c r="B433" s="272" t="s">
        <v>1218</v>
      </c>
    </row>
    <row r="434" spans="1:62" ht="14.25" customHeight="1" x14ac:dyDescent="0.35">
      <c r="A434" s="271">
        <v>1</v>
      </c>
      <c r="B434" s="272" t="s">
        <v>1212</v>
      </c>
    </row>
    <row r="435" spans="1:62" ht="14.25" customHeight="1" x14ac:dyDescent="0.35">
      <c r="A435" s="39" t="s">
        <v>170</v>
      </c>
      <c r="B435" s="40">
        <v>0</v>
      </c>
    </row>
    <row r="437" spans="1:62" ht="14.25" customHeight="1" x14ac:dyDescent="0.35">
      <c r="A437" s="14" t="s">
        <v>649</v>
      </c>
      <c r="B437" s="279" t="s">
        <v>1234</v>
      </c>
    </row>
    <row r="438" spans="1:62" ht="14.25" customHeight="1" x14ac:dyDescent="0.35">
      <c r="A438" s="74" t="s">
        <v>380</v>
      </c>
      <c r="B438" s="273" t="s">
        <v>12</v>
      </c>
    </row>
    <row r="439" spans="1:62" ht="14.25" customHeight="1" x14ac:dyDescent="0.35">
      <c r="A439" s="74" t="s">
        <v>127</v>
      </c>
      <c r="B439" s="93">
        <v>2025</v>
      </c>
    </row>
    <row r="440" spans="1:62" ht="14.25" customHeight="1" x14ac:dyDescent="0.35">
      <c r="A440" s="118"/>
    </row>
    <row r="441" spans="1:62" ht="14.25" customHeight="1" x14ac:dyDescent="0.35">
      <c r="A441" s="94" t="s">
        <v>1235</v>
      </c>
    </row>
    <row r="442" spans="1:62" ht="14.25" customHeight="1" x14ac:dyDescent="0.35">
      <c r="A442" s="39" t="s">
        <v>1232</v>
      </c>
      <c r="B442" s="97" t="s">
        <v>927</v>
      </c>
      <c r="C442" s="97" t="s">
        <v>928</v>
      </c>
      <c r="D442" s="97" t="s">
        <v>929</v>
      </c>
      <c r="E442" s="97" t="s">
        <v>930</v>
      </c>
      <c r="F442" s="97" t="s">
        <v>931</v>
      </c>
      <c r="G442" s="97" t="s">
        <v>932</v>
      </c>
      <c r="H442" s="97" t="s">
        <v>933</v>
      </c>
      <c r="I442" s="97" t="s">
        <v>934</v>
      </c>
      <c r="J442" s="97" t="s">
        <v>935</v>
      </c>
      <c r="K442" s="97" t="s">
        <v>936</v>
      </c>
      <c r="L442" s="97" t="s">
        <v>937</v>
      </c>
      <c r="M442" s="97" t="s">
        <v>938</v>
      </c>
      <c r="N442" s="97" t="s">
        <v>939</v>
      </c>
      <c r="O442" s="97" t="s">
        <v>940</v>
      </c>
      <c r="P442" s="97" t="s">
        <v>941</v>
      </c>
      <c r="Q442" s="97" t="s">
        <v>942</v>
      </c>
      <c r="R442" s="97" t="s">
        <v>943</v>
      </c>
      <c r="S442" s="97" t="s">
        <v>944</v>
      </c>
      <c r="T442" s="97" t="s">
        <v>945</v>
      </c>
      <c r="U442" s="97" t="s">
        <v>946</v>
      </c>
      <c r="V442" s="97" t="s">
        <v>947</v>
      </c>
      <c r="W442" s="97" t="s">
        <v>948</v>
      </c>
      <c r="X442" s="97" t="s">
        <v>949</v>
      </c>
      <c r="Y442" s="97" t="s">
        <v>950</v>
      </c>
      <c r="Z442" s="97" t="s">
        <v>951</v>
      </c>
      <c r="AA442" s="97" t="s">
        <v>952</v>
      </c>
      <c r="AB442" s="97" t="s">
        <v>953</v>
      </c>
      <c r="AC442" s="97" t="s">
        <v>954</v>
      </c>
      <c r="AD442" s="97" t="s">
        <v>955</v>
      </c>
      <c r="AE442" s="97" t="s">
        <v>956</v>
      </c>
      <c r="AF442" s="97" t="s">
        <v>957</v>
      </c>
      <c r="AG442" s="97" t="s">
        <v>958</v>
      </c>
      <c r="AH442" s="97" t="s">
        <v>959</v>
      </c>
      <c r="AI442" s="97" t="s">
        <v>960</v>
      </c>
      <c r="AJ442" s="97" t="s">
        <v>961</v>
      </c>
      <c r="AK442" s="97" t="s">
        <v>962</v>
      </c>
      <c r="AL442" s="97" t="s">
        <v>963</v>
      </c>
      <c r="AM442" s="97" t="s">
        <v>964</v>
      </c>
      <c r="AN442" s="97" t="s">
        <v>965</v>
      </c>
      <c r="AO442" s="97" t="s">
        <v>966</v>
      </c>
      <c r="AP442" s="97" t="s">
        <v>967</v>
      </c>
      <c r="AQ442" s="97" t="s">
        <v>968</v>
      </c>
      <c r="AR442" s="97" t="s">
        <v>969</v>
      </c>
      <c r="AS442" s="97" t="s">
        <v>970</v>
      </c>
      <c r="AT442" s="97" t="s">
        <v>971</v>
      </c>
      <c r="AU442" s="97" t="s">
        <v>972</v>
      </c>
      <c r="AV442" s="97" t="s">
        <v>973</v>
      </c>
      <c r="AW442" s="97" t="s">
        <v>974</v>
      </c>
      <c r="AX442" s="97" t="s">
        <v>975</v>
      </c>
      <c r="AY442" s="97" t="s">
        <v>976</v>
      </c>
      <c r="AZ442" s="97" t="s">
        <v>977</v>
      </c>
      <c r="BA442" s="97" t="s">
        <v>978</v>
      </c>
      <c r="BB442" s="97" t="s">
        <v>979</v>
      </c>
      <c r="BC442" s="97" t="s">
        <v>980</v>
      </c>
      <c r="BD442" s="97" t="s">
        <v>981</v>
      </c>
      <c r="BE442" s="97" t="s">
        <v>982</v>
      </c>
      <c r="BF442" s="97" t="s">
        <v>983</v>
      </c>
      <c r="BG442" s="97" t="s">
        <v>984</v>
      </c>
      <c r="BH442" s="97" t="s">
        <v>985</v>
      </c>
      <c r="BI442" s="97" t="s">
        <v>986</v>
      </c>
      <c r="BJ442" s="97" t="s">
        <v>987</v>
      </c>
    </row>
    <row r="443" spans="1:62" ht="14.25" customHeight="1" x14ac:dyDescent="0.35">
      <c r="A443" s="45" t="s">
        <v>228</v>
      </c>
      <c r="B443" s="286">
        <v>0</v>
      </c>
      <c r="C443" s="286">
        <v>0</v>
      </c>
      <c r="D443" s="286">
        <v>0</v>
      </c>
      <c r="E443" s="286">
        <v>0</v>
      </c>
      <c r="F443" s="286">
        <v>0</v>
      </c>
      <c r="G443" s="286">
        <v>0</v>
      </c>
      <c r="H443" s="286">
        <v>0</v>
      </c>
      <c r="I443" s="286">
        <v>0</v>
      </c>
      <c r="J443" s="286">
        <v>0</v>
      </c>
      <c r="K443" s="286">
        <v>0</v>
      </c>
      <c r="L443" s="286">
        <v>0</v>
      </c>
      <c r="M443" s="286">
        <v>0</v>
      </c>
      <c r="N443" s="286">
        <v>0</v>
      </c>
      <c r="O443" s="286">
        <v>0</v>
      </c>
      <c r="P443" s="286">
        <v>0</v>
      </c>
      <c r="Q443" s="286">
        <v>0</v>
      </c>
      <c r="R443" s="286">
        <v>0</v>
      </c>
      <c r="S443" s="286">
        <v>0</v>
      </c>
      <c r="T443" s="286">
        <v>0</v>
      </c>
      <c r="U443" s="286">
        <v>0</v>
      </c>
      <c r="V443" s="286">
        <v>0</v>
      </c>
      <c r="W443" s="286">
        <v>0</v>
      </c>
      <c r="X443" s="286">
        <v>0</v>
      </c>
      <c r="Y443" s="286">
        <v>0</v>
      </c>
      <c r="Z443" s="286">
        <v>0</v>
      </c>
      <c r="AA443" s="286">
        <v>0</v>
      </c>
      <c r="AB443" s="286">
        <v>0</v>
      </c>
      <c r="AC443" s="286">
        <v>0</v>
      </c>
      <c r="AD443" s="286">
        <v>0</v>
      </c>
      <c r="AE443" s="286">
        <v>0</v>
      </c>
      <c r="AF443" s="286">
        <v>0</v>
      </c>
      <c r="AG443" s="286">
        <v>0</v>
      </c>
      <c r="AH443" s="286">
        <v>0</v>
      </c>
      <c r="AI443" s="286">
        <v>0</v>
      </c>
      <c r="AJ443" s="286">
        <v>0</v>
      </c>
      <c r="AK443" s="286">
        <v>0</v>
      </c>
      <c r="AL443" s="286">
        <v>0</v>
      </c>
      <c r="AM443" s="286">
        <v>0</v>
      </c>
      <c r="AN443" s="286">
        <v>0</v>
      </c>
      <c r="AO443" s="286">
        <v>0</v>
      </c>
      <c r="AP443" s="286">
        <v>0</v>
      </c>
      <c r="AQ443" s="286">
        <v>0</v>
      </c>
      <c r="AR443" s="286">
        <v>0</v>
      </c>
      <c r="AS443" s="286">
        <v>0</v>
      </c>
      <c r="AT443" s="286">
        <v>0</v>
      </c>
      <c r="AU443" s="286">
        <v>0</v>
      </c>
      <c r="AV443" s="286">
        <v>0</v>
      </c>
      <c r="AW443" s="286">
        <v>0</v>
      </c>
      <c r="AX443" s="286">
        <v>0</v>
      </c>
      <c r="AY443" s="286">
        <v>0</v>
      </c>
      <c r="AZ443" s="286">
        <v>0</v>
      </c>
      <c r="BA443" s="286">
        <v>0</v>
      </c>
      <c r="BB443" s="286">
        <v>0</v>
      </c>
      <c r="BC443" s="286">
        <v>0</v>
      </c>
      <c r="BD443" s="286">
        <v>0</v>
      </c>
      <c r="BE443" s="286">
        <v>0</v>
      </c>
      <c r="BF443" s="286">
        <v>0</v>
      </c>
      <c r="BG443" s="286">
        <v>0</v>
      </c>
      <c r="BH443" s="286">
        <v>0</v>
      </c>
      <c r="BI443" s="286">
        <v>0</v>
      </c>
      <c r="BJ443" s="281">
        <v>2.225327302750543E-3</v>
      </c>
    </row>
    <row r="444" spans="1:62" ht="14.25" customHeight="1" x14ac:dyDescent="0.35">
      <c r="A444" s="41" t="s">
        <v>95</v>
      </c>
      <c r="B444" s="281">
        <v>5.1019495920317094E-4</v>
      </c>
      <c r="C444" s="281">
        <v>3.2863880319257058E-4</v>
      </c>
      <c r="D444" s="281">
        <v>6.0721041313115229E-4</v>
      </c>
      <c r="E444" s="281">
        <v>2.9486632798055652E-4</v>
      </c>
      <c r="F444" s="281">
        <v>2.0188958189424749E-4</v>
      </c>
      <c r="G444" s="281">
        <v>3.6715116779228622E-4</v>
      </c>
      <c r="H444" s="281">
        <v>4.4551520032503901E-4</v>
      </c>
      <c r="I444" s="281">
        <v>4.5512993562118917E-4</v>
      </c>
      <c r="J444" s="281">
        <v>6.335226928572441E-4</v>
      </c>
      <c r="K444" s="281">
        <v>8.0347847447259462E-4</v>
      </c>
      <c r="L444" s="281">
        <v>7.4766437379430528E-4</v>
      </c>
      <c r="M444" s="281">
        <v>4.4296228068910676E-4</v>
      </c>
      <c r="N444" s="281">
        <v>3.3162733333403553E-4</v>
      </c>
      <c r="O444" s="281">
        <v>5.6201529752715658E-4</v>
      </c>
      <c r="P444" s="281">
        <v>6.4337001190701399E-4</v>
      </c>
      <c r="Q444" s="281">
        <v>5.2595448610966795E-4</v>
      </c>
      <c r="R444" s="281">
        <v>6.990763160495448E-4</v>
      </c>
      <c r="S444" s="281">
        <v>5.5620212082067963E-4</v>
      </c>
      <c r="T444" s="281">
        <v>4.4473190986251077E-4</v>
      </c>
      <c r="U444" s="281">
        <v>3.0296831340391445E-4</v>
      </c>
      <c r="V444" s="281">
        <v>5.145514434094793E-4</v>
      </c>
      <c r="W444" s="281">
        <v>7.2741192960438877E-4</v>
      </c>
      <c r="X444" s="281">
        <v>7.977698929595682E-4</v>
      </c>
      <c r="Y444" s="281">
        <v>6.6000929830533543E-4</v>
      </c>
      <c r="Z444" s="281">
        <v>7.0625799093504806E-4</v>
      </c>
      <c r="AA444" s="281">
        <v>5.6897591484649694E-4</v>
      </c>
      <c r="AB444" s="281">
        <v>7.1099863211230413E-4</v>
      </c>
      <c r="AC444" s="281">
        <v>9.2291770499769487E-4</v>
      </c>
      <c r="AD444" s="281">
        <v>9.0029790950345507E-4</v>
      </c>
      <c r="AE444" s="281">
        <v>7.3125113027177832E-4</v>
      </c>
      <c r="AF444" s="281">
        <v>5.3199250888018366E-4</v>
      </c>
      <c r="AG444" s="281">
        <v>5.9228923913247269E-4</v>
      </c>
      <c r="AH444" s="281">
        <v>7.1467197761312018E-4</v>
      </c>
      <c r="AI444" s="281">
        <v>9.6259881384172616E-4</v>
      </c>
      <c r="AJ444" s="281">
        <v>8.8670263316239465E-4</v>
      </c>
      <c r="AK444" s="281">
        <v>7.9518100443954362E-4</v>
      </c>
      <c r="AL444" s="281">
        <v>8.8944914680706743E-4</v>
      </c>
      <c r="AM444" s="281">
        <v>7.7118080994045379E-4</v>
      </c>
      <c r="AN444" s="281">
        <v>9.0021568248038416E-4</v>
      </c>
      <c r="AO444" s="281">
        <v>9.8077006993728985E-4</v>
      </c>
      <c r="AP444" s="281">
        <v>8.6538371070856877E-4</v>
      </c>
      <c r="AQ444" s="281">
        <v>8.7268360951226528E-4</v>
      </c>
      <c r="AR444" s="281">
        <v>7.3456238204217103E-4</v>
      </c>
      <c r="AS444" s="281">
        <v>8.5623829586211719E-4</v>
      </c>
      <c r="AT444" s="281">
        <v>8.1835253602184459E-4</v>
      </c>
      <c r="AU444" s="281">
        <v>9.8600070864163854E-4</v>
      </c>
      <c r="AV444" s="281">
        <v>9.8965935101691491E-4</v>
      </c>
      <c r="AW444" s="281">
        <v>8.3016465549532229E-4</v>
      </c>
      <c r="AX444" s="281">
        <v>1.1775113010250437E-3</v>
      </c>
      <c r="AY444" s="281">
        <v>9.0121385036281271E-4</v>
      </c>
      <c r="AZ444" s="281">
        <v>9.61288545642888E-4</v>
      </c>
      <c r="BA444" s="281">
        <v>1.1228268318915114E-3</v>
      </c>
      <c r="BB444" s="281">
        <v>1.0357420784739876E-3</v>
      </c>
      <c r="BC444" s="281">
        <v>1.0809986926109748E-3</v>
      </c>
      <c r="BD444" s="281">
        <v>9.3583346948930514E-4</v>
      </c>
      <c r="BE444" s="281">
        <v>1.0849640455218731E-3</v>
      </c>
      <c r="BF444" s="281">
        <v>8.397952585548164E-4</v>
      </c>
      <c r="BG444" s="281">
        <v>1.0621703756299385E-3</v>
      </c>
      <c r="BH444" s="281">
        <v>1.1384036116671061E-3</v>
      </c>
      <c r="BI444" s="281">
        <v>1.0513361311132686E-3</v>
      </c>
      <c r="BJ444" s="281">
        <v>0</v>
      </c>
    </row>
    <row r="445" spans="1:62" ht="14.25" customHeight="1" x14ac:dyDescent="0.35">
      <c r="A445" s="41" t="s">
        <v>96</v>
      </c>
      <c r="B445" s="281">
        <v>1.1091475625123675E-4</v>
      </c>
      <c r="C445" s="281">
        <v>1.4750869963433812E-4</v>
      </c>
      <c r="D445" s="281">
        <v>1.8738477062787013E-4</v>
      </c>
      <c r="E445" s="281">
        <v>4.5028335422049587E-4</v>
      </c>
      <c r="F445" s="281">
        <v>4.2440089375874758E-4</v>
      </c>
      <c r="G445" s="281">
        <v>3.5690774657241056E-4</v>
      </c>
      <c r="H445" s="281">
        <v>5.5901740624508044E-5</v>
      </c>
      <c r="I445" s="281">
        <v>1.2283596830235395E-4</v>
      </c>
      <c r="J445" s="281">
        <v>9.9436782516237735E-5</v>
      </c>
      <c r="K445" s="281">
        <v>2.0092023029163274E-4</v>
      </c>
      <c r="L445" s="281">
        <v>3.1559116086808127E-4</v>
      </c>
      <c r="M445" s="281">
        <v>1.8202050337255528E-4</v>
      </c>
      <c r="N445" s="281">
        <v>7.3447293367675696E-5</v>
      </c>
      <c r="O445" s="281">
        <v>2.8149293470740376E-4</v>
      </c>
      <c r="P445" s="281">
        <v>2.5467711509201407E-4</v>
      </c>
      <c r="Q445" s="281">
        <v>4.6409788590366402E-4</v>
      </c>
      <c r="R445" s="281">
        <v>4.5436699910601888E-4</v>
      </c>
      <c r="S445" s="281">
        <v>3.7885383114389965E-4</v>
      </c>
      <c r="T445" s="281">
        <v>3.9299875263060066E-5</v>
      </c>
      <c r="U445" s="281">
        <v>2.4102585720664309E-4</v>
      </c>
      <c r="V445" s="281">
        <v>1.3690803270635806E-4</v>
      </c>
      <c r="W445" s="281">
        <v>4.0704232286093128E-4</v>
      </c>
      <c r="X445" s="281">
        <v>3.3466788977790974E-4</v>
      </c>
      <c r="Y445" s="281">
        <v>2.9493011710514199E-4</v>
      </c>
      <c r="Z445" s="281">
        <v>1.9099120978462351E-4</v>
      </c>
      <c r="AA445" s="281">
        <v>3.6325183478891658E-4</v>
      </c>
      <c r="AB445" s="281">
        <v>2.8342361038113554E-4</v>
      </c>
      <c r="AC445" s="281">
        <v>5.5184400549960989E-4</v>
      </c>
      <c r="AD445" s="281">
        <v>4.0547474989405301E-4</v>
      </c>
      <c r="AE445" s="281">
        <v>5.2270651276078105E-4</v>
      </c>
      <c r="AF445" s="281">
        <v>9.8080284428106172E-5</v>
      </c>
      <c r="AG445" s="281">
        <v>3.0612598601850808E-4</v>
      </c>
      <c r="AH445" s="281">
        <v>1.9437740989878063E-4</v>
      </c>
      <c r="AI445" s="281">
        <v>4.8812273269933085E-4</v>
      </c>
      <c r="AJ445" s="281">
        <v>4.158219059960613E-4</v>
      </c>
      <c r="AK445" s="281">
        <v>3.5721012690092863E-4</v>
      </c>
      <c r="AL445" s="281">
        <v>3.9414931127754231E-4</v>
      </c>
      <c r="AM445" s="281">
        <v>3.783009852282495E-4</v>
      </c>
      <c r="AN445" s="281">
        <v>4.3939997847242145E-4</v>
      </c>
      <c r="AO445" s="281">
        <v>5.1856847628813248E-4</v>
      </c>
      <c r="AP445" s="281">
        <v>5.0575784115384538E-4</v>
      </c>
      <c r="AQ445" s="281">
        <v>5.246966581001325E-4</v>
      </c>
      <c r="AR445" s="281">
        <v>1.4015438444914892E-4</v>
      </c>
      <c r="AS445" s="281">
        <v>4.8279840541116378E-4</v>
      </c>
      <c r="AT445" s="281">
        <v>2.9554738998940991E-4</v>
      </c>
      <c r="AU445" s="281">
        <v>5.0310684768769967E-4</v>
      </c>
      <c r="AV445" s="281">
        <v>4.8156255906473526E-4</v>
      </c>
      <c r="AW445" s="281">
        <v>4.3928996836018348E-4</v>
      </c>
      <c r="AX445" s="281">
        <v>5.1760617377953166E-4</v>
      </c>
      <c r="AY445" s="281">
        <v>5.1300494994043454E-4</v>
      </c>
      <c r="AZ445" s="281">
        <v>4.7281914665438029E-4</v>
      </c>
      <c r="BA445" s="281">
        <v>5.4172864497685535E-4</v>
      </c>
      <c r="BB445" s="281">
        <v>5.2606554607793226E-4</v>
      </c>
      <c r="BC445" s="281">
        <v>5.3605300886976298E-4</v>
      </c>
      <c r="BD445" s="281">
        <v>3.1560075146621057E-4</v>
      </c>
      <c r="BE445" s="281">
        <v>3.9825052861770154E-4</v>
      </c>
      <c r="BF445" s="281">
        <v>3.9816434137649376E-4</v>
      </c>
      <c r="BG445" s="281">
        <v>5.4113085297706487E-4</v>
      </c>
      <c r="BH445" s="281">
        <v>4.7621163802801804E-4</v>
      </c>
      <c r="BI445" s="281">
        <v>4.7213769607931839E-4</v>
      </c>
      <c r="BJ445" s="281">
        <v>0</v>
      </c>
    </row>
    <row r="446" spans="1:62" ht="14.25" customHeight="1" x14ac:dyDescent="0.35">
      <c r="A446" s="41" t="s">
        <v>97</v>
      </c>
      <c r="B446" s="281">
        <v>4.3658193018592105E-5</v>
      </c>
      <c r="C446" s="281">
        <v>5.1903267603827571E-4</v>
      </c>
      <c r="D446" s="281">
        <v>2.475691640695237E-4</v>
      </c>
      <c r="E446" s="281">
        <v>1.3455492164465527E-3</v>
      </c>
      <c r="F446" s="281">
        <v>1.0979594590271818E-3</v>
      </c>
      <c r="G446" s="281">
        <v>1.5908422779460961E-3</v>
      </c>
      <c r="H446" s="281">
        <v>7.4412484132959774E-5</v>
      </c>
      <c r="I446" s="281">
        <v>4.4600633904930094E-4</v>
      </c>
      <c r="J446" s="281">
        <v>2.4842067576172952E-4</v>
      </c>
      <c r="K446" s="281">
        <v>1.0435220780249995E-3</v>
      </c>
      <c r="L446" s="281">
        <v>9.503357567105554E-4</v>
      </c>
      <c r="M446" s="281">
        <v>8.0038395447385694E-4</v>
      </c>
      <c r="N446" s="281">
        <v>1.0611749952453976E-4</v>
      </c>
      <c r="O446" s="281">
        <v>1.1700984879023609E-3</v>
      </c>
      <c r="P446" s="281">
        <v>5.171144286461798E-4</v>
      </c>
      <c r="Q446" s="281">
        <v>1.6810993679070789E-3</v>
      </c>
      <c r="R446" s="281">
        <v>1.426005784492647E-3</v>
      </c>
      <c r="S446" s="281">
        <v>1.6166914864625286E-3</v>
      </c>
      <c r="T446" s="281">
        <v>4.737995622330378E-5</v>
      </c>
      <c r="U446" s="281">
        <v>7.8553173449555586E-4</v>
      </c>
      <c r="V446" s="281">
        <v>3.7068538664945783E-4</v>
      </c>
      <c r="W446" s="281">
        <v>1.5298344520110656E-3</v>
      </c>
      <c r="X446" s="281">
        <v>1.3489928069930714E-3</v>
      </c>
      <c r="Y446" s="281">
        <v>1.1700788269041742E-3</v>
      </c>
      <c r="Z446" s="281">
        <v>3.8820578431724529E-4</v>
      </c>
      <c r="AA446" s="281">
        <v>1.7102758968036565E-3</v>
      </c>
      <c r="AB446" s="281">
        <v>8.9464706903488484E-4</v>
      </c>
      <c r="AC446" s="281">
        <v>1.8958491120530127E-3</v>
      </c>
      <c r="AD446" s="281">
        <v>1.7603392740688239E-3</v>
      </c>
      <c r="AE446" s="281">
        <v>1.6092760406175477E-3</v>
      </c>
      <c r="AF446" s="281">
        <v>1.7350202067739394E-5</v>
      </c>
      <c r="AG446" s="281">
        <v>1.0581439194474677E-3</v>
      </c>
      <c r="AH446" s="281">
        <v>4.982091156958509E-4</v>
      </c>
      <c r="AI446" s="281">
        <v>1.686227359108661E-3</v>
      </c>
      <c r="AJ446" s="281">
        <v>1.4294929791582916E-3</v>
      </c>
      <c r="AK446" s="281">
        <v>1.4422891726786826E-3</v>
      </c>
      <c r="AL446" s="281">
        <v>1.2782182313594605E-3</v>
      </c>
      <c r="AM446" s="281">
        <v>2.0982773466280791E-3</v>
      </c>
      <c r="AN446" s="281">
        <v>1.3961439160187058E-3</v>
      </c>
      <c r="AO446" s="281">
        <v>2.2684640261691966E-3</v>
      </c>
      <c r="AP446" s="281">
        <v>2.0910928797616538E-3</v>
      </c>
      <c r="AQ446" s="281">
        <v>2.0964075618051217E-3</v>
      </c>
      <c r="AR446" s="281">
        <v>2.3805646493057513E-4</v>
      </c>
      <c r="AS446" s="281">
        <v>1.6936499180530082E-3</v>
      </c>
      <c r="AT446" s="281">
        <v>8.9752684010173801E-4</v>
      </c>
      <c r="AU446" s="281">
        <v>1.8552941702815056E-3</v>
      </c>
      <c r="AV446" s="281">
        <v>1.73039520558269E-3</v>
      </c>
      <c r="AW446" s="281">
        <v>1.5320360657904146E-3</v>
      </c>
      <c r="AX446" s="281">
        <v>2.1839876298790249E-3</v>
      </c>
      <c r="AY446" s="281">
        <v>3.0454224695995701E-3</v>
      </c>
      <c r="AZ446" s="281">
        <v>2.564850595668904E-3</v>
      </c>
      <c r="BA446" s="281">
        <v>2.6217243443532258E-3</v>
      </c>
      <c r="BB446" s="281">
        <v>2.5961175336684816E-3</v>
      </c>
      <c r="BC446" s="281">
        <v>2.0556427701323948E-3</v>
      </c>
      <c r="BD446" s="281">
        <v>1.3373346441043503E-3</v>
      </c>
      <c r="BE446" s="281">
        <v>2.0654918638654961E-3</v>
      </c>
      <c r="BF446" s="281">
        <v>1.6139473001420884E-3</v>
      </c>
      <c r="BG446" s="281">
        <v>2.2696996137465939E-3</v>
      </c>
      <c r="BH446" s="281">
        <v>2.1395434401005249E-3</v>
      </c>
      <c r="BI446" s="281">
        <v>1.8063810774293586E-3</v>
      </c>
      <c r="BJ446" s="281">
        <v>0</v>
      </c>
    </row>
    <row r="447" spans="1:62" ht="14.25" customHeight="1" x14ac:dyDescent="0.35">
      <c r="A447" s="41" t="s">
        <v>98</v>
      </c>
      <c r="B447" s="281">
        <v>1.893076706548805E-4</v>
      </c>
      <c r="C447" s="281">
        <v>1.1857160685335428E-4</v>
      </c>
      <c r="D447" s="281">
        <v>2.1317210922677763E-4</v>
      </c>
      <c r="E447" s="281">
        <v>4.8374428258000067E-4</v>
      </c>
      <c r="F447" s="281">
        <v>4.6900151186741524E-4</v>
      </c>
      <c r="G447" s="281">
        <v>4.3264766399511809E-4</v>
      </c>
      <c r="H447" s="281">
        <v>2.8899152072682104E-4</v>
      </c>
      <c r="I447" s="281">
        <v>1.1329060484540988E-4</v>
      </c>
      <c r="J447" s="281">
        <v>3.0336515788137306E-4</v>
      </c>
      <c r="K447" s="281">
        <v>4.4017331716761544E-4</v>
      </c>
      <c r="L447" s="281">
        <v>4.4881183849843786E-4</v>
      </c>
      <c r="M447" s="281">
        <v>3.6451628568357679E-4</v>
      </c>
      <c r="N447" s="281">
        <v>2.1524320121372396E-4</v>
      </c>
      <c r="O447" s="281">
        <v>2.7124323060660657E-4</v>
      </c>
      <c r="P447" s="281">
        <v>2.7338863268008563E-4</v>
      </c>
      <c r="Q447" s="281">
        <v>7.927027758371448E-4</v>
      </c>
      <c r="R447" s="281">
        <v>7.6961277813256492E-4</v>
      </c>
      <c r="S447" s="281">
        <v>7.8187044575431545E-4</v>
      </c>
      <c r="T447" s="281">
        <v>1.9838145319975002E-4</v>
      </c>
      <c r="U447" s="281">
        <v>3.5651626463781917E-4</v>
      </c>
      <c r="V447" s="281">
        <v>2.3132932318697532E-4</v>
      </c>
      <c r="W447" s="281">
        <v>7.5755907354268723E-4</v>
      </c>
      <c r="X447" s="281">
        <v>7.058937355056003E-4</v>
      </c>
      <c r="Y447" s="281">
        <v>6.1467311992411408E-4</v>
      </c>
      <c r="Z447" s="281">
        <v>5.9962540189436361E-4</v>
      </c>
      <c r="AA447" s="281">
        <v>5.0137243928125247E-4</v>
      </c>
      <c r="AB447" s="281">
        <v>6.3170954508463969E-4</v>
      </c>
      <c r="AC447" s="281">
        <v>1.1636768785031843E-3</v>
      </c>
      <c r="AD447" s="281">
        <v>1.0633888617850532E-3</v>
      </c>
      <c r="AE447" s="281">
        <v>1.1347676211212487E-3</v>
      </c>
      <c r="AF447" s="281">
        <v>2.0927896731070601E-4</v>
      </c>
      <c r="AG447" s="281">
        <v>4.413775828449648E-4</v>
      </c>
      <c r="AH447" s="281">
        <v>4.5038469643504274E-4</v>
      </c>
      <c r="AI447" s="281">
        <v>8.6010388968764926E-4</v>
      </c>
      <c r="AJ447" s="281">
        <v>9.1751589900826913E-4</v>
      </c>
      <c r="AK447" s="281">
        <v>8.094097296125637E-4</v>
      </c>
      <c r="AL447" s="281">
        <v>1.1993947046878219E-3</v>
      </c>
      <c r="AM447" s="281">
        <v>7.4244880192394136E-4</v>
      </c>
      <c r="AN447" s="281">
        <v>1.3357266847039394E-3</v>
      </c>
      <c r="AO447" s="281">
        <v>1.3926104207719527E-3</v>
      </c>
      <c r="AP447" s="281">
        <v>1.3608185891504682E-3</v>
      </c>
      <c r="AQ447" s="281">
        <v>1.5515726524896007E-3</v>
      </c>
      <c r="AR447" s="281">
        <v>4.7991447431961962E-4</v>
      </c>
      <c r="AS447" s="281">
        <v>8.6968526456426473E-4</v>
      </c>
      <c r="AT447" s="281">
        <v>8.1466733656515957E-4</v>
      </c>
      <c r="AU447" s="281">
        <v>9.7133709885479941E-4</v>
      </c>
      <c r="AV447" s="281">
        <v>1.0681235606739153E-3</v>
      </c>
      <c r="AW447" s="281">
        <v>1.0792349187492274E-3</v>
      </c>
      <c r="AX447" s="281">
        <v>1.710238060291007E-3</v>
      </c>
      <c r="AY447" s="281">
        <v>1.0181126503455034E-3</v>
      </c>
      <c r="AZ447" s="281">
        <v>1.8418381998406108E-3</v>
      </c>
      <c r="BA447" s="281">
        <v>2.0383536876781199E-3</v>
      </c>
      <c r="BB447" s="281">
        <v>1.5191464778528889E-3</v>
      </c>
      <c r="BC447" s="281">
        <v>1.5184872464711566E-3</v>
      </c>
      <c r="BD447" s="281">
        <v>1.4717303245882077E-3</v>
      </c>
      <c r="BE447" s="281">
        <v>1.3488227799016382E-3</v>
      </c>
      <c r="BF447" s="281">
        <v>1.3985223718578036E-3</v>
      </c>
      <c r="BG447" s="281">
        <v>1.6120879375477344E-3</v>
      </c>
      <c r="BH447" s="281">
        <v>1.5640323140300148E-3</v>
      </c>
      <c r="BI447" s="281">
        <v>1.2836520999944447E-3</v>
      </c>
      <c r="BJ447" s="281">
        <v>0</v>
      </c>
    </row>
    <row r="448" spans="1:62" ht="14.25" customHeight="1" x14ac:dyDescent="0.35">
      <c r="A448" s="41" t="s">
        <v>163</v>
      </c>
      <c r="B448" s="281">
        <v>2.0231827454336799E-4</v>
      </c>
      <c r="C448" s="281">
        <v>2.1790198321569929E-4</v>
      </c>
      <c r="D448" s="281">
        <v>5.3999802494410025E-4</v>
      </c>
      <c r="E448" s="281">
        <v>2.7658591066785822E-4</v>
      </c>
      <c r="F448" s="281">
        <v>7.1614462820461641E-4</v>
      </c>
      <c r="G448" s="281">
        <v>1.3304495128258779E-3</v>
      </c>
      <c r="H448" s="281">
        <v>2.6241678900777748E-4</v>
      </c>
      <c r="I448" s="281">
        <v>1.463726673041683E-4</v>
      </c>
      <c r="J448" s="281">
        <v>3.8316042623172419E-4</v>
      </c>
      <c r="K448" s="281">
        <v>2.6214892477005076E-4</v>
      </c>
      <c r="L448" s="281">
        <v>7.352263186598141E-4</v>
      </c>
      <c r="M448" s="281">
        <v>3.2059780898433931E-4</v>
      </c>
      <c r="N448" s="281">
        <v>2.560515323085008E-4</v>
      </c>
      <c r="O448" s="281">
        <v>3.718852744268342E-4</v>
      </c>
      <c r="P448" s="281">
        <v>3.3692901412708668E-4</v>
      </c>
      <c r="Q448" s="281">
        <v>9.1215495381950491E-4</v>
      </c>
      <c r="R448" s="281">
        <v>1.0536552795709748E-3</v>
      </c>
      <c r="S448" s="281">
        <v>1.5172216068175242E-3</v>
      </c>
      <c r="T448" s="281">
        <v>1.647559284035549E-4</v>
      </c>
      <c r="U448" s="281">
        <v>3.8731434680776294E-4</v>
      </c>
      <c r="V448" s="281">
        <v>2.8130309954473639E-4</v>
      </c>
      <c r="W448" s="281">
        <v>7.9422279418115381E-4</v>
      </c>
      <c r="X448" s="281">
        <v>1.0514724589649675E-3</v>
      </c>
      <c r="Y448" s="281">
        <v>7.5294266477192603E-4</v>
      </c>
      <c r="Z448" s="281">
        <v>4.6461327959663426E-4</v>
      </c>
      <c r="AA448" s="281">
        <v>6.1068035003744602E-4</v>
      </c>
      <c r="AB448" s="281">
        <v>6.3016088467676994E-4</v>
      </c>
      <c r="AC448" s="281">
        <v>1.2044037985395339E-3</v>
      </c>
      <c r="AD448" s="281">
        <v>1.142713177529888E-3</v>
      </c>
      <c r="AE448" s="281">
        <v>1.3422230101762167E-3</v>
      </c>
      <c r="AF448" s="281">
        <v>2.8190359101246321E-4</v>
      </c>
      <c r="AG448" s="281">
        <v>5.3866665854776649E-4</v>
      </c>
      <c r="AH448" s="281">
        <v>4.6363911826813656E-4</v>
      </c>
      <c r="AI448" s="281">
        <v>1.062738512175165E-3</v>
      </c>
      <c r="AJ448" s="281">
        <v>1.1543484644732404E-3</v>
      </c>
      <c r="AK448" s="281">
        <v>1.0440239130631442E-3</v>
      </c>
      <c r="AL448" s="281">
        <v>1.0475819640911187E-3</v>
      </c>
      <c r="AM448" s="281">
        <v>7.0951621783635018E-4</v>
      </c>
      <c r="AN448" s="281">
        <v>1.2074794734764254E-3</v>
      </c>
      <c r="AO448" s="281">
        <v>1.4304031256374939E-3</v>
      </c>
      <c r="AP448" s="281">
        <v>1.3841634088917615E-3</v>
      </c>
      <c r="AQ448" s="281">
        <v>9.6928027975466441E-4</v>
      </c>
      <c r="AR448" s="281">
        <v>5.8674028528203095E-4</v>
      </c>
      <c r="AS448" s="281">
        <v>9.4850156028580758E-4</v>
      </c>
      <c r="AT448" s="281">
        <v>8.9307523727289373E-4</v>
      </c>
      <c r="AU448" s="281">
        <v>1.31846251206647E-3</v>
      </c>
      <c r="AV448" s="281">
        <v>1.2583391049191981E-3</v>
      </c>
      <c r="AW448" s="281">
        <v>1.1842298189906127E-3</v>
      </c>
      <c r="AX448" s="281">
        <v>1.5151817801229771E-3</v>
      </c>
      <c r="AY448" s="281">
        <v>9.7963806550016054E-4</v>
      </c>
      <c r="AZ448" s="281">
        <v>1.4536931048429846E-3</v>
      </c>
      <c r="BA448" s="281">
        <v>1.667201961965191E-3</v>
      </c>
      <c r="BB448" s="281">
        <v>1.3268882052348769E-3</v>
      </c>
      <c r="BC448" s="281">
        <v>8.2247173323028938E-4</v>
      </c>
      <c r="BD448" s="281">
        <v>1.262279902333463E-3</v>
      </c>
      <c r="BE448" s="281">
        <v>1.0640189213707183E-3</v>
      </c>
      <c r="BF448" s="281">
        <v>1.2621946853573888E-3</v>
      </c>
      <c r="BG448" s="281">
        <v>1.437012717786886E-3</v>
      </c>
      <c r="BH448" s="281">
        <v>1.4514030111399221E-3</v>
      </c>
      <c r="BI448" s="281">
        <v>1.400639981651126E-3</v>
      </c>
      <c r="BJ448" s="281">
        <v>0</v>
      </c>
    </row>
    <row r="449" spans="1:62" ht="14.25" customHeight="1" x14ac:dyDescent="0.35">
      <c r="A449" s="41" t="s">
        <v>100</v>
      </c>
      <c r="B449" s="281">
        <v>2.1266575313303336E-3</v>
      </c>
      <c r="C449" s="281">
        <v>1.776146985318357E-3</v>
      </c>
      <c r="D449" s="281">
        <v>3.6438740783753926E-3</v>
      </c>
      <c r="E449" s="281">
        <v>3.0293802106636228E-3</v>
      </c>
      <c r="F449" s="281">
        <v>2.5779954122858812E-3</v>
      </c>
      <c r="G449" s="281">
        <v>2.6599151433218129E-3</v>
      </c>
      <c r="H449" s="281">
        <v>2.5202376439368715E-3</v>
      </c>
      <c r="I449" s="281">
        <v>1.8692168857197947E-3</v>
      </c>
      <c r="J449" s="281">
        <v>2.6185929316246137E-3</v>
      </c>
      <c r="K449" s="281">
        <v>3.1905439811420106E-3</v>
      </c>
      <c r="L449" s="281">
        <v>3.2449207070954426E-3</v>
      </c>
      <c r="M449" s="281">
        <v>3.2735937676732305E-3</v>
      </c>
      <c r="N449" s="281">
        <v>2.8516131867090994E-3</v>
      </c>
      <c r="O449" s="281">
        <v>2.6828170964328527E-3</v>
      </c>
      <c r="P449" s="281">
        <v>3.1755456406997525E-3</v>
      </c>
      <c r="Q449" s="281">
        <v>3.423396425987121E-3</v>
      </c>
      <c r="R449" s="281">
        <v>3.0833233053894505E-3</v>
      </c>
      <c r="S449" s="281">
        <v>3.1684750058044455E-3</v>
      </c>
      <c r="T449" s="281">
        <v>2.972675089161882E-3</v>
      </c>
      <c r="U449" s="281">
        <v>2.2943793778040012E-3</v>
      </c>
      <c r="V449" s="281">
        <v>2.9359960152444387E-3</v>
      </c>
      <c r="W449" s="281">
        <v>3.6284896462770617E-3</v>
      </c>
      <c r="X449" s="281">
        <v>3.4196691902051478E-3</v>
      </c>
      <c r="Y449" s="281">
        <v>3.4199179995528855E-3</v>
      </c>
      <c r="Z449" s="281">
        <v>3.0788953696322765E-3</v>
      </c>
      <c r="AA449" s="281">
        <v>2.6002376587632588E-3</v>
      </c>
      <c r="AB449" s="281">
        <v>3.120215260907019E-3</v>
      </c>
      <c r="AC449" s="281">
        <v>3.4790611374057225E-3</v>
      </c>
      <c r="AD449" s="281">
        <v>3.4249530340531614E-3</v>
      </c>
      <c r="AE449" s="281">
        <v>3.8668601446014668E-3</v>
      </c>
      <c r="AF449" s="281">
        <v>2.9797053773845559E-3</v>
      </c>
      <c r="AG449" s="281">
        <v>2.7640706218912017E-3</v>
      </c>
      <c r="AH449" s="281">
        <v>3.2140509352466466E-3</v>
      </c>
      <c r="AI449" s="281">
        <v>3.7812147650512569E-3</v>
      </c>
      <c r="AJ449" s="281">
        <v>3.5813068164178351E-3</v>
      </c>
      <c r="AK449" s="281">
        <v>3.5734297339986404E-3</v>
      </c>
      <c r="AL449" s="281">
        <v>3.5156836500730877E-3</v>
      </c>
      <c r="AM449" s="281">
        <v>3.2796359358669941E-3</v>
      </c>
      <c r="AN449" s="281">
        <v>3.5826311627865054E-3</v>
      </c>
      <c r="AO449" s="281">
        <v>3.4754743420707386E-3</v>
      </c>
      <c r="AP449" s="281">
        <v>3.3325020991988199E-3</v>
      </c>
      <c r="AQ449" s="281">
        <v>4.2209993373156559E-3</v>
      </c>
      <c r="AR449" s="281">
        <v>3.3019743781771572E-3</v>
      </c>
      <c r="AS449" s="281">
        <v>3.3723192323485015E-3</v>
      </c>
      <c r="AT449" s="281">
        <v>3.5740695937133086E-3</v>
      </c>
      <c r="AU449" s="281">
        <v>3.9848594480162104E-3</v>
      </c>
      <c r="AV449" s="281">
        <v>3.778487520635801E-3</v>
      </c>
      <c r="AW449" s="281">
        <v>3.6866848380887321E-3</v>
      </c>
      <c r="AX449" s="281">
        <v>3.9864521621069578E-3</v>
      </c>
      <c r="AY449" s="281">
        <v>3.6821185279946106E-3</v>
      </c>
      <c r="AZ449" s="281">
        <v>4.4069380940177693E-3</v>
      </c>
      <c r="BA449" s="281">
        <v>3.8257491321160731E-3</v>
      </c>
      <c r="BB449" s="281">
        <v>4.647675923866966E-3</v>
      </c>
      <c r="BC449" s="281">
        <v>5.9392132764083247E-3</v>
      </c>
      <c r="BD449" s="281">
        <v>3.7921524750360799E-3</v>
      </c>
      <c r="BE449" s="281">
        <v>4.254800942936501E-3</v>
      </c>
      <c r="BF449" s="281">
        <v>4.2306641437019699E-3</v>
      </c>
      <c r="BG449" s="281">
        <v>4.0528265267362942E-3</v>
      </c>
      <c r="BH449" s="281">
        <v>4.2074085877477881E-3</v>
      </c>
      <c r="BI449" s="281">
        <v>5.8779958673287683E-3</v>
      </c>
      <c r="BJ449" s="281">
        <v>0</v>
      </c>
    </row>
    <row r="450" spans="1:62" ht="14.25" customHeight="1" x14ac:dyDescent="0.35">
      <c r="A450" s="41" t="s">
        <v>101</v>
      </c>
      <c r="B450" s="281">
        <v>0</v>
      </c>
      <c r="C450" s="281">
        <v>0</v>
      </c>
      <c r="D450" s="281">
        <v>0</v>
      </c>
      <c r="E450" s="281">
        <v>0</v>
      </c>
      <c r="F450" s="281">
        <v>0</v>
      </c>
      <c r="G450" s="281">
        <v>0</v>
      </c>
      <c r="H450" s="281">
        <v>0</v>
      </c>
      <c r="I450" s="281">
        <v>0</v>
      </c>
      <c r="J450" s="281">
        <v>0</v>
      </c>
      <c r="K450" s="281">
        <v>0</v>
      </c>
      <c r="L450" s="281">
        <v>0</v>
      </c>
      <c r="M450" s="281">
        <v>0</v>
      </c>
      <c r="N450" s="281">
        <v>0</v>
      </c>
      <c r="O450" s="281">
        <v>0</v>
      </c>
      <c r="P450" s="281">
        <v>0</v>
      </c>
      <c r="Q450" s="281">
        <v>0</v>
      </c>
      <c r="R450" s="281">
        <v>0</v>
      </c>
      <c r="S450" s="281">
        <v>0</v>
      </c>
      <c r="T450" s="281">
        <v>0</v>
      </c>
      <c r="U450" s="281">
        <v>0</v>
      </c>
      <c r="V450" s="281">
        <v>0</v>
      </c>
      <c r="W450" s="281">
        <v>0</v>
      </c>
      <c r="X450" s="281">
        <v>0</v>
      </c>
      <c r="Y450" s="281">
        <v>0</v>
      </c>
      <c r="Z450" s="281">
        <v>0</v>
      </c>
      <c r="AA450" s="281">
        <v>0</v>
      </c>
      <c r="AB450" s="281">
        <v>0</v>
      </c>
      <c r="AC450" s="281">
        <v>0</v>
      </c>
      <c r="AD450" s="281">
        <v>0</v>
      </c>
      <c r="AE450" s="281">
        <v>0</v>
      </c>
      <c r="AF450" s="281">
        <v>0</v>
      </c>
      <c r="AG450" s="281">
        <v>0</v>
      </c>
      <c r="AH450" s="281">
        <v>0</v>
      </c>
      <c r="AI450" s="281">
        <v>0</v>
      </c>
      <c r="AJ450" s="281">
        <v>0</v>
      </c>
      <c r="AK450" s="281">
        <v>0</v>
      </c>
      <c r="AL450" s="281">
        <v>0</v>
      </c>
      <c r="AM450" s="281">
        <v>0</v>
      </c>
      <c r="AN450" s="281">
        <v>0</v>
      </c>
      <c r="AO450" s="281">
        <v>0</v>
      </c>
      <c r="AP450" s="281">
        <v>0</v>
      </c>
      <c r="AQ450" s="281">
        <v>0</v>
      </c>
      <c r="AR450" s="281">
        <v>0</v>
      </c>
      <c r="AS450" s="281">
        <v>0</v>
      </c>
      <c r="AT450" s="281">
        <v>0</v>
      </c>
      <c r="AU450" s="281">
        <v>0</v>
      </c>
      <c r="AV450" s="281">
        <v>0</v>
      </c>
      <c r="AW450" s="281">
        <v>0</v>
      </c>
      <c r="AX450" s="281">
        <v>0</v>
      </c>
      <c r="AY450" s="281">
        <v>0</v>
      </c>
      <c r="AZ450" s="281">
        <v>0</v>
      </c>
      <c r="BA450" s="281">
        <v>0</v>
      </c>
      <c r="BB450" s="281">
        <v>0</v>
      </c>
      <c r="BC450" s="281">
        <v>0</v>
      </c>
      <c r="BD450" s="281">
        <v>0</v>
      </c>
      <c r="BE450" s="281">
        <v>0</v>
      </c>
      <c r="BF450" s="281">
        <v>0</v>
      </c>
      <c r="BG450" s="281">
        <v>0</v>
      </c>
      <c r="BH450" s="281">
        <v>0</v>
      </c>
      <c r="BI450" s="281">
        <v>0</v>
      </c>
      <c r="BJ450" s="281">
        <v>0</v>
      </c>
    </row>
    <row r="451" spans="1:62" ht="14.25" customHeight="1" x14ac:dyDescent="0.35">
      <c r="A451" s="41" t="s">
        <v>102</v>
      </c>
      <c r="B451" s="281">
        <v>1.2547361686420257E-3</v>
      </c>
      <c r="C451" s="281">
        <v>1.3210886638743524E-3</v>
      </c>
      <c r="D451" s="281">
        <v>2.0480286898261141E-3</v>
      </c>
      <c r="E451" s="281">
        <v>2.9774235924476863E-3</v>
      </c>
      <c r="F451" s="281">
        <v>3.3576801326390539E-3</v>
      </c>
      <c r="G451" s="281">
        <v>2.933777270854547E-3</v>
      </c>
      <c r="H451" s="281">
        <v>1.2421124326066943E-3</v>
      </c>
      <c r="I451" s="281">
        <v>2.0793532664982236E-3</v>
      </c>
      <c r="J451" s="281">
        <v>1.8537680229782714E-3</v>
      </c>
      <c r="K451" s="281">
        <v>3.1408553639198315E-3</v>
      </c>
      <c r="L451" s="281">
        <v>2.8682213988177651E-3</v>
      </c>
      <c r="M451" s="281">
        <v>2.7304512655819918E-3</v>
      </c>
      <c r="N451" s="281">
        <v>1.5943228133954554E-3</v>
      </c>
      <c r="O451" s="281">
        <v>2.425659088809031E-3</v>
      </c>
      <c r="P451" s="281">
        <v>3.1398623805835748E-3</v>
      </c>
      <c r="Q451" s="281">
        <v>3.9645948171859275E-3</v>
      </c>
      <c r="R451" s="281">
        <v>4.0500293313565743E-3</v>
      </c>
      <c r="S451" s="281">
        <v>3.7027876561528351E-3</v>
      </c>
      <c r="T451" s="281">
        <v>1.3952588137205581E-3</v>
      </c>
      <c r="U451" s="281">
        <v>1.4467729525591097E-3</v>
      </c>
      <c r="V451" s="281">
        <v>2.5665595261307734E-3</v>
      </c>
      <c r="W451" s="281">
        <v>3.6426861328339743E-3</v>
      </c>
      <c r="X451" s="281">
        <v>3.4549462322555594E-3</v>
      </c>
      <c r="Y451" s="281">
        <v>3.4825137717886851E-3</v>
      </c>
      <c r="Z451" s="281">
        <v>2.8452202799692057E-3</v>
      </c>
      <c r="AA451" s="281">
        <v>2.5266063353350621E-3</v>
      </c>
      <c r="AB451" s="281">
        <v>3.705494983598844E-3</v>
      </c>
      <c r="AC451" s="281">
        <v>4.5442329879515613E-3</v>
      </c>
      <c r="AD451" s="281">
        <v>4.6201993632208485E-3</v>
      </c>
      <c r="AE451" s="281">
        <v>4.6366282207937993E-3</v>
      </c>
      <c r="AF451" s="281">
        <v>2.4747870973283992E-3</v>
      </c>
      <c r="AG451" s="281">
        <v>2.753716389099917E-3</v>
      </c>
      <c r="AH451" s="281">
        <v>3.3083493644305109E-3</v>
      </c>
      <c r="AI451" s="281">
        <v>4.2300362192517951E-3</v>
      </c>
      <c r="AJ451" s="281">
        <v>3.9541572506541934E-3</v>
      </c>
      <c r="AK451" s="281">
        <v>4.2268990438040751E-3</v>
      </c>
      <c r="AL451" s="281">
        <v>3.9870896310888297E-3</v>
      </c>
      <c r="AM451" s="281">
        <v>3.5481750398184846E-3</v>
      </c>
      <c r="AN451" s="281">
        <v>4.5655415847467374E-3</v>
      </c>
      <c r="AO451" s="281">
        <v>4.9188926604087999E-3</v>
      </c>
      <c r="AP451" s="281">
        <v>5.0927885009720494E-3</v>
      </c>
      <c r="AQ451" s="281">
        <v>5.2888643565163719E-3</v>
      </c>
      <c r="AR451" s="281">
        <v>3.3755521215056896E-3</v>
      </c>
      <c r="AS451" s="281">
        <v>3.7074164234464804E-3</v>
      </c>
      <c r="AT451" s="281">
        <v>4.070593394570614E-3</v>
      </c>
      <c r="AU451" s="281">
        <v>4.6259486369558053E-3</v>
      </c>
      <c r="AV451" s="281">
        <v>4.4802281211428277E-3</v>
      </c>
      <c r="AW451" s="281">
        <v>4.6282020732709471E-3</v>
      </c>
      <c r="AX451" s="281">
        <v>5.7095796946726451E-3</v>
      </c>
      <c r="AY451" s="281">
        <v>4.517537707839238E-3</v>
      </c>
      <c r="AZ451" s="281">
        <v>5.974907824369869E-3</v>
      </c>
      <c r="BA451" s="281">
        <v>6.0713758284868845E-3</v>
      </c>
      <c r="BB451" s="281">
        <v>6.1349153670158139E-3</v>
      </c>
      <c r="BC451" s="281">
        <v>7.4067652017218823E-3</v>
      </c>
      <c r="BD451" s="281">
        <v>4.8291060162748397E-3</v>
      </c>
      <c r="BE451" s="281">
        <v>4.7841154741431677E-3</v>
      </c>
      <c r="BF451" s="281">
        <v>5.4299907935955426E-3</v>
      </c>
      <c r="BG451" s="281">
        <v>5.6387322921109618E-3</v>
      </c>
      <c r="BH451" s="281">
        <v>5.4340513812180377E-3</v>
      </c>
      <c r="BI451" s="281">
        <v>5.7902216153842886E-3</v>
      </c>
      <c r="BJ451" s="281">
        <v>0</v>
      </c>
    </row>
    <row r="452" spans="1:62" ht="14.25" customHeight="1" x14ac:dyDescent="0.35">
      <c r="A452" s="41" t="s">
        <v>103</v>
      </c>
      <c r="B452" s="281">
        <v>2.3441234492825032E-3</v>
      </c>
      <c r="C452" s="281">
        <v>8.6747587908708376E-4</v>
      </c>
      <c r="D452" s="281">
        <v>1.8937813120805072E-3</v>
      </c>
      <c r="E452" s="281">
        <v>1.9169552501435401E-3</v>
      </c>
      <c r="F452" s="281">
        <v>2.2550525999733137E-3</v>
      </c>
      <c r="G452" s="281">
        <v>1.7254303144036824E-3</v>
      </c>
      <c r="H452" s="281">
        <v>2.2582291373047874E-3</v>
      </c>
      <c r="I452" s="281">
        <v>3.4128434546031889E-3</v>
      </c>
      <c r="J452" s="281">
        <v>1.438287263294847E-3</v>
      </c>
      <c r="K452" s="281">
        <v>1.930444255500982E-3</v>
      </c>
      <c r="L452" s="281">
        <v>2.4066847575801228E-3</v>
      </c>
      <c r="M452" s="281">
        <v>2.0558306232709919E-3</v>
      </c>
      <c r="N452" s="281">
        <v>2.4034334289160459E-3</v>
      </c>
      <c r="O452" s="281">
        <v>1.9825175405295348E-3</v>
      </c>
      <c r="P452" s="281">
        <v>2.0651020122321086E-3</v>
      </c>
      <c r="Q452" s="281">
        <v>2.532109540830193E-3</v>
      </c>
      <c r="R452" s="281">
        <v>2.2005571163959676E-3</v>
      </c>
      <c r="S452" s="281">
        <v>2.0835712503248054E-3</v>
      </c>
      <c r="T452" s="281">
        <v>1.8335575896278138E-3</v>
      </c>
      <c r="U452" s="281">
        <v>2.0140382293835028E-3</v>
      </c>
      <c r="V452" s="281">
        <v>1.6280208516556596E-3</v>
      </c>
      <c r="W452" s="281">
        <v>2.4043133502733823E-3</v>
      </c>
      <c r="X452" s="281">
        <v>2.4317687560593735E-3</v>
      </c>
      <c r="Y452" s="281">
        <v>2.2608244419004054E-3</v>
      </c>
      <c r="Z452" s="281">
        <v>2.4203387977273731E-3</v>
      </c>
      <c r="AA452" s="281">
        <v>2.2123277139620662E-3</v>
      </c>
      <c r="AB452" s="281">
        <v>2.2406415287097216E-3</v>
      </c>
      <c r="AC452" s="281">
        <v>2.8788213649795281E-3</v>
      </c>
      <c r="AD452" s="281">
        <v>2.5987773532188678E-3</v>
      </c>
      <c r="AE452" s="281">
        <v>2.7175154638787303E-3</v>
      </c>
      <c r="AF452" s="281">
        <v>1.7455170252345517E-3</v>
      </c>
      <c r="AG452" s="281">
        <v>2.4690560244232007E-3</v>
      </c>
      <c r="AH452" s="281">
        <v>2.0362887530431827E-3</v>
      </c>
      <c r="AI452" s="281">
        <v>2.6784604851604684E-3</v>
      </c>
      <c r="AJ452" s="281">
        <v>2.574932862980875E-3</v>
      </c>
      <c r="AK452" s="281">
        <v>2.3494166547017425E-3</v>
      </c>
      <c r="AL452" s="281">
        <v>2.7747385219171212E-3</v>
      </c>
      <c r="AM452" s="281">
        <v>2.5801836660115452E-3</v>
      </c>
      <c r="AN452" s="281">
        <v>2.6566987581278169E-3</v>
      </c>
      <c r="AO452" s="281">
        <v>3.2039227760961228E-3</v>
      </c>
      <c r="AP452" s="281">
        <v>2.8833445797081707E-3</v>
      </c>
      <c r="AQ452" s="281">
        <v>2.9398002964443142E-3</v>
      </c>
      <c r="AR452" s="281">
        <v>2.2083806167379032E-3</v>
      </c>
      <c r="AS452" s="281">
        <v>2.7837361716805432E-3</v>
      </c>
      <c r="AT452" s="281">
        <v>2.3614903174800895E-3</v>
      </c>
      <c r="AU452" s="281">
        <v>2.8576774349290423E-3</v>
      </c>
      <c r="AV452" s="281">
        <v>2.5825656109370494E-3</v>
      </c>
      <c r="AW452" s="281">
        <v>2.8831367636378276E-3</v>
      </c>
      <c r="AX452" s="281">
        <v>3.5747411325743558E-3</v>
      </c>
      <c r="AY452" s="281">
        <v>3.1412087008963006E-3</v>
      </c>
      <c r="AZ452" s="281">
        <v>3.7708868232559783E-3</v>
      </c>
      <c r="BA452" s="281">
        <v>3.9066594687328787E-3</v>
      </c>
      <c r="BB452" s="281">
        <v>3.7369311153429541E-3</v>
      </c>
      <c r="BC452" s="281">
        <v>3.5214467500137916E-3</v>
      </c>
      <c r="BD452" s="281">
        <v>2.8504932244387809E-3</v>
      </c>
      <c r="BE452" s="281">
        <v>3.2977952708594552E-3</v>
      </c>
      <c r="BF452" s="281">
        <v>2.8459092696454039E-3</v>
      </c>
      <c r="BG452" s="281">
        <v>3.4093088769055905E-3</v>
      </c>
      <c r="BH452" s="281">
        <v>3.0033667484487278E-3</v>
      </c>
      <c r="BI452" s="281">
        <v>3.4873020023350959E-3</v>
      </c>
      <c r="BJ452" s="281">
        <v>0</v>
      </c>
    </row>
    <row r="453" spans="1:62" ht="14.25" customHeight="1" x14ac:dyDescent="0.35">
      <c r="A453" s="41" t="s">
        <v>104</v>
      </c>
      <c r="B453" s="281">
        <v>6.4203023469123295E-4</v>
      </c>
      <c r="C453" s="281">
        <v>3.0740532269083408E-4</v>
      </c>
      <c r="D453" s="281">
        <v>1.0373660070971047E-3</v>
      </c>
      <c r="E453" s="281">
        <v>1.2916937095573909E-3</v>
      </c>
      <c r="F453" s="281">
        <v>1.4513351939228355E-3</v>
      </c>
      <c r="G453" s="281">
        <v>1.4907178910465865E-3</v>
      </c>
      <c r="H453" s="281">
        <v>1.2904315388214739E-3</v>
      </c>
      <c r="I453" s="281">
        <v>7.978560236443379E-4</v>
      </c>
      <c r="J453" s="281">
        <v>8.9974463088681323E-4</v>
      </c>
      <c r="K453" s="281">
        <v>1.3508919437661185E-3</v>
      </c>
      <c r="L453" s="281">
        <v>1.3257457770503747E-3</v>
      </c>
      <c r="M453" s="281">
        <v>9.8054290808094599E-4</v>
      </c>
      <c r="N453" s="281">
        <v>8.2685771663141042E-4</v>
      </c>
      <c r="O453" s="281">
        <v>3.9423371216451515E-4</v>
      </c>
      <c r="P453" s="281">
        <v>1.2460617509897061E-3</v>
      </c>
      <c r="Q453" s="281">
        <v>1.7166370198358554E-3</v>
      </c>
      <c r="R453" s="281">
        <v>1.6285185026874806E-3</v>
      </c>
      <c r="S453" s="281">
        <v>1.055196513945053E-3</v>
      </c>
      <c r="T453" s="281">
        <v>8.6921661225935673E-4</v>
      </c>
      <c r="U453" s="281">
        <v>5.252038153805552E-4</v>
      </c>
      <c r="V453" s="281">
        <v>1.0682311022011876E-3</v>
      </c>
      <c r="W453" s="281">
        <v>1.6389004414077281E-3</v>
      </c>
      <c r="X453" s="281">
        <v>1.6450710122312502E-3</v>
      </c>
      <c r="Y453" s="281">
        <v>1.4572475238607361E-3</v>
      </c>
      <c r="Z453" s="281">
        <v>1.3378840915417537E-3</v>
      </c>
      <c r="AA453" s="281">
        <v>6.0861166942252675E-4</v>
      </c>
      <c r="AB453" s="281">
        <v>1.4493365494963656E-3</v>
      </c>
      <c r="AC453" s="281">
        <v>1.9578785322240627E-3</v>
      </c>
      <c r="AD453" s="281">
        <v>1.7473487963516267E-3</v>
      </c>
      <c r="AE453" s="281">
        <v>1.9606989000895015E-3</v>
      </c>
      <c r="AF453" s="281">
        <v>1.0882247867708668E-3</v>
      </c>
      <c r="AG453" s="281">
        <v>6.5990069198081753E-4</v>
      </c>
      <c r="AH453" s="281">
        <v>1.3172999997113739E-3</v>
      </c>
      <c r="AI453" s="281">
        <v>1.8779086835381139E-3</v>
      </c>
      <c r="AJ453" s="281">
        <v>1.7794640008057811E-3</v>
      </c>
      <c r="AK453" s="281">
        <v>1.72664541745173E-3</v>
      </c>
      <c r="AL453" s="281">
        <v>1.7516752458056908E-3</v>
      </c>
      <c r="AM453" s="281">
        <v>1.359230207119692E-3</v>
      </c>
      <c r="AN453" s="281">
        <v>1.7232892761259691E-3</v>
      </c>
      <c r="AO453" s="281">
        <v>1.6140053427197416E-3</v>
      </c>
      <c r="AP453" s="281">
        <v>1.8715293187794107E-3</v>
      </c>
      <c r="AQ453" s="281">
        <v>1.9020881214134779E-3</v>
      </c>
      <c r="AR453" s="281">
        <v>1.6758764817244429E-3</v>
      </c>
      <c r="AS453" s="281">
        <v>1.3738789327018305E-3</v>
      </c>
      <c r="AT453" s="281">
        <v>1.5955983466501356E-3</v>
      </c>
      <c r="AU453" s="281">
        <v>1.887991898153888E-3</v>
      </c>
      <c r="AV453" s="281">
        <v>1.9697588668905184E-3</v>
      </c>
      <c r="AW453" s="281">
        <v>1.8345862290404349E-3</v>
      </c>
      <c r="AX453" s="281">
        <v>1.4942492109285908E-3</v>
      </c>
      <c r="AY453" s="281">
        <v>1.6987760089396274E-3</v>
      </c>
      <c r="AZ453" s="281">
        <v>1.2410054878722776E-3</v>
      </c>
      <c r="BA453" s="281">
        <v>2.0537017677635275E-3</v>
      </c>
      <c r="BB453" s="281">
        <v>1.8211851313989563E-3</v>
      </c>
      <c r="BC453" s="281">
        <v>1.366389887683325E-3</v>
      </c>
      <c r="BD453" s="281">
        <v>1.5705321016648783E-3</v>
      </c>
      <c r="BE453" s="281">
        <v>1.9296751911120633E-3</v>
      </c>
      <c r="BF453" s="281">
        <v>1.2462346999546376E-3</v>
      </c>
      <c r="BG453" s="281">
        <v>1.8524195147336397E-3</v>
      </c>
      <c r="BH453" s="281">
        <v>1.4078651728045718E-3</v>
      </c>
      <c r="BI453" s="281">
        <v>1.7818082898322575E-3</v>
      </c>
      <c r="BJ453" s="281">
        <v>0</v>
      </c>
    </row>
    <row r="454" spans="1:62" ht="14.25" customHeight="1" x14ac:dyDescent="0.35">
      <c r="A454" s="41" t="s">
        <v>105</v>
      </c>
      <c r="B454" s="281">
        <v>2.0703273351953726E-3</v>
      </c>
      <c r="C454" s="281">
        <v>1.4949326852096941E-3</v>
      </c>
      <c r="D454" s="281">
        <v>2.4398385354873217E-3</v>
      </c>
      <c r="E454" s="281">
        <v>3.1960999414683711E-3</v>
      </c>
      <c r="F454" s="281">
        <v>2.8925792971400211E-3</v>
      </c>
      <c r="G454" s="281">
        <v>2.4135778256246317E-3</v>
      </c>
      <c r="H454" s="281">
        <v>2.0846997893865537E-3</v>
      </c>
      <c r="I454" s="281">
        <v>5.1374124732697787E-4</v>
      </c>
      <c r="J454" s="281">
        <v>2.5662941981286456E-3</v>
      </c>
      <c r="K454" s="281">
        <v>3.0963467819124027E-3</v>
      </c>
      <c r="L454" s="281">
        <v>2.9596272805161531E-3</v>
      </c>
      <c r="M454" s="281">
        <v>2.3074899642985466E-3</v>
      </c>
      <c r="N454" s="281">
        <v>2.3934426048914516E-3</v>
      </c>
      <c r="O454" s="281">
        <v>1.5869304131974201E-3</v>
      </c>
      <c r="P454" s="281">
        <v>2.7017129090139806E-3</v>
      </c>
      <c r="Q454" s="281">
        <v>3.3004169850774988E-3</v>
      </c>
      <c r="R454" s="281">
        <v>2.9985445685581855E-3</v>
      </c>
      <c r="S454" s="281">
        <v>3.133622222919733E-3</v>
      </c>
      <c r="T454" s="281">
        <v>2.268839993239246E-3</v>
      </c>
      <c r="U454" s="281">
        <v>2.9259712043609135E-3</v>
      </c>
      <c r="V454" s="281">
        <v>2.508535125659796E-3</v>
      </c>
      <c r="W454" s="281">
        <v>3.3891209700432651E-3</v>
      </c>
      <c r="X454" s="281">
        <v>2.9677673816450004E-3</v>
      </c>
      <c r="Y454" s="281">
        <v>2.9170371041588165E-3</v>
      </c>
      <c r="Z454" s="281">
        <v>2.740091720015938E-3</v>
      </c>
      <c r="AA454" s="281">
        <v>2.2065989448623526E-3</v>
      </c>
      <c r="AB454" s="281">
        <v>2.7992270090663207E-3</v>
      </c>
      <c r="AC454" s="281">
        <v>3.4693221752533513E-3</v>
      </c>
      <c r="AD454" s="281">
        <v>3.078687037174887E-3</v>
      </c>
      <c r="AE454" s="281">
        <v>3.3354760030410977E-3</v>
      </c>
      <c r="AF454" s="281">
        <v>2.3064759980601663E-3</v>
      </c>
      <c r="AG454" s="281">
        <v>1.7807909220770885E-3</v>
      </c>
      <c r="AH454" s="281">
        <v>2.7066440153974505E-3</v>
      </c>
      <c r="AI454" s="281">
        <v>3.3953372890555534E-3</v>
      </c>
      <c r="AJ454" s="281">
        <v>3.0198973723986398E-3</v>
      </c>
      <c r="AK454" s="281">
        <v>3.3356698941778471E-3</v>
      </c>
      <c r="AL454" s="281">
        <v>2.9634694013317576E-3</v>
      </c>
      <c r="AM454" s="281">
        <v>3.3839615769188434E-3</v>
      </c>
      <c r="AN454" s="281">
        <v>3.0195771071078333E-3</v>
      </c>
      <c r="AO454" s="281">
        <v>3.6272163209940585E-3</v>
      </c>
      <c r="AP454" s="281">
        <v>3.2447604771199041E-3</v>
      </c>
      <c r="AQ454" s="281">
        <v>3.2393122065608499E-3</v>
      </c>
      <c r="AR454" s="281">
        <v>2.647707134739683E-3</v>
      </c>
      <c r="AS454" s="281">
        <v>4.0600281090561012E-3</v>
      </c>
      <c r="AT454" s="281">
        <v>2.9345429548197407E-3</v>
      </c>
      <c r="AU454" s="281">
        <v>3.6211741630429845E-3</v>
      </c>
      <c r="AV454" s="281">
        <v>3.322148505510747E-3</v>
      </c>
      <c r="AW454" s="281">
        <v>3.2421687818809807E-3</v>
      </c>
      <c r="AX454" s="281">
        <v>3.545586867275516E-3</v>
      </c>
      <c r="AY454" s="281">
        <v>4.4265640083989621E-3</v>
      </c>
      <c r="AZ454" s="281">
        <v>3.5855085419073188E-3</v>
      </c>
      <c r="BA454" s="281">
        <v>3.8333065945587415E-3</v>
      </c>
      <c r="BB454" s="281">
        <v>3.7148240535647818E-3</v>
      </c>
      <c r="BC454" s="281">
        <v>3.7728584264468479E-3</v>
      </c>
      <c r="BD454" s="281">
        <v>3.4814831209542202E-3</v>
      </c>
      <c r="BE454" s="281">
        <v>3.8806040498053735E-3</v>
      </c>
      <c r="BF454" s="281">
        <v>3.3645988889258378E-3</v>
      </c>
      <c r="BG454" s="281">
        <v>3.754479050127644E-3</v>
      </c>
      <c r="BH454" s="281">
        <v>3.5857384159416741E-3</v>
      </c>
      <c r="BI454" s="281">
        <v>3.4985290787813766E-3</v>
      </c>
      <c r="BJ454" s="281">
        <v>0</v>
      </c>
    </row>
    <row r="455" spans="1:62" ht="14.25" customHeight="1" x14ac:dyDescent="0.35">
      <c r="A455" s="41" t="s">
        <v>106</v>
      </c>
      <c r="B455" s="281">
        <v>1.8103916561087376E-4</v>
      </c>
      <c r="C455" s="281">
        <v>1.3362064700457338E-4</v>
      </c>
      <c r="D455" s="281">
        <v>5.1114019912122254E-4</v>
      </c>
      <c r="E455" s="281">
        <v>6.9937014380914043E-4</v>
      </c>
      <c r="F455" s="281">
        <v>5.4074291861445467E-4</v>
      </c>
      <c r="G455" s="281">
        <v>8.1273285175884416E-4</v>
      </c>
      <c r="H455" s="281">
        <v>-1.1371496994691787E-4</v>
      </c>
      <c r="I455" s="281">
        <v>1.0144661519220147E-4</v>
      </c>
      <c r="J455" s="281">
        <v>-2.6499519503941156E-4</v>
      </c>
      <c r="K455" s="281">
        <v>-2.1568807750433093E-4</v>
      </c>
      <c r="L455" s="281">
        <v>3.8038120410705E-4</v>
      </c>
      <c r="M455" s="281">
        <v>-6.0031170634456744E-4</v>
      </c>
      <c r="N455" s="281">
        <v>3.9937565431935471E-4</v>
      </c>
      <c r="O455" s="281">
        <v>4.3285842490247594E-4</v>
      </c>
      <c r="P455" s="281">
        <v>6.7710484525970618E-4</v>
      </c>
      <c r="Q455" s="281">
        <v>1.2878330511068038E-3</v>
      </c>
      <c r="R455" s="281">
        <v>1.1876585292632759E-3</v>
      </c>
      <c r="S455" s="281">
        <v>9.6544224476360538E-4</v>
      </c>
      <c r="T455" s="281">
        <v>3.8345649964966963E-4</v>
      </c>
      <c r="U455" s="281">
        <v>2.9463623767950789E-4</v>
      </c>
      <c r="V455" s="281">
        <v>5.077637987563865E-4</v>
      </c>
      <c r="W455" s="281">
        <v>8.7402704037872043E-4</v>
      </c>
      <c r="X455" s="281">
        <v>1.0804443714681553E-3</v>
      </c>
      <c r="Y455" s="281">
        <v>7.2047401291028279E-4</v>
      </c>
      <c r="Z455" s="281">
        <v>4.5931759980537322E-4</v>
      </c>
      <c r="AA455" s="281">
        <v>7.2587221948096272E-4</v>
      </c>
      <c r="AB455" s="281">
        <v>7.8502206747532461E-4</v>
      </c>
      <c r="AC455" s="281">
        <v>1.2657697243182522E-3</v>
      </c>
      <c r="AD455" s="281">
        <v>9.891587904322346E-4</v>
      </c>
      <c r="AE455" s="281">
        <v>1.0869663691825365E-3</v>
      </c>
      <c r="AF455" s="281">
        <v>5.3349364066035551E-4</v>
      </c>
      <c r="AG455" s="281">
        <v>4.1360103946184773E-4</v>
      </c>
      <c r="AH455" s="281">
        <v>7.6348540202229149E-4</v>
      </c>
      <c r="AI455" s="281">
        <v>1.2464694964847926E-3</v>
      </c>
      <c r="AJ455" s="281">
        <v>1.1590509427614275E-3</v>
      </c>
      <c r="AK455" s="281">
        <v>9.8394217769737246E-4</v>
      </c>
      <c r="AL455" s="281">
        <v>9.3452223897367008E-4</v>
      </c>
      <c r="AM455" s="281">
        <v>9.7638980826407376E-4</v>
      </c>
      <c r="AN455" s="281">
        <v>1.0885851219511178E-3</v>
      </c>
      <c r="AO455" s="281">
        <v>1.1344551946976017E-3</v>
      </c>
      <c r="AP455" s="281">
        <v>1.1523548022821224E-3</v>
      </c>
      <c r="AQ455" s="281">
        <v>8.529566507167565E-4</v>
      </c>
      <c r="AR455" s="281">
        <v>5.3195023188421821E-4</v>
      </c>
      <c r="AS455" s="281">
        <v>6.8771998363422121E-4</v>
      </c>
      <c r="AT455" s="281">
        <v>8.1978438847616351E-4</v>
      </c>
      <c r="AU455" s="281">
        <v>1.1697076533581925E-3</v>
      </c>
      <c r="AV455" s="281">
        <v>1.1179755014871211E-3</v>
      </c>
      <c r="AW455" s="281">
        <v>1.0474921801062434E-3</v>
      </c>
      <c r="AX455" s="281">
        <v>1.0845516048112605E-3</v>
      </c>
      <c r="AY455" s="281">
        <v>1.5614218425069541E-3</v>
      </c>
      <c r="AZ455" s="281">
        <v>1.0216555605605088E-3</v>
      </c>
      <c r="BA455" s="281">
        <v>1.0395714154383111E-3</v>
      </c>
      <c r="BB455" s="281">
        <v>1.1208044673174124E-3</v>
      </c>
      <c r="BC455" s="281">
        <v>8.8648849490626782E-4</v>
      </c>
      <c r="BD455" s="281">
        <v>9.8432707920018125E-4</v>
      </c>
      <c r="BE455" s="281">
        <v>7.0690757851443449E-4</v>
      </c>
      <c r="BF455" s="281">
        <v>1.1143441079023374E-3</v>
      </c>
      <c r="BG455" s="281">
        <v>1.1242145939668303E-3</v>
      </c>
      <c r="BH455" s="281">
        <v>1.1928335819458469E-3</v>
      </c>
      <c r="BI455" s="281">
        <v>1.0099515038819835E-3</v>
      </c>
      <c r="BJ455" s="281">
        <v>0</v>
      </c>
    </row>
    <row r="456" spans="1:62" ht="14.25" customHeight="1" x14ac:dyDescent="0.35">
      <c r="A456" s="41" t="s">
        <v>107</v>
      </c>
      <c r="B456" s="281">
        <v>4.8916178774036052E-5</v>
      </c>
      <c r="C456" s="281">
        <v>1.5830810199326327E-4</v>
      </c>
      <c r="D456" s="281">
        <v>3.0546920189885451E-4</v>
      </c>
      <c r="E456" s="281">
        <v>6.3426105919058852E-4</v>
      </c>
      <c r="F456" s="281">
        <v>4.4740649139334677E-4</v>
      </c>
      <c r="G456" s="281">
        <v>8.5288159150551308E-4</v>
      </c>
      <c r="H456" s="281">
        <v>3.3830250568239409E-5</v>
      </c>
      <c r="I456" s="281">
        <v>2.1975596675249937E-4</v>
      </c>
      <c r="J456" s="281">
        <v>1.185699437794212E-4</v>
      </c>
      <c r="K456" s="281">
        <v>5.974798047164527E-4</v>
      </c>
      <c r="L456" s="281">
        <v>2.6451566197096459E-4</v>
      </c>
      <c r="M456" s="281">
        <v>2.0794809818232708E-4</v>
      </c>
      <c r="N456" s="281">
        <v>6.2848730736211414E-5</v>
      </c>
      <c r="O456" s="281">
        <v>2.1860536815319467E-4</v>
      </c>
      <c r="P456" s="281">
        <v>5.5034976056881897E-4</v>
      </c>
      <c r="Q456" s="281">
        <v>1.5134345417523478E-3</v>
      </c>
      <c r="R456" s="281">
        <v>6.1480846323915331E-4</v>
      </c>
      <c r="S456" s="281">
        <v>1.2244712183016317E-3</v>
      </c>
      <c r="T456" s="281">
        <v>3.7053672729385815E-5</v>
      </c>
      <c r="U456" s="281">
        <v>3.187968956783254E-5</v>
      </c>
      <c r="V456" s="281">
        <v>3.3230996583108815E-4</v>
      </c>
      <c r="W456" s="281">
        <v>1.0517919841220463E-3</v>
      </c>
      <c r="X456" s="281">
        <v>7.3637385494094737E-4</v>
      </c>
      <c r="Y456" s="281">
        <v>8.4031945604336081E-4</v>
      </c>
      <c r="Z456" s="281">
        <v>1.1040661970738916E-3</v>
      </c>
      <c r="AA456" s="281">
        <v>3.5742458265247912E-4</v>
      </c>
      <c r="AB456" s="281">
        <v>1.3249560204466933E-3</v>
      </c>
      <c r="AC456" s="281">
        <v>2.2188724273892397E-3</v>
      </c>
      <c r="AD456" s="281">
        <v>1.2456418003333092E-3</v>
      </c>
      <c r="AE456" s="281">
        <v>1.5768590558648014E-3</v>
      </c>
      <c r="AF456" s="281">
        <v>7.5449979566530635E-5</v>
      </c>
      <c r="AG456" s="281">
        <v>5.4581768370530871E-4</v>
      </c>
      <c r="AH456" s="281">
        <v>7.0150746564749927E-4</v>
      </c>
      <c r="AI456" s="281">
        <v>1.7694904703263892E-3</v>
      </c>
      <c r="AJ456" s="281">
        <v>1.2380683200561517E-3</v>
      </c>
      <c r="AK456" s="281">
        <v>1.2281084318707277E-3</v>
      </c>
      <c r="AL456" s="281">
        <v>1.8402977862873621E-3</v>
      </c>
      <c r="AM456" s="281">
        <v>8.8782803241021894E-4</v>
      </c>
      <c r="AN456" s="281">
        <v>2.1858814452438758E-3</v>
      </c>
      <c r="AO456" s="281">
        <v>3.0202448435285027E-3</v>
      </c>
      <c r="AP456" s="281">
        <v>1.7458503163694972E-3</v>
      </c>
      <c r="AQ456" s="281">
        <v>1.854557544942341E-3</v>
      </c>
      <c r="AR456" s="281">
        <v>9.4679078790379546E-4</v>
      </c>
      <c r="AS456" s="281">
        <v>6.5847121025573469E-4</v>
      </c>
      <c r="AT456" s="281">
        <v>1.3865586789576017E-3</v>
      </c>
      <c r="AU456" s="281">
        <v>2.1624744866935194E-3</v>
      </c>
      <c r="AV456" s="281">
        <v>1.7507843333321148E-3</v>
      </c>
      <c r="AW456" s="281">
        <v>1.5482252220072657E-3</v>
      </c>
      <c r="AX456" s="281">
        <v>2.7764952800376349E-3</v>
      </c>
      <c r="AY456" s="281">
        <v>1.3637080363578845E-3</v>
      </c>
      <c r="AZ456" s="281">
        <v>2.7089846934220362E-3</v>
      </c>
      <c r="BA456" s="281">
        <v>3.3631162868684688E-3</v>
      </c>
      <c r="BB456" s="281">
        <v>2.5406427316975451E-3</v>
      </c>
      <c r="BC456" s="281">
        <v>2.4427885194858441E-3</v>
      </c>
      <c r="BD456" s="281">
        <v>1.7277109670466465E-3</v>
      </c>
      <c r="BE456" s="281">
        <v>1.5055284721971567E-3</v>
      </c>
      <c r="BF456" s="281">
        <v>2.3601119787861184E-3</v>
      </c>
      <c r="BG456" s="281">
        <v>2.7875851487726205E-3</v>
      </c>
      <c r="BH456" s="281">
        <v>2.2777935672584669E-3</v>
      </c>
      <c r="BI456" s="281">
        <v>2.6178200462328893E-3</v>
      </c>
      <c r="BJ456" s="281">
        <v>0</v>
      </c>
    </row>
    <row r="457" spans="1:62" ht="14.25" customHeight="1" x14ac:dyDescent="0.35">
      <c r="A457" s="41" t="s">
        <v>108</v>
      </c>
      <c r="B457" s="286">
        <v>0</v>
      </c>
      <c r="C457" s="286">
        <v>0</v>
      </c>
      <c r="D457" s="286">
        <v>0</v>
      </c>
      <c r="E457" s="286">
        <v>0</v>
      </c>
      <c r="F457" s="286">
        <v>0</v>
      </c>
      <c r="G457" s="286">
        <v>0</v>
      </c>
      <c r="H457" s="286">
        <v>0</v>
      </c>
      <c r="I457" s="286">
        <v>0</v>
      </c>
      <c r="J457" s="286">
        <v>0</v>
      </c>
      <c r="K457" s="286">
        <v>0</v>
      </c>
      <c r="L457" s="286">
        <v>0</v>
      </c>
      <c r="M457" s="286">
        <v>0</v>
      </c>
      <c r="N457" s="286">
        <v>0</v>
      </c>
      <c r="O457" s="286">
        <v>0</v>
      </c>
      <c r="P457" s="286">
        <v>0</v>
      </c>
      <c r="Q457" s="286">
        <v>0</v>
      </c>
      <c r="R457" s="286">
        <v>0</v>
      </c>
      <c r="S457" s="286">
        <v>0</v>
      </c>
      <c r="T457" s="286">
        <v>0</v>
      </c>
      <c r="U457" s="286">
        <v>0</v>
      </c>
      <c r="V457" s="286">
        <v>0</v>
      </c>
      <c r="W457" s="286">
        <v>0</v>
      </c>
      <c r="X457" s="286">
        <v>0</v>
      </c>
      <c r="Y457" s="286">
        <v>0</v>
      </c>
      <c r="Z457" s="286">
        <v>0</v>
      </c>
      <c r="AA457" s="286">
        <v>0</v>
      </c>
      <c r="AB457" s="286">
        <v>0</v>
      </c>
      <c r="AC457" s="286">
        <v>0</v>
      </c>
      <c r="AD457" s="286">
        <v>0</v>
      </c>
      <c r="AE457" s="286">
        <v>0</v>
      </c>
      <c r="AF457" s="286">
        <v>0</v>
      </c>
      <c r="AG457" s="286">
        <v>0</v>
      </c>
      <c r="AH457" s="286">
        <v>0</v>
      </c>
      <c r="AI457" s="286">
        <v>0</v>
      </c>
      <c r="AJ457" s="286">
        <v>0</v>
      </c>
      <c r="AK457" s="286">
        <v>0</v>
      </c>
      <c r="AL457" s="286">
        <v>0</v>
      </c>
      <c r="AM457" s="286">
        <v>0</v>
      </c>
      <c r="AN457" s="286">
        <v>0</v>
      </c>
      <c r="AO457" s="286">
        <v>0</v>
      </c>
      <c r="AP457" s="286">
        <v>0</v>
      </c>
      <c r="AQ457" s="286">
        <v>0</v>
      </c>
      <c r="AR457" s="286">
        <v>0</v>
      </c>
      <c r="AS457" s="286">
        <v>0</v>
      </c>
      <c r="AT457" s="286">
        <v>0</v>
      </c>
      <c r="AU457" s="286">
        <v>0</v>
      </c>
      <c r="AV457" s="286">
        <v>0</v>
      </c>
      <c r="AW457" s="286">
        <v>0</v>
      </c>
      <c r="AX457" s="286">
        <v>0</v>
      </c>
      <c r="AY457" s="286">
        <v>0</v>
      </c>
      <c r="AZ457" s="286">
        <v>0</v>
      </c>
      <c r="BA457" s="286">
        <v>0</v>
      </c>
      <c r="BB457" s="286">
        <v>0</v>
      </c>
      <c r="BC457" s="286">
        <v>0</v>
      </c>
      <c r="BD457" s="286">
        <v>0</v>
      </c>
      <c r="BE457" s="286">
        <v>0</v>
      </c>
      <c r="BF457" s="286">
        <v>0</v>
      </c>
      <c r="BG457" s="286">
        <v>0</v>
      </c>
      <c r="BH457" s="286">
        <v>0</v>
      </c>
      <c r="BI457" s="286">
        <v>0</v>
      </c>
      <c r="BJ457" s="281">
        <v>8.7020988503642158E-4</v>
      </c>
    </row>
    <row r="458" spans="1:62" ht="14.25" customHeight="1" x14ac:dyDescent="0.35">
      <c r="A458" s="41" t="s">
        <v>109</v>
      </c>
      <c r="B458" s="281">
        <v>1.1967745663130709E-4</v>
      </c>
      <c r="C458" s="281">
        <v>1.3484853370493598E-4</v>
      </c>
      <c r="D458" s="281">
        <v>3.4928576320550174E-4</v>
      </c>
      <c r="E458" s="281">
        <v>6.222013996005631E-4</v>
      </c>
      <c r="F458" s="281">
        <v>6.8377535816881098E-4</v>
      </c>
      <c r="G458" s="281">
        <v>5.0084309093913486E-4</v>
      </c>
      <c r="H458" s="281">
        <v>2.0522908542434972E-4</v>
      </c>
      <c r="I458" s="281">
        <v>1.5339850129356448E-4</v>
      </c>
      <c r="J458" s="281">
        <v>3.1976537166549451E-4</v>
      </c>
      <c r="K458" s="281">
        <v>3.5741345159027445E-4</v>
      </c>
      <c r="L458" s="281">
        <v>5.0423454571750287E-4</v>
      </c>
      <c r="M458" s="281">
        <v>3.7079666558860821E-4</v>
      </c>
      <c r="N458" s="281">
        <v>1.1603850801176388E-4</v>
      </c>
      <c r="O458" s="281">
        <v>3.9876693550215545E-4</v>
      </c>
      <c r="P458" s="281">
        <v>4.9981168035460248E-4</v>
      </c>
      <c r="Q458" s="281">
        <v>7.0022271116727667E-4</v>
      </c>
      <c r="R458" s="281">
        <v>7.3934383988835336E-4</v>
      </c>
      <c r="S458" s="281">
        <v>6.5710169015123043E-4</v>
      </c>
      <c r="T458" s="281">
        <v>9.4546098870036248E-5</v>
      </c>
      <c r="U458" s="281">
        <v>3.9885896970390705E-4</v>
      </c>
      <c r="V458" s="281">
        <v>3.1655787725779389E-4</v>
      </c>
      <c r="W458" s="281">
        <v>6.4137388677869441E-4</v>
      </c>
      <c r="X458" s="281">
        <v>7.1736707062192324E-4</v>
      </c>
      <c r="Y458" s="281">
        <v>6.9014337423118309E-4</v>
      </c>
      <c r="Z458" s="281">
        <v>3.817383441051489E-4</v>
      </c>
      <c r="AA458" s="281">
        <v>6.2343134234539089E-4</v>
      </c>
      <c r="AB458" s="281">
        <v>8.5488074815738145E-4</v>
      </c>
      <c r="AC458" s="281">
        <v>9.0735077571787569E-4</v>
      </c>
      <c r="AD458" s="281">
        <v>7.9204873578682747E-4</v>
      </c>
      <c r="AE458" s="281">
        <v>9.4450261979831787E-4</v>
      </c>
      <c r="AF458" s="281">
        <v>1.6869212750104319E-4</v>
      </c>
      <c r="AG458" s="281">
        <v>5.537453504737078E-4</v>
      </c>
      <c r="AH458" s="281">
        <v>5.7604591944852824E-4</v>
      </c>
      <c r="AI458" s="281">
        <v>7.8184707988809084E-4</v>
      </c>
      <c r="AJ458" s="281">
        <v>9.9902723454239656E-4</v>
      </c>
      <c r="AK458" s="281">
        <v>8.0564299619265796E-4</v>
      </c>
      <c r="AL458" s="281">
        <v>7.8092607354486045E-4</v>
      </c>
      <c r="AM458" s="281">
        <v>7.9051754580196593E-4</v>
      </c>
      <c r="AN458" s="281">
        <v>1.0700462841396882E-3</v>
      </c>
      <c r="AO458" s="281">
        <v>9.1119928689523718E-4</v>
      </c>
      <c r="AP458" s="281">
        <v>1.0572803174148503E-3</v>
      </c>
      <c r="AQ458" s="281">
        <v>1.0352806999854472E-3</v>
      </c>
      <c r="AR458" s="281">
        <v>5.5752099707682371E-4</v>
      </c>
      <c r="AS458" s="281">
        <v>9.4112641003517674E-4</v>
      </c>
      <c r="AT458" s="281">
        <v>9.8300756695083235E-4</v>
      </c>
      <c r="AU458" s="281">
        <v>8.699295918034349E-4</v>
      </c>
      <c r="AV458" s="281">
        <v>1.1575164611567234E-3</v>
      </c>
      <c r="AW458" s="281">
        <v>1.0009278917314447E-3</v>
      </c>
      <c r="AX458" s="281">
        <v>1.189976539156441E-3</v>
      </c>
      <c r="AY458" s="281">
        <v>1.2153266562069461E-3</v>
      </c>
      <c r="AZ458" s="281">
        <v>1.2076629198419862E-3</v>
      </c>
      <c r="BA458" s="281">
        <v>1.0828315906827805E-3</v>
      </c>
      <c r="BB458" s="281">
        <v>1.2659813147012202E-3</v>
      </c>
      <c r="BC458" s="281">
        <v>1.146780127855036E-3</v>
      </c>
      <c r="BD458" s="281">
        <v>1.2095837401533776E-3</v>
      </c>
      <c r="BE458" s="281">
        <v>1.0653268979945241E-3</v>
      </c>
      <c r="BF458" s="281">
        <v>1.1296276953767733E-3</v>
      </c>
      <c r="BG458" s="281">
        <v>1.1612430459327105E-3</v>
      </c>
      <c r="BH458" s="281">
        <v>1.2500278449943914E-3</v>
      </c>
      <c r="BI458" s="281">
        <v>1.1928645848002079E-3</v>
      </c>
      <c r="BJ458" s="281">
        <v>0</v>
      </c>
    </row>
    <row r="459" spans="1:62" ht="14.25" customHeight="1" x14ac:dyDescent="0.35">
      <c r="A459" s="41" t="s">
        <v>229</v>
      </c>
      <c r="B459" s="281">
        <v>2.7683886291793895E-5</v>
      </c>
      <c r="C459" s="281">
        <v>6.1379992782484202E-5</v>
      </c>
      <c r="D459" s="281">
        <v>1.385827942083942E-4</v>
      </c>
      <c r="E459" s="281">
        <v>3.3267106175965711E-4</v>
      </c>
      <c r="F459" s="281">
        <v>2.5245644466284265E-4</v>
      </c>
      <c r="G459" s="281">
        <v>2.9702778073683938E-4</v>
      </c>
      <c r="H459" s="281">
        <v>3.3654163289928311E-5</v>
      </c>
      <c r="I459" s="281">
        <v>5.4039926542784698E-5</v>
      </c>
      <c r="J459" s="281">
        <v>9.6646672631731911E-5</v>
      </c>
      <c r="K459" s="281">
        <v>1.6547926456668251E-4</v>
      </c>
      <c r="L459" s="281">
        <v>2.0400796022860754E-4</v>
      </c>
      <c r="M459" s="281">
        <v>8.7122864734696863E-5</v>
      </c>
      <c r="N459" s="281">
        <v>5.9888273732662568E-5</v>
      </c>
      <c r="O459" s="281">
        <v>1.949892453792149E-4</v>
      </c>
      <c r="P459" s="281">
        <v>1.168132543586228E-4</v>
      </c>
      <c r="Q459" s="281">
        <v>3.9141245339310539E-4</v>
      </c>
      <c r="R459" s="281">
        <v>3.7267318522351455E-4</v>
      </c>
      <c r="S459" s="281">
        <v>3.9376890474815483E-4</v>
      </c>
      <c r="T459" s="281">
        <v>2.4210660171803211E-5</v>
      </c>
      <c r="U459" s="281">
        <v>1.2995502823399138E-4</v>
      </c>
      <c r="V459" s="281">
        <v>1.0005461884277305E-4</v>
      </c>
      <c r="W459" s="281">
        <v>2.2318456664624091E-4</v>
      </c>
      <c r="X459" s="281">
        <v>2.7196406121382494E-4</v>
      </c>
      <c r="Y459" s="281">
        <v>1.960197871873076E-4</v>
      </c>
      <c r="Z459" s="281">
        <v>9.0607996161174161E-5</v>
      </c>
      <c r="AA459" s="281">
        <v>2.9628342896989465E-4</v>
      </c>
      <c r="AB459" s="281">
        <v>2.7049615414931653E-4</v>
      </c>
      <c r="AC459" s="281">
        <v>4.0737795894830775E-4</v>
      </c>
      <c r="AD459" s="281">
        <v>3.5721675815512699E-4</v>
      </c>
      <c r="AE459" s="281">
        <v>3.9936140784869989E-4</v>
      </c>
      <c r="AF459" s="281">
        <v>4.8077772329436652E-5</v>
      </c>
      <c r="AG459" s="281">
        <v>1.7577140626967786E-4</v>
      </c>
      <c r="AH459" s="281">
        <v>1.5674972639535486E-4</v>
      </c>
      <c r="AI459" s="281">
        <v>2.8074720903287762E-4</v>
      </c>
      <c r="AJ459" s="281">
        <v>2.9271238629846282E-4</v>
      </c>
      <c r="AK459" s="281">
        <v>2.4603587639587305E-4</v>
      </c>
      <c r="AL459" s="281">
        <v>3.2903897921702076E-4</v>
      </c>
      <c r="AM459" s="281">
        <v>3.8830330278758987E-4</v>
      </c>
      <c r="AN459" s="281">
        <v>3.4364708585921566E-4</v>
      </c>
      <c r="AO459" s="281">
        <v>3.5055873918757552E-4</v>
      </c>
      <c r="AP459" s="281">
        <v>4.1248304291637786E-4</v>
      </c>
      <c r="AQ459" s="281">
        <v>3.3375624247582842E-4</v>
      </c>
      <c r="AR459" s="281">
        <v>1.3288903227522876E-4</v>
      </c>
      <c r="AS459" s="281">
        <v>2.7704601045489772E-4</v>
      </c>
      <c r="AT459" s="281">
        <v>2.8930404992874337E-4</v>
      </c>
      <c r="AU459" s="281">
        <v>3.6074666774941604E-4</v>
      </c>
      <c r="AV459" s="281">
        <v>3.7792232016936605E-4</v>
      </c>
      <c r="AW459" s="281">
        <v>2.8543294647275034E-4</v>
      </c>
      <c r="AX459" s="281">
        <v>4.1714836857346786E-4</v>
      </c>
      <c r="AY459" s="281">
        <v>5.7115415825812442E-4</v>
      </c>
      <c r="AZ459" s="281">
        <v>3.8112501897011677E-4</v>
      </c>
      <c r="BA459" s="281">
        <v>4.3373041827298435E-4</v>
      </c>
      <c r="BB459" s="281">
        <v>3.2869903845842753E-4</v>
      </c>
      <c r="BC459" s="281">
        <v>3.1299967214079897E-4</v>
      </c>
      <c r="BD459" s="281">
        <v>2.576808896824405E-4</v>
      </c>
      <c r="BE459" s="281">
        <v>3.5500015012758567E-4</v>
      </c>
      <c r="BF459" s="281">
        <v>3.1800335321122386E-4</v>
      </c>
      <c r="BG459" s="281">
        <v>3.8641888754495596E-4</v>
      </c>
      <c r="BH459" s="281">
        <v>2.7792450357640164E-4</v>
      </c>
      <c r="BI459" s="281">
        <v>2.5334964945700818E-4</v>
      </c>
      <c r="BJ459" s="281">
        <v>0</v>
      </c>
    </row>
    <row r="460" spans="1:62" ht="14.25" customHeight="1" x14ac:dyDescent="0.35">
      <c r="A460" s="41" t="s">
        <v>111</v>
      </c>
      <c r="B460" s="281">
        <v>1.5642780102607223E-3</v>
      </c>
      <c r="C460" s="281">
        <v>1.4982049600991594E-3</v>
      </c>
      <c r="D460" s="281">
        <v>2.4473150087331221E-3</v>
      </c>
      <c r="E460" s="281">
        <v>2.4640114798749569E-3</v>
      </c>
      <c r="F460" s="281">
        <v>4.5111622837638198E-4</v>
      </c>
      <c r="G460" s="281">
        <v>9.7481142074008265E-4</v>
      </c>
      <c r="H460" s="281">
        <v>2.9850784707146382E-3</v>
      </c>
      <c r="I460" s="281">
        <v>1.3599591493880215E-3</v>
      </c>
      <c r="J460" s="281">
        <v>3.8833172117623033E-3</v>
      </c>
      <c r="K460" s="281">
        <v>2.0031004259674018E-3</v>
      </c>
      <c r="L460" s="281">
        <v>2.3010727863295934E-3</v>
      </c>
      <c r="M460" s="281">
        <v>1.2941261042117259E-3</v>
      </c>
      <c r="N460" s="281">
        <v>2.3246260341765854E-3</v>
      </c>
      <c r="O460" s="281">
        <v>2.5546101017750187E-3</v>
      </c>
      <c r="P460" s="281">
        <v>1.9701906264376003E-3</v>
      </c>
      <c r="Q460" s="281">
        <v>2.8633958221283696E-3</v>
      </c>
      <c r="R460" s="281">
        <v>9.7325526141821175E-4</v>
      </c>
      <c r="S460" s="281">
        <v>1.4273861153380799E-3</v>
      </c>
      <c r="T460" s="281">
        <v>1.3055802776144208E-3</v>
      </c>
      <c r="U460" s="281">
        <v>1.6871105685011046E-3</v>
      </c>
      <c r="V460" s="281">
        <v>1.8227699466212693E-3</v>
      </c>
      <c r="W460" s="281">
        <v>1.7370768431930583E-3</v>
      </c>
      <c r="X460" s="281">
        <v>1.8440475190711605E-3</v>
      </c>
      <c r="Y460" s="281">
        <v>1.4296237769889271E-3</v>
      </c>
      <c r="Z460" s="281">
        <v>2.2651651516470239E-3</v>
      </c>
      <c r="AA460" s="281">
        <v>2.5238912446205277E-3</v>
      </c>
      <c r="AB460" s="281">
        <v>2.4300502394641039E-3</v>
      </c>
      <c r="AC460" s="281">
        <v>2.8185428627392475E-3</v>
      </c>
      <c r="AD460" s="281">
        <v>1.8645916593307101E-3</v>
      </c>
      <c r="AE460" s="281">
        <v>2.0524177424374986E-3</v>
      </c>
      <c r="AF460" s="281">
        <v>1.8498348597070283E-3</v>
      </c>
      <c r="AG460" s="281">
        <v>1.6571443519358036E-3</v>
      </c>
      <c r="AH460" s="281">
        <v>1.895463703525471E-3</v>
      </c>
      <c r="AI460" s="281">
        <v>2.0928134664180385E-3</v>
      </c>
      <c r="AJ460" s="281">
        <v>2.039405497695608E-3</v>
      </c>
      <c r="AK460" s="281">
        <v>1.6430415786748221E-3</v>
      </c>
      <c r="AL460" s="281">
        <v>3.0576083106887823E-3</v>
      </c>
      <c r="AM460" s="281">
        <v>2.9918099204145282E-3</v>
      </c>
      <c r="AN460" s="281">
        <v>2.8218489552286246E-3</v>
      </c>
      <c r="AO460" s="281">
        <v>2.9315072664370685E-3</v>
      </c>
      <c r="AP460" s="281">
        <v>2.1905343099789623E-3</v>
      </c>
      <c r="AQ460" s="281">
        <v>2.296310181644585E-3</v>
      </c>
      <c r="AR460" s="281">
        <v>1.7780117014414417E-3</v>
      </c>
      <c r="AS460" s="281">
        <v>2.1831238579036716E-3</v>
      </c>
      <c r="AT460" s="281">
        <v>2.4466520768012439E-3</v>
      </c>
      <c r="AU460" s="281">
        <v>2.4719969223450746E-3</v>
      </c>
      <c r="AV460" s="281">
        <v>2.0835691843528637E-3</v>
      </c>
      <c r="AW460" s="281">
        <v>2.0126317596842976E-3</v>
      </c>
      <c r="AX460" s="281">
        <v>3.6094077079680026E-3</v>
      </c>
      <c r="AY460" s="281">
        <v>3.5755795663881267E-3</v>
      </c>
      <c r="AZ460" s="281">
        <v>2.6584559725418141E-3</v>
      </c>
      <c r="BA460" s="281">
        <v>3.3407459425206639E-3</v>
      </c>
      <c r="BB460" s="281">
        <v>3.4779043017583019E-3</v>
      </c>
      <c r="BC460" s="281">
        <v>2.6231270944041866E-3</v>
      </c>
      <c r="BD460" s="281">
        <v>2.2812306209674732E-3</v>
      </c>
      <c r="BE460" s="281">
        <v>2.4531608087218237E-3</v>
      </c>
      <c r="BF460" s="281">
        <v>2.3207218572156027E-3</v>
      </c>
      <c r="BG460" s="281">
        <v>3.051087248889283E-3</v>
      </c>
      <c r="BH460" s="281">
        <v>2.3711460783181651E-3</v>
      </c>
      <c r="BI460" s="281">
        <v>2.6080077831388197E-3</v>
      </c>
      <c r="BJ460" s="281">
        <v>0</v>
      </c>
    </row>
    <row r="461" spans="1:62" ht="14.25" customHeight="1" x14ac:dyDescent="0.35">
      <c r="A461" s="41" t="s">
        <v>112</v>
      </c>
      <c r="B461" s="286">
        <v>0</v>
      </c>
      <c r="C461" s="286">
        <v>0</v>
      </c>
      <c r="D461" s="286">
        <v>0</v>
      </c>
      <c r="E461" s="286">
        <v>0</v>
      </c>
      <c r="F461" s="286">
        <v>0</v>
      </c>
      <c r="G461" s="286">
        <v>0</v>
      </c>
      <c r="H461" s="286">
        <v>0</v>
      </c>
      <c r="I461" s="286">
        <v>0</v>
      </c>
      <c r="J461" s="286">
        <v>0</v>
      </c>
      <c r="K461" s="286">
        <v>0</v>
      </c>
      <c r="L461" s="286">
        <v>0</v>
      </c>
      <c r="M461" s="286">
        <v>0</v>
      </c>
      <c r="N461" s="286">
        <v>0</v>
      </c>
      <c r="O461" s="286">
        <v>0</v>
      </c>
      <c r="P461" s="286">
        <v>0</v>
      </c>
      <c r="Q461" s="286">
        <v>0</v>
      </c>
      <c r="R461" s="286">
        <v>0</v>
      </c>
      <c r="S461" s="286">
        <v>0</v>
      </c>
      <c r="T461" s="286">
        <v>0</v>
      </c>
      <c r="U461" s="286">
        <v>0</v>
      </c>
      <c r="V461" s="286">
        <v>0</v>
      </c>
      <c r="W461" s="286">
        <v>0</v>
      </c>
      <c r="X461" s="286">
        <v>0</v>
      </c>
      <c r="Y461" s="286">
        <v>0</v>
      </c>
      <c r="Z461" s="286">
        <v>0</v>
      </c>
      <c r="AA461" s="286">
        <v>0</v>
      </c>
      <c r="AB461" s="286">
        <v>0</v>
      </c>
      <c r="AC461" s="286">
        <v>0</v>
      </c>
      <c r="AD461" s="286">
        <v>0</v>
      </c>
      <c r="AE461" s="286">
        <v>0</v>
      </c>
      <c r="AF461" s="286">
        <v>0</v>
      </c>
      <c r="AG461" s="286">
        <v>0</v>
      </c>
      <c r="AH461" s="286">
        <v>0</v>
      </c>
      <c r="AI461" s="286">
        <v>0</v>
      </c>
      <c r="AJ461" s="286">
        <v>0</v>
      </c>
      <c r="AK461" s="286">
        <v>0</v>
      </c>
      <c r="AL461" s="286">
        <v>0</v>
      </c>
      <c r="AM461" s="286">
        <v>0</v>
      </c>
      <c r="AN461" s="286">
        <v>0</v>
      </c>
      <c r="AO461" s="286">
        <v>0</v>
      </c>
      <c r="AP461" s="286">
        <v>0</v>
      </c>
      <c r="AQ461" s="286">
        <v>0</v>
      </c>
      <c r="AR461" s="286">
        <v>0</v>
      </c>
      <c r="AS461" s="286">
        <v>0</v>
      </c>
      <c r="AT461" s="286">
        <v>0</v>
      </c>
      <c r="AU461" s="286">
        <v>0</v>
      </c>
      <c r="AV461" s="286">
        <v>0</v>
      </c>
      <c r="AW461" s="286">
        <v>0</v>
      </c>
      <c r="AX461" s="286">
        <v>0</v>
      </c>
      <c r="AY461" s="286">
        <v>0</v>
      </c>
      <c r="AZ461" s="286">
        <v>0</v>
      </c>
      <c r="BA461" s="286">
        <v>0</v>
      </c>
      <c r="BB461" s="286">
        <v>0</v>
      </c>
      <c r="BC461" s="286">
        <v>0</v>
      </c>
      <c r="BD461" s="286">
        <v>0</v>
      </c>
      <c r="BE461" s="286">
        <v>0</v>
      </c>
      <c r="BF461" s="286">
        <v>0</v>
      </c>
      <c r="BG461" s="286">
        <v>0</v>
      </c>
      <c r="BH461" s="286">
        <v>0</v>
      </c>
      <c r="BI461" s="286">
        <v>0</v>
      </c>
      <c r="BJ461" s="281">
        <v>1.8519534383972065E-3</v>
      </c>
    </row>
    <row r="462" spans="1:62" ht="14.25" customHeight="1" x14ac:dyDescent="0.35">
      <c r="A462" s="41" t="s">
        <v>113</v>
      </c>
      <c r="B462" s="286">
        <v>0</v>
      </c>
      <c r="C462" s="286">
        <v>0</v>
      </c>
      <c r="D462" s="286">
        <v>0</v>
      </c>
      <c r="E462" s="286">
        <v>0</v>
      </c>
      <c r="F462" s="286">
        <v>0</v>
      </c>
      <c r="G462" s="286">
        <v>0</v>
      </c>
      <c r="H462" s="286">
        <v>0</v>
      </c>
      <c r="I462" s="286">
        <v>0</v>
      </c>
      <c r="J462" s="286">
        <v>0</v>
      </c>
      <c r="K462" s="286">
        <v>0</v>
      </c>
      <c r="L462" s="286">
        <v>0</v>
      </c>
      <c r="M462" s="286">
        <v>0</v>
      </c>
      <c r="N462" s="286">
        <v>0</v>
      </c>
      <c r="O462" s="286">
        <v>0</v>
      </c>
      <c r="P462" s="286">
        <v>0</v>
      </c>
      <c r="Q462" s="286">
        <v>0</v>
      </c>
      <c r="R462" s="286">
        <v>0</v>
      </c>
      <c r="S462" s="286">
        <v>0</v>
      </c>
      <c r="T462" s="286">
        <v>0</v>
      </c>
      <c r="U462" s="286">
        <v>0</v>
      </c>
      <c r="V462" s="286">
        <v>0</v>
      </c>
      <c r="W462" s="286">
        <v>0</v>
      </c>
      <c r="X462" s="286">
        <v>0</v>
      </c>
      <c r="Y462" s="286">
        <v>0</v>
      </c>
      <c r="Z462" s="286">
        <v>0</v>
      </c>
      <c r="AA462" s="286">
        <v>0</v>
      </c>
      <c r="AB462" s="286">
        <v>0</v>
      </c>
      <c r="AC462" s="286">
        <v>0</v>
      </c>
      <c r="AD462" s="286">
        <v>0</v>
      </c>
      <c r="AE462" s="286">
        <v>0</v>
      </c>
      <c r="AF462" s="286">
        <v>0</v>
      </c>
      <c r="AG462" s="286">
        <v>0</v>
      </c>
      <c r="AH462" s="286">
        <v>0</v>
      </c>
      <c r="AI462" s="286">
        <v>0</v>
      </c>
      <c r="AJ462" s="286">
        <v>0</v>
      </c>
      <c r="AK462" s="286">
        <v>0</v>
      </c>
      <c r="AL462" s="286">
        <v>0</v>
      </c>
      <c r="AM462" s="286">
        <v>0</v>
      </c>
      <c r="AN462" s="286">
        <v>0</v>
      </c>
      <c r="AO462" s="286">
        <v>0</v>
      </c>
      <c r="AP462" s="286">
        <v>0</v>
      </c>
      <c r="AQ462" s="286">
        <v>0</v>
      </c>
      <c r="AR462" s="286">
        <v>0</v>
      </c>
      <c r="AS462" s="286">
        <v>0</v>
      </c>
      <c r="AT462" s="286">
        <v>0</v>
      </c>
      <c r="AU462" s="286">
        <v>0</v>
      </c>
      <c r="AV462" s="286">
        <v>0</v>
      </c>
      <c r="AW462" s="286">
        <v>0</v>
      </c>
      <c r="AX462" s="286">
        <v>0</v>
      </c>
      <c r="AY462" s="286">
        <v>0</v>
      </c>
      <c r="AZ462" s="286">
        <v>0</v>
      </c>
      <c r="BA462" s="286">
        <v>0</v>
      </c>
      <c r="BB462" s="286">
        <v>0</v>
      </c>
      <c r="BC462" s="286">
        <v>0</v>
      </c>
      <c r="BD462" s="286">
        <v>0</v>
      </c>
      <c r="BE462" s="286">
        <v>0</v>
      </c>
      <c r="BF462" s="286">
        <v>0</v>
      </c>
      <c r="BG462" s="286">
        <v>0</v>
      </c>
      <c r="BH462" s="286">
        <v>0</v>
      </c>
      <c r="BI462" s="286">
        <v>0</v>
      </c>
      <c r="BJ462" s="281">
        <v>2.2542083722628466E-3</v>
      </c>
    </row>
    <row r="463" spans="1:62" ht="14.25" customHeight="1" x14ac:dyDescent="0.35">
      <c r="A463" s="41" t="s">
        <v>114</v>
      </c>
      <c r="B463" s="281">
        <v>1.6382992350927161E-3</v>
      </c>
      <c r="C463" s="281">
        <v>7.1913465106684699E-4</v>
      </c>
      <c r="D463" s="281">
        <v>2.2235238999828437E-3</v>
      </c>
      <c r="E463" s="281">
        <v>2.6745697795667869E-3</v>
      </c>
      <c r="F463" s="281">
        <v>2.652539520462001E-3</v>
      </c>
      <c r="G463" s="281">
        <v>2.2837145962541282E-3</v>
      </c>
      <c r="H463" s="281">
        <v>1.8999725958100684E-3</v>
      </c>
      <c r="I463" s="281">
        <v>8.5984101448021149E-4</v>
      </c>
      <c r="J463" s="281">
        <v>2.3839878549249353E-3</v>
      </c>
      <c r="K463" s="281">
        <v>2.4235958488110373E-3</v>
      </c>
      <c r="L463" s="281">
        <v>2.590750143652083E-3</v>
      </c>
      <c r="M463" s="281">
        <v>2.3215787462954793E-3</v>
      </c>
      <c r="N463" s="281">
        <v>2.0204489076765773E-3</v>
      </c>
      <c r="O463" s="281">
        <v>1.5485159350116723E-3</v>
      </c>
      <c r="P463" s="281">
        <v>2.5311406169987423E-3</v>
      </c>
      <c r="Q463" s="281">
        <v>3.0974426207803765E-3</v>
      </c>
      <c r="R463" s="281">
        <v>2.9195410598798648E-3</v>
      </c>
      <c r="S463" s="281">
        <v>2.7997507675924789E-3</v>
      </c>
      <c r="T463" s="281">
        <v>1.954404524944628E-3</v>
      </c>
      <c r="U463" s="281">
        <v>1.4285004384728438E-3</v>
      </c>
      <c r="V463" s="281">
        <v>2.2200440320886035E-3</v>
      </c>
      <c r="W463" s="281">
        <v>2.7618249562598902E-3</v>
      </c>
      <c r="X463" s="281">
        <v>2.7988716622139951E-3</v>
      </c>
      <c r="Y463" s="281">
        <v>2.6338411277342733E-3</v>
      </c>
      <c r="Z463" s="281">
        <v>2.2339663949926358E-3</v>
      </c>
      <c r="AA463" s="281">
        <v>2.1844475558554046E-3</v>
      </c>
      <c r="AB463" s="281">
        <v>2.7611560042710937E-3</v>
      </c>
      <c r="AC463" s="281">
        <v>3.3145837955577224E-3</v>
      </c>
      <c r="AD463" s="281">
        <v>3.0129730886936409E-3</v>
      </c>
      <c r="AE463" s="281">
        <v>2.8675279884734779E-3</v>
      </c>
      <c r="AF463" s="281">
        <v>2.0628396367823494E-3</v>
      </c>
      <c r="AG463" s="281">
        <v>1.6659215934731249E-3</v>
      </c>
      <c r="AH463" s="281">
        <v>2.5674545349951405E-3</v>
      </c>
      <c r="AI463" s="281">
        <v>2.947734579507446E-3</v>
      </c>
      <c r="AJ463" s="281">
        <v>2.9420182500073679E-3</v>
      </c>
      <c r="AK463" s="281">
        <v>2.6596141521576877E-3</v>
      </c>
      <c r="AL463" s="281">
        <v>2.6884915974892676E-3</v>
      </c>
      <c r="AM463" s="281">
        <v>2.5776138856920408E-3</v>
      </c>
      <c r="AN463" s="281">
        <v>3.256982988661439E-3</v>
      </c>
      <c r="AO463" s="281">
        <v>3.2932942268742238E-3</v>
      </c>
      <c r="AP463" s="281">
        <v>3.1570741667600968E-3</v>
      </c>
      <c r="AQ463" s="281">
        <v>3.1563023113645567E-3</v>
      </c>
      <c r="AR463" s="281">
        <v>2.2022335161054011E-3</v>
      </c>
      <c r="AS463" s="281">
        <v>2.8171862523658003E-3</v>
      </c>
      <c r="AT463" s="281">
        <v>2.7912946589707306E-3</v>
      </c>
      <c r="AU463" s="281">
        <v>3.2026833198689464E-3</v>
      </c>
      <c r="AV463" s="281">
        <v>3.0090253120377557E-3</v>
      </c>
      <c r="AW463" s="281">
        <v>2.8982062056109158E-3</v>
      </c>
      <c r="AX463" s="281">
        <v>3.3116658913558972E-3</v>
      </c>
      <c r="AY463" s="281">
        <v>3.6853564575132503E-3</v>
      </c>
      <c r="AZ463" s="281">
        <v>3.3428858284010377E-3</v>
      </c>
      <c r="BA463" s="281">
        <v>3.5481175953408902E-3</v>
      </c>
      <c r="BB463" s="281">
        <v>3.2878253216371274E-3</v>
      </c>
      <c r="BC463" s="281">
        <v>3.4353791547870318E-3</v>
      </c>
      <c r="BD463" s="281">
        <v>2.9241887316910384E-3</v>
      </c>
      <c r="BE463" s="281">
        <v>3.5905860254376054E-3</v>
      </c>
      <c r="BF463" s="281">
        <v>3.2783763302775995E-3</v>
      </c>
      <c r="BG463" s="281">
        <v>3.402431698322213E-3</v>
      </c>
      <c r="BH463" s="281">
        <v>3.249986798791721E-3</v>
      </c>
      <c r="BI463" s="281">
        <v>3.1588924516318139E-3</v>
      </c>
      <c r="BJ463" s="281">
        <v>0</v>
      </c>
    </row>
    <row r="464" spans="1:62" ht="14.25" customHeight="1" x14ac:dyDescent="0.35">
      <c r="A464" s="41" t="s">
        <v>115</v>
      </c>
      <c r="B464" s="281">
        <v>1.4805236282042079E-4</v>
      </c>
      <c r="C464" s="281">
        <v>1.3608160922715681E-4</v>
      </c>
      <c r="D464" s="281">
        <v>1.9223704272245548E-4</v>
      </c>
      <c r="E464" s="281">
        <v>3.3667233627722952E-4</v>
      </c>
      <c r="F464" s="281">
        <v>3.3253787220117803E-4</v>
      </c>
      <c r="G464" s="281">
        <v>2.2683869453662842E-4</v>
      </c>
      <c r="H464" s="281">
        <v>1.2963180176311367E-4</v>
      </c>
      <c r="I464" s="281">
        <v>1.5549158119778245E-4</v>
      </c>
      <c r="J464" s="281">
        <v>1.6438076306819364E-4</v>
      </c>
      <c r="K464" s="281">
        <v>3.6519103273441019E-4</v>
      </c>
      <c r="L464" s="281">
        <v>3.2559869205027643E-4</v>
      </c>
      <c r="M464" s="281">
        <v>3.0073882650940594E-4</v>
      </c>
      <c r="N464" s="281">
        <v>2.0346751275696897E-4</v>
      </c>
      <c r="O464" s="281">
        <v>2.8163882709936324E-4</v>
      </c>
      <c r="P464" s="281">
        <v>2.9498758970411125E-4</v>
      </c>
      <c r="Q464" s="281">
        <v>5.2945534557175726E-4</v>
      </c>
      <c r="R464" s="281">
        <v>4.4135679315952992E-4</v>
      </c>
      <c r="S464" s="281">
        <v>3.4051349555667797E-4</v>
      </c>
      <c r="T464" s="281">
        <v>8.8739722241290203E-5</v>
      </c>
      <c r="U464" s="281">
        <v>3.3662437987759064E-4</v>
      </c>
      <c r="V464" s="281">
        <v>1.6595166214135077E-4</v>
      </c>
      <c r="W464" s="281">
        <v>4.7273634333256493E-4</v>
      </c>
      <c r="X464" s="281">
        <v>4.0116404512442289E-4</v>
      </c>
      <c r="Y464" s="281">
        <v>3.7087267275703298E-4</v>
      </c>
      <c r="Z464" s="281">
        <v>3.8005681752485487E-4</v>
      </c>
      <c r="AA464" s="281">
        <v>5.1549022861152821E-4</v>
      </c>
      <c r="AB464" s="281">
        <v>5.288100103038551E-4</v>
      </c>
      <c r="AC464" s="281">
        <v>6.7950574525742268E-4</v>
      </c>
      <c r="AD464" s="281">
        <v>5.5398896849651036E-4</v>
      </c>
      <c r="AE464" s="281">
        <v>5.2000317048540043E-4</v>
      </c>
      <c r="AF464" s="281">
        <v>1.7759047681019643E-4</v>
      </c>
      <c r="AG464" s="281">
        <v>3.8863855480522126E-4</v>
      </c>
      <c r="AH464" s="281">
        <v>2.8346674751013204E-4</v>
      </c>
      <c r="AI464" s="281">
        <v>6.1064886413803097E-4</v>
      </c>
      <c r="AJ464" s="281">
        <v>4.6145111950628907E-4</v>
      </c>
      <c r="AK464" s="281">
        <v>4.5156245312471968E-4</v>
      </c>
      <c r="AL464" s="281">
        <v>7.2439381899947353E-4</v>
      </c>
      <c r="AM464" s="281">
        <v>7.0375956591528207E-4</v>
      </c>
      <c r="AN464" s="281">
        <v>7.1533560538128112E-4</v>
      </c>
      <c r="AO464" s="281">
        <v>9.4764603021634311E-4</v>
      </c>
      <c r="AP464" s="281">
        <v>7.8899028624824011E-4</v>
      </c>
      <c r="AQ464" s="281">
        <v>7.6928697460677256E-4</v>
      </c>
      <c r="AR464" s="281">
        <v>3.7376158751138678E-4</v>
      </c>
      <c r="AS464" s="281">
        <v>6.8481234136773619E-4</v>
      </c>
      <c r="AT464" s="281">
        <v>4.8912485656544917E-4</v>
      </c>
      <c r="AU464" s="281">
        <v>8.1330447290444839E-4</v>
      </c>
      <c r="AV464" s="281">
        <v>6.6833313095664084E-4</v>
      </c>
      <c r="AW464" s="281">
        <v>5.0173775290941909E-4</v>
      </c>
      <c r="AX464" s="281">
        <v>1.0847028218144866E-3</v>
      </c>
      <c r="AY464" s="281">
        <v>8.8857253508652708E-4</v>
      </c>
      <c r="AZ464" s="281">
        <v>9.4840050366860949E-4</v>
      </c>
      <c r="BA464" s="281">
        <v>1.1903653682779052E-3</v>
      </c>
      <c r="BB464" s="281">
        <v>1.1040823376971319E-3</v>
      </c>
      <c r="BC464" s="281">
        <v>1.0179784246458427E-3</v>
      </c>
      <c r="BD464" s="281">
        <v>8.5806801904189721E-4</v>
      </c>
      <c r="BE464" s="281">
        <v>8.3582981866498049E-4</v>
      </c>
      <c r="BF464" s="281">
        <v>8.1851392354817195E-4</v>
      </c>
      <c r="BG464" s="281">
        <v>1.056673791139948E-3</v>
      </c>
      <c r="BH464" s="281">
        <v>9.0923236990317184E-4</v>
      </c>
      <c r="BI464" s="281">
        <v>9.3885555968621203E-4</v>
      </c>
      <c r="BJ464" s="281">
        <v>0</v>
      </c>
    </row>
    <row r="465" spans="1:62" ht="14.25" customHeight="1" x14ac:dyDescent="0.35">
      <c r="A465" s="41" t="s">
        <v>116</v>
      </c>
      <c r="B465" s="286">
        <v>0</v>
      </c>
      <c r="C465" s="286">
        <v>0</v>
      </c>
      <c r="D465" s="286">
        <v>0</v>
      </c>
      <c r="E465" s="286">
        <v>0</v>
      </c>
      <c r="F465" s="286">
        <v>0</v>
      </c>
      <c r="G465" s="286">
        <v>0</v>
      </c>
      <c r="H465" s="286">
        <v>0</v>
      </c>
      <c r="I465" s="286">
        <v>0</v>
      </c>
      <c r="J465" s="286">
        <v>0</v>
      </c>
      <c r="K465" s="286">
        <v>0</v>
      </c>
      <c r="L465" s="286">
        <v>0</v>
      </c>
      <c r="M465" s="286">
        <v>0</v>
      </c>
      <c r="N465" s="286">
        <v>0</v>
      </c>
      <c r="O465" s="286">
        <v>0</v>
      </c>
      <c r="P465" s="286">
        <v>0</v>
      </c>
      <c r="Q465" s="286">
        <v>0</v>
      </c>
      <c r="R465" s="286">
        <v>0</v>
      </c>
      <c r="S465" s="286">
        <v>0</v>
      </c>
      <c r="T465" s="286">
        <v>0</v>
      </c>
      <c r="U465" s="286">
        <v>0</v>
      </c>
      <c r="V465" s="286">
        <v>0</v>
      </c>
      <c r="W465" s="286">
        <v>0</v>
      </c>
      <c r="X465" s="286">
        <v>0</v>
      </c>
      <c r="Y465" s="286">
        <v>0</v>
      </c>
      <c r="Z465" s="286">
        <v>0</v>
      </c>
      <c r="AA465" s="286">
        <v>0</v>
      </c>
      <c r="AB465" s="286">
        <v>0</v>
      </c>
      <c r="AC465" s="286">
        <v>0</v>
      </c>
      <c r="AD465" s="286">
        <v>0</v>
      </c>
      <c r="AE465" s="286">
        <v>0</v>
      </c>
      <c r="AF465" s="286">
        <v>0</v>
      </c>
      <c r="AG465" s="286">
        <v>0</v>
      </c>
      <c r="AH465" s="286">
        <v>0</v>
      </c>
      <c r="AI465" s="286">
        <v>0</v>
      </c>
      <c r="AJ465" s="286">
        <v>0</v>
      </c>
      <c r="AK465" s="286">
        <v>0</v>
      </c>
      <c r="AL465" s="286">
        <v>0</v>
      </c>
      <c r="AM465" s="286">
        <v>0</v>
      </c>
      <c r="AN465" s="286">
        <v>0</v>
      </c>
      <c r="AO465" s="286">
        <v>0</v>
      </c>
      <c r="AP465" s="286">
        <v>0</v>
      </c>
      <c r="AQ465" s="286">
        <v>0</v>
      </c>
      <c r="AR465" s="286">
        <v>0</v>
      </c>
      <c r="AS465" s="286">
        <v>0</v>
      </c>
      <c r="AT465" s="286">
        <v>0</v>
      </c>
      <c r="AU465" s="286">
        <v>0</v>
      </c>
      <c r="AV465" s="286">
        <v>0</v>
      </c>
      <c r="AW465" s="286">
        <v>0</v>
      </c>
      <c r="AX465" s="286">
        <v>0</v>
      </c>
      <c r="AY465" s="286">
        <v>0</v>
      </c>
      <c r="AZ465" s="286">
        <v>0</v>
      </c>
      <c r="BA465" s="286">
        <v>0</v>
      </c>
      <c r="BB465" s="286">
        <v>0</v>
      </c>
      <c r="BC465" s="286">
        <v>0</v>
      </c>
      <c r="BD465" s="286">
        <v>0</v>
      </c>
      <c r="BE465" s="286">
        <v>0</v>
      </c>
      <c r="BF465" s="286">
        <v>0</v>
      </c>
      <c r="BG465" s="286">
        <v>0</v>
      </c>
      <c r="BH465" s="286">
        <v>0</v>
      </c>
      <c r="BI465" s="286">
        <v>0</v>
      </c>
      <c r="BJ465" s="281">
        <v>1.4561726824901637E-3</v>
      </c>
    </row>
    <row r="466" spans="1:62" ht="14.25" customHeight="1" x14ac:dyDescent="0.35">
      <c r="A466" s="41" t="s">
        <v>117</v>
      </c>
      <c r="B466" s="281">
        <v>4.6209689981646998E-4</v>
      </c>
      <c r="C466" s="281">
        <v>1.5564235629614973E-4</v>
      </c>
      <c r="D466" s="281">
        <v>7.6819944600535104E-4</v>
      </c>
      <c r="E466" s="281">
        <v>1.3655723004083263E-3</v>
      </c>
      <c r="F466" s="281">
        <v>1.2938561677587092E-3</v>
      </c>
      <c r="G466" s="281">
        <v>1.4644257787920455E-3</v>
      </c>
      <c r="H466" s="281">
        <v>4.6487497719266429E-4</v>
      </c>
      <c r="I466" s="281">
        <v>1.2355861315611021E-4</v>
      </c>
      <c r="J466" s="281">
        <v>5.1207142935254333E-4</v>
      </c>
      <c r="K466" s="281">
        <v>1.120414019843399E-3</v>
      </c>
      <c r="L466" s="281">
        <v>9.8898528028944113E-4</v>
      </c>
      <c r="M466" s="281">
        <v>7.7386610114622172E-4</v>
      </c>
      <c r="N466" s="281">
        <v>2.3729536123771018E-4</v>
      </c>
      <c r="O466" s="281">
        <v>4.1654828852774037E-4</v>
      </c>
      <c r="P466" s="281">
        <v>6.9767293490643665E-4</v>
      </c>
      <c r="Q466" s="281">
        <v>1.1480075342832812E-3</v>
      </c>
      <c r="R466" s="281">
        <v>1.1463055605314852E-3</v>
      </c>
      <c r="S466" s="281">
        <v>1.5432093697289693E-3</v>
      </c>
      <c r="T466" s="281">
        <v>2.7146473414026287E-4</v>
      </c>
      <c r="U466" s="281">
        <v>3.450921619025895E-4</v>
      </c>
      <c r="V466" s="281">
        <v>3.3892688592656299E-4</v>
      </c>
      <c r="W466" s="281">
        <v>1.1769596324824408E-3</v>
      </c>
      <c r="X466" s="281">
        <v>1.0806870387103735E-3</v>
      </c>
      <c r="Y466" s="281">
        <v>1.0307624271927846E-3</v>
      </c>
      <c r="Z466" s="281">
        <v>2.6035170430507707E-4</v>
      </c>
      <c r="AA466" s="281">
        <v>7.5843246130928403E-4</v>
      </c>
      <c r="AB466" s="281">
        <v>6.8129169929663481E-4</v>
      </c>
      <c r="AC466" s="281">
        <v>1.3690221867084843E-3</v>
      </c>
      <c r="AD466" s="281">
        <v>9.7463487477656644E-4</v>
      </c>
      <c r="AE466" s="281">
        <v>1.3890082673340015E-3</v>
      </c>
      <c r="AF466" s="281">
        <v>2.663221242618025E-4</v>
      </c>
      <c r="AG466" s="281">
        <v>4.853148668642093E-4</v>
      </c>
      <c r="AH466" s="281">
        <v>3.966816049325534E-4</v>
      </c>
      <c r="AI466" s="281">
        <v>1.2679916247463677E-3</v>
      </c>
      <c r="AJ466" s="281">
        <v>1.0243447319883152E-3</v>
      </c>
      <c r="AK466" s="281">
        <v>9.9807812677257823E-4</v>
      </c>
      <c r="AL466" s="281">
        <v>3.151052421125759E-4</v>
      </c>
      <c r="AM466" s="281">
        <v>1.0996593872372774E-3</v>
      </c>
      <c r="AN466" s="281">
        <v>7.9483893153601713E-4</v>
      </c>
      <c r="AO466" s="281">
        <v>1.2281027550827982E-3</v>
      </c>
      <c r="AP466" s="281">
        <v>1.0111714984476381E-3</v>
      </c>
      <c r="AQ466" s="281">
        <v>1.0870683917289861E-3</v>
      </c>
      <c r="AR466" s="281">
        <v>3.3823296257845444E-4</v>
      </c>
      <c r="AS466" s="281">
        <v>8.5298854367809479E-4</v>
      </c>
      <c r="AT466" s="281">
        <v>6.0635217710067581E-4</v>
      </c>
      <c r="AU466" s="281">
        <v>1.3135644640009758E-3</v>
      </c>
      <c r="AV466" s="281">
        <v>1.0126342811136151E-3</v>
      </c>
      <c r="AW466" s="281">
        <v>1.0583263990056636E-3</v>
      </c>
      <c r="AX466" s="281">
        <v>1.0255367392978262E-3</v>
      </c>
      <c r="AY466" s="281">
        <v>1.6327385752259189E-3</v>
      </c>
      <c r="AZ466" s="281">
        <v>1.2330565787212868E-3</v>
      </c>
      <c r="BA466" s="281">
        <v>1.2928844252018316E-3</v>
      </c>
      <c r="BB466" s="281">
        <v>1.1006095500013511E-3</v>
      </c>
      <c r="BC466" s="281">
        <v>1.0244781733021451E-3</v>
      </c>
      <c r="BD466" s="281">
        <v>7.911559901385472E-4</v>
      </c>
      <c r="BE466" s="281">
        <v>1.1388439713912579E-3</v>
      </c>
      <c r="BF466" s="281">
        <v>8.4702554212773751E-4</v>
      </c>
      <c r="BG466" s="281">
        <v>1.2718739764849235E-3</v>
      </c>
      <c r="BH466" s="281">
        <v>1.095159792875045E-3</v>
      </c>
      <c r="BI466" s="281">
        <v>1.1312801309208741E-3</v>
      </c>
      <c r="BJ466" s="281">
        <v>0</v>
      </c>
    </row>
    <row r="467" spans="1:62" ht="14.25" customHeight="1" x14ac:dyDescent="0.35">
      <c r="A467" s="41" t="s">
        <v>118</v>
      </c>
      <c r="B467" s="286">
        <v>0</v>
      </c>
      <c r="C467" s="286">
        <v>0</v>
      </c>
      <c r="D467" s="286">
        <v>0</v>
      </c>
      <c r="E467" s="286">
        <v>0</v>
      </c>
      <c r="F467" s="286">
        <v>0</v>
      </c>
      <c r="G467" s="286">
        <v>0</v>
      </c>
      <c r="H467" s="286">
        <v>0</v>
      </c>
      <c r="I467" s="286">
        <v>0</v>
      </c>
      <c r="J467" s="286">
        <v>0</v>
      </c>
      <c r="K467" s="286">
        <v>0</v>
      </c>
      <c r="L467" s="286">
        <v>0</v>
      </c>
      <c r="M467" s="286">
        <v>0</v>
      </c>
      <c r="N467" s="286">
        <v>0</v>
      </c>
      <c r="O467" s="286">
        <v>0</v>
      </c>
      <c r="P467" s="286">
        <v>0</v>
      </c>
      <c r="Q467" s="286">
        <v>0</v>
      </c>
      <c r="R467" s="286">
        <v>0</v>
      </c>
      <c r="S467" s="286">
        <v>0</v>
      </c>
      <c r="T467" s="286">
        <v>0</v>
      </c>
      <c r="U467" s="286">
        <v>0</v>
      </c>
      <c r="V467" s="286">
        <v>0</v>
      </c>
      <c r="W467" s="286">
        <v>0</v>
      </c>
      <c r="X467" s="286">
        <v>0</v>
      </c>
      <c r="Y467" s="286">
        <v>0</v>
      </c>
      <c r="Z467" s="286">
        <v>0</v>
      </c>
      <c r="AA467" s="286">
        <v>0</v>
      </c>
      <c r="AB467" s="286">
        <v>0</v>
      </c>
      <c r="AC467" s="286">
        <v>0</v>
      </c>
      <c r="AD467" s="286">
        <v>0</v>
      </c>
      <c r="AE467" s="286">
        <v>0</v>
      </c>
      <c r="AF467" s="286">
        <v>0</v>
      </c>
      <c r="AG467" s="286">
        <v>0</v>
      </c>
      <c r="AH467" s="286">
        <v>0</v>
      </c>
      <c r="AI467" s="286">
        <v>0</v>
      </c>
      <c r="AJ467" s="286">
        <v>0</v>
      </c>
      <c r="AK467" s="286">
        <v>0</v>
      </c>
      <c r="AL467" s="286">
        <v>0</v>
      </c>
      <c r="AM467" s="286">
        <v>0</v>
      </c>
      <c r="AN467" s="286">
        <v>0</v>
      </c>
      <c r="AO467" s="286">
        <v>0</v>
      </c>
      <c r="AP467" s="286">
        <v>0</v>
      </c>
      <c r="AQ467" s="286">
        <v>0</v>
      </c>
      <c r="AR467" s="286">
        <v>0</v>
      </c>
      <c r="AS467" s="286">
        <v>0</v>
      </c>
      <c r="AT467" s="286">
        <v>0</v>
      </c>
      <c r="AU467" s="286">
        <v>0</v>
      </c>
      <c r="AV467" s="286">
        <v>0</v>
      </c>
      <c r="AW467" s="286">
        <v>0</v>
      </c>
      <c r="AX467" s="286">
        <v>0</v>
      </c>
      <c r="AY467" s="286">
        <v>0</v>
      </c>
      <c r="AZ467" s="286">
        <v>0</v>
      </c>
      <c r="BA467" s="286">
        <v>0</v>
      </c>
      <c r="BB467" s="286">
        <v>0</v>
      </c>
      <c r="BC467" s="286">
        <v>0</v>
      </c>
      <c r="BD467" s="286">
        <v>0</v>
      </c>
      <c r="BE467" s="286">
        <v>0</v>
      </c>
      <c r="BF467" s="286">
        <v>0</v>
      </c>
      <c r="BG467" s="286">
        <v>0</v>
      </c>
      <c r="BH467" s="286">
        <v>0</v>
      </c>
      <c r="BI467" s="286">
        <v>0</v>
      </c>
      <c r="BJ467" s="281">
        <v>2.0444186834720568E-3</v>
      </c>
    </row>
    <row r="468" spans="1:62" ht="14.25" customHeight="1" x14ac:dyDescent="0.35">
      <c r="A468" s="41" t="s">
        <v>119</v>
      </c>
      <c r="B468" s="281">
        <v>3.3122308319651718E-4</v>
      </c>
      <c r="C468" s="281">
        <v>9.5078139135814559E-4</v>
      </c>
      <c r="D468" s="281">
        <v>2.0767702810684215E-4</v>
      </c>
      <c r="E468" s="281">
        <v>2.9097582760375691E-4</v>
      </c>
      <c r="F468" s="281">
        <v>3.2757651020461342E-4</v>
      </c>
      <c r="G468" s="281">
        <v>2.2922018320888952E-4</v>
      </c>
      <c r="H468" s="281">
        <v>2.4426685974568115E-4</v>
      </c>
      <c r="I468" s="281">
        <v>7.2227798165929127E-5</v>
      </c>
      <c r="J468" s="281">
        <v>2.1975163026695323E-4</v>
      </c>
      <c r="K468" s="281">
        <v>2.5966877557278661E-4</v>
      </c>
      <c r="L468" s="281">
        <v>2.3190188943901936E-4</v>
      </c>
      <c r="M468" s="281">
        <v>2.3686351003409728E-4</v>
      </c>
      <c r="N468" s="281">
        <v>1.6798906745001097E-4</v>
      </c>
      <c r="O468" s="281">
        <v>2.7043659607681652E-4</v>
      </c>
      <c r="P468" s="281">
        <v>2.6710827542776708E-4</v>
      </c>
      <c r="Q468" s="281">
        <v>3.9055431839910172E-4</v>
      </c>
      <c r="R468" s="281">
        <v>3.8457824027988876E-4</v>
      </c>
      <c r="S468" s="281">
        <v>2.0632790741352032E-4</v>
      </c>
      <c r="T468" s="281">
        <v>1.4442913483973715E-4</v>
      </c>
      <c r="U468" s="281">
        <v>4.3168869770227459E-4</v>
      </c>
      <c r="V468" s="281">
        <v>1.6432798749979513E-4</v>
      </c>
      <c r="W468" s="281">
        <v>3.6111630480733543E-4</v>
      </c>
      <c r="X468" s="281">
        <v>3.0812920136674113E-4</v>
      </c>
      <c r="Y468" s="281">
        <v>2.4468813727890088E-4</v>
      </c>
      <c r="Z468" s="281">
        <v>3.2841669136526961E-4</v>
      </c>
      <c r="AA468" s="281">
        <v>2.8407311926329973E-4</v>
      </c>
      <c r="AB468" s="281">
        <v>4.0865546153310737E-4</v>
      </c>
      <c r="AC468" s="281">
        <v>5.2791324022142064E-4</v>
      </c>
      <c r="AD468" s="281">
        <v>5.2804503471561113E-4</v>
      </c>
      <c r="AE468" s="281">
        <v>3.9537096699441784E-4</v>
      </c>
      <c r="AF468" s="281">
        <v>1.4098663744580196E-4</v>
      </c>
      <c r="AG468" s="281">
        <v>2.5853610465563422E-4</v>
      </c>
      <c r="AH468" s="281">
        <v>2.8852732394130521E-4</v>
      </c>
      <c r="AI468" s="281">
        <v>4.9210037385175379E-4</v>
      </c>
      <c r="AJ468" s="281">
        <v>4.3108788303077315E-4</v>
      </c>
      <c r="AK468" s="281">
        <v>3.4927470574814602E-4</v>
      </c>
      <c r="AL468" s="281">
        <v>5.5595352706204243E-4</v>
      </c>
      <c r="AM468" s="281">
        <v>4.3857033776235264E-4</v>
      </c>
      <c r="AN468" s="281">
        <v>6.1673529402580965E-4</v>
      </c>
      <c r="AO468" s="281">
        <v>6.3840205783183789E-4</v>
      </c>
      <c r="AP468" s="281">
        <v>5.7137935144871931E-4</v>
      </c>
      <c r="AQ468" s="281">
        <v>5.3814629321022388E-4</v>
      </c>
      <c r="AR468" s="281">
        <v>4.2644203572204665E-4</v>
      </c>
      <c r="AS468" s="281">
        <v>5.8161631189069E-4</v>
      </c>
      <c r="AT468" s="281">
        <v>5.0431364262367611E-4</v>
      </c>
      <c r="AU468" s="281">
        <v>5.9587721850267123E-4</v>
      </c>
      <c r="AV468" s="281">
        <v>5.505169524706215E-4</v>
      </c>
      <c r="AW468" s="281">
        <v>4.0758078154708768E-4</v>
      </c>
      <c r="AX468" s="281">
        <v>8.7492354985141364E-4</v>
      </c>
      <c r="AY468" s="281">
        <v>8.6535196466880468E-4</v>
      </c>
      <c r="AZ468" s="281">
        <v>8.8943961223675316E-4</v>
      </c>
      <c r="BA468" s="281">
        <v>9.5499805979404112E-4</v>
      </c>
      <c r="BB468" s="281">
        <v>8.655832223787535E-4</v>
      </c>
      <c r="BC468" s="281">
        <v>8.5256378870026176E-4</v>
      </c>
      <c r="BD468" s="281">
        <v>7.87065755925622E-4</v>
      </c>
      <c r="BE468" s="281">
        <v>5.4914533211036223E-4</v>
      </c>
      <c r="BF468" s="281">
        <v>7.5453007236519717E-4</v>
      </c>
      <c r="BG468" s="281">
        <v>7.6361034930300239E-4</v>
      </c>
      <c r="BH468" s="281">
        <v>7.9960545777751533E-4</v>
      </c>
      <c r="BI468" s="281">
        <v>7.4730912381005372E-4</v>
      </c>
      <c r="BJ468" s="281">
        <v>0</v>
      </c>
    </row>
    <row r="469" spans="1:62" ht="14.25" customHeight="1" x14ac:dyDescent="0.35">
      <c r="A469" s="41" t="s">
        <v>120</v>
      </c>
      <c r="B469" s="281">
        <v>7.0410748305872847E-4</v>
      </c>
      <c r="C469" s="281">
        <v>5.7173302077944993E-4</v>
      </c>
      <c r="D469" s="281">
        <v>9.6023433574223276E-4</v>
      </c>
      <c r="E469" s="281">
        <v>7.8429480150133074E-4</v>
      </c>
      <c r="F469" s="281">
        <v>1.1055718093265657E-3</v>
      </c>
      <c r="G469" s="281">
        <v>6.4208458234529255E-4</v>
      </c>
      <c r="H469" s="281">
        <v>7.895983092941661E-4</v>
      </c>
      <c r="I469" s="281">
        <v>5.7374562509072957E-4</v>
      </c>
      <c r="J469" s="281">
        <v>1.0387929876991893E-3</v>
      </c>
      <c r="K469" s="281">
        <v>8.9371399029835393E-4</v>
      </c>
      <c r="L469" s="281">
        <v>9.3131745061398458E-4</v>
      </c>
      <c r="M469" s="281">
        <v>6.0041557881467531E-4</v>
      </c>
      <c r="N469" s="281">
        <v>8.9580129665171133E-4</v>
      </c>
      <c r="O469" s="281">
        <v>1.0712067946188526E-3</v>
      </c>
      <c r="P469" s="281">
        <v>1.1535727160628271E-3</v>
      </c>
      <c r="Q469" s="281">
        <v>1.0011363496858147E-3</v>
      </c>
      <c r="R469" s="281">
        <v>1.1360509323511173E-3</v>
      </c>
      <c r="S469" s="281">
        <v>8.8098550754122295E-4</v>
      </c>
      <c r="T469" s="281">
        <v>9.9215750272244768E-4</v>
      </c>
      <c r="U469" s="281">
        <v>8.3363168839733365E-4</v>
      </c>
      <c r="V469" s="281">
        <v>1.1598641755988788E-3</v>
      </c>
      <c r="W469" s="281">
        <v>1.0562724985397106E-3</v>
      </c>
      <c r="X469" s="281">
        <v>1.0634069596674512E-3</v>
      </c>
      <c r="Y469" s="281">
        <v>9.7508841401262967E-4</v>
      </c>
      <c r="Z469" s="281">
        <v>1.1096880384772548E-3</v>
      </c>
      <c r="AA469" s="281">
        <v>1.0413779773482729E-3</v>
      </c>
      <c r="AB469" s="281">
        <v>1.0823629973689107E-3</v>
      </c>
      <c r="AC469" s="281">
        <v>1.1164446932240303E-3</v>
      </c>
      <c r="AD469" s="281">
        <v>1.1689696340841744E-3</v>
      </c>
      <c r="AE469" s="281">
        <v>1.1166306311691865E-3</v>
      </c>
      <c r="AF469" s="281">
        <v>1.1003898119931184E-3</v>
      </c>
      <c r="AG469" s="281">
        <v>8.6696859997702387E-4</v>
      </c>
      <c r="AH469" s="281">
        <v>1.1428655216622586E-3</v>
      </c>
      <c r="AI469" s="281">
        <v>1.1341339476335526E-3</v>
      </c>
      <c r="AJ469" s="281">
        <v>1.1473987618389812E-3</v>
      </c>
      <c r="AK469" s="281">
        <v>1.1074445467804605E-3</v>
      </c>
      <c r="AL469" s="281">
        <v>1.2092962082955801E-3</v>
      </c>
      <c r="AM469" s="281">
        <v>1.1466280771072008E-3</v>
      </c>
      <c r="AN469" s="281">
        <v>1.2356045723782867E-3</v>
      </c>
      <c r="AO469" s="281">
        <v>1.2102879583254507E-3</v>
      </c>
      <c r="AP469" s="281">
        <v>1.2476406930770362E-3</v>
      </c>
      <c r="AQ469" s="281">
        <v>1.2649659449409227E-3</v>
      </c>
      <c r="AR469" s="281">
        <v>1.1684160669940295E-3</v>
      </c>
      <c r="AS469" s="281">
        <v>1.2592362772863113E-3</v>
      </c>
      <c r="AT469" s="281">
        <v>1.2489097991381782E-3</v>
      </c>
      <c r="AU469" s="281">
        <v>1.2294878257672252E-3</v>
      </c>
      <c r="AV469" s="281">
        <v>1.1774023475099738E-3</v>
      </c>
      <c r="AW469" s="281">
        <v>1.1870518767003696E-3</v>
      </c>
      <c r="AX469" s="281">
        <v>1.608522438900349E-3</v>
      </c>
      <c r="AY469" s="281">
        <v>1.3562322610893211E-3</v>
      </c>
      <c r="AZ469" s="281">
        <v>1.9161168249048962E-3</v>
      </c>
      <c r="BA469" s="281">
        <v>1.4329240625728609E-3</v>
      </c>
      <c r="BB469" s="281">
        <v>1.6582958427770172E-3</v>
      </c>
      <c r="BC469" s="281">
        <v>1.7807907586594193E-3</v>
      </c>
      <c r="BD469" s="281">
        <v>1.3074842239845707E-3</v>
      </c>
      <c r="BE469" s="281">
        <v>1.3706071763945843E-3</v>
      </c>
      <c r="BF469" s="281">
        <v>1.6016022782983513E-3</v>
      </c>
      <c r="BG469" s="281">
        <v>1.5347557960296186E-3</v>
      </c>
      <c r="BH469" s="281">
        <v>1.4259426987013881E-3</v>
      </c>
      <c r="BI469" s="281">
        <v>1.4592537036908304E-3</v>
      </c>
      <c r="BJ469" s="281">
        <v>0</v>
      </c>
    </row>
    <row r="470" spans="1:62" ht="14.25" customHeight="1" x14ac:dyDescent="0.35">
      <c r="A470" s="42" t="s">
        <v>83</v>
      </c>
      <c r="B470" s="286">
        <v>0</v>
      </c>
      <c r="C470" s="286">
        <v>0</v>
      </c>
      <c r="D470" s="286">
        <v>0</v>
      </c>
      <c r="E470" s="286">
        <v>0</v>
      </c>
      <c r="F470" s="286">
        <v>0</v>
      </c>
      <c r="G470" s="286">
        <v>0</v>
      </c>
      <c r="H470" s="286">
        <v>0</v>
      </c>
      <c r="I470" s="286">
        <v>0</v>
      </c>
      <c r="J470" s="286">
        <v>0</v>
      </c>
      <c r="K470" s="286">
        <v>0</v>
      </c>
      <c r="L470" s="286">
        <v>0</v>
      </c>
      <c r="M470" s="286">
        <v>0</v>
      </c>
      <c r="N470" s="286">
        <v>0</v>
      </c>
      <c r="O470" s="286">
        <v>0</v>
      </c>
      <c r="P470" s="286">
        <v>0</v>
      </c>
      <c r="Q470" s="286">
        <v>0</v>
      </c>
      <c r="R470" s="286">
        <v>0</v>
      </c>
      <c r="S470" s="286">
        <v>0</v>
      </c>
      <c r="T470" s="286">
        <v>0</v>
      </c>
      <c r="U470" s="286">
        <v>0</v>
      </c>
      <c r="V470" s="286">
        <v>0</v>
      </c>
      <c r="W470" s="286">
        <v>0</v>
      </c>
      <c r="X470" s="286">
        <v>0</v>
      </c>
      <c r="Y470" s="286">
        <v>0</v>
      </c>
      <c r="Z470" s="286">
        <v>0</v>
      </c>
      <c r="AA470" s="286">
        <v>0</v>
      </c>
      <c r="AB470" s="286">
        <v>0</v>
      </c>
      <c r="AC470" s="286">
        <v>0</v>
      </c>
      <c r="AD470" s="286">
        <v>0</v>
      </c>
      <c r="AE470" s="286">
        <v>0</v>
      </c>
      <c r="AF470" s="286">
        <v>0</v>
      </c>
      <c r="AG470" s="286">
        <v>0</v>
      </c>
      <c r="AH470" s="286">
        <v>0</v>
      </c>
      <c r="AI470" s="286">
        <v>0</v>
      </c>
      <c r="AJ470" s="286">
        <v>0</v>
      </c>
      <c r="AK470" s="286">
        <v>0</v>
      </c>
      <c r="AL470" s="286">
        <v>0</v>
      </c>
      <c r="AM470" s="286">
        <v>0</v>
      </c>
      <c r="AN470" s="286">
        <v>0</v>
      </c>
      <c r="AO470" s="286">
        <v>0</v>
      </c>
      <c r="AP470" s="286">
        <v>0</v>
      </c>
      <c r="AQ470" s="286">
        <v>0</v>
      </c>
      <c r="AR470" s="286">
        <v>0</v>
      </c>
      <c r="AS470" s="286">
        <v>0</v>
      </c>
      <c r="AT470" s="286">
        <v>0</v>
      </c>
      <c r="AU470" s="286">
        <v>0</v>
      </c>
      <c r="AV470" s="286">
        <v>0</v>
      </c>
      <c r="AW470" s="286">
        <v>0</v>
      </c>
      <c r="AX470" s="286">
        <v>0</v>
      </c>
      <c r="AY470" s="286">
        <v>0</v>
      </c>
      <c r="AZ470" s="286">
        <v>0</v>
      </c>
      <c r="BA470" s="286">
        <v>0</v>
      </c>
      <c r="BB470" s="286">
        <v>0</v>
      </c>
      <c r="BC470" s="286">
        <v>0</v>
      </c>
      <c r="BD470" s="286">
        <v>0</v>
      </c>
      <c r="BE470" s="286">
        <v>0</v>
      </c>
      <c r="BF470" s="286">
        <v>0</v>
      </c>
      <c r="BG470" s="286">
        <v>0</v>
      </c>
      <c r="BH470" s="286">
        <v>0</v>
      </c>
      <c r="BI470" s="286">
        <v>0</v>
      </c>
      <c r="BJ470" s="281">
        <v>4.7859587301895459E-3</v>
      </c>
    </row>
    <row r="471" spans="1:62" ht="14.25" customHeight="1" x14ac:dyDescent="0.35">
      <c r="A471" s="42" t="s">
        <v>144</v>
      </c>
      <c r="B471" s="286">
        <v>0</v>
      </c>
      <c r="C471" s="286">
        <v>0</v>
      </c>
      <c r="D471" s="286">
        <v>0</v>
      </c>
      <c r="E471" s="286">
        <v>0</v>
      </c>
      <c r="F471" s="286">
        <v>0</v>
      </c>
      <c r="G471" s="286">
        <v>0</v>
      </c>
      <c r="H471" s="286">
        <v>0</v>
      </c>
      <c r="I471" s="286">
        <v>0</v>
      </c>
      <c r="J471" s="286">
        <v>0</v>
      </c>
      <c r="K471" s="286">
        <v>0</v>
      </c>
      <c r="L471" s="286">
        <v>0</v>
      </c>
      <c r="M471" s="286">
        <v>0</v>
      </c>
      <c r="N471" s="286">
        <v>0</v>
      </c>
      <c r="O471" s="286">
        <v>0</v>
      </c>
      <c r="P471" s="286">
        <v>0</v>
      </c>
      <c r="Q471" s="286">
        <v>0</v>
      </c>
      <c r="R471" s="286">
        <v>0</v>
      </c>
      <c r="S471" s="286">
        <v>0</v>
      </c>
      <c r="T471" s="286">
        <v>0</v>
      </c>
      <c r="U471" s="286">
        <v>0</v>
      </c>
      <c r="V471" s="286">
        <v>0</v>
      </c>
      <c r="W471" s="286">
        <v>0</v>
      </c>
      <c r="X471" s="286">
        <v>0</v>
      </c>
      <c r="Y471" s="286">
        <v>0</v>
      </c>
      <c r="Z471" s="286">
        <v>0</v>
      </c>
      <c r="AA471" s="286">
        <v>0</v>
      </c>
      <c r="AB471" s="286">
        <v>0</v>
      </c>
      <c r="AC471" s="286">
        <v>0</v>
      </c>
      <c r="AD471" s="286">
        <v>0</v>
      </c>
      <c r="AE471" s="286">
        <v>0</v>
      </c>
      <c r="AF471" s="286">
        <v>0</v>
      </c>
      <c r="AG471" s="286">
        <v>0</v>
      </c>
      <c r="AH471" s="286">
        <v>0</v>
      </c>
      <c r="AI471" s="286">
        <v>0</v>
      </c>
      <c r="AJ471" s="286">
        <v>0</v>
      </c>
      <c r="AK471" s="286">
        <v>0</v>
      </c>
      <c r="AL471" s="286">
        <v>0</v>
      </c>
      <c r="AM471" s="286">
        <v>0</v>
      </c>
      <c r="AN471" s="286">
        <v>0</v>
      </c>
      <c r="AO471" s="286">
        <v>0</v>
      </c>
      <c r="AP471" s="286">
        <v>0</v>
      </c>
      <c r="AQ471" s="286">
        <v>0</v>
      </c>
      <c r="AR471" s="286">
        <v>0</v>
      </c>
      <c r="AS471" s="286">
        <v>0</v>
      </c>
      <c r="AT471" s="286">
        <v>0</v>
      </c>
      <c r="AU471" s="286">
        <v>0</v>
      </c>
      <c r="AV471" s="286">
        <v>0</v>
      </c>
      <c r="AW471" s="286">
        <v>0</v>
      </c>
      <c r="AX471" s="286">
        <v>0</v>
      </c>
      <c r="AY471" s="286">
        <v>0</v>
      </c>
      <c r="AZ471" s="286">
        <v>0</v>
      </c>
      <c r="BA471" s="286">
        <v>0</v>
      </c>
      <c r="BB471" s="286">
        <v>0</v>
      </c>
      <c r="BC471" s="286">
        <v>0</v>
      </c>
      <c r="BD471" s="286">
        <v>0</v>
      </c>
      <c r="BE471" s="286">
        <v>0</v>
      </c>
      <c r="BF471" s="286">
        <v>0</v>
      </c>
      <c r="BG471" s="286">
        <v>0</v>
      </c>
      <c r="BH471" s="286">
        <v>0</v>
      </c>
      <c r="BI471" s="286">
        <v>0</v>
      </c>
      <c r="BJ471" s="281">
        <v>3.7724028988942501E-3</v>
      </c>
    </row>
    <row r="472" spans="1:62" ht="14.25" customHeight="1" x14ac:dyDescent="0.35">
      <c r="A472" s="42" t="s">
        <v>164</v>
      </c>
      <c r="B472" s="286">
        <v>0</v>
      </c>
      <c r="C472" s="286">
        <v>0</v>
      </c>
      <c r="D472" s="286">
        <v>0</v>
      </c>
      <c r="E472" s="286">
        <v>0</v>
      </c>
      <c r="F472" s="286">
        <v>0</v>
      </c>
      <c r="G472" s="286">
        <v>0</v>
      </c>
      <c r="H472" s="286">
        <v>0</v>
      </c>
      <c r="I472" s="286">
        <v>0</v>
      </c>
      <c r="J472" s="286">
        <v>0</v>
      </c>
      <c r="K472" s="286">
        <v>0</v>
      </c>
      <c r="L472" s="286">
        <v>0</v>
      </c>
      <c r="M472" s="286">
        <v>0</v>
      </c>
      <c r="N472" s="286">
        <v>0</v>
      </c>
      <c r="O472" s="286">
        <v>0</v>
      </c>
      <c r="P472" s="286">
        <v>0</v>
      </c>
      <c r="Q472" s="286">
        <v>0</v>
      </c>
      <c r="R472" s="286">
        <v>0</v>
      </c>
      <c r="S472" s="286">
        <v>0</v>
      </c>
      <c r="T472" s="286">
        <v>0</v>
      </c>
      <c r="U472" s="286">
        <v>0</v>
      </c>
      <c r="V472" s="286">
        <v>0</v>
      </c>
      <c r="W472" s="286">
        <v>0</v>
      </c>
      <c r="X472" s="286">
        <v>0</v>
      </c>
      <c r="Y472" s="286">
        <v>0</v>
      </c>
      <c r="Z472" s="286">
        <v>0</v>
      </c>
      <c r="AA472" s="286">
        <v>0</v>
      </c>
      <c r="AB472" s="286">
        <v>0</v>
      </c>
      <c r="AC472" s="286">
        <v>0</v>
      </c>
      <c r="AD472" s="286">
        <v>0</v>
      </c>
      <c r="AE472" s="286">
        <v>0</v>
      </c>
      <c r="AF472" s="286">
        <v>0</v>
      </c>
      <c r="AG472" s="286">
        <v>0</v>
      </c>
      <c r="AH472" s="286">
        <v>0</v>
      </c>
      <c r="AI472" s="286">
        <v>0</v>
      </c>
      <c r="AJ472" s="286">
        <v>0</v>
      </c>
      <c r="AK472" s="286">
        <v>0</v>
      </c>
      <c r="AL472" s="286">
        <v>0</v>
      </c>
      <c r="AM472" s="286">
        <v>0</v>
      </c>
      <c r="AN472" s="286">
        <v>0</v>
      </c>
      <c r="AO472" s="286">
        <v>0</v>
      </c>
      <c r="AP472" s="286">
        <v>0</v>
      </c>
      <c r="AQ472" s="286">
        <v>0</v>
      </c>
      <c r="AR472" s="286">
        <v>0</v>
      </c>
      <c r="AS472" s="286">
        <v>0</v>
      </c>
      <c r="AT472" s="286">
        <v>0</v>
      </c>
      <c r="AU472" s="286">
        <v>0</v>
      </c>
      <c r="AV472" s="286">
        <v>0</v>
      </c>
      <c r="AW472" s="286">
        <v>0</v>
      </c>
      <c r="AX472" s="286">
        <v>0</v>
      </c>
      <c r="AY472" s="286">
        <v>0</v>
      </c>
      <c r="AZ472" s="286">
        <v>0</v>
      </c>
      <c r="BA472" s="286">
        <v>0</v>
      </c>
      <c r="BB472" s="286">
        <v>0</v>
      </c>
      <c r="BC472" s="286">
        <v>0</v>
      </c>
      <c r="BD472" s="286">
        <v>0</v>
      </c>
      <c r="BE472" s="286">
        <v>0</v>
      </c>
      <c r="BF472" s="286">
        <v>0</v>
      </c>
      <c r="BG472" s="286">
        <v>0</v>
      </c>
      <c r="BH472" s="286">
        <v>0</v>
      </c>
      <c r="BI472" s="286">
        <v>0</v>
      </c>
      <c r="BJ472" s="281">
        <v>1.6816964408578862E-2</v>
      </c>
    </row>
    <row r="473" spans="1:62" ht="14.25" customHeight="1" x14ac:dyDescent="0.35">
      <c r="A473" s="42" t="s">
        <v>145</v>
      </c>
      <c r="B473" s="286">
        <v>0</v>
      </c>
      <c r="C473" s="286">
        <v>0</v>
      </c>
      <c r="D473" s="286">
        <v>0</v>
      </c>
      <c r="E473" s="286">
        <v>0</v>
      </c>
      <c r="F473" s="286">
        <v>0</v>
      </c>
      <c r="G473" s="286">
        <v>0</v>
      </c>
      <c r="H473" s="286">
        <v>0</v>
      </c>
      <c r="I473" s="286">
        <v>0</v>
      </c>
      <c r="J473" s="286">
        <v>0</v>
      </c>
      <c r="K473" s="286">
        <v>0</v>
      </c>
      <c r="L473" s="286">
        <v>0</v>
      </c>
      <c r="M473" s="286">
        <v>0</v>
      </c>
      <c r="N473" s="286">
        <v>0</v>
      </c>
      <c r="O473" s="286">
        <v>0</v>
      </c>
      <c r="P473" s="286">
        <v>0</v>
      </c>
      <c r="Q473" s="286">
        <v>0</v>
      </c>
      <c r="R473" s="286">
        <v>0</v>
      </c>
      <c r="S473" s="286">
        <v>0</v>
      </c>
      <c r="T473" s="286">
        <v>0</v>
      </c>
      <c r="U473" s="286">
        <v>0</v>
      </c>
      <c r="V473" s="286">
        <v>0</v>
      </c>
      <c r="W473" s="286">
        <v>0</v>
      </c>
      <c r="X473" s="286">
        <v>0</v>
      </c>
      <c r="Y473" s="286">
        <v>0</v>
      </c>
      <c r="Z473" s="286">
        <v>0</v>
      </c>
      <c r="AA473" s="286">
        <v>0</v>
      </c>
      <c r="AB473" s="286">
        <v>0</v>
      </c>
      <c r="AC473" s="286">
        <v>0</v>
      </c>
      <c r="AD473" s="286">
        <v>0</v>
      </c>
      <c r="AE473" s="286">
        <v>0</v>
      </c>
      <c r="AF473" s="286">
        <v>0</v>
      </c>
      <c r="AG473" s="286">
        <v>0</v>
      </c>
      <c r="AH473" s="286">
        <v>0</v>
      </c>
      <c r="AI473" s="286">
        <v>0</v>
      </c>
      <c r="AJ473" s="286">
        <v>0</v>
      </c>
      <c r="AK473" s="286">
        <v>0</v>
      </c>
      <c r="AL473" s="286">
        <v>0</v>
      </c>
      <c r="AM473" s="286">
        <v>0</v>
      </c>
      <c r="AN473" s="286">
        <v>0</v>
      </c>
      <c r="AO473" s="286">
        <v>0</v>
      </c>
      <c r="AP473" s="286">
        <v>0</v>
      </c>
      <c r="AQ473" s="286">
        <v>0</v>
      </c>
      <c r="AR473" s="286">
        <v>0</v>
      </c>
      <c r="AS473" s="286">
        <v>0</v>
      </c>
      <c r="AT473" s="286">
        <v>0</v>
      </c>
      <c r="AU473" s="286">
        <v>0</v>
      </c>
      <c r="AV473" s="286">
        <v>0</v>
      </c>
      <c r="AW473" s="286">
        <v>0</v>
      </c>
      <c r="AX473" s="286">
        <v>0</v>
      </c>
      <c r="AY473" s="286">
        <v>0</v>
      </c>
      <c r="AZ473" s="286">
        <v>0</v>
      </c>
      <c r="BA473" s="286">
        <v>0</v>
      </c>
      <c r="BB473" s="286">
        <v>0</v>
      </c>
      <c r="BC473" s="286">
        <v>0</v>
      </c>
      <c r="BD473" s="286">
        <v>0</v>
      </c>
      <c r="BE473" s="286">
        <v>0</v>
      </c>
      <c r="BF473" s="286">
        <v>0</v>
      </c>
      <c r="BG473" s="286">
        <v>0</v>
      </c>
      <c r="BH473" s="286">
        <v>0</v>
      </c>
      <c r="BI473" s="286">
        <v>0</v>
      </c>
      <c r="BJ473" s="281">
        <v>1.3293720970000836E-3</v>
      </c>
    </row>
    <row r="474" spans="1:62" ht="14.25" customHeight="1" x14ac:dyDescent="0.35">
      <c r="A474" s="42" t="s">
        <v>87</v>
      </c>
      <c r="B474" s="286">
        <v>0</v>
      </c>
      <c r="C474" s="286">
        <v>0</v>
      </c>
      <c r="D474" s="286">
        <v>0</v>
      </c>
      <c r="E474" s="286">
        <v>0</v>
      </c>
      <c r="F474" s="286">
        <v>0</v>
      </c>
      <c r="G474" s="286">
        <v>0</v>
      </c>
      <c r="H474" s="286">
        <v>0</v>
      </c>
      <c r="I474" s="286">
        <v>0</v>
      </c>
      <c r="J474" s="286">
        <v>0</v>
      </c>
      <c r="K474" s="286">
        <v>0</v>
      </c>
      <c r="L474" s="286">
        <v>0</v>
      </c>
      <c r="M474" s="286">
        <v>0</v>
      </c>
      <c r="N474" s="286">
        <v>0</v>
      </c>
      <c r="O474" s="286">
        <v>0</v>
      </c>
      <c r="P474" s="286">
        <v>0</v>
      </c>
      <c r="Q474" s="286">
        <v>0</v>
      </c>
      <c r="R474" s="286">
        <v>0</v>
      </c>
      <c r="S474" s="286">
        <v>0</v>
      </c>
      <c r="T474" s="286">
        <v>0</v>
      </c>
      <c r="U474" s="286">
        <v>0</v>
      </c>
      <c r="V474" s="286">
        <v>0</v>
      </c>
      <c r="W474" s="286">
        <v>0</v>
      </c>
      <c r="X474" s="286">
        <v>0</v>
      </c>
      <c r="Y474" s="286">
        <v>0</v>
      </c>
      <c r="Z474" s="286">
        <v>0</v>
      </c>
      <c r="AA474" s="286">
        <v>0</v>
      </c>
      <c r="AB474" s="286">
        <v>0</v>
      </c>
      <c r="AC474" s="286">
        <v>0</v>
      </c>
      <c r="AD474" s="286">
        <v>0</v>
      </c>
      <c r="AE474" s="286">
        <v>0</v>
      </c>
      <c r="AF474" s="286">
        <v>0</v>
      </c>
      <c r="AG474" s="286">
        <v>0</v>
      </c>
      <c r="AH474" s="286">
        <v>0</v>
      </c>
      <c r="AI474" s="286">
        <v>0</v>
      </c>
      <c r="AJ474" s="286">
        <v>0</v>
      </c>
      <c r="AK474" s="286">
        <v>0</v>
      </c>
      <c r="AL474" s="286">
        <v>0</v>
      </c>
      <c r="AM474" s="286">
        <v>0</v>
      </c>
      <c r="AN474" s="286">
        <v>0</v>
      </c>
      <c r="AO474" s="286">
        <v>0</v>
      </c>
      <c r="AP474" s="286">
        <v>0</v>
      </c>
      <c r="AQ474" s="286">
        <v>0</v>
      </c>
      <c r="AR474" s="286">
        <v>0</v>
      </c>
      <c r="AS474" s="286">
        <v>0</v>
      </c>
      <c r="AT474" s="286">
        <v>0</v>
      </c>
      <c r="AU474" s="286">
        <v>0</v>
      </c>
      <c r="AV474" s="286">
        <v>0</v>
      </c>
      <c r="AW474" s="286">
        <v>0</v>
      </c>
      <c r="AX474" s="286">
        <v>0</v>
      </c>
      <c r="AY474" s="286">
        <v>0</v>
      </c>
      <c r="AZ474" s="286">
        <v>0</v>
      </c>
      <c r="BA474" s="286">
        <v>0</v>
      </c>
      <c r="BB474" s="286">
        <v>0</v>
      </c>
      <c r="BC474" s="286">
        <v>0</v>
      </c>
      <c r="BD474" s="286">
        <v>0</v>
      </c>
      <c r="BE474" s="286">
        <v>0</v>
      </c>
      <c r="BF474" s="286">
        <v>0</v>
      </c>
      <c r="BG474" s="286">
        <v>0</v>
      </c>
      <c r="BH474" s="286">
        <v>0</v>
      </c>
      <c r="BI474" s="286">
        <v>0</v>
      </c>
      <c r="BJ474" s="281">
        <v>4.1642123696519024E-3</v>
      </c>
    </row>
    <row r="475" spans="1:62" ht="14.25" customHeight="1" x14ac:dyDescent="0.35">
      <c r="A475" s="42" t="s">
        <v>146</v>
      </c>
      <c r="B475" s="286">
        <v>0</v>
      </c>
      <c r="C475" s="286">
        <v>0</v>
      </c>
      <c r="D475" s="286">
        <v>0</v>
      </c>
      <c r="E475" s="286">
        <v>0</v>
      </c>
      <c r="F475" s="286">
        <v>0</v>
      </c>
      <c r="G475" s="286">
        <v>0</v>
      </c>
      <c r="H475" s="286">
        <v>0</v>
      </c>
      <c r="I475" s="286">
        <v>0</v>
      </c>
      <c r="J475" s="286">
        <v>0</v>
      </c>
      <c r="K475" s="286">
        <v>0</v>
      </c>
      <c r="L475" s="286">
        <v>0</v>
      </c>
      <c r="M475" s="286">
        <v>0</v>
      </c>
      <c r="N475" s="286">
        <v>0</v>
      </c>
      <c r="O475" s="286">
        <v>0</v>
      </c>
      <c r="P475" s="286">
        <v>0</v>
      </c>
      <c r="Q475" s="286">
        <v>0</v>
      </c>
      <c r="R475" s="286">
        <v>0</v>
      </c>
      <c r="S475" s="286">
        <v>0</v>
      </c>
      <c r="T475" s="286">
        <v>0</v>
      </c>
      <c r="U475" s="286">
        <v>0</v>
      </c>
      <c r="V475" s="286">
        <v>0</v>
      </c>
      <c r="W475" s="286">
        <v>0</v>
      </c>
      <c r="X475" s="286">
        <v>0</v>
      </c>
      <c r="Y475" s="286">
        <v>0</v>
      </c>
      <c r="Z475" s="286">
        <v>0</v>
      </c>
      <c r="AA475" s="286">
        <v>0</v>
      </c>
      <c r="AB475" s="286">
        <v>0</v>
      </c>
      <c r="AC475" s="286">
        <v>0</v>
      </c>
      <c r="AD475" s="286">
        <v>0</v>
      </c>
      <c r="AE475" s="286">
        <v>0</v>
      </c>
      <c r="AF475" s="286">
        <v>0</v>
      </c>
      <c r="AG475" s="286">
        <v>0</v>
      </c>
      <c r="AH475" s="286">
        <v>0</v>
      </c>
      <c r="AI475" s="286">
        <v>0</v>
      </c>
      <c r="AJ475" s="286">
        <v>0</v>
      </c>
      <c r="AK475" s="286">
        <v>0</v>
      </c>
      <c r="AL475" s="286">
        <v>0</v>
      </c>
      <c r="AM475" s="286">
        <v>0</v>
      </c>
      <c r="AN475" s="286">
        <v>0</v>
      </c>
      <c r="AO475" s="286">
        <v>0</v>
      </c>
      <c r="AP475" s="286">
        <v>0</v>
      </c>
      <c r="AQ475" s="286">
        <v>0</v>
      </c>
      <c r="AR475" s="286">
        <v>0</v>
      </c>
      <c r="AS475" s="286">
        <v>0</v>
      </c>
      <c r="AT475" s="286">
        <v>0</v>
      </c>
      <c r="AU475" s="286">
        <v>0</v>
      </c>
      <c r="AV475" s="286">
        <v>0</v>
      </c>
      <c r="AW475" s="286">
        <v>0</v>
      </c>
      <c r="AX475" s="286">
        <v>0</v>
      </c>
      <c r="AY475" s="286">
        <v>0</v>
      </c>
      <c r="AZ475" s="286">
        <v>0</v>
      </c>
      <c r="BA475" s="286">
        <v>0</v>
      </c>
      <c r="BB475" s="286">
        <v>0</v>
      </c>
      <c r="BC475" s="286">
        <v>0</v>
      </c>
      <c r="BD475" s="286">
        <v>0</v>
      </c>
      <c r="BE475" s="286">
        <v>0</v>
      </c>
      <c r="BF475" s="286">
        <v>0</v>
      </c>
      <c r="BG475" s="286">
        <v>0</v>
      </c>
      <c r="BH475" s="286">
        <v>0</v>
      </c>
      <c r="BI475" s="286">
        <v>0</v>
      </c>
      <c r="BJ475" s="281">
        <v>3.1171633008943546E-3</v>
      </c>
    </row>
    <row r="476" spans="1:62" ht="14.25" customHeight="1" x14ac:dyDescent="0.35">
      <c r="A476" s="42" t="s">
        <v>89</v>
      </c>
      <c r="B476" s="286">
        <v>0</v>
      </c>
      <c r="C476" s="286">
        <v>0</v>
      </c>
      <c r="D476" s="286">
        <v>0</v>
      </c>
      <c r="E476" s="286">
        <v>0</v>
      </c>
      <c r="F476" s="286">
        <v>0</v>
      </c>
      <c r="G476" s="286">
        <v>0</v>
      </c>
      <c r="H476" s="286">
        <v>0</v>
      </c>
      <c r="I476" s="286">
        <v>0</v>
      </c>
      <c r="J476" s="286">
        <v>0</v>
      </c>
      <c r="K476" s="286">
        <v>0</v>
      </c>
      <c r="L476" s="286">
        <v>0</v>
      </c>
      <c r="M476" s="286">
        <v>0</v>
      </c>
      <c r="N476" s="286">
        <v>0</v>
      </c>
      <c r="O476" s="286">
        <v>0</v>
      </c>
      <c r="P476" s="286">
        <v>0</v>
      </c>
      <c r="Q476" s="286">
        <v>0</v>
      </c>
      <c r="R476" s="286">
        <v>0</v>
      </c>
      <c r="S476" s="286">
        <v>0</v>
      </c>
      <c r="T476" s="286">
        <v>0</v>
      </c>
      <c r="U476" s="286">
        <v>0</v>
      </c>
      <c r="V476" s="286">
        <v>0</v>
      </c>
      <c r="W476" s="286">
        <v>0</v>
      </c>
      <c r="X476" s="286">
        <v>0</v>
      </c>
      <c r="Y476" s="286">
        <v>0</v>
      </c>
      <c r="Z476" s="286">
        <v>0</v>
      </c>
      <c r="AA476" s="286">
        <v>0</v>
      </c>
      <c r="AB476" s="286">
        <v>0</v>
      </c>
      <c r="AC476" s="286">
        <v>0</v>
      </c>
      <c r="AD476" s="286">
        <v>0</v>
      </c>
      <c r="AE476" s="286">
        <v>0</v>
      </c>
      <c r="AF476" s="286">
        <v>0</v>
      </c>
      <c r="AG476" s="286">
        <v>0</v>
      </c>
      <c r="AH476" s="286">
        <v>0</v>
      </c>
      <c r="AI476" s="286">
        <v>0</v>
      </c>
      <c r="AJ476" s="286">
        <v>0</v>
      </c>
      <c r="AK476" s="286">
        <v>0</v>
      </c>
      <c r="AL476" s="286">
        <v>0</v>
      </c>
      <c r="AM476" s="286">
        <v>0</v>
      </c>
      <c r="AN476" s="286">
        <v>0</v>
      </c>
      <c r="AO476" s="286">
        <v>0</v>
      </c>
      <c r="AP476" s="286">
        <v>0</v>
      </c>
      <c r="AQ476" s="286">
        <v>0</v>
      </c>
      <c r="AR476" s="286">
        <v>0</v>
      </c>
      <c r="AS476" s="286">
        <v>0</v>
      </c>
      <c r="AT476" s="286">
        <v>0</v>
      </c>
      <c r="AU476" s="286">
        <v>0</v>
      </c>
      <c r="AV476" s="286">
        <v>0</v>
      </c>
      <c r="AW476" s="286">
        <v>0</v>
      </c>
      <c r="AX476" s="286">
        <v>0</v>
      </c>
      <c r="AY476" s="286">
        <v>0</v>
      </c>
      <c r="AZ476" s="286">
        <v>0</v>
      </c>
      <c r="BA476" s="286">
        <v>0</v>
      </c>
      <c r="BB476" s="286">
        <v>0</v>
      </c>
      <c r="BC476" s="286">
        <v>0</v>
      </c>
      <c r="BD476" s="286">
        <v>0</v>
      </c>
      <c r="BE476" s="286">
        <v>0</v>
      </c>
      <c r="BF476" s="286">
        <v>0</v>
      </c>
      <c r="BG476" s="286">
        <v>0</v>
      </c>
      <c r="BH476" s="286">
        <v>0</v>
      </c>
      <c r="BI476" s="286">
        <v>0</v>
      </c>
      <c r="BJ476" s="281">
        <v>4.4272486534228912E-4</v>
      </c>
    </row>
    <row r="477" spans="1:62" ht="14.25" customHeight="1" x14ac:dyDescent="0.35">
      <c r="A477" s="42" t="s">
        <v>90</v>
      </c>
      <c r="B477" s="286">
        <v>0</v>
      </c>
      <c r="C477" s="286">
        <v>0</v>
      </c>
      <c r="D477" s="286">
        <v>0</v>
      </c>
      <c r="E477" s="286">
        <v>0</v>
      </c>
      <c r="F477" s="286">
        <v>0</v>
      </c>
      <c r="G477" s="286">
        <v>0</v>
      </c>
      <c r="H477" s="286">
        <v>0</v>
      </c>
      <c r="I477" s="286">
        <v>0</v>
      </c>
      <c r="J477" s="286">
        <v>0</v>
      </c>
      <c r="K477" s="286">
        <v>0</v>
      </c>
      <c r="L477" s="286">
        <v>0</v>
      </c>
      <c r="M477" s="286">
        <v>0</v>
      </c>
      <c r="N477" s="286">
        <v>0</v>
      </c>
      <c r="O477" s="286">
        <v>0</v>
      </c>
      <c r="P477" s="286">
        <v>0</v>
      </c>
      <c r="Q477" s="286">
        <v>0</v>
      </c>
      <c r="R477" s="286">
        <v>0</v>
      </c>
      <c r="S477" s="286">
        <v>0</v>
      </c>
      <c r="T477" s="286">
        <v>0</v>
      </c>
      <c r="U477" s="286">
        <v>0</v>
      </c>
      <c r="V477" s="286">
        <v>0</v>
      </c>
      <c r="W477" s="286">
        <v>0</v>
      </c>
      <c r="X477" s="286">
        <v>0</v>
      </c>
      <c r="Y477" s="286">
        <v>0</v>
      </c>
      <c r="Z477" s="286">
        <v>0</v>
      </c>
      <c r="AA477" s="286">
        <v>0</v>
      </c>
      <c r="AB477" s="286">
        <v>0</v>
      </c>
      <c r="AC477" s="286">
        <v>0</v>
      </c>
      <c r="AD477" s="286">
        <v>0</v>
      </c>
      <c r="AE477" s="286">
        <v>0</v>
      </c>
      <c r="AF477" s="286">
        <v>0</v>
      </c>
      <c r="AG477" s="286">
        <v>0</v>
      </c>
      <c r="AH477" s="286">
        <v>0</v>
      </c>
      <c r="AI477" s="286">
        <v>0</v>
      </c>
      <c r="AJ477" s="286">
        <v>0</v>
      </c>
      <c r="AK477" s="286">
        <v>0</v>
      </c>
      <c r="AL477" s="286">
        <v>0</v>
      </c>
      <c r="AM477" s="286">
        <v>0</v>
      </c>
      <c r="AN477" s="286">
        <v>0</v>
      </c>
      <c r="AO477" s="286">
        <v>0</v>
      </c>
      <c r="AP477" s="286">
        <v>0</v>
      </c>
      <c r="AQ477" s="286">
        <v>0</v>
      </c>
      <c r="AR477" s="286">
        <v>0</v>
      </c>
      <c r="AS477" s="286">
        <v>0</v>
      </c>
      <c r="AT477" s="286">
        <v>0</v>
      </c>
      <c r="AU477" s="286">
        <v>0</v>
      </c>
      <c r="AV477" s="286">
        <v>0</v>
      </c>
      <c r="AW477" s="286">
        <v>0</v>
      </c>
      <c r="AX477" s="286">
        <v>0</v>
      </c>
      <c r="AY477" s="286">
        <v>0</v>
      </c>
      <c r="AZ477" s="286">
        <v>0</v>
      </c>
      <c r="BA477" s="286">
        <v>0</v>
      </c>
      <c r="BB477" s="286">
        <v>0</v>
      </c>
      <c r="BC477" s="286">
        <v>0</v>
      </c>
      <c r="BD477" s="286">
        <v>0</v>
      </c>
      <c r="BE477" s="286">
        <v>0</v>
      </c>
      <c r="BF477" s="286">
        <v>0</v>
      </c>
      <c r="BG477" s="286">
        <v>0</v>
      </c>
      <c r="BH477" s="286">
        <v>0</v>
      </c>
      <c r="BI477" s="286">
        <v>0</v>
      </c>
      <c r="BJ477" s="281">
        <v>1.3922882066120752E-2</v>
      </c>
    </row>
    <row r="479" spans="1:62" ht="14.25" customHeight="1" x14ac:dyDescent="0.35">
      <c r="A479" s="143" t="s">
        <v>1182</v>
      </c>
    </row>
    <row r="480" spans="1:62" ht="14.25" customHeight="1" x14ac:dyDescent="0.35">
      <c r="A480" s="34" t="s">
        <v>1236</v>
      </c>
      <c r="B480" s="2"/>
    </row>
    <row r="481" spans="1:63" ht="14.25" customHeight="1" x14ac:dyDescent="0.35">
      <c r="A481" s="38" t="s">
        <v>1211</v>
      </c>
      <c r="B481" s="9" t="s">
        <v>169</v>
      </c>
    </row>
    <row r="482" spans="1:63" ht="14.25" customHeight="1" x14ac:dyDescent="0.35">
      <c r="A482" s="271">
        <v>0</v>
      </c>
      <c r="B482" s="272" t="s">
        <v>1218</v>
      </c>
    </row>
    <row r="483" spans="1:63" ht="14.25" customHeight="1" x14ac:dyDescent="0.35">
      <c r="A483" s="271">
        <v>1</v>
      </c>
      <c r="B483" s="272" t="s">
        <v>1287</v>
      </c>
    </row>
    <row r="484" spans="1:63" ht="14.25" customHeight="1" x14ac:dyDescent="0.35">
      <c r="A484" s="39" t="s">
        <v>170</v>
      </c>
      <c r="B484" s="40">
        <v>0</v>
      </c>
    </row>
    <row r="486" spans="1:63" ht="14.25" customHeight="1" x14ac:dyDescent="0.35">
      <c r="A486" s="14" t="s">
        <v>649</v>
      </c>
      <c r="B486" s="34" t="s">
        <v>1237</v>
      </c>
    </row>
    <row r="487" spans="1:63" ht="14.25" customHeight="1" x14ac:dyDescent="0.35">
      <c r="A487" s="74" t="s">
        <v>380</v>
      </c>
      <c r="B487" s="273" t="s">
        <v>12</v>
      </c>
    </row>
    <row r="488" spans="1:63" ht="14.25" customHeight="1" x14ac:dyDescent="0.35">
      <c r="A488" s="74" t="s">
        <v>127</v>
      </c>
      <c r="B488" s="93">
        <v>2025</v>
      </c>
    </row>
    <row r="489" spans="1:63" ht="14.25" customHeight="1" x14ac:dyDescent="0.35">
      <c r="A489" s="118"/>
    </row>
    <row r="490" spans="1:63" ht="14.25" customHeight="1" x14ac:dyDescent="0.35">
      <c r="A490" s="34" t="s">
        <v>1238</v>
      </c>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row>
    <row r="491" spans="1:63" ht="14.25" customHeight="1" x14ac:dyDescent="0.35">
      <c r="A491" s="39" t="s">
        <v>1232</v>
      </c>
      <c r="B491" s="274" t="s">
        <v>175</v>
      </c>
      <c r="C491" s="274" t="s">
        <v>176</v>
      </c>
      <c r="D491" s="274" t="s">
        <v>177</v>
      </c>
      <c r="E491" s="274" t="s">
        <v>178</v>
      </c>
      <c r="F491" s="274" t="s">
        <v>179</v>
      </c>
      <c r="G491" s="274" t="s">
        <v>180</v>
      </c>
      <c r="H491" s="274" t="s">
        <v>181</v>
      </c>
      <c r="I491" s="274" t="s">
        <v>182</v>
      </c>
      <c r="J491" s="274" t="s">
        <v>1671</v>
      </c>
      <c r="K491" s="274" t="s">
        <v>1672</v>
      </c>
      <c r="L491" s="274" t="s">
        <v>1673</v>
      </c>
      <c r="M491" s="274" t="s">
        <v>1674</v>
      </c>
      <c r="N491" s="274" t="s">
        <v>1675</v>
      </c>
      <c r="O491" s="274" t="s">
        <v>1676</v>
      </c>
      <c r="P491" s="274" t="s">
        <v>1677</v>
      </c>
      <c r="Q491" s="274" t="s">
        <v>1678</v>
      </c>
      <c r="R491" s="274" t="s">
        <v>183</v>
      </c>
      <c r="S491" s="274" t="s">
        <v>184</v>
      </c>
      <c r="T491" s="274" t="s">
        <v>185</v>
      </c>
      <c r="U491" s="274" t="s">
        <v>186</v>
      </c>
      <c r="V491" s="274" t="s">
        <v>187</v>
      </c>
      <c r="W491" s="274" t="s">
        <v>188</v>
      </c>
      <c r="X491" s="274" t="s">
        <v>189</v>
      </c>
      <c r="Y491" s="274" t="s">
        <v>190</v>
      </c>
      <c r="Z491" s="274" t="s">
        <v>1679</v>
      </c>
      <c r="AA491" s="274" t="s">
        <v>191</v>
      </c>
      <c r="AB491" s="274" t="s">
        <v>192</v>
      </c>
      <c r="AC491" s="274" t="s">
        <v>193</v>
      </c>
      <c r="AD491" s="274" t="s">
        <v>194</v>
      </c>
      <c r="AE491" s="274" t="s">
        <v>195</v>
      </c>
      <c r="AF491" s="274" t="s">
        <v>196</v>
      </c>
      <c r="AG491" s="274" t="s">
        <v>197</v>
      </c>
      <c r="AH491" s="274" t="s">
        <v>198</v>
      </c>
      <c r="AI491" s="274" t="s">
        <v>199</v>
      </c>
      <c r="AJ491" s="274" t="s">
        <v>200</v>
      </c>
      <c r="AK491" s="274" t="s">
        <v>201</v>
      </c>
      <c r="AL491" s="274" t="s">
        <v>202</v>
      </c>
      <c r="AM491" s="274" t="s">
        <v>203</v>
      </c>
      <c r="AN491" s="274" t="s">
        <v>204</v>
      </c>
      <c r="AO491" s="274" t="s">
        <v>205</v>
      </c>
      <c r="AP491" s="274" t="s">
        <v>206</v>
      </c>
      <c r="AQ491" s="274" t="s">
        <v>207</v>
      </c>
      <c r="AR491" s="274" t="s">
        <v>208</v>
      </c>
      <c r="AS491" s="274" t="s">
        <v>209</v>
      </c>
      <c r="AT491" s="274" t="s">
        <v>210</v>
      </c>
      <c r="AU491" s="274" t="s">
        <v>211</v>
      </c>
      <c r="AV491" s="274" t="s">
        <v>212</v>
      </c>
      <c r="AW491" s="274" t="s">
        <v>213</v>
      </c>
      <c r="AX491" s="274" t="s">
        <v>214</v>
      </c>
      <c r="AY491" s="274" t="s">
        <v>215</v>
      </c>
      <c r="AZ491" s="274" t="s">
        <v>216</v>
      </c>
      <c r="BA491" s="274" t="s">
        <v>217</v>
      </c>
      <c r="BB491" s="274" t="s">
        <v>218</v>
      </c>
      <c r="BC491" s="274" t="s">
        <v>219</v>
      </c>
      <c r="BD491" s="274" t="s">
        <v>220</v>
      </c>
      <c r="BE491" s="274" t="s">
        <v>221</v>
      </c>
      <c r="BF491" s="274" t="s">
        <v>222</v>
      </c>
      <c r="BG491" s="274" t="s">
        <v>223</v>
      </c>
      <c r="BH491" s="274" t="s">
        <v>224</v>
      </c>
      <c r="BI491" s="274" t="s">
        <v>225</v>
      </c>
      <c r="BJ491" s="274" t="s">
        <v>226</v>
      </c>
      <c r="BK491" s="274" t="s">
        <v>227</v>
      </c>
    </row>
    <row r="492" spans="1:63" ht="14.25" customHeight="1" x14ac:dyDescent="0.35">
      <c r="A492" s="275" t="s">
        <v>228</v>
      </c>
      <c r="B492" s="287">
        <v>1.3222266354010359E-2</v>
      </c>
      <c r="C492" s="287">
        <v>8.9898731192858197E-3</v>
      </c>
      <c r="D492" s="287">
        <v>1.0502346553614579E-2</v>
      </c>
      <c r="E492" s="287">
        <v>3.998208609320048E-3</v>
      </c>
      <c r="F492" s="287">
        <v>1.3541432942208389E-2</v>
      </c>
      <c r="G492" s="287">
        <v>1.7450825871476974E-2</v>
      </c>
      <c r="H492" s="287">
        <v>1.9673035318880615E-2</v>
      </c>
      <c r="I492" s="287">
        <v>2.5652604817009823E-2</v>
      </c>
      <c r="J492" s="287">
        <v>0</v>
      </c>
      <c r="K492" s="287">
        <v>6.4336379353976481E-3</v>
      </c>
      <c r="L492" s="287">
        <v>7.2212865301411796E-3</v>
      </c>
      <c r="M492" s="287">
        <v>2.467733190701047E-2</v>
      </c>
      <c r="N492" s="287">
        <v>7.6158936174080642E-3</v>
      </c>
      <c r="O492" s="287">
        <v>3.2148123179645991E-3</v>
      </c>
      <c r="P492" s="287">
        <v>4.2888219322495362E-3</v>
      </c>
      <c r="Q492" s="287">
        <v>4.7042866356708565E-3</v>
      </c>
      <c r="R492" s="287">
        <v>1.0674761495363318E-2</v>
      </c>
      <c r="S492" s="287">
        <v>6.9898459326670397E-3</v>
      </c>
      <c r="T492" s="287">
        <v>7.3776082478280896E-3</v>
      </c>
      <c r="U492" s="287">
        <v>1.7141007636004685E-4</v>
      </c>
      <c r="V492" s="287">
        <v>1.9670767315858825E-3</v>
      </c>
      <c r="W492" s="287">
        <v>7.1699849750821625E-3</v>
      </c>
      <c r="X492" s="287">
        <v>9.3404409401945734E-3</v>
      </c>
      <c r="Y492" s="287">
        <v>9.8947034447863947E-3</v>
      </c>
      <c r="Z492" s="287">
        <v>0</v>
      </c>
      <c r="AA492" s="287">
        <v>1.0876431714485039E-2</v>
      </c>
      <c r="AB492" s="287">
        <v>1.1524024159550601E-2</v>
      </c>
      <c r="AC492" s="287">
        <v>1.1826728435425031E-2</v>
      </c>
      <c r="AD492" s="287">
        <v>9.2591122903804366E-3</v>
      </c>
      <c r="AE492" s="287">
        <v>6.6286916683794689E-3</v>
      </c>
      <c r="AF492" s="287">
        <v>9.2504846422300016E-3</v>
      </c>
      <c r="AG492" s="287">
        <v>1.3845785292999127E-3</v>
      </c>
      <c r="AH492" s="287">
        <v>1.3173696491137641E-3</v>
      </c>
      <c r="AI492" s="287">
        <v>0</v>
      </c>
      <c r="AJ492" s="287">
        <v>1.4259194419135347E-2</v>
      </c>
      <c r="AK492" s="287">
        <v>1.2123320812860928E-2</v>
      </c>
      <c r="AL492" s="287">
        <v>4.6713636293730629E-4</v>
      </c>
      <c r="AM492" s="287">
        <v>8.8120000783976377E-3</v>
      </c>
      <c r="AN492" s="287">
        <v>0</v>
      </c>
      <c r="AO492" s="287">
        <v>1.8909730087286216E-3</v>
      </c>
      <c r="AP492" s="287">
        <v>3.9308385587184273E-3</v>
      </c>
      <c r="AQ492" s="287">
        <v>6.5810772704811345E-4</v>
      </c>
      <c r="AR492" s="287">
        <v>7.5114414685646701E-4</v>
      </c>
      <c r="AS492" s="287">
        <v>1.241121622721621E-2</v>
      </c>
      <c r="AT492" s="287">
        <v>9.8343150586042063E-3</v>
      </c>
      <c r="AU492" s="287">
        <v>1.6384015837592775E-2</v>
      </c>
      <c r="AV492" s="287">
        <v>1.2902272922803711E-2</v>
      </c>
      <c r="AW492" s="287">
        <v>1.2460148541816376E-2</v>
      </c>
      <c r="AX492" s="287">
        <v>1.2765344627457265E-2</v>
      </c>
      <c r="AY492" s="287">
        <v>2.6041004446165127E-3</v>
      </c>
      <c r="AZ492" s="287">
        <v>1.31273390939425E-2</v>
      </c>
      <c r="BA492" s="287">
        <v>1.017046072877548E-2</v>
      </c>
      <c r="BB492" s="287">
        <v>1.6199708321224263E-2</v>
      </c>
      <c r="BC492" s="287">
        <v>1.2374937995897225E-2</v>
      </c>
      <c r="BD492" s="287">
        <v>1.2890824473453398E-2</v>
      </c>
      <c r="BE492" s="287">
        <v>1.7112383639227326E-2</v>
      </c>
      <c r="BF492" s="287">
        <v>1.4417233706184905E-2</v>
      </c>
      <c r="BG492" s="287">
        <v>1.701679337272341E-2</v>
      </c>
      <c r="BH492" s="287">
        <v>2.1256685119009258E-2</v>
      </c>
      <c r="BI492" s="287">
        <v>1.7231241148326439E-2</v>
      </c>
      <c r="BJ492" s="287">
        <v>1.4801569997078519E-2</v>
      </c>
      <c r="BK492" s="287">
        <v>2.6110423709722858E-2</v>
      </c>
    </row>
    <row r="493" spans="1:63" ht="14.25" customHeight="1" x14ac:dyDescent="0.35">
      <c r="A493" s="277" t="s">
        <v>95</v>
      </c>
      <c r="B493" s="287">
        <v>-2.1310146223123172E-3</v>
      </c>
      <c r="C493" s="287">
        <v>-1.1220852494451057E-3</v>
      </c>
      <c r="D493" s="287">
        <v>-8.0009062887693874E-4</v>
      </c>
      <c r="E493" s="287">
        <v>-1.2963940759185392E-3</v>
      </c>
      <c r="F493" s="287">
        <v>-1.9944101357161599E-3</v>
      </c>
      <c r="G493" s="287">
        <v>-1.9945176603655248E-3</v>
      </c>
      <c r="H493" s="287">
        <v>-1.9945176603655317E-3</v>
      </c>
      <c r="I493" s="287">
        <v>-1.9944101357161599E-3</v>
      </c>
      <c r="J493" s="287">
        <v>0</v>
      </c>
      <c r="K493" s="287">
        <v>-9.6695593532858403E-4</v>
      </c>
      <c r="L493" s="287">
        <v>-1.0043677354895468E-3</v>
      </c>
      <c r="M493" s="287">
        <v>0</v>
      </c>
      <c r="N493" s="287">
        <v>-6.5854666898305329E-4</v>
      </c>
      <c r="O493" s="287">
        <v>-5.7646518581381167E-4</v>
      </c>
      <c r="P493" s="287">
        <v>-2.6462242079641817E-4</v>
      </c>
      <c r="Q493" s="287">
        <v>-3.2492007523934142E-4</v>
      </c>
      <c r="R493" s="287">
        <v>-2.0963860434110699E-3</v>
      </c>
      <c r="S493" s="287">
        <v>-1.1652560091852265E-3</v>
      </c>
      <c r="T493" s="287">
        <v>-1.444793193608357E-3</v>
      </c>
      <c r="U493" s="287">
        <v>-2.0461240744211007E-3</v>
      </c>
      <c r="V493" s="287">
        <v>-9.5075176007998572E-4</v>
      </c>
      <c r="W493" s="287">
        <v>-1.7672909760693769E-3</v>
      </c>
      <c r="X493" s="287">
        <v>-1.9798581346455965E-3</v>
      </c>
      <c r="Y493" s="287">
        <v>-1.8003070621132491E-3</v>
      </c>
      <c r="Z493" s="287">
        <v>0</v>
      </c>
      <c r="AA493" s="287">
        <v>-1.814919934667699E-3</v>
      </c>
      <c r="AB493" s="287">
        <v>-2.0188423406276115E-3</v>
      </c>
      <c r="AC493" s="287">
        <v>-2.1345669567094418E-3</v>
      </c>
      <c r="AD493" s="287">
        <v>-2.1671277775107672E-3</v>
      </c>
      <c r="AE493" s="287">
        <v>-1.0664701527511482E-3</v>
      </c>
      <c r="AF493" s="287">
        <v>-1.8654370674274828E-3</v>
      </c>
      <c r="AG493" s="287">
        <v>-1.877543060076534E-3</v>
      </c>
      <c r="AH493" s="287">
        <v>-1.3631877491468002E-3</v>
      </c>
      <c r="AI493" s="287">
        <v>-3.6805203512218485E-3</v>
      </c>
      <c r="AJ493" s="287">
        <v>-2.6173576884266753E-3</v>
      </c>
      <c r="AK493" s="287">
        <v>-3.0647135795793291E-3</v>
      </c>
      <c r="AL493" s="287">
        <v>-1.0418373011866417E-3</v>
      </c>
      <c r="AM493" s="287">
        <v>-3.2855839614162022E-3</v>
      </c>
      <c r="AN493" s="287">
        <v>0</v>
      </c>
      <c r="AO493" s="287">
        <v>-1.1459734896792466E-3</v>
      </c>
      <c r="AP493" s="287">
        <v>-1.3412489800384785E-3</v>
      </c>
      <c r="AQ493" s="287">
        <v>-1.0885556211257667E-3</v>
      </c>
      <c r="AR493" s="287">
        <v>-3.4076410947406848E-3</v>
      </c>
      <c r="AS493" s="287">
        <v>-2.160040412726905E-3</v>
      </c>
      <c r="AT493" s="287">
        <v>-1.5905939418424276E-3</v>
      </c>
      <c r="AU493" s="287">
        <v>-3.028261581509829E-3</v>
      </c>
      <c r="AV493" s="287">
        <v>-1.7094633097165604E-3</v>
      </c>
      <c r="AW493" s="287">
        <v>-2.2261816760162025E-3</v>
      </c>
      <c r="AX493" s="287">
        <v>-1.8824323359545639E-3</v>
      </c>
      <c r="AY493" s="287">
        <v>-1.2648844149856396E-3</v>
      </c>
      <c r="AZ493" s="287">
        <v>-1.5771207682037768E-3</v>
      </c>
      <c r="BA493" s="287">
        <v>-7.5044403934225272E-4</v>
      </c>
      <c r="BB493" s="287">
        <v>-2.3424699553664056E-3</v>
      </c>
      <c r="BC493" s="287">
        <v>-2.5380907743468356E-3</v>
      </c>
      <c r="BD493" s="287">
        <v>-2.6289777563167573E-3</v>
      </c>
      <c r="BE493" s="287">
        <v>-3.9546974643519996E-3</v>
      </c>
      <c r="BF493" s="287">
        <v>-2.6534734295226236E-3</v>
      </c>
      <c r="BG493" s="287">
        <v>-4.3109901022859339E-3</v>
      </c>
      <c r="BH493" s="287">
        <v>-4.7647809411858442E-3</v>
      </c>
      <c r="BI493" s="287">
        <v>-3.1662410841935824E-3</v>
      </c>
      <c r="BJ493" s="287">
        <v>-2.5478327653012077E-3</v>
      </c>
      <c r="BK493" s="287">
        <v>-5.6495428428301559E-3</v>
      </c>
    </row>
    <row r="494" spans="1:63" ht="14.25" customHeight="1" x14ac:dyDescent="0.35">
      <c r="A494" s="277" t="s">
        <v>96</v>
      </c>
      <c r="B494" s="287">
        <v>2.6065636998412082E-5</v>
      </c>
      <c r="C494" s="287">
        <v>3.2945523367145341E-5</v>
      </c>
      <c r="D494" s="287">
        <v>1.6357770698475741E-5</v>
      </c>
      <c r="E494" s="287">
        <v>1.1638093983061545E-5</v>
      </c>
      <c r="F494" s="287">
        <v>5.4543087329669981E-5</v>
      </c>
      <c r="G494" s="287">
        <v>4.7261494147312506E-5</v>
      </c>
      <c r="H494" s="287">
        <v>6.5503185782909726E-5</v>
      </c>
      <c r="I494" s="287">
        <v>4.68429477423948E-5</v>
      </c>
      <c r="J494" s="287">
        <v>0</v>
      </c>
      <c r="K494" s="287">
        <v>4.3005896794928315E-7</v>
      </c>
      <c r="L494" s="287">
        <v>1.1022443649919264E-5</v>
      </c>
      <c r="M494" s="287">
        <v>0</v>
      </c>
      <c r="N494" s="287">
        <v>6.391863491743066E-6</v>
      </c>
      <c r="O494" s="287">
        <v>5.3034746328344714E-5</v>
      </c>
      <c r="P494" s="287">
        <v>1.8610814243048267E-5</v>
      </c>
      <c r="Q494" s="287">
        <v>1.0124804906663102E-6</v>
      </c>
      <c r="R494" s="287">
        <v>4.5227586741412249E-6</v>
      </c>
      <c r="S494" s="287">
        <v>1.4113403386150546E-5</v>
      </c>
      <c r="T494" s="287">
        <v>1.9034758050107946E-5</v>
      </c>
      <c r="U494" s="287">
        <v>0</v>
      </c>
      <c r="V494" s="287">
        <v>2.1645342237782644E-6</v>
      </c>
      <c r="W494" s="287">
        <v>2.0566560493290319E-5</v>
      </c>
      <c r="X494" s="287">
        <v>1.4798988451564837E-5</v>
      </c>
      <c r="Y494" s="287">
        <v>2.046623653658027E-5</v>
      </c>
      <c r="Z494" s="287">
        <v>0</v>
      </c>
      <c r="AA494" s="287">
        <v>2.3255177572023397E-5</v>
      </c>
      <c r="AB494" s="287">
        <v>2.7401401693291179E-5</v>
      </c>
      <c r="AC494" s="287">
        <v>1.4052910372606434E-5</v>
      </c>
      <c r="AD494" s="287">
        <v>1.9919410023928472E-5</v>
      </c>
      <c r="AE494" s="287">
        <v>1.4581945035041365E-5</v>
      </c>
      <c r="AF494" s="287">
        <v>2.3351549076394219E-5</v>
      </c>
      <c r="AG494" s="287">
        <v>9.0894224252455439E-6</v>
      </c>
      <c r="AH494" s="287">
        <v>2.6485729680422318E-5</v>
      </c>
      <c r="AI494" s="287">
        <v>5.0084234077846858E-5</v>
      </c>
      <c r="AJ494" s="287">
        <v>4.4357663603778769E-5</v>
      </c>
      <c r="AK494" s="287">
        <v>3.9373926564731269E-5</v>
      </c>
      <c r="AL494" s="287">
        <v>8.6316486406797599E-6</v>
      </c>
      <c r="AM494" s="287">
        <v>4.9683527025908658E-5</v>
      </c>
      <c r="AN494" s="287">
        <v>0</v>
      </c>
      <c r="AO494" s="287">
        <v>3.9779183368462224E-6</v>
      </c>
      <c r="AP494" s="287">
        <v>1.7631144570858954E-5</v>
      </c>
      <c r="AQ494" s="287">
        <v>1.2035610814190554E-5</v>
      </c>
      <c r="AR494" s="287">
        <v>8.8058408911672863E-6</v>
      </c>
      <c r="AS494" s="287">
        <v>3.2567081419100481E-5</v>
      </c>
      <c r="AT494" s="287">
        <v>1.1587197870687716E-5</v>
      </c>
      <c r="AU494" s="287">
        <v>3.3467302733551467E-5</v>
      </c>
      <c r="AV494" s="287">
        <v>2.5838116156342115E-5</v>
      </c>
      <c r="AW494" s="287">
        <v>2.6061497873790189E-5</v>
      </c>
      <c r="AX494" s="287">
        <v>2.2022937254414867E-5</v>
      </c>
      <c r="AY494" s="287">
        <v>1.677643522662705E-5</v>
      </c>
      <c r="AZ494" s="287">
        <v>3.780614628368608E-6</v>
      </c>
      <c r="BA494" s="287">
        <v>1.0155440153054541E-5</v>
      </c>
      <c r="BB494" s="287">
        <v>3.2729760133664181E-5</v>
      </c>
      <c r="BC494" s="287">
        <v>3.1503377910473056E-5</v>
      </c>
      <c r="BD494" s="287">
        <v>4.737154217426536E-5</v>
      </c>
      <c r="BE494" s="287">
        <v>4.6624828906061357E-5</v>
      </c>
      <c r="BF494" s="287">
        <v>2.4890513845516759E-5</v>
      </c>
      <c r="BG494" s="287">
        <v>4.7121472222076456E-5</v>
      </c>
      <c r="BH494" s="287">
        <v>5.1386190213722532E-5</v>
      </c>
      <c r="BI494" s="287">
        <v>3.8325299167709123E-5</v>
      </c>
      <c r="BJ494" s="287">
        <v>2.3591855262572069E-5</v>
      </c>
      <c r="BK494" s="287">
        <v>6.6110670015567458E-5</v>
      </c>
    </row>
    <row r="495" spans="1:63" ht="14.25" customHeight="1" x14ac:dyDescent="0.35">
      <c r="A495" s="277" t="s">
        <v>97</v>
      </c>
      <c r="B495" s="287">
        <v>6.5808166951613414E-3</v>
      </c>
      <c r="C495" s="287">
        <v>4.9915029325696197E-4</v>
      </c>
      <c r="D495" s="287">
        <v>1.3809319450244671E-3</v>
      </c>
      <c r="E495" s="287">
        <v>2.0991193279190942E-3</v>
      </c>
      <c r="F495" s="287">
        <v>8.3122267620092203E-3</v>
      </c>
      <c r="G495" s="287">
        <v>2.9115683536738114E-3</v>
      </c>
      <c r="H495" s="287">
        <v>3.3109402425628874E-3</v>
      </c>
      <c r="I495" s="287">
        <v>3.2874531239271665E-4</v>
      </c>
      <c r="J495" s="287">
        <v>0</v>
      </c>
      <c r="K495" s="287">
        <v>2.7983946154827425E-3</v>
      </c>
      <c r="L495" s="287">
        <v>2.4246832190299079E-3</v>
      </c>
      <c r="M495" s="287">
        <v>4.7550094878808036E-3</v>
      </c>
      <c r="N495" s="287">
        <v>1.6999381852461561E-3</v>
      </c>
      <c r="O495" s="287">
        <v>1.2951049753444008E-3</v>
      </c>
      <c r="P495" s="287">
        <v>3.4619659684967594E-3</v>
      </c>
      <c r="Q495" s="287">
        <v>1.1166993506056484E-4</v>
      </c>
      <c r="R495" s="287">
        <v>1.8803694638112555E-3</v>
      </c>
      <c r="S495" s="287">
        <v>3.2741739544830959E-3</v>
      </c>
      <c r="T495" s="287">
        <v>3.1781002213090983E-3</v>
      </c>
      <c r="U495" s="287">
        <v>0</v>
      </c>
      <c r="V495" s="287">
        <v>3.0709120784359984E-3</v>
      </c>
      <c r="W495" s="287">
        <v>3.3229015278827007E-3</v>
      </c>
      <c r="X495" s="287">
        <v>3.5316663338677192E-3</v>
      </c>
      <c r="Y495" s="287">
        <v>3.4529374717670218E-3</v>
      </c>
      <c r="Z495" s="287">
        <v>0</v>
      </c>
      <c r="AA495" s="287">
        <v>4.2154010227266128E-3</v>
      </c>
      <c r="AB495" s="287">
        <v>4.7192774257296104E-3</v>
      </c>
      <c r="AC495" s="287">
        <v>3.0038978808956743E-3</v>
      </c>
      <c r="AD495" s="287">
        <v>3.5357487138331328E-3</v>
      </c>
      <c r="AE495" s="287">
        <v>2.5708785358884772E-3</v>
      </c>
      <c r="AF495" s="287">
        <v>3.2510685618496538E-3</v>
      </c>
      <c r="AG495" s="287">
        <v>2.9308253060466648E-3</v>
      </c>
      <c r="AH495" s="287">
        <v>6.4821305366211167E-4</v>
      </c>
      <c r="AI495" s="287">
        <v>0</v>
      </c>
      <c r="AJ495" s="287">
        <v>7.2837510531498662E-3</v>
      </c>
      <c r="AK495" s="287">
        <v>6.6062713199662613E-3</v>
      </c>
      <c r="AL495" s="287">
        <v>7.1785830806954623E-5</v>
      </c>
      <c r="AM495" s="287">
        <v>0</v>
      </c>
      <c r="AN495" s="287">
        <v>0</v>
      </c>
      <c r="AO495" s="287">
        <v>1.4881250584876366E-4</v>
      </c>
      <c r="AP495" s="287">
        <v>3.854485565246423E-3</v>
      </c>
      <c r="AQ495" s="287">
        <v>8.7946106932639529E-5</v>
      </c>
      <c r="AR495" s="287">
        <v>1.563598497866794E-4</v>
      </c>
      <c r="AS495" s="287">
        <v>3.6831410587270775E-3</v>
      </c>
      <c r="AT495" s="287">
        <v>3.4488293510558285E-3</v>
      </c>
      <c r="AU495" s="287">
        <v>6.1377159828287569E-3</v>
      </c>
      <c r="AV495" s="287">
        <v>5.2371250396711288E-3</v>
      </c>
      <c r="AW495" s="287">
        <v>2.5577205629412443E-3</v>
      </c>
      <c r="AX495" s="287">
        <v>4.3540301075947179E-3</v>
      </c>
      <c r="AY495" s="287">
        <v>5.5336349177450032E-3</v>
      </c>
      <c r="AZ495" s="287">
        <v>7.6903712209869628E-3</v>
      </c>
      <c r="BA495" s="287">
        <v>2.4787217755877005E-3</v>
      </c>
      <c r="BB495" s="287">
        <v>5.481993560229422E-3</v>
      </c>
      <c r="BC495" s="287">
        <v>5.6188087708257143E-3</v>
      </c>
      <c r="BD495" s="287">
        <v>6.466159111248029E-3</v>
      </c>
      <c r="BE495" s="287">
        <v>8.6570267294187719E-3</v>
      </c>
      <c r="BF495" s="287">
        <v>4.9561800660671536E-3</v>
      </c>
      <c r="BG495" s="287">
        <v>5.0617302127942141E-3</v>
      </c>
      <c r="BH495" s="287">
        <v>7.7387048117408307E-3</v>
      </c>
      <c r="BI495" s="287">
        <v>6.2881105689970487E-3</v>
      </c>
      <c r="BJ495" s="287">
        <v>4.8605211037609621E-3</v>
      </c>
      <c r="BK495" s="287">
        <v>1.0072324576366653E-2</v>
      </c>
    </row>
    <row r="496" spans="1:63" ht="14.25" customHeight="1" x14ac:dyDescent="0.35">
      <c r="A496" s="277" t="s">
        <v>98</v>
      </c>
      <c r="B496" s="287">
        <v>1.0922024373394462E-2</v>
      </c>
      <c r="C496" s="287">
        <v>9.74207130481663E-3</v>
      </c>
      <c r="D496" s="287">
        <v>1.56305506782193E-3</v>
      </c>
      <c r="E496" s="287">
        <v>1.1548100778147254E-2</v>
      </c>
      <c r="F496" s="287">
        <v>5.4988171205601491E-3</v>
      </c>
      <c r="G496" s="287">
        <v>0</v>
      </c>
      <c r="H496" s="287">
        <v>0</v>
      </c>
      <c r="I496" s="287">
        <v>5.4947588933042532E-3</v>
      </c>
      <c r="J496" s="287">
        <v>0</v>
      </c>
      <c r="K496" s="287">
        <v>9.0567540426143116E-3</v>
      </c>
      <c r="L496" s="287">
        <v>5.2813768525325792E-3</v>
      </c>
      <c r="M496" s="287">
        <v>0</v>
      </c>
      <c r="N496" s="287">
        <v>4.9942357228418026E-3</v>
      </c>
      <c r="O496" s="287">
        <v>2.1729544515783268E-3</v>
      </c>
      <c r="P496" s="287">
        <v>6.6515774629243973E-3</v>
      </c>
      <c r="Q496" s="287">
        <v>4.3073597383429723E-4</v>
      </c>
      <c r="R496" s="287">
        <v>6.4569288843944082E-3</v>
      </c>
      <c r="S496" s="287">
        <v>4.6442252842415158E-3</v>
      </c>
      <c r="T496" s="287">
        <v>7.5587279067658641E-3</v>
      </c>
      <c r="U496" s="287">
        <v>0</v>
      </c>
      <c r="V496" s="287">
        <v>6.6564673279446993E-3</v>
      </c>
      <c r="W496" s="287">
        <v>8.6823275296983131E-3</v>
      </c>
      <c r="X496" s="287">
        <v>6.3458687022418126E-3</v>
      </c>
      <c r="Y496" s="287">
        <v>7.2487572909938312E-3</v>
      </c>
      <c r="Z496" s="287">
        <v>0</v>
      </c>
      <c r="AA496" s="287">
        <v>7.1238039703227099E-3</v>
      </c>
      <c r="AB496" s="287">
        <v>1.4525372602471213E-2</v>
      </c>
      <c r="AC496" s="287">
        <v>7.2049736735687615E-3</v>
      </c>
      <c r="AD496" s="287">
        <v>8.5304270789598891E-3</v>
      </c>
      <c r="AE496" s="287">
        <v>8.6389372005282964E-3</v>
      </c>
      <c r="AF496" s="287">
        <v>1.0384955224848481E-2</v>
      </c>
      <c r="AG496" s="287">
        <v>0</v>
      </c>
      <c r="AH496" s="287">
        <v>0</v>
      </c>
      <c r="AI496" s="287">
        <v>0</v>
      </c>
      <c r="AJ496" s="287">
        <v>0</v>
      </c>
      <c r="AK496" s="287">
        <v>1.7900186564448788E-2</v>
      </c>
      <c r="AL496" s="287">
        <v>8.9791018658923576E-3</v>
      </c>
      <c r="AM496" s="287">
        <v>1.6725277550078119E-2</v>
      </c>
      <c r="AN496" s="287">
        <v>0</v>
      </c>
      <c r="AO496" s="287">
        <v>1.8610673702164775E-2</v>
      </c>
      <c r="AP496" s="287">
        <v>5.0272708975980613E-3</v>
      </c>
      <c r="AQ496" s="287">
        <v>6.9466690904403357E-3</v>
      </c>
      <c r="AR496" s="287">
        <v>3.3850306217202281E-3</v>
      </c>
      <c r="AS496" s="287">
        <v>1.1911582222141765E-4</v>
      </c>
      <c r="AT496" s="287">
        <v>6.4853248154428961E-3</v>
      </c>
      <c r="AU496" s="287">
        <v>1.4046342917895418E-2</v>
      </c>
      <c r="AV496" s="287">
        <v>1.3702243410427089E-2</v>
      </c>
      <c r="AW496" s="287">
        <v>6.2963245031828347E-3</v>
      </c>
      <c r="AX496" s="287">
        <v>1.5950186641455928E-3</v>
      </c>
      <c r="AY496" s="287">
        <v>5.4253415833960877E-3</v>
      </c>
      <c r="AZ496" s="287">
        <v>1.3216412842435277E-3</v>
      </c>
      <c r="BA496" s="287">
        <v>1.7434731439818713E-3</v>
      </c>
      <c r="BB496" s="287">
        <v>1.1255593161485529E-2</v>
      </c>
      <c r="BC496" s="287">
        <v>7.2746425740483596E-3</v>
      </c>
      <c r="BD496" s="287">
        <v>9.6655104379684068E-3</v>
      </c>
      <c r="BE496" s="287">
        <v>1.6300450072799566E-2</v>
      </c>
      <c r="BF496" s="287">
        <v>1.4062075415743967E-2</v>
      </c>
      <c r="BG496" s="287">
        <v>1.9643449828741319E-2</v>
      </c>
      <c r="BH496" s="287">
        <v>1.9600906867920577E-2</v>
      </c>
      <c r="BI496" s="287">
        <v>1.4258138950250257E-2</v>
      </c>
      <c r="BJ496" s="287">
        <v>1.0481230392606431E-2</v>
      </c>
      <c r="BK496" s="287">
        <v>2.2285271018643877E-2</v>
      </c>
    </row>
    <row r="497" spans="1:63" ht="14.25" customHeight="1" x14ac:dyDescent="0.35">
      <c r="A497" s="277" t="s">
        <v>163</v>
      </c>
      <c r="B497" s="287">
        <v>3.1115471255585922E-4</v>
      </c>
      <c r="C497" s="287">
        <v>2.0468928664739441E-4</v>
      </c>
      <c r="D497" s="287">
        <v>2.3380683958348439E-4</v>
      </c>
      <c r="E497" s="287">
        <v>2.1120024455840766E-4</v>
      </c>
      <c r="F497" s="287">
        <v>3.9635084042384175E-4</v>
      </c>
      <c r="G497" s="287">
        <v>2.3585422340888712E-4</v>
      </c>
      <c r="H497" s="287">
        <v>5.005788518467263E-4</v>
      </c>
      <c r="I497" s="287">
        <v>0</v>
      </c>
      <c r="J497" s="287">
        <v>1.3274173018084517E-4</v>
      </c>
      <c r="K497" s="287">
        <v>1.540094279564588E-4</v>
      </c>
      <c r="L497" s="287">
        <v>1.571142914408056E-4</v>
      </c>
      <c r="M497" s="287">
        <v>6.1396423283920564E-4</v>
      </c>
      <c r="N497" s="287">
        <v>1.4809756639426098E-4</v>
      </c>
      <c r="O497" s="287">
        <v>9.999981934554523E-5</v>
      </c>
      <c r="P497" s="287">
        <v>1.9673189865135167E-4</v>
      </c>
      <c r="Q497" s="287">
        <v>1.2013221777234042E-4</v>
      </c>
      <c r="R497" s="287">
        <v>2.8735217158301055E-4</v>
      </c>
      <c r="S497" s="287">
        <v>1.7402109231372942E-4</v>
      </c>
      <c r="T497" s="287">
        <v>1.8670346067471065E-4</v>
      </c>
      <c r="U497" s="287">
        <v>-3.1351513708622338E-5</v>
      </c>
      <c r="V497" s="287">
        <v>3.5026867801211851E-5</v>
      </c>
      <c r="W497" s="287">
        <v>1.9987241012358952E-4</v>
      </c>
      <c r="X497" s="287">
        <v>2.1227781950051611E-4</v>
      </c>
      <c r="Y497" s="287">
        <v>2.4587964707841858E-4</v>
      </c>
      <c r="Z497" s="287">
        <v>0</v>
      </c>
      <c r="AA497" s="287">
        <v>2.5839054692498056E-4</v>
      </c>
      <c r="AB497" s="287">
        <v>1.2804854552642931E-4</v>
      </c>
      <c r="AC497" s="287">
        <v>2.0135894108334738E-4</v>
      </c>
      <c r="AD497" s="287">
        <v>2.0800090531203781E-4</v>
      </c>
      <c r="AE497" s="287">
        <v>1.3285019745391691E-4</v>
      </c>
      <c r="AF497" s="287">
        <v>2.4128591285338098E-4</v>
      </c>
      <c r="AG497" s="287">
        <v>2.0652383252111182E-4</v>
      </c>
      <c r="AH497" s="287">
        <v>4.0009627286797419E-5</v>
      </c>
      <c r="AI497" s="287">
        <v>5.2644888611058161E-4</v>
      </c>
      <c r="AJ497" s="287">
        <v>4.5201411130268418E-4</v>
      </c>
      <c r="AK497" s="287">
        <v>4.0176794431896935E-4</v>
      </c>
      <c r="AL497" s="287">
        <v>2.2785209572734756E-5</v>
      </c>
      <c r="AM497" s="287">
        <v>5.0649729269065986E-4</v>
      </c>
      <c r="AN497" s="287">
        <v>0</v>
      </c>
      <c r="AO497" s="287">
        <v>2.4646591132603023E-4</v>
      </c>
      <c r="AP497" s="287">
        <v>1.5574481370192561E-4</v>
      </c>
      <c r="AQ497" s="287">
        <v>3.7738068555818354E-5</v>
      </c>
      <c r="AR497" s="287">
        <v>1.5227331340928629E-4</v>
      </c>
      <c r="AS497" s="287">
        <v>2.2277841905068681E-4</v>
      </c>
      <c r="AT497" s="287">
        <v>1.9711302640892139E-4</v>
      </c>
      <c r="AU497" s="287">
        <v>3.2470044872031398E-4</v>
      </c>
      <c r="AV497" s="287">
        <v>2.7600638160663461E-4</v>
      </c>
      <c r="AW497" s="287">
        <v>2.534225683577722E-4</v>
      </c>
      <c r="AX497" s="287">
        <v>2.400580322859596E-4</v>
      </c>
      <c r="AY497" s="287">
        <v>1.8447645919494434E-4</v>
      </c>
      <c r="AZ497" s="287">
        <v>1.8969094375119287E-4</v>
      </c>
      <c r="BA497" s="287">
        <v>2.081022108499946E-4</v>
      </c>
      <c r="BB497" s="287">
        <v>3.109275902764491E-4</v>
      </c>
      <c r="BC497" s="287">
        <v>3.6320318276093961E-4</v>
      </c>
      <c r="BD497" s="287">
        <v>3.4897741425914862E-4</v>
      </c>
      <c r="BE497" s="287">
        <v>3.5340027761089843E-4</v>
      </c>
      <c r="BF497" s="287">
        <v>2.5069998622729434E-4</v>
      </c>
      <c r="BG497" s="287">
        <v>4.6269567420380211E-4</v>
      </c>
      <c r="BH497" s="287">
        <v>5.1532635080329546E-4</v>
      </c>
      <c r="BI497" s="287">
        <v>4.1137133624117813E-4</v>
      </c>
      <c r="BJ497" s="287">
        <v>3.3123291524504028E-4</v>
      </c>
      <c r="BK497" s="287">
        <v>6.7041288295570573E-4</v>
      </c>
    </row>
    <row r="498" spans="1:63" ht="14.25" customHeight="1" x14ac:dyDescent="0.35">
      <c r="A498" s="277" t="s">
        <v>100</v>
      </c>
      <c r="B498" s="287">
        <v>5.3915469754398952E-3</v>
      </c>
      <c r="C498" s="287">
        <v>4.4957750140750359E-3</v>
      </c>
      <c r="D498" s="287">
        <v>2.3697031344885561E-3</v>
      </c>
      <c r="E498" s="287">
        <v>4.5315633826290341E-3</v>
      </c>
      <c r="F498" s="287">
        <v>1.688313252713193E-2</v>
      </c>
      <c r="G498" s="287">
        <v>1.4033457626101862E-2</v>
      </c>
      <c r="H498" s="287">
        <v>1.6413614485477377E-2</v>
      </c>
      <c r="I498" s="287">
        <v>1.6881595810093481E-2</v>
      </c>
      <c r="J498" s="287">
        <v>1.4838804611851449E-2</v>
      </c>
      <c r="K498" s="287">
        <v>5.2923101509058483E-3</v>
      </c>
      <c r="L498" s="287">
        <v>5.6615503077216914E-3</v>
      </c>
      <c r="M498" s="287">
        <v>1.432395986079936E-2</v>
      </c>
      <c r="N498" s="287">
        <v>4.349877399028936E-3</v>
      </c>
      <c r="O498" s="287">
        <v>3.0236305459579453E-3</v>
      </c>
      <c r="P498" s="287">
        <v>7.1625669808609337E-3</v>
      </c>
      <c r="Q498" s="287">
        <v>4.9085402406924489E-3</v>
      </c>
      <c r="R498" s="287">
        <v>5.7563216200110763E-3</v>
      </c>
      <c r="S498" s="287">
        <v>2.4892753622558802E-3</v>
      </c>
      <c r="T498" s="287">
        <v>5.9579767880843645E-3</v>
      </c>
      <c r="U498" s="287">
        <v>1.5665607237438393E-2</v>
      </c>
      <c r="V498" s="287">
        <v>9.8580258301649883E-4</v>
      </c>
      <c r="W498" s="287">
        <v>1.0038135642109857E-2</v>
      </c>
      <c r="X498" s="287">
        <v>6.4261081263158474E-3</v>
      </c>
      <c r="Y498" s="287">
        <v>6.9322052416020789E-3</v>
      </c>
      <c r="Z498" s="287">
        <v>0</v>
      </c>
      <c r="AA498" s="287">
        <v>6.9222507415220534E-3</v>
      </c>
      <c r="AB498" s="287">
        <v>9.0979416720326778E-3</v>
      </c>
      <c r="AC498" s="287">
        <v>7.1816680808077177E-3</v>
      </c>
      <c r="AD498" s="287">
        <v>6.1343118158768469E-3</v>
      </c>
      <c r="AE498" s="287">
        <v>5.816736705467113E-3</v>
      </c>
      <c r="AF498" s="287">
        <v>7.6147308882458468E-3</v>
      </c>
      <c r="AG498" s="287">
        <v>5.6785420918781344E-3</v>
      </c>
      <c r="AH498" s="287">
        <v>4.4878937331873439E-3</v>
      </c>
      <c r="AI498" s="287">
        <v>1.537126575668768E-2</v>
      </c>
      <c r="AJ498" s="287">
        <v>1.254156029551838E-3</v>
      </c>
      <c r="AK498" s="287">
        <v>1.1398758867465431E-2</v>
      </c>
      <c r="AL498" s="287">
        <v>1.9067170028322425E-3</v>
      </c>
      <c r="AM498" s="287">
        <v>9.73273053751029E-3</v>
      </c>
      <c r="AN498" s="287">
        <v>7.2249548133500735E-3</v>
      </c>
      <c r="AO498" s="287">
        <v>4.2373104776285307E-3</v>
      </c>
      <c r="AP498" s="287">
        <v>6.392159299757112E-3</v>
      </c>
      <c r="AQ498" s="287">
        <v>3.9417921633371315E-3</v>
      </c>
      <c r="AR498" s="287">
        <v>3.9624549047110229E-3</v>
      </c>
      <c r="AS498" s="287">
        <v>5.4359796395684924E-3</v>
      </c>
      <c r="AT498" s="287">
        <v>6.2763807292466646E-3</v>
      </c>
      <c r="AU498" s="287">
        <v>9.5499864384000696E-3</v>
      </c>
      <c r="AV498" s="287">
        <v>1.7921872510618612E-3</v>
      </c>
      <c r="AW498" s="287">
        <v>7.2054111140223351E-3</v>
      </c>
      <c r="AX498" s="287">
        <v>2.9603083232726994E-3</v>
      </c>
      <c r="AY498" s="287">
        <v>5.339080188200842E-4</v>
      </c>
      <c r="AZ498" s="287">
        <v>1.9104600476704996E-3</v>
      </c>
      <c r="BA498" s="287">
        <v>4.9884610386832619E-3</v>
      </c>
      <c r="BB498" s="287">
        <v>7.2865855560538392E-3</v>
      </c>
      <c r="BC498" s="287">
        <v>8.0377306642393006E-3</v>
      </c>
      <c r="BD498" s="287">
        <v>1.0631181859999575E-2</v>
      </c>
      <c r="BE498" s="287">
        <v>1.1255976702650758E-2</v>
      </c>
      <c r="BF498" s="287">
        <v>8.1789496183759091E-3</v>
      </c>
      <c r="BG498" s="287">
        <v>1.0917627353090733E-2</v>
      </c>
      <c r="BH498" s="287">
        <v>1.2542609718332973E-2</v>
      </c>
      <c r="BI498" s="287">
        <v>1.1756219417543104E-2</v>
      </c>
      <c r="BJ498" s="287">
        <v>9.7516503161742679E-3</v>
      </c>
      <c r="BK498" s="287">
        <v>1.7048420491670387E-2</v>
      </c>
    </row>
    <row r="499" spans="1:63" ht="14.25" customHeight="1" x14ac:dyDescent="0.35">
      <c r="A499" s="277" t="s">
        <v>101</v>
      </c>
      <c r="B499" s="287">
        <v>3.9706856126216555E-3</v>
      </c>
      <c r="C499" s="287">
        <v>2.5966006919524113E-3</v>
      </c>
      <c r="D499" s="287">
        <v>1.7871038943216228E-3</v>
      </c>
      <c r="E499" s="287">
        <v>2.8361877870298818E-3</v>
      </c>
      <c r="F499" s="287">
        <v>3.138247301695582E-3</v>
      </c>
      <c r="G499" s="287">
        <v>0</v>
      </c>
      <c r="H499" s="287">
        <v>0</v>
      </c>
      <c r="I499" s="287">
        <v>6.2221613131708611E-3</v>
      </c>
      <c r="J499" s="287">
        <v>0</v>
      </c>
      <c r="K499" s="287">
        <v>1.753901512038679E-3</v>
      </c>
      <c r="L499" s="287">
        <v>1.1126261958437052E-3</v>
      </c>
      <c r="M499" s="287">
        <v>3.3529470437284738E-3</v>
      </c>
      <c r="N499" s="287">
        <v>8.3866573667503894E-4</v>
      </c>
      <c r="O499" s="287">
        <v>5.5291636817089566E-4</v>
      </c>
      <c r="P499" s="287">
        <v>1.5258498174173807E-3</v>
      </c>
      <c r="Q499" s="287">
        <v>4.7221773569170253E-4</v>
      </c>
      <c r="R499" s="287">
        <v>3.8929389201623047E-3</v>
      </c>
      <c r="S499" s="287">
        <v>1.4774945625634008E-3</v>
      </c>
      <c r="T499" s="287">
        <v>1.7663527792065147E-3</v>
      </c>
      <c r="U499" s="287">
        <v>3.2895173179536019E-3</v>
      </c>
      <c r="V499" s="287">
        <v>3.0556846828946032E-3</v>
      </c>
      <c r="W499" s="287">
        <v>1.9458936035839541E-3</v>
      </c>
      <c r="X499" s="287">
        <v>1.9642642701618259E-3</v>
      </c>
      <c r="Y499" s="287">
        <v>2.1897540985822178E-3</v>
      </c>
      <c r="Z499" s="287">
        <v>0</v>
      </c>
      <c r="AA499" s="287">
        <v>1.9199610262523833E-3</v>
      </c>
      <c r="AB499" s="287">
        <v>5.6912216375535002E-4</v>
      </c>
      <c r="AC499" s="287">
        <v>2.035516272900305E-3</v>
      </c>
      <c r="AD499" s="287">
        <v>2.2174750057338227E-3</v>
      </c>
      <c r="AE499" s="287">
        <v>2.0348171011872712E-3</v>
      </c>
      <c r="AF499" s="287">
        <v>2.262843090288417E-3</v>
      </c>
      <c r="AG499" s="287">
        <v>2.9388862164336439E-3</v>
      </c>
      <c r="AH499" s="287">
        <v>1.8141880901187798E-3</v>
      </c>
      <c r="AI499" s="287">
        <v>0</v>
      </c>
      <c r="AJ499" s="287">
        <v>5.5166673927257749E-3</v>
      </c>
      <c r="AK499" s="287">
        <v>5.2357006489721376E-3</v>
      </c>
      <c r="AL499" s="287">
        <v>1.1201084557016982E-3</v>
      </c>
      <c r="AM499" s="287">
        <v>0</v>
      </c>
      <c r="AN499" s="287">
        <v>0</v>
      </c>
      <c r="AO499" s="287">
        <v>1.917943406193019E-3</v>
      </c>
      <c r="AP499" s="287">
        <v>1.5327985980887345E-3</v>
      </c>
      <c r="AQ499" s="287">
        <v>2.1980552236026156E-3</v>
      </c>
      <c r="AR499" s="287">
        <v>1.5396659767205009E-3</v>
      </c>
      <c r="AS499" s="287">
        <v>3.5334524058640007E-3</v>
      </c>
      <c r="AT499" s="287">
        <v>2.4496087575855406E-3</v>
      </c>
      <c r="AU499" s="287">
        <v>3.9898196961330587E-3</v>
      </c>
      <c r="AV499" s="287">
        <v>2.8921461726585198E-3</v>
      </c>
      <c r="AW499" s="287">
        <v>2.2193995902439383E-3</v>
      </c>
      <c r="AX499" s="287">
        <v>3.160748029197029E-3</v>
      </c>
      <c r="AY499" s="287">
        <v>6.5947264698440727E-4</v>
      </c>
      <c r="AZ499" s="287">
        <v>1.0225178851318286E-3</v>
      </c>
      <c r="BA499" s="287">
        <v>7.1525795574099574E-4</v>
      </c>
      <c r="BB499" s="287">
        <v>2.6382425386527707E-3</v>
      </c>
      <c r="BC499" s="287">
        <v>3.7177069102726466E-3</v>
      </c>
      <c r="BD499" s="287">
        <v>4.2846937254859378E-3</v>
      </c>
      <c r="BE499" s="287">
        <v>5.0179950953744574E-3</v>
      </c>
      <c r="BF499" s="287">
        <v>3.3479836337826983E-3</v>
      </c>
      <c r="BG499" s="287">
        <v>4.6631210435374862E-3</v>
      </c>
      <c r="BH499" s="287">
        <v>5.0316213599073453E-3</v>
      </c>
      <c r="BI499" s="287">
        <v>4.247964803016503E-3</v>
      </c>
      <c r="BJ499" s="287">
        <v>3.2074631661383897E-3</v>
      </c>
      <c r="BK499" s="287">
        <v>0</v>
      </c>
    </row>
    <row r="500" spans="1:63" ht="14.25" customHeight="1" x14ac:dyDescent="0.35">
      <c r="A500" s="277" t="s">
        <v>102</v>
      </c>
      <c r="B500" s="287">
        <v>-4.2360552107794059E-3</v>
      </c>
      <c r="C500" s="287">
        <v>-3.8187761873765581E-3</v>
      </c>
      <c r="D500" s="287">
        <v>-6.3047539282412727E-3</v>
      </c>
      <c r="E500" s="287">
        <v>-5.524765081406962E-3</v>
      </c>
      <c r="F500" s="287">
        <v>-4.9811140267718591E-3</v>
      </c>
      <c r="G500" s="287">
        <v>0</v>
      </c>
      <c r="H500" s="287">
        <v>0</v>
      </c>
      <c r="I500" s="287">
        <v>0</v>
      </c>
      <c r="J500" s="287">
        <v>0</v>
      </c>
      <c r="K500" s="287">
        <v>-2.4484595388224485E-3</v>
      </c>
      <c r="L500" s="287">
        <v>-1.5936796187016238E-3</v>
      </c>
      <c r="M500" s="287">
        <v>-5.3893274762091539E-3</v>
      </c>
      <c r="N500" s="287">
        <v>-1.1612235097482712E-3</v>
      </c>
      <c r="O500" s="287">
        <v>-4.8470051695283078E-3</v>
      </c>
      <c r="P500" s="287">
        <v>-2.0887220286278365E-3</v>
      </c>
      <c r="Q500" s="287">
        <v>-1.7490992905016794E-3</v>
      </c>
      <c r="R500" s="287">
        <v>-8.6040088613346195E-4</v>
      </c>
      <c r="S500" s="287">
        <v>-2.4084259592356376E-3</v>
      </c>
      <c r="T500" s="287">
        <v>-2.4054811495456538E-3</v>
      </c>
      <c r="U500" s="287">
        <v>-5.9386582193607183E-3</v>
      </c>
      <c r="V500" s="287">
        <v>-8.3541655204024431E-4</v>
      </c>
      <c r="W500" s="287">
        <v>-3.7360957333044146E-3</v>
      </c>
      <c r="X500" s="287">
        <v>-3.4458500760564405E-3</v>
      </c>
      <c r="Y500" s="287">
        <v>-3.7245169762649866E-3</v>
      </c>
      <c r="Z500" s="287">
        <v>0</v>
      </c>
      <c r="AA500" s="287">
        <v>-3.9137608245014477E-3</v>
      </c>
      <c r="AB500" s="287">
        <v>-4.1253340073649633E-3</v>
      </c>
      <c r="AC500" s="287">
        <v>-4.0718663756065731E-3</v>
      </c>
      <c r="AD500" s="287">
        <v>-3.3755671842635527E-3</v>
      </c>
      <c r="AE500" s="287">
        <v>-2.76657981655799E-3</v>
      </c>
      <c r="AF500" s="287">
        <v>-4.1483803605448641E-3</v>
      </c>
      <c r="AG500" s="287">
        <v>-2.5225043035010919E-3</v>
      </c>
      <c r="AH500" s="287">
        <v>-4.5848346845572029E-3</v>
      </c>
      <c r="AI500" s="287">
        <v>-7.4715733387405985E-3</v>
      </c>
      <c r="AJ500" s="287">
        <v>-7.1913765591642238E-3</v>
      </c>
      <c r="AK500" s="287">
        <v>-6.5788839011094785E-3</v>
      </c>
      <c r="AL500" s="287">
        <v>-1.970924727712548E-3</v>
      </c>
      <c r="AM500" s="287">
        <v>-4.2961847114191942E-3</v>
      </c>
      <c r="AN500" s="287">
        <v>0</v>
      </c>
      <c r="AO500" s="287">
        <v>-4.6328260633774071E-3</v>
      </c>
      <c r="AP500" s="287">
        <v>-1.8959214244338191E-3</v>
      </c>
      <c r="AQ500" s="287">
        <v>-1.1047748646528903E-3</v>
      </c>
      <c r="AR500" s="287">
        <v>-2.8315843133242227E-3</v>
      </c>
      <c r="AS500" s="287">
        <v>-3.023418024090055E-3</v>
      </c>
      <c r="AT500" s="287">
        <v>-4.0029284206803068E-3</v>
      </c>
      <c r="AU500" s="287">
        <v>-6.2075267359396379E-3</v>
      </c>
      <c r="AV500" s="287">
        <v>-6.1481689078188044E-3</v>
      </c>
      <c r="AW500" s="287">
        <v>-5.2382755992730458E-3</v>
      </c>
      <c r="AX500" s="287">
        <v>-4.8848189699610368E-3</v>
      </c>
      <c r="AY500" s="287">
        <v>-3.1469403904456896E-3</v>
      </c>
      <c r="AZ500" s="287">
        <v>-3.6662571121604123E-4</v>
      </c>
      <c r="BA500" s="287">
        <v>-1.7701107853275175E-3</v>
      </c>
      <c r="BB500" s="287">
        <v>-4.1931420787972252E-3</v>
      </c>
      <c r="BC500" s="287">
        <v>-5.4696789285189158E-3</v>
      </c>
      <c r="BD500" s="287">
        <v>-4.7685386352267784E-3</v>
      </c>
      <c r="BE500" s="287">
        <v>-7.0487078895028026E-3</v>
      </c>
      <c r="BF500" s="287">
        <v>-5.3197753369912705E-3</v>
      </c>
      <c r="BG500" s="287">
        <v>-5.526423995910257E-3</v>
      </c>
      <c r="BH500" s="287">
        <v>-7.4814082237026885E-3</v>
      </c>
      <c r="BI500" s="287">
        <v>-6.7387310760219366E-3</v>
      </c>
      <c r="BJ500" s="287">
        <v>-4.9931209907461182E-3</v>
      </c>
      <c r="BK500" s="287">
        <v>-1.0494322628239192E-2</v>
      </c>
    </row>
    <row r="501" spans="1:63" ht="14.25" customHeight="1" x14ac:dyDescent="0.35">
      <c r="A501" s="277" t="s">
        <v>103</v>
      </c>
      <c r="B501" s="287">
        <v>1.8632872324453861E-2</v>
      </c>
      <c r="C501" s="287">
        <v>6.1765325746454243E-3</v>
      </c>
      <c r="D501" s="287">
        <v>1.194195168129948E-2</v>
      </c>
      <c r="E501" s="287">
        <v>5.7450880356273758E-3</v>
      </c>
      <c r="F501" s="287">
        <v>2.5772818687271472E-2</v>
      </c>
      <c r="G501" s="287">
        <v>2.8278896942575165E-2</v>
      </c>
      <c r="H501" s="287">
        <v>3.0787505094562483E-2</v>
      </c>
      <c r="I501" s="287">
        <v>0</v>
      </c>
      <c r="J501" s="287">
        <v>0</v>
      </c>
      <c r="K501" s="287">
        <v>7.9913382294505494E-3</v>
      </c>
      <c r="L501" s="287">
        <v>7.1509893642790904E-3</v>
      </c>
      <c r="M501" s="287">
        <v>0</v>
      </c>
      <c r="N501" s="287">
        <v>3.1414769609077347E-3</v>
      </c>
      <c r="O501" s="287">
        <v>2.0406079840856964E-3</v>
      </c>
      <c r="P501" s="287">
        <v>5.2336037164297487E-3</v>
      </c>
      <c r="Q501" s="287">
        <v>4.5809210894417508E-3</v>
      </c>
      <c r="R501" s="287">
        <v>1.5598305455694433E-2</v>
      </c>
      <c r="S501" s="287">
        <v>8.9090777058067512E-3</v>
      </c>
      <c r="T501" s="287">
        <v>9.8954083043815994E-3</v>
      </c>
      <c r="U501" s="287">
        <v>2.0359603813376393E-3</v>
      </c>
      <c r="V501" s="287">
        <v>2.0381919498646812E-3</v>
      </c>
      <c r="W501" s="287">
        <v>1.183995804570836E-2</v>
      </c>
      <c r="X501" s="287">
        <v>1.0893791296910496E-2</v>
      </c>
      <c r="Y501" s="287">
        <v>1.1401898739078225E-2</v>
      </c>
      <c r="Z501" s="287">
        <v>0</v>
      </c>
      <c r="AA501" s="287">
        <v>1.3493149610591651E-2</v>
      </c>
      <c r="AB501" s="287">
        <v>1.5621209256773908E-2</v>
      </c>
      <c r="AC501" s="287">
        <v>1.1151991794663996E-2</v>
      </c>
      <c r="AD501" s="287">
        <v>1.0725017693049328E-2</v>
      </c>
      <c r="AE501" s="287">
        <v>7.6759540476455954E-3</v>
      </c>
      <c r="AF501" s="287">
        <v>1.2717284741215569E-2</v>
      </c>
      <c r="AG501" s="287">
        <v>1.3736476590434086E-3</v>
      </c>
      <c r="AH501" s="287">
        <v>7.4406430007609625E-4</v>
      </c>
      <c r="AI501" s="287">
        <v>1.8089313559772165E-2</v>
      </c>
      <c r="AJ501" s="287">
        <v>1.8047405447547092E-2</v>
      </c>
      <c r="AK501" s="287">
        <v>1.7488831746616591E-2</v>
      </c>
      <c r="AL501" s="287">
        <v>4.752901576439128E-4</v>
      </c>
      <c r="AM501" s="287">
        <v>1.7694282605013632E-2</v>
      </c>
      <c r="AN501" s="287">
        <v>0</v>
      </c>
      <c r="AO501" s="287">
        <v>3.7463226763745127E-3</v>
      </c>
      <c r="AP501" s="287">
        <v>1.3152691929156773E-3</v>
      </c>
      <c r="AQ501" s="287">
        <v>1.136029024018958E-2</v>
      </c>
      <c r="AR501" s="287">
        <v>3.7147613402895935E-4</v>
      </c>
      <c r="AS501" s="287">
        <v>1.4537845546177552E-2</v>
      </c>
      <c r="AT501" s="287">
        <v>1.2739244199548229E-2</v>
      </c>
      <c r="AU501" s="287">
        <v>1.9738284259399087E-2</v>
      </c>
      <c r="AV501" s="287">
        <v>1.5655253872410773E-2</v>
      </c>
      <c r="AW501" s="287">
        <v>2.3466301642124626E-2</v>
      </c>
      <c r="AX501" s="287">
        <v>1.0645572158024901E-2</v>
      </c>
      <c r="AY501" s="287">
        <v>3.6835412922717739E-3</v>
      </c>
      <c r="AZ501" s="287">
        <v>1.8073142750842338E-3</v>
      </c>
      <c r="BA501" s="287">
        <v>7.1540133030602955E-3</v>
      </c>
      <c r="BB501" s="287">
        <v>1.6912555779121149E-2</v>
      </c>
      <c r="BC501" s="287">
        <v>1.7741037195142317E-2</v>
      </c>
      <c r="BD501" s="287">
        <v>1.2697945277983944E-2</v>
      </c>
      <c r="BE501" s="287">
        <v>2.6801285330929243E-2</v>
      </c>
      <c r="BF501" s="287">
        <v>1.6100640301587608E-2</v>
      </c>
      <c r="BG501" s="287">
        <v>2.4053071172368778E-2</v>
      </c>
      <c r="BH501" s="287">
        <v>2.673566140784131E-2</v>
      </c>
      <c r="BI501" s="287">
        <v>2.4810093618978134E-2</v>
      </c>
      <c r="BJ501" s="287">
        <v>1.775858729664959E-2</v>
      </c>
      <c r="BK501" s="287">
        <v>3.3274524820981088E-2</v>
      </c>
    </row>
    <row r="502" spans="1:63" ht="14.25" customHeight="1" x14ac:dyDescent="0.35">
      <c r="A502" s="277" t="s">
        <v>104</v>
      </c>
      <c r="B502" s="287">
        <v>1.0628778240182445E-6</v>
      </c>
      <c r="C502" s="287">
        <v>7.2920340417240403E-7</v>
      </c>
      <c r="D502" s="287">
        <v>9.0935033433967108E-7</v>
      </c>
      <c r="E502" s="287">
        <v>5.976385614198733E-7</v>
      </c>
      <c r="F502" s="287">
        <v>1.3613380561329549E-6</v>
      </c>
      <c r="G502" s="287">
        <v>7.9758827884692171E-7</v>
      </c>
      <c r="H502" s="287">
        <v>1.4824258452721149E-6</v>
      </c>
      <c r="I502" s="287">
        <v>0</v>
      </c>
      <c r="J502" s="287">
        <v>1.1080810685429129E-7</v>
      </c>
      <c r="K502" s="287">
        <v>6.7141444162467729E-7</v>
      </c>
      <c r="L502" s="287">
        <v>4.9679255811332925E-7</v>
      </c>
      <c r="M502" s="287">
        <v>0</v>
      </c>
      <c r="N502" s="287">
        <v>3.6073095144039994E-7</v>
      </c>
      <c r="O502" s="287">
        <v>2.5468233363642169E-7</v>
      </c>
      <c r="P502" s="287">
        <v>2.4071028211860061E-7</v>
      </c>
      <c r="Q502" s="287">
        <v>2.6414231387424775E-7</v>
      </c>
      <c r="R502" s="287">
        <v>1.5039020981633705E-6</v>
      </c>
      <c r="S502" s="287">
        <v>6.1145846055302079E-7</v>
      </c>
      <c r="T502" s="287">
        <v>7.9362633490464266E-7</v>
      </c>
      <c r="U502" s="287">
        <v>1.4772716964371528E-7</v>
      </c>
      <c r="V502" s="287">
        <v>2.4201876811228748E-7</v>
      </c>
      <c r="W502" s="287">
        <v>9.7073821914852079E-7</v>
      </c>
      <c r="X502" s="287">
        <v>8.8909864552131018E-7</v>
      </c>
      <c r="Y502" s="287">
        <v>9.3661307810314391E-7</v>
      </c>
      <c r="Z502" s="287">
        <v>0</v>
      </c>
      <c r="AA502" s="287">
        <v>1.1661629619290284E-6</v>
      </c>
      <c r="AB502" s="287">
        <v>1.1512002088101965E-6</v>
      </c>
      <c r="AC502" s="287">
        <v>1.0256841494666781E-6</v>
      </c>
      <c r="AD502" s="287">
        <v>9.6890751242924251E-7</v>
      </c>
      <c r="AE502" s="287">
        <v>8.0351891530902824E-7</v>
      </c>
      <c r="AF502" s="287">
        <v>1.0442706074081425E-6</v>
      </c>
      <c r="AG502" s="287">
        <v>7.5118003405482918E-7</v>
      </c>
      <c r="AH502" s="287">
        <v>8.315340514238057E-7</v>
      </c>
      <c r="AI502" s="287">
        <v>1.7956321614238774E-6</v>
      </c>
      <c r="AJ502" s="287">
        <v>1.4591125785756476E-6</v>
      </c>
      <c r="AK502" s="287">
        <v>1.6951039428131129E-6</v>
      </c>
      <c r="AL502" s="287">
        <v>3.1769839860924333E-7</v>
      </c>
      <c r="AM502" s="287">
        <v>1.617715805781065E-6</v>
      </c>
      <c r="AN502" s="287">
        <v>0</v>
      </c>
      <c r="AO502" s="287">
        <v>6.0876860580636175E-7</v>
      </c>
      <c r="AP502" s="287">
        <v>6.0585941851712109E-7</v>
      </c>
      <c r="AQ502" s="287">
        <v>8.8005554808262674E-7</v>
      </c>
      <c r="AR502" s="287">
        <v>3.1333099088482904E-7</v>
      </c>
      <c r="AS502" s="287">
        <v>1.2628897002537206E-6</v>
      </c>
      <c r="AT502" s="287">
        <v>1.10332589405106E-6</v>
      </c>
      <c r="AU502" s="287">
        <v>1.7800658979838904E-6</v>
      </c>
      <c r="AV502" s="287">
        <v>1.5196783197893698E-6</v>
      </c>
      <c r="AW502" s="287">
        <v>1.0272436573966003E-6</v>
      </c>
      <c r="AX502" s="287">
        <v>1.4377012911567688E-6</v>
      </c>
      <c r="AY502" s="287">
        <v>1.2728813311992368E-6</v>
      </c>
      <c r="AZ502" s="287">
        <v>1.4776314538483883E-6</v>
      </c>
      <c r="BA502" s="287">
        <v>2.8631255219985252E-7</v>
      </c>
      <c r="BB502" s="287">
        <v>1.2156944776027735E-6</v>
      </c>
      <c r="BC502" s="287">
        <v>1.2993604559181035E-6</v>
      </c>
      <c r="BD502" s="287">
        <v>1.0442718183977416E-6</v>
      </c>
      <c r="BE502" s="287">
        <v>1.8806108730753442E-6</v>
      </c>
      <c r="BF502" s="287">
        <v>1.4444745953166952E-6</v>
      </c>
      <c r="BG502" s="287">
        <v>1.6266102648253447E-6</v>
      </c>
      <c r="BH502" s="287">
        <v>1.9560397169820683E-6</v>
      </c>
      <c r="BI502" s="287">
        <v>1.7319125556197583E-6</v>
      </c>
      <c r="BJ502" s="287">
        <v>1.5784895237756179E-6</v>
      </c>
      <c r="BK502" s="287">
        <v>2.5415913476201869E-6</v>
      </c>
    </row>
    <row r="503" spans="1:63" ht="14.25" customHeight="1" x14ac:dyDescent="0.35">
      <c r="A503" s="277" t="s">
        <v>105</v>
      </c>
      <c r="B503" s="287">
        <v>2.4612787749280655E-2</v>
      </c>
      <c r="C503" s="287">
        <v>1.1472572870383261E-2</v>
      </c>
      <c r="D503" s="287">
        <v>1.9846605303813492E-2</v>
      </c>
      <c r="E503" s="287">
        <v>1.9390311170524359E-2</v>
      </c>
      <c r="F503" s="287">
        <v>6.367114986387163E-3</v>
      </c>
      <c r="G503" s="287">
        <v>1.473804563903427E-3</v>
      </c>
      <c r="H503" s="287">
        <v>7.9210694130618848E-4</v>
      </c>
      <c r="I503" s="287">
        <v>0</v>
      </c>
      <c r="J503" s="287">
        <v>0</v>
      </c>
      <c r="K503" s="287">
        <v>2.0581439893816424E-2</v>
      </c>
      <c r="L503" s="287">
        <v>1.4312416492732977E-2</v>
      </c>
      <c r="M503" s="287">
        <v>3.3177844433421533E-2</v>
      </c>
      <c r="N503" s="287">
        <v>1.488226278955051E-2</v>
      </c>
      <c r="O503" s="287">
        <v>5.6989014496328996E-3</v>
      </c>
      <c r="P503" s="287">
        <v>1.728395118651687E-2</v>
      </c>
      <c r="Q503" s="287">
        <v>9.2383743784516252E-4</v>
      </c>
      <c r="R503" s="287">
        <v>1.9376328019733855E-2</v>
      </c>
      <c r="S503" s="287">
        <v>1.37938850188819E-2</v>
      </c>
      <c r="T503" s="287">
        <v>8.6903765370819029E-3</v>
      </c>
      <c r="U503" s="287">
        <v>0</v>
      </c>
      <c r="V503" s="287">
        <v>8.4649437243830984E-4</v>
      </c>
      <c r="W503" s="287">
        <v>1.7566651487634932E-2</v>
      </c>
      <c r="X503" s="287">
        <v>7.4631264229526326E-3</v>
      </c>
      <c r="Y503" s="287">
        <v>1.5868647084800531E-2</v>
      </c>
      <c r="Z503" s="287">
        <v>0</v>
      </c>
      <c r="AA503" s="287">
        <v>1.6521588625007029E-2</v>
      </c>
      <c r="AB503" s="287">
        <v>1.6285544712131478E-2</v>
      </c>
      <c r="AC503" s="287">
        <v>1.1303744949266246E-2</v>
      </c>
      <c r="AD503" s="287">
        <v>1.8863640234856524E-2</v>
      </c>
      <c r="AE503" s="287">
        <v>2.240390919177589E-2</v>
      </c>
      <c r="AF503" s="287">
        <v>1.7579164663686819E-2</v>
      </c>
      <c r="AG503" s="287">
        <v>2.749638279955784E-2</v>
      </c>
      <c r="AH503" s="287">
        <v>2.8635486357328009E-2</v>
      </c>
      <c r="AI503" s="287">
        <v>0</v>
      </c>
      <c r="AJ503" s="287">
        <v>3.4527393532519088E-2</v>
      </c>
      <c r="AK503" s="287">
        <v>3.4115100958453402E-2</v>
      </c>
      <c r="AL503" s="287">
        <v>1.2287337103152747E-2</v>
      </c>
      <c r="AM503" s="287">
        <v>3.8124279099244117E-2</v>
      </c>
      <c r="AN503" s="287">
        <v>0</v>
      </c>
      <c r="AO503" s="287">
        <v>1.5487650254067963E-2</v>
      </c>
      <c r="AP503" s="287">
        <v>7.006029132597652E-3</v>
      </c>
      <c r="AQ503" s="287">
        <v>1.6998660573404923E-2</v>
      </c>
      <c r="AR503" s="287">
        <v>1.5654153782761217E-2</v>
      </c>
      <c r="AS503" s="287">
        <v>2.1026549693064094E-2</v>
      </c>
      <c r="AT503" s="287">
        <v>1.3927010556003422E-2</v>
      </c>
      <c r="AU503" s="287">
        <v>2.2362151661450568E-2</v>
      </c>
      <c r="AV503" s="287">
        <v>1.8719652255183124E-2</v>
      </c>
      <c r="AW503" s="287">
        <v>1.1406987060140362E-2</v>
      </c>
      <c r="AX503" s="287">
        <v>1.551328109756042E-2</v>
      </c>
      <c r="AY503" s="287">
        <v>3.5426180326246046E-2</v>
      </c>
      <c r="AZ503" s="287">
        <v>2.5822746111460366E-2</v>
      </c>
      <c r="BA503" s="287">
        <v>4.4372220011681144E-3</v>
      </c>
      <c r="BB503" s="287">
        <v>1.9358387175851782E-2</v>
      </c>
      <c r="BC503" s="287">
        <v>2.0138609800204779E-2</v>
      </c>
      <c r="BD503" s="287">
        <v>2.6196533484396215E-2</v>
      </c>
      <c r="BE503" s="287">
        <v>3.5900219991987573E-2</v>
      </c>
      <c r="BF503" s="287">
        <v>1.9499766865984522E-2</v>
      </c>
      <c r="BG503" s="287">
        <v>3.0660576075104553E-2</v>
      </c>
      <c r="BH503" s="287">
        <v>3.5915512631949288E-2</v>
      </c>
      <c r="BI503" s="287">
        <v>2.7280168548151133E-2</v>
      </c>
      <c r="BJ503" s="287">
        <v>2.1815731458446608E-2</v>
      </c>
      <c r="BK503" s="287">
        <v>4.0462790651892344E-2</v>
      </c>
    </row>
    <row r="504" spans="1:63" ht="14.25" customHeight="1" x14ac:dyDescent="0.35">
      <c r="A504" s="277" t="s">
        <v>106</v>
      </c>
      <c r="B504" s="287">
        <v>6.6355227416943201E-3</v>
      </c>
      <c r="C504" s="287">
        <v>4.6098917593987918E-3</v>
      </c>
      <c r="D504" s="287">
        <v>3.0346840199963654E-3</v>
      </c>
      <c r="E504" s="287">
        <v>1.494917203954069E-3</v>
      </c>
      <c r="F504" s="287">
        <v>1.9103433738699462E-3</v>
      </c>
      <c r="G504" s="287">
        <v>2.444887027878226E-3</v>
      </c>
      <c r="H504" s="287">
        <v>7.0983306318803214E-3</v>
      </c>
      <c r="I504" s="287">
        <v>1.00236972030697E-3</v>
      </c>
      <c r="J504" s="287">
        <v>0</v>
      </c>
      <c r="K504" s="287">
        <v>3.0144008182294074E-3</v>
      </c>
      <c r="L504" s="287">
        <v>2.2544540665276449E-3</v>
      </c>
      <c r="M504" s="287">
        <v>0</v>
      </c>
      <c r="N504" s="287">
        <v>2.6685672408243068E-3</v>
      </c>
      <c r="O504" s="287">
        <v>1.3775943359978717E-3</v>
      </c>
      <c r="P504" s="287">
        <v>1.8465368304133242E-3</v>
      </c>
      <c r="Q504" s="287">
        <v>2.7684444463707833E-3</v>
      </c>
      <c r="R504" s="287">
        <v>5.5119463236924758E-3</v>
      </c>
      <c r="S504" s="287">
        <v>2.537499671000888E-3</v>
      </c>
      <c r="T504" s="287">
        <v>3.5136191355294275E-3</v>
      </c>
      <c r="U504" s="287">
        <v>8.1573937774455287E-4</v>
      </c>
      <c r="V504" s="287">
        <v>2.3028486965102311E-3</v>
      </c>
      <c r="W504" s="287">
        <v>4.396689979721688E-3</v>
      </c>
      <c r="X504" s="287">
        <v>3.5135373099004362E-3</v>
      </c>
      <c r="Y504" s="287">
        <v>4.142776955013785E-3</v>
      </c>
      <c r="Z504" s="287">
        <v>0</v>
      </c>
      <c r="AA504" s="287">
        <v>4.6289177838723218E-3</v>
      </c>
      <c r="AB504" s="287">
        <v>2.2893464577367377E-3</v>
      </c>
      <c r="AC504" s="287">
        <v>3.1562676192617859E-3</v>
      </c>
      <c r="AD504" s="287">
        <v>5.2794758640208311E-3</v>
      </c>
      <c r="AE504" s="287">
        <v>2.3196588403970775E-3</v>
      </c>
      <c r="AF504" s="287">
        <v>4.7163255459794157E-3</v>
      </c>
      <c r="AG504" s="287">
        <v>6.1796434342616486E-3</v>
      </c>
      <c r="AH504" s="287">
        <v>5.0234048426871262E-3</v>
      </c>
      <c r="AI504" s="287">
        <v>9.5320625747481319E-3</v>
      </c>
      <c r="AJ504" s="287">
        <v>8.3984314707350183E-3</v>
      </c>
      <c r="AK504" s="287">
        <v>8.5430598288987088E-3</v>
      </c>
      <c r="AL504" s="287">
        <v>2.1807120074029463E-3</v>
      </c>
      <c r="AM504" s="287">
        <v>3.755811463878185E-3</v>
      </c>
      <c r="AN504" s="287">
        <v>0</v>
      </c>
      <c r="AO504" s="287">
        <v>4.3028911406065226E-3</v>
      </c>
      <c r="AP504" s="287">
        <v>2.1481851877473289E-3</v>
      </c>
      <c r="AQ504" s="287">
        <v>1.9933689811510455E-3</v>
      </c>
      <c r="AR504" s="287">
        <v>4.1264162712036402E-3</v>
      </c>
      <c r="AS504" s="287">
        <v>5.1541081921922544E-3</v>
      </c>
      <c r="AT504" s="287">
        <v>4.7334385663937101E-3</v>
      </c>
      <c r="AU504" s="287">
        <v>6.5227444232526261E-3</v>
      </c>
      <c r="AV504" s="287">
        <v>7.2301275073960803E-3</v>
      </c>
      <c r="AW504" s="287">
        <v>5.502917639550969E-3</v>
      </c>
      <c r="AX504" s="287">
        <v>4.5203021558440915E-3</v>
      </c>
      <c r="AY504" s="287">
        <v>2.970229044489093E-4</v>
      </c>
      <c r="AZ504" s="287">
        <v>1.6940963756306724E-3</v>
      </c>
      <c r="BA504" s="287">
        <v>4.9976700834632811E-4</v>
      </c>
      <c r="BB504" s="287">
        <v>4.5733968777515706E-3</v>
      </c>
      <c r="BC504" s="287">
        <v>7.8996184178644104E-3</v>
      </c>
      <c r="BD504" s="287">
        <v>6.6719705728050683E-3</v>
      </c>
      <c r="BE504" s="287">
        <v>8.8644365597241818E-3</v>
      </c>
      <c r="BF504" s="287">
        <v>7.3955014399823679E-3</v>
      </c>
      <c r="BG504" s="287">
        <v>9.4930721734560602E-3</v>
      </c>
      <c r="BH504" s="287">
        <v>1.0126943755827499E-2</v>
      </c>
      <c r="BI504" s="287">
        <v>7.596717700729067E-3</v>
      </c>
      <c r="BJ504" s="287">
        <v>6.6080783628081514E-3</v>
      </c>
      <c r="BK504" s="287">
        <v>1.2889660921749405E-2</v>
      </c>
    </row>
    <row r="505" spans="1:63" ht="14.25" customHeight="1" x14ac:dyDescent="0.35">
      <c r="A505" s="277" t="s">
        <v>107</v>
      </c>
      <c r="B505" s="287">
        <v>4.0177152187582804E-3</v>
      </c>
      <c r="C505" s="287">
        <v>2.4225893978339985E-3</v>
      </c>
      <c r="D505" s="287">
        <v>1.8158952786328185E-3</v>
      </c>
      <c r="E505" s="287">
        <v>4.2350980401843139E-3</v>
      </c>
      <c r="F505" s="287">
        <v>2.9162264322606514E-3</v>
      </c>
      <c r="G505" s="287">
        <v>0</v>
      </c>
      <c r="H505" s="287">
        <v>6.0352862726099476E-3</v>
      </c>
      <c r="I505" s="287">
        <v>8.8118661000506256E-3</v>
      </c>
      <c r="J505" s="287">
        <v>9.2396072861127658E-3</v>
      </c>
      <c r="K505" s="287">
        <v>4.4628189839740753E-3</v>
      </c>
      <c r="L505" s="287">
        <v>3.2704437663821861E-3</v>
      </c>
      <c r="M505" s="287">
        <v>9.2923286137431872E-3</v>
      </c>
      <c r="N505" s="287">
        <v>3.6054368731459558E-3</v>
      </c>
      <c r="O505" s="287">
        <v>3.5196139264459048E-3</v>
      </c>
      <c r="P505" s="287">
        <v>6.9881394722302245E-3</v>
      </c>
      <c r="Q505" s="287">
        <v>1.1320121439973656E-3</v>
      </c>
      <c r="R505" s="287">
        <v>3.5318803514426769E-3</v>
      </c>
      <c r="S505" s="287">
        <v>4.2038814404930539E-3</v>
      </c>
      <c r="T505" s="287">
        <v>4.3400148165901077E-3</v>
      </c>
      <c r="U505" s="287">
        <v>9.0205632728409778E-3</v>
      </c>
      <c r="V505" s="287">
        <v>1.301819240204868E-3</v>
      </c>
      <c r="W505" s="287">
        <v>4.4054068347402298E-3</v>
      </c>
      <c r="X505" s="287">
        <v>3.722959172056832E-3</v>
      </c>
      <c r="Y505" s="287">
        <v>3.4981611101556616E-3</v>
      </c>
      <c r="Z505" s="287">
        <v>0</v>
      </c>
      <c r="AA505" s="287">
        <v>4.9874685314203124E-3</v>
      </c>
      <c r="AB505" s="287">
        <v>3.8995804896923112E-3</v>
      </c>
      <c r="AC505" s="287">
        <v>3.9333675381025791E-3</v>
      </c>
      <c r="AD505" s="287">
        <v>5.7099497902077297E-3</v>
      </c>
      <c r="AE505" s="287">
        <v>4.4797286060948094E-3</v>
      </c>
      <c r="AF505" s="287">
        <v>4.6957711983073658E-3</v>
      </c>
      <c r="AG505" s="287">
        <v>5.524029276878035E-3</v>
      </c>
      <c r="AH505" s="287">
        <v>4.0871408446965856E-3</v>
      </c>
      <c r="AI505" s="287">
        <v>0</v>
      </c>
      <c r="AJ505" s="287">
        <v>7.046896151563696E-3</v>
      </c>
      <c r="AK505" s="287">
        <v>7.3141430359791289E-3</v>
      </c>
      <c r="AL505" s="287">
        <v>3.2499651421358852E-3</v>
      </c>
      <c r="AM505" s="287">
        <v>0</v>
      </c>
      <c r="AN505" s="287">
        <v>0</v>
      </c>
      <c r="AO505" s="287">
        <v>3.5087834797488645E-3</v>
      </c>
      <c r="AP505" s="287">
        <v>1.3493451255971538E-3</v>
      </c>
      <c r="AQ505" s="287">
        <v>4.3879666201148615E-3</v>
      </c>
      <c r="AR505" s="287">
        <v>0</v>
      </c>
      <c r="AS505" s="287">
        <v>1.1368728328097846E-3</v>
      </c>
      <c r="AT505" s="287">
        <v>3.2360826743648638E-3</v>
      </c>
      <c r="AU505" s="287">
        <v>5.5612646230293831E-3</v>
      </c>
      <c r="AV505" s="287">
        <v>1.2656898536122824E-3</v>
      </c>
      <c r="AW505" s="287">
        <v>3.3625753326537271E-3</v>
      </c>
      <c r="AX505" s="287">
        <v>-1.4217944762624773E-3</v>
      </c>
      <c r="AY505" s="287">
        <v>1.7910300529006111E-3</v>
      </c>
      <c r="AZ505" s="287">
        <v>2.6310608546174037E-4</v>
      </c>
      <c r="BA505" s="287">
        <v>3.3736204742336644E-3</v>
      </c>
      <c r="BB505" s="287">
        <v>5.3610719798053994E-3</v>
      </c>
      <c r="BC505" s="287">
        <v>1.5999999718802813E-3</v>
      </c>
      <c r="BD505" s="287">
        <v>3.6382534854229854E-3</v>
      </c>
      <c r="BE505" s="287">
        <v>8.0651965612332632E-3</v>
      </c>
      <c r="BF505" s="287">
        <v>4.9148972898282314E-3</v>
      </c>
      <c r="BG505" s="287">
        <v>6.1147185032856743E-3</v>
      </c>
      <c r="BH505" s="287">
        <v>8.169072233219464E-3</v>
      </c>
      <c r="BI505" s="287">
        <v>6.3697204551513321E-3</v>
      </c>
      <c r="BJ505" s="287">
        <v>3.1366199131937205E-3</v>
      </c>
      <c r="BK505" s="287">
        <v>9.5376910490103037E-3</v>
      </c>
    </row>
    <row r="506" spans="1:63" ht="14.25" customHeight="1" x14ac:dyDescent="0.35">
      <c r="A506" s="277" t="s">
        <v>108</v>
      </c>
      <c r="B506" s="287">
        <v>2.5179146974403904E-2</v>
      </c>
      <c r="C506" s="287">
        <v>1.3364448108449355E-2</v>
      </c>
      <c r="D506" s="287">
        <v>2.9380354915010357E-2</v>
      </c>
      <c r="E506" s="287">
        <v>1.9594543279268184E-2</v>
      </c>
      <c r="F506" s="287">
        <v>2.9163541669611809E-3</v>
      </c>
      <c r="G506" s="287">
        <v>7.7341289044069624E-3</v>
      </c>
      <c r="H506" s="287">
        <v>3.204576903478773E-2</v>
      </c>
      <c r="I506" s="287">
        <v>0</v>
      </c>
      <c r="J506" s="287">
        <v>0</v>
      </c>
      <c r="K506" s="287">
        <v>6.3044480925403146E-3</v>
      </c>
      <c r="L506" s="287">
        <v>4.1562535867253224E-3</v>
      </c>
      <c r="M506" s="287">
        <v>3.2357468539297891E-2</v>
      </c>
      <c r="N506" s="287">
        <v>3.7473815752638606E-3</v>
      </c>
      <c r="O506" s="287">
        <v>1.4396901654308999E-3</v>
      </c>
      <c r="P506" s="287">
        <v>3.8345633121917564E-3</v>
      </c>
      <c r="Q506" s="287">
        <v>3.0388610146740358E-3</v>
      </c>
      <c r="R506" s="287">
        <v>1.9300919173252749E-2</v>
      </c>
      <c r="S506" s="287">
        <v>7.0675545270696147E-3</v>
      </c>
      <c r="T506" s="287">
        <v>1.0424840355339681E-2</v>
      </c>
      <c r="U506" s="287">
        <v>3.1573415655909622E-3</v>
      </c>
      <c r="V506" s="287">
        <v>1.6194138962457015E-3</v>
      </c>
      <c r="W506" s="287">
        <v>9.3085305942497958E-3</v>
      </c>
      <c r="X506" s="287">
        <v>1.0054043324421827E-2</v>
      </c>
      <c r="Y506" s="287">
        <v>1.1264353067247745E-2</v>
      </c>
      <c r="Z506" s="287">
        <v>0</v>
      </c>
      <c r="AA506" s="287">
        <v>1.3164252661954728E-2</v>
      </c>
      <c r="AB506" s="287">
        <v>1.3710549165343623E-2</v>
      </c>
      <c r="AC506" s="287">
        <v>9.9731784989996481E-3</v>
      </c>
      <c r="AD506" s="287">
        <v>1.091550145508146E-2</v>
      </c>
      <c r="AE506" s="287">
        <v>7.8125974846996789E-3</v>
      </c>
      <c r="AF506" s="287">
        <v>1.1236558017689319E-2</v>
      </c>
      <c r="AG506" s="287">
        <v>3.8891643935290141E-3</v>
      </c>
      <c r="AH506" s="287">
        <v>3.6123100456234326E-3</v>
      </c>
      <c r="AI506" s="287">
        <v>0</v>
      </c>
      <c r="AJ506" s="287">
        <v>1.6924218917076562E-2</v>
      </c>
      <c r="AK506" s="287">
        <v>1.5833592534533855E-2</v>
      </c>
      <c r="AL506" s="287">
        <v>9.0981946966964744E-4</v>
      </c>
      <c r="AM506" s="287">
        <v>1.7384529044610634E-2</v>
      </c>
      <c r="AN506" s="287">
        <v>3.6402152106710162E-2</v>
      </c>
      <c r="AO506" s="287">
        <v>7.6779434536633027E-3</v>
      </c>
      <c r="AP506" s="287">
        <v>6.5173837847286543E-3</v>
      </c>
      <c r="AQ506" s="287">
        <v>8.5228768395797742E-3</v>
      </c>
      <c r="AR506" s="287">
        <v>2.2034681881768579E-3</v>
      </c>
      <c r="AS506" s="287">
        <v>1.8058259484885077E-2</v>
      </c>
      <c r="AT506" s="287">
        <v>1.2905393642368004E-2</v>
      </c>
      <c r="AU506" s="287">
        <v>1.9713061371727243E-2</v>
      </c>
      <c r="AV506" s="287">
        <v>1.6133485207916829E-2</v>
      </c>
      <c r="AW506" s="287">
        <v>1.881611643299869E-2</v>
      </c>
      <c r="AX506" s="287">
        <v>5.4433284616605153E-3</v>
      </c>
      <c r="AY506" s="287">
        <v>1.049143828878844E-2</v>
      </c>
      <c r="AZ506" s="287">
        <v>5.4346733608580259E-3</v>
      </c>
      <c r="BA506" s="287">
        <v>2.0337368529686427E-3</v>
      </c>
      <c r="BB506" s="287">
        <v>1.8441314349927244E-2</v>
      </c>
      <c r="BC506" s="287">
        <v>1.7643172092525469E-2</v>
      </c>
      <c r="BD506" s="287">
        <v>2.1297665451769223E-2</v>
      </c>
      <c r="BE506" s="287">
        <v>3.1436324416693813E-2</v>
      </c>
      <c r="BF506" s="287">
        <v>1.844258599093463E-2</v>
      </c>
      <c r="BG506" s="287">
        <v>2.8518482702238303E-2</v>
      </c>
      <c r="BH506" s="287">
        <v>3.1104881959653372E-2</v>
      </c>
      <c r="BI506" s="287">
        <v>2.1220951010046653E-2</v>
      </c>
      <c r="BJ506" s="287">
        <v>1.6520983387566465E-2</v>
      </c>
      <c r="BK506" s="287">
        <v>3.6402034460399954E-2</v>
      </c>
    </row>
    <row r="507" spans="1:63" ht="14.25" customHeight="1" x14ac:dyDescent="0.35">
      <c r="A507" s="277" t="s">
        <v>109</v>
      </c>
      <c r="B507" s="287">
        <v>1.8593100785305788E-3</v>
      </c>
      <c r="C507" s="287">
        <v>1.5382743226307486E-3</v>
      </c>
      <c r="D507" s="287">
        <v>9.6810497461110711E-4</v>
      </c>
      <c r="E507" s="287">
        <v>6.3216281106969168E-4</v>
      </c>
      <c r="F507" s="287">
        <v>1.7004591781808371E-3</v>
      </c>
      <c r="G507" s="287">
        <v>0</v>
      </c>
      <c r="H507" s="287">
        <v>0</v>
      </c>
      <c r="I507" s="287">
        <v>3.8856239880901522E-3</v>
      </c>
      <c r="J507" s="287">
        <v>0</v>
      </c>
      <c r="K507" s="287">
        <v>7.0829196871167554E-4</v>
      </c>
      <c r="L507" s="287">
        <v>2.4396034245810074E-4</v>
      </c>
      <c r="M507" s="287">
        <v>3.2938060079144467E-3</v>
      </c>
      <c r="N507" s="287">
        <v>1.7289705184385528E-4</v>
      </c>
      <c r="O507" s="287">
        <v>1.1192342239920911E-3</v>
      </c>
      <c r="P507" s="287">
        <v>2.2029822717534449E-4</v>
      </c>
      <c r="Q507" s="287">
        <v>3.237690742161931E-3</v>
      </c>
      <c r="R507" s="287">
        <v>1.6703765083548921E-3</v>
      </c>
      <c r="S507" s="287">
        <v>1.0333893866719707E-3</v>
      </c>
      <c r="T507" s="287">
        <v>1.0644652114886238E-3</v>
      </c>
      <c r="U507" s="287">
        <v>0</v>
      </c>
      <c r="V507" s="287">
        <v>1.0199188911902365E-3</v>
      </c>
      <c r="W507" s="287">
        <v>1.6519596683901049E-3</v>
      </c>
      <c r="X507" s="287">
        <v>1.2189931540519418E-3</v>
      </c>
      <c r="Y507" s="287">
        <v>1.2951986750801602E-3</v>
      </c>
      <c r="Z507" s="287">
        <v>0</v>
      </c>
      <c r="AA507" s="287">
        <v>1.3872176327178482E-3</v>
      </c>
      <c r="AB507" s="287">
        <v>1.5811963904435759E-3</v>
      </c>
      <c r="AC507" s="287">
        <v>1.3610854736235646E-3</v>
      </c>
      <c r="AD507" s="287">
        <v>1.3967163872401539E-3</v>
      </c>
      <c r="AE507" s="287">
        <v>1.3004091369907462E-3</v>
      </c>
      <c r="AF507" s="287">
        <v>1.6673738620565965E-3</v>
      </c>
      <c r="AG507" s="287">
        <v>3.8530028871048827E-5</v>
      </c>
      <c r="AH507" s="287">
        <v>3.8330251416664667E-4</v>
      </c>
      <c r="AI507" s="287">
        <v>0</v>
      </c>
      <c r="AJ507" s="287">
        <v>3.069573198065504E-3</v>
      </c>
      <c r="AK507" s="287">
        <v>2.1032335481022085E-3</v>
      </c>
      <c r="AL507" s="287">
        <v>0</v>
      </c>
      <c r="AM507" s="287">
        <v>0</v>
      </c>
      <c r="AN507" s="287">
        <v>0</v>
      </c>
      <c r="AO507" s="287">
        <v>6.1194884753115199E-4</v>
      </c>
      <c r="AP507" s="287">
        <v>5.7903262635782514E-4</v>
      </c>
      <c r="AQ507" s="287">
        <v>7.1709765440228408E-4</v>
      </c>
      <c r="AR507" s="287">
        <v>1.4244668452520595E-5</v>
      </c>
      <c r="AS507" s="287">
        <v>1.4689399098280701E-3</v>
      </c>
      <c r="AT507" s="287">
        <v>1.0022163402639336E-3</v>
      </c>
      <c r="AU507" s="287">
        <v>2.3600921452708681E-3</v>
      </c>
      <c r="AV507" s="287">
        <v>1.8537650104887412E-3</v>
      </c>
      <c r="AW507" s="287">
        <v>2.811012379916837E-3</v>
      </c>
      <c r="AX507" s="287">
        <v>2.9660379166031518E-3</v>
      </c>
      <c r="AY507" s="287">
        <v>4.8925659305633579E-4</v>
      </c>
      <c r="AZ507" s="287">
        <v>1.0494332388599694E-3</v>
      </c>
      <c r="BA507" s="287">
        <v>2.9070004544727563E-4</v>
      </c>
      <c r="BB507" s="287">
        <v>1.7180023371480659E-3</v>
      </c>
      <c r="BC507" s="287">
        <v>2.0609116392063058E-3</v>
      </c>
      <c r="BD507" s="287">
        <v>2.2809553464504845E-3</v>
      </c>
      <c r="BE507" s="287">
        <v>2.845971030246038E-3</v>
      </c>
      <c r="BF507" s="287">
        <v>1.3669377732959509E-3</v>
      </c>
      <c r="BG507" s="287">
        <v>2.7346507648130058E-3</v>
      </c>
      <c r="BH507" s="287">
        <v>2.9701043345435681E-3</v>
      </c>
      <c r="BI507" s="287">
        <v>2.5654209597672016E-3</v>
      </c>
      <c r="BJ507" s="287">
        <v>2.0908361529241599E-3</v>
      </c>
      <c r="BK507" s="287">
        <v>4.0389459152081284E-3</v>
      </c>
    </row>
    <row r="508" spans="1:63" ht="14.25" customHeight="1" x14ac:dyDescent="0.35">
      <c r="A508" s="277" t="s">
        <v>229</v>
      </c>
      <c r="B508" s="287">
        <v>2.0280194982992272E-3</v>
      </c>
      <c r="C508" s="287">
        <v>1.9907613857443828E-3</v>
      </c>
      <c r="D508" s="287">
        <v>1.6678468922386492E-3</v>
      </c>
      <c r="E508" s="287">
        <v>9.9651012405820678E-4</v>
      </c>
      <c r="F508" s="287">
        <v>2.464738307051685E-3</v>
      </c>
      <c r="G508" s="287">
        <v>2.4305861329259179E-3</v>
      </c>
      <c r="H508" s="287">
        <v>0</v>
      </c>
      <c r="I508" s="287">
        <v>2.9295869686039311E-3</v>
      </c>
      <c r="J508" s="287">
        <v>0</v>
      </c>
      <c r="K508" s="287">
        <v>1.3920085380162805E-3</v>
      </c>
      <c r="L508" s="287">
        <v>1.3367728752876329E-3</v>
      </c>
      <c r="M508" s="287">
        <v>0</v>
      </c>
      <c r="N508" s="287">
        <v>8.826308224620218E-4</v>
      </c>
      <c r="O508" s="287">
        <v>3.9532406814941397E-4</v>
      </c>
      <c r="P508" s="287">
        <v>2.3983548769626107E-3</v>
      </c>
      <c r="Q508" s="287">
        <v>2.2046159672403111E-4</v>
      </c>
      <c r="R508" s="287">
        <v>2.7269507891248866E-3</v>
      </c>
      <c r="S508" s="287">
        <v>1.6250525018994227E-3</v>
      </c>
      <c r="T508" s="287">
        <v>2.1424204007715205E-3</v>
      </c>
      <c r="U508" s="287">
        <v>0</v>
      </c>
      <c r="V508" s="287">
        <v>3.1088503970294677E-4</v>
      </c>
      <c r="W508" s="287">
        <v>1.415648915573757E-3</v>
      </c>
      <c r="X508" s="287">
        <v>1.9263167441485424E-3</v>
      </c>
      <c r="Y508" s="287">
        <v>2.1707776680961288E-3</v>
      </c>
      <c r="Z508" s="287">
        <v>0</v>
      </c>
      <c r="AA508" s="287">
        <v>2.084764330846894E-3</v>
      </c>
      <c r="AB508" s="287">
        <v>2.4965681922360255E-3</v>
      </c>
      <c r="AC508" s="287">
        <v>1.7918268615576814E-3</v>
      </c>
      <c r="AD508" s="287">
        <v>2.3607579526784294E-3</v>
      </c>
      <c r="AE508" s="287">
        <v>2.3078759065150709E-3</v>
      </c>
      <c r="AF508" s="287">
        <v>2.4496725406414868E-3</v>
      </c>
      <c r="AG508" s="287">
        <v>0</v>
      </c>
      <c r="AH508" s="287">
        <v>3.9301337712666334E-4</v>
      </c>
      <c r="AI508" s="287">
        <v>0</v>
      </c>
      <c r="AJ508" s="287">
        <v>3.020211361228496E-3</v>
      </c>
      <c r="AK508" s="287">
        <v>2.8354242241825896E-3</v>
      </c>
      <c r="AL508" s="287">
        <v>2.4060901401920065E-4</v>
      </c>
      <c r="AM508" s="287">
        <v>0</v>
      </c>
      <c r="AN508" s="287">
        <v>0</v>
      </c>
      <c r="AO508" s="287">
        <v>6.3762731590591383E-4</v>
      </c>
      <c r="AP508" s="287">
        <v>2.3418771298086192E-3</v>
      </c>
      <c r="AQ508" s="287">
        <v>1.1842466938196648E-3</v>
      </c>
      <c r="AR508" s="287">
        <v>4.5417319545171226E-4</v>
      </c>
      <c r="AS508" s="287">
        <v>3.9359985037947997E-3</v>
      </c>
      <c r="AT508" s="287">
        <v>2.715393407104737E-3</v>
      </c>
      <c r="AU508" s="287">
        <v>3.7996401618929088E-3</v>
      </c>
      <c r="AV508" s="287">
        <v>2.3303157751531612E-3</v>
      </c>
      <c r="AW508" s="287">
        <v>3.5226041873085826E-3</v>
      </c>
      <c r="AX508" s="287">
        <v>2.675215748393197E-4</v>
      </c>
      <c r="AY508" s="287">
        <v>1.9422987820266839E-3</v>
      </c>
      <c r="AZ508" s="287">
        <v>2.5243246305189232E-4</v>
      </c>
      <c r="BA508" s="287">
        <v>2.0681508673341497E-4</v>
      </c>
      <c r="BB508" s="287">
        <v>2.9796595630371563E-3</v>
      </c>
      <c r="BC508" s="287">
        <v>3.1167631814995726E-3</v>
      </c>
      <c r="BD508" s="287">
        <v>2.6854064463427032E-3</v>
      </c>
      <c r="BE508" s="287">
        <v>3.4277796292666862E-3</v>
      </c>
      <c r="BF508" s="287">
        <v>2.7924106000762417E-3</v>
      </c>
      <c r="BG508" s="287">
        <v>3.3462040550031017E-3</v>
      </c>
      <c r="BH508" s="287">
        <v>3.9067640375102537E-3</v>
      </c>
      <c r="BI508" s="287">
        <v>3.171946929094512E-3</v>
      </c>
      <c r="BJ508" s="287">
        <v>2.6659335850195772E-3</v>
      </c>
      <c r="BK508" s="287">
        <v>4.9534748992512345E-3</v>
      </c>
    </row>
    <row r="509" spans="1:63" ht="14.25" customHeight="1" x14ac:dyDescent="0.35">
      <c r="A509" s="277" t="s">
        <v>111</v>
      </c>
      <c r="B509" s="287">
        <v>2.8974324141807012E-3</v>
      </c>
      <c r="C509" s="287">
        <v>3.5185072853545787E-3</v>
      </c>
      <c r="D509" s="287">
        <v>5.1352668112114161E-3</v>
      </c>
      <c r="E509" s="287">
        <v>9.2849747812005914E-5</v>
      </c>
      <c r="F509" s="287">
        <v>2.9754729122091201E-3</v>
      </c>
      <c r="G509" s="287">
        <v>1.1334592448882356E-2</v>
      </c>
      <c r="H509" s="287">
        <v>3.9071309352144415E-3</v>
      </c>
      <c r="I509" s="287">
        <v>1.170738602655976E-2</v>
      </c>
      <c r="J509" s="287">
        <v>5.2012203662238207E-3</v>
      </c>
      <c r="K509" s="287">
        <v>1.2934616801461689E-3</v>
      </c>
      <c r="L509" s="287">
        <v>9.3201649980828257E-4</v>
      </c>
      <c r="M509" s="287">
        <v>5.1110945991979231E-3</v>
      </c>
      <c r="N509" s="287">
        <v>1.1206243514146268E-3</v>
      </c>
      <c r="O509" s="287">
        <v>7.3421844166693829E-4</v>
      </c>
      <c r="P509" s="287">
        <v>9.9338324863092989E-4</v>
      </c>
      <c r="Q509" s="287">
        <v>1.6797380250774309E-3</v>
      </c>
      <c r="R509" s="287">
        <v>4.2346679117217668E-3</v>
      </c>
      <c r="S509" s="287">
        <v>3.5492938584966E-3</v>
      </c>
      <c r="T509" s="287">
        <v>3.467764450193667E-3</v>
      </c>
      <c r="U509" s="287">
        <v>2.570049457065203E-3</v>
      </c>
      <c r="V509" s="287">
        <v>2.5636445831489184E-3</v>
      </c>
      <c r="W509" s="287">
        <v>3.6371258873483131E-3</v>
      </c>
      <c r="X509" s="287">
        <v>3.7473792430517522E-3</v>
      </c>
      <c r="Y509" s="287">
        <v>4.5857812380097254E-3</v>
      </c>
      <c r="Z509" s="287">
        <v>0</v>
      </c>
      <c r="AA509" s="287">
        <v>4.2112562965003998E-3</v>
      </c>
      <c r="AB509" s="287">
        <v>4.6569568803058632E-3</v>
      </c>
      <c r="AC509" s="287">
        <v>4.6568890492740822E-3</v>
      </c>
      <c r="AD509" s="287">
        <v>3.6702481215608531E-3</v>
      </c>
      <c r="AE509" s="287">
        <v>3.8595609314272844E-3</v>
      </c>
      <c r="AF509" s="287">
        <v>4.4986165448849527E-3</v>
      </c>
      <c r="AG509" s="287">
        <v>0</v>
      </c>
      <c r="AH509" s="287">
        <v>5.6397103722216962E-3</v>
      </c>
      <c r="AI509" s="287">
        <v>0</v>
      </c>
      <c r="AJ509" s="287">
        <v>3.2700458124596695E-3</v>
      </c>
      <c r="AK509" s="287">
        <v>6.5063052782750761E-3</v>
      </c>
      <c r="AL509" s="287">
        <v>1.0931502198661346E-7</v>
      </c>
      <c r="AM509" s="287">
        <v>6.1814071187071811E-3</v>
      </c>
      <c r="AN509" s="287">
        <v>0</v>
      </c>
      <c r="AO509" s="287">
        <v>2.3555056175238618E-3</v>
      </c>
      <c r="AP509" s="287">
        <v>1.4216220360639363E-3</v>
      </c>
      <c r="AQ509" s="287">
        <v>6.6298571707151515E-3</v>
      </c>
      <c r="AR509" s="287">
        <v>0</v>
      </c>
      <c r="AS509" s="287">
        <v>1.1157876060015597E-2</v>
      </c>
      <c r="AT509" s="287">
        <v>4.4280172220356392E-3</v>
      </c>
      <c r="AU509" s="287">
        <v>4.1243334480462468E-3</v>
      </c>
      <c r="AV509" s="287">
        <v>5.6321698077948235E-3</v>
      </c>
      <c r="AW509" s="287">
        <v>5.1502742969570386E-3</v>
      </c>
      <c r="AX509" s="287">
        <v>2.8893344544513744E-3</v>
      </c>
      <c r="AY509" s="287">
        <v>1.9206540433486885E-3</v>
      </c>
      <c r="AZ509" s="287">
        <v>7.0679679000042162E-4</v>
      </c>
      <c r="BA509" s="287">
        <v>3.8348227324443702E-3</v>
      </c>
      <c r="BB509" s="287">
        <v>6.1404415356444393E-3</v>
      </c>
      <c r="BC509" s="287">
        <v>2.2291887239305388E-3</v>
      </c>
      <c r="BD509" s="287">
        <v>1.6226978426997099E-3</v>
      </c>
      <c r="BE509" s="287">
        <v>8.1382991034169815E-3</v>
      </c>
      <c r="BF509" s="287">
        <v>3.4890560303651556E-3</v>
      </c>
      <c r="BG509" s="287">
        <v>8.5774942847707345E-3</v>
      </c>
      <c r="BH509" s="287">
        <v>1.0220591977730667E-2</v>
      </c>
      <c r="BI509" s="287">
        <v>8.6277540861905352E-3</v>
      </c>
      <c r="BJ509" s="287">
        <v>6.2053896718359822E-3</v>
      </c>
      <c r="BK509" s="287">
        <v>1.1896249976802376E-2</v>
      </c>
    </row>
    <row r="510" spans="1:63" ht="14.25" customHeight="1" x14ac:dyDescent="0.35">
      <c r="A510" s="277" t="s">
        <v>112</v>
      </c>
      <c r="B510" s="287">
        <v>-1.6514475866458054E-3</v>
      </c>
      <c r="C510" s="287">
        <v>-6.4791975738394359E-4</v>
      </c>
      <c r="D510" s="287">
        <v>0</v>
      </c>
      <c r="E510" s="287">
        <v>-3.5842638439527805E-4</v>
      </c>
      <c r="F510" s="287">
        <v>-7.1664744721874711E-4</v>
      </c>
      <c r="G510" s="287">
        <v>-7.4102471726939217E-4</v>
      </c>
      <c r="H510" s="287">
        <v>-7.1358949970677015E-4</v>
      </c>
      <c r="I510" s="287">
        <v>-7.1608041051425336E-4</v>
      </c>
      <c r="J510" s="287">
        <v>0</v>
      </c>
      <c r="K510" s="287">
        <v>-2.0529117636234068E-3</v>
      </c>
      <c r="L510" s="287">
        <v>-1.4198443894191753E-3</v>
      </c>
      <c r="M510" s="287">
        <v>-2.0403557283718917E-3</v>
      </c>
      <c r="N510" s="287">
        <v>-1.4561067778915511E-3</v>
      </c>
      <c r="O510" s="287">
        <v>-1.6667694682474575E-3</v>
      </c>
      <c r="P510" s="287">
        <v>-1.6914866141943105E-3</v>
      </c>
      <c r="Q510" s="287">
        <v>-2.6150401605220066E-3</v>
      </c>
      <c r="R510" s="287">
        <v>-9.3711873026295571E-4</v>
      </c>
      <c r="S510" s="287">
        <v>-7.0749801872897625E-4</v>
      </c>
      <c r="T510" s="287">
        <v>-8.5784380825325898E-4</v>
      </c>
      <c r="U510" s="287">
        <v>0</v>
      </c>
      <c r="V510" s="287">
        <v>-2.1459046299947969E-3</v>
      </c>
      <c r="W510" s="287">
        <v>-8.6834010360746375E-4</v>
      </c>
      <c r="X510" s="287">
        <v>-7.7794647551614107E-4</v>
      </c>
      <c r="Y510" s="287">
        <v>-6.3246736459825681E-4</v>
      </c>
      <c r="Z510" s="287">
        <v>0</v>
      </c>
      <c r="AA510" s="287">
        <v>-6.6292996275565388E-4</v>
      </c>
      <c r="AB510" s="287">
        <v>-3.3618541061466236E-4</v>
      </c>
      <c r="AC510" s="287">
        <v>-8.9886835362921623E-4</v>
      </c>
      <c r="AD510" s="287">
        <v>-1.4540968689778215E-3</v>
      </c>
      <c r="AE510" s="287">
        <v>-8.096071581130146E-4</v>
      </c>
      <c r="AF510" s="287">
        <v>-1.0143360042371723E-3</v>
      </c>
      <c r="AG510" s="287">
        <v>-2.4390459281686903E-3</v>
      </c>
      <c r="AH510" s="287">
        <v>-2.2258426127693322E-3</v>
      </c>
      <c r="AI510" s="287">
        <v>-2.577916699020087E-3</v>
      </c>
      <c r="AJ510" s="287">
        <v>-2.6064879509555224E-3</v>
      </c>
      <c r="AK510" s="287">
        <v>-2.7204743044958557E-3</v>
      </c>
      <c r="AL510" s="287">
        <v>-1.7724756652235747E-3</v>
      </c>
      <c r="AM510" s="287">
        <v>-2.9098127995067711E-4</v>
      </c>
      <c r="AN510" s="287">
        <v>0</v>
      </c>
      <c r="AO510" s="287">
        <v>-3.5937705369136019E-4</v>
      </c>
      <c r="AP510" s="287">
        <v>2.2337957916019093E-5</v>
      </c>
      <c r="AQ510" s="287">
        <v>-4.285111564805533E-4</v>
      </c>
      <c r="AR510" s="287">
        <v>-1.4946987827862781E-3</v>
      </c>
      <c r="AS510" s="287">
        <v>-6.2112467341875666E-5</v>
      </c>
      <c r="AT510" s="287">
        <v>-8.0721031644293928E-4</v>
      </c>
      <c r="AU510" s="287">
        <v>-1.7569933443962449E-3</v>
      </c>
      <c r="AV510" s="287">
        <v>-4.6519706643661466E-4</v>
      </c>
      <c r="AW510" s="287">
        <v>-1.7123487154100225E-3</v>
      </c>
      <c r="AX510" s="287">
        <v>-8.5810816511725353E-4</v>
      </c>
      <c r="AY510" s="287">
        <v>-6.2386118865217566E-4</v>
      </c>
      <c r="AZ510" s="287">
        <v>-2.6239547337874317E-4</v>
      </c>
      <c r="BA510" s="287">
        <v>-1.2688930156223499E-4</v>
      </c>
      <c r="BB510" s="287">
        <v>-1.1098431188151317E-3</v>
      </c>
      <c r="BC510" s="287">
        <v>-9.7540691199553297E-4</v>
      </c>
      <c r="BD510" s="287">
        <v>-2.5737203172301404E-4</v>
      </c>
      <c r="BE510" s="287">
        <v>-1.92993190311624E-3</v>
      </c>
      <c r="BF510" s="287">
        <v>-1.2948465696644347E-3</v>
      </c>
      <c r="BG510" s="287">
        <v>-1.6485387972074458E-3</v>
      </c>
      <c r="BH510" s="287">
        <v>-2.2051296967215681E-3</v>
      </c>
      <c r="BI510" s="287">
        <v>-1.7902643007335526E-3</v>
      </c>
      <c r="BJ510" s="287">
        <v>-9.2140491555921516E-4</v>
      </c>
      <c r="BK510" s="287">
        <v>-2.7133541395781987E-3</v>
      </c>
    </row>
    <row r="511" spans="1:63" ht="14.25" customHeight="1" x14ac:dyDescent="0.35">
      <c r="A511" s="277" t="s">
        <v>113</v>
      </c>
      <c r="B511" s="287">
        <v>1.5287280938331305E-3</v>
      </c>
      <c r="C511" s="287">
        <v>1.8900298841313008E-3</v>
      </c>
      <c r="D511" s="287">
        <v>1.0856446573346058E-3</v>
      </c>
      <c r="E511" s="287">
        <v>6.8687357905606705E-4</v>
      </c>
      <c r="F511" s="287">
        <v>0</v>
      </c>
      <c r="G511" s="287">
        <v>9.682711897961593E-4</v>
      </c>
      <c r="H511" s="287">
        <v>3.7930411767627356E-3</v>
      </c>
      <c r="I511" s="287">
        <v>0</v>
      </c>
      <c r="J511" s="287">
        <v>0</v>
      </c>
      <c r="K511" s="287">
        <v>4.1171534772904093E-4</v>
      </c>
      <c r="L511" s="287">
        <v>2.3711716222443707E-3</v>
      </c>
      <c r="M511" s="287">
        <v>0</v>
      </c>
      <c r="N511" s="287">
        <v>7.7682253601097555E-4</v>
      </c>
      <c r="O511" s="287">
        <v>4.7241754526823496E-4</v>
      </c>
      <c r="P511" s="287">
        <v>2.5758966902947587E-3</v>
      </c>
      <c r="Q511" s="287">
        <v>1.0997466250623035E-3</v>
      </c>
      <c r="R511" s="287">
        <v>1.8803310625114941E-3</v>
      </c>
      <c r="S511" s="287">
        <v>9.2405522676532582E-4</v>
      </c>
      <c r="T511" s="287">
        <v>1.3897340785901963E-3</v>
      </c>
      <c r="U511" s="287">
        <v>2.8922346249122383E-4</v>
      </c>
      <c r="V511" s="287">
        <v>2.4376060723078005E-4</v>
      </c>
      <c r="W511" s="287">
        <v>1.0684470652373014E-3</v>
      </c>
      <c r="X511" s="287">
        <v>1.4664002744485013E-3</v>
      </c>
      <c r="Y511" s="287">
        <v>1.4390066811471912E-3</v>
      </c>
      <c r="Z511" s="287">
        <v>0</v>
      </c>
      <c r="AA511" s="287">
        <v>1.6413355403077396E-3</v>
      </c>
      <c r="AB511" s="287">
        <v>5.2470067911134129E-4</v>
      </c>
      <c r="AC511" s="287">
        <v>1.9951922764606536E-3</v>
      </c>
      <c r="AD511" s="287">
        <v>1.5630714211551792E-3</v>
      </c>
      <c r="AE511" s="287">
        <v>1.0858541629679976E-3</v>
      </c>
      <c r="AF511" s="287">
        <v>1.9297207511947451E-3</v>
      </c>
      <c r="AG511" s="287">
        <v>1.554884791370422E-3</v>
      </c>
      <c r="AH511" s="287">
        <v>1.8969549379996944E-3</v>
      </c>
      <c r="AI511" s="287">
        <v>3.0252753202054763E-3</v>
      </c>
      <c r="AJ511" s="287">
        <v>4.4615141760194065E-4</v>
      </c>
      <c r="AK511" s="287">
        <v>3.009920936663382E-3</v>
      </c>
      <c r="AL511" s="287">
        <v>9.5147499892072262E-4</v>
      </c>
      <c r="AM511" s="287">
        <v>5.767172238432943E-4</v>
      </c>
      <c r="AN511" s="287">
        <v>4.2957888596632902E-3</v>
      </c>
      <c r="AO511" s="287">
        <v>2.0884668890911872E-3</v>
      </c>
      <c r="AP511" s="287">
        <v>6.3936066354560415E-4</v>
      </c>
      <c r="AQ511" s="287">
        <v>5.7818236671979852E-4</v>
      </c>
      <c r="AR511" s="287">
        <v>5.6299847549474828E-4</v>
      </c>
      <c r="AS511" s="287">
        <v>1.6636643608134031E-3</v>
      </c>
      <c r="AT511" s="287">
        <v>1.4781894457658827E-3</v>
      </c>
      <c r="AU511" s="287">
        <v>2.9796864632271828E-3</v>
      </c>
      <c r="AV511" s="287">
        <v>1.6395801399498671E-3</v>
      </c>
      <c r="AW511" s="287">
        <v>2.4750345338210582E-3</v>
      </c>
      <c r="AX511" s="287">
        <v>5.7230831666341023E-4</v>
      </c>
      <c r="AY511" s="287">
        <v>1.4562761128121009E-3</v>
      </c>
      <c r="AZ511" s="287">
        <v>2.3774708592162112E-3</v>
      </c>
      <c r="BA511" s="287">
        <v>1.0286243073300825E-3</v>
      </c>
      <c r="BB511" s="287">
        <v>2.1555928522516642E-3</v>
      </c>
      <c r="BC511" s="287">
        <v>2.2444929733241173E-3</v>
      </c>
      <c r="BD511" s="287">
        <v>2.7864800183348372E-3</v>
      </c>
      <c r="BE511" s="287">
        <v>2.0706440554213949E-3</v>
      </c>
      <c r="BF511" s="287">
        <v>2.4291033641067549E-3</v>
      </c>
      <c r="BG511" s="287">
        <v>2.6795683500071984E-3</v>
      </c>
      <c r="BH511" s="287">
        <v>3.5773148710262687E-3</v>
      </c>
      <c r="BI511" s="287">
        <v>3.064006855869834E-3</v>
      </c>
      <c r="BJ511" s="287">
        <v>2.4328628359717775E-3</v>
      </c>
      <c r="BK511" s="287">
        <v>4.5339262409039753E-3</v>
      </c>
    </row>
    <row r="512" spans="1:63" ht="14.25" customHeight="1" x14ac:dyDescent="0.35">
      <c r="A512" s="277" t="s">
        <v>114</v>
      </c>
      <c r="B512" s="287">
        <v>6.7285154529046574E-3</v>
      </c>
      <c r="C512" s="287">
        <v>3.1764472670221581E-3</v>
      </c>
      <c r="D512" s="287">
        <v>4.0960366097065378E-3</v>
      </c>
      <c r="E512" s="287">
        <v>2.6064680069522676E-3</v>
      </c>
      <c r="F512" s="287">
        <v>8.5650180537892636E-3</v>
      </c>
      <c r="G512" s="287">
        <v>4.2013818243792765E-7</v>
      </c>
      <c r="H512" s="287">
        <v>2.0662913351509652E-3</v>
      </c>
      <c r="I512" s="287">
        <v>1.3930725848167494E-2</v>
      </c>
      <c r="J512" s="287">
        <v>1.2428392668463123E-2</v>
      </c>
      <c r="K512" s="287">
        <v>4.0772890277499607E-3</v>
      </c>
      <c r="L512" s="287">
        <v>5.6282495741703424E-3</v>
      </c>
      <c r="M512" s="287">
        <v>1.2717567649956914E-2</v>
      </c>
      <c r="N512" s="287">
        <v>1.5769733854771818E-3</v>
      </c>
      <c r="O512" s="287">
        <v>4.8247248017793034E-3</v>
      </c>
      <c r="P512" s="287">
        <v>3.8137164502022418E-3</v>
      </c>
      <c r="Q512" s="287">
        <v>1.6928645607316819E-3</v>
      </c>
      <c r="R512" s="287">
        <v>5.1532216134486811E-3</v>
      </c>
      <c r="S512" s="287">
        <v>3.3095390596615064E-3</v>
      </c>
      <c r="T512" s="287">
        <v>4.3520466178254818E-3</v>
      </c>
      <c r="U512" s="287">
        <v>1.2650801762552992E-3</v>
      </c>
      <c r="V512" s="287">
        <v>1.9370836207965791E-3</v>
      </c>
      <c r="W512" s="287">
        <v>4.1453502858844497E-3</v>
      </c>
      <c r="X512" s="287">
        <v>4.1007126276692606E-3</v>
      </c>
      <c r="Y512" s="287">
        <v>4.932766235130657E-3</v>
      </c>
      <c r="Z512" s="287">
        <v>0</v>
      </c>
      <c r="AA512" s="287">
        <v>5.2436066931745321E-3</v>
      </c>
      <c r="AB512" s="287">
        <v>2.56875496030102E-3</v>
      </c>
      <c r="AC512" s="287">
        <v>3.4798577740435691E-3</v>
      </c>
      <c r="AD512" s="287">
        <v>4.4797505798650781E-3</v>
      </c>
      <c r="AE512" s="287">
        <v>3.0815426141573708E-3</v>
      </c>
      <c r="AF512" s="287">
        <v>5.2672479222344469E-3</v>
      </c>
      <c r="AG512" s="287">
        <v>6.2302638601837235E-3</v>
      </c>
      <c r="AH512" s="287">
        <v>7.4357533348378751E-3</v>
      </c>
      <c r="AI512" s="287">
        <v>0</v>
      </c>
      <c r="AJ512" s="287">
        <v>9.4314793381422637E-3</v>
      </c>
      <c r="AK512" s="287">
        <v>9.464785839093626E-3</v>
      </c>
      <c r="AL512" s="287">
        <v>5.1849570298379312E-3</v>
      </c>
      <c r="AM512" s="287">
        <v>0</v>
      </c>
      <c r="AN512" s="287">
        <v>0</v>
      </c>
      <c r="AO512" s="287">
        <v>6.4528495891197236E-3</v>
      </c>
      <c r="AP512" s="287">
        <v>5.08604710897167E-3</v>
      </c>
      <c r="AQ512" s="287">
        <v>3.0763001059912862E-3</v>
      </c>
      <c r="AR512" s="287">
        <v>4.9508900441309371E-3</v>
      </c>
      <c r="AS512" s="287">
        <v>6.3470039147804601E-3</v>
      </c>
      <c r="AT512" s="287">
        <v>5.1972312388547642E-3</v>
      </c>
      <c r="AU512" s="287">
        <v>9.2559734375651792E-3</v>
      </c>
      <c r="AV512" s="287">
        <v>5.9853423879490334E-3</v>
      </c>
      <c r="AW512" s="287">
        <v>5.5615507489804421E-3</v>
      </c>
      <c r="AX512" s="287">
        <v>8.2242439806191961E-3</v>
      </c>
      <c r="AY512" s="287">
        <v>0</v>
      </c>
      <c r="AZ512" s="287">
        <v>0</v>
      </c>
      <c r="BA512" s="287">
        <v>1.0938405642975456E-2</v>
      </c>
      <c r="BB512" s="287">
        <v>6.0685317893724791E-3</v>
      </c>
      <c r="BC512" s="287">
        <v>7.1906346271355679E-3</v>
      </c>
      <c r="BD512" s="287">
        <v>7.6486350422172453E-3</v>
      </c>
      <c r="BE512" s="287">
        <v>7.5670767805655235E-3</v>
      </c>
      <c r="BF512" s="287">
        <v>7.2678148785388962E-3</v>
      </c>
      <c r="BG512" s="287">
        <v>1.0679358697761161E-2</v>
      </c>
      <c r="BH512" s="287">
        <v>1.0812707706778453E-2</v>
      </c>
      <c r="BI512" s="287">
        <v>8.0184012087046626E-3</v>
      </c>
      <c r="BJ512" s="287">
        <v>7.5415853820166752E-3</v>
      </c>
      <c r="BK512" s="287">
        <v>1.4202241035735459E-2</v>
      </c>
    </row>
    <row r="513" spans="1:63" ht="14.25" customHeight="1" x14ac:dyDescent="0.35">
      <c r="A513" s="277" t="s">
        <v>115</v>
      </c>
      <c r="B513" s="287">
        <v>6.7801956516760345E-3</v>
      </c>
      <c r="C513" s="287">
        <v>4.5785771751409212E-3</v>
      </c>
      <c r="D513" s="287">
        <v>7.4668453663830469E-3</v>
      </c>
      <c r="E513" s="287">
        <v>5.6262403756065851E-3</v>
      </c>
      <c r="F513" s="287">
        <v>6.1235583474937407E-3</v>
      </c>
      <c r="G513" s="287">
        <v>0</v>
      </c>
      <c r="H513" s="287">
        <v>0</v>
      </c>
      <c r="I513" s="287">
        <v>0</v>
      </c>
      <c r="J513" s="287">
        <v>0</v>
      </c>
      <c r="K513" s="287">
        <v>1.8479171409384269E-3</v>
      </c>
      <c r="L513" s="287">
        <v>4.1594756196454315E-3</v>
      </c>
      <c r="M513" s="287">
        <v>0</v>
      </c>
      <c r="N513" s="287">
        <v>1.7491872530453791E-3</v>
      </c>
      <c r="O513" s="287">
        <v>9.1977172810571103E-4</v>
      </c>
      <c r="P513" s="287">
        <v>3.8621305568658287E-3</v>
      </c>
      <c r="Q513" s="287">
        <v>1.0549821191301115E-3</v>
      </c>
      <c r="R513" s="287">
        <v>6.9929681849626715E-3</v>
      </c>
      <c r="S513" s="287">
        <v>3.2163401434487943E-3</v>
      </c>
      <c r="T513" s="287">
        <v>3.8751385750544526E-3</v>
      </c>
      <c r="U513" s="287">
        <v>0</v>
      </c>
      <c r="V513" s="287">
        <v>9.4630822323851489E-4</v>
      </c>
      <c r="W513" s="287">
        <v>3.4275758837471826E-3</v>
      </c>
      <c r="X513" s="287">
        <v>4.4538441631140875E-3</v>
      </c>
      <c r="Y513" s="287">
        <v>4.6484413954727211E-3</v>
      </c>
      <c r="Z513" s="287">
        <v>0</v>
      </c>
      <c r="AA513" s="287">
        <v>5.0870994116461307E-3</v>
      </c>
      <c r="AB513" s="287">
        <v>3.2873663721568786E-3</v>
      </c>
      <c r="AC513" s="287">
        <v>3.1538069167741001E-3</v>
      </c>
      <c r="AD513" s="287">
        <v>4.5674481342146845E-3</v>
      </c>
      <c r="AE513" s="287">
        <v>2.3039148945095621E-3</v>
      </c>
      <c r="AF513" s="287">
        <v>5.2263453393003824E-3</v>
      </c>
      <c r="AG513" s="287">
        <v>6.6300681077356835E-3</v>
      </c>
      <c r="AH513" s="287">
        <v>7.2611239702223022E-3</v>
      </c>
      <c r="AI513" s="287">
        <v>0</v>
      </c>
      <c r="AJ513" s="287">
        <v>1.1291499917497682E-2</v>
      </c>
      <c r="AK513" s="287">
        <v>1.1267757583842972E-2</v>
      </c>
      <c r="AL513" s="287">
        <v>3.629679434845354E-3</v>
      </c>
      <c r="AM513" s="287">
        <v>1.0390068815563317E-2</v>
      </c>
      <c r="AN513" s="287">
        <v>0</v>
      </c>
      <c r="AO513" s="287">
        <v>6.7736031654219934E-3</v>
      </c>
      <c r="AP513" s="287">
        <v>1.1930644939928327E-3</v>
      </c>
      <c r="AQ513" s="287">
        <v>1.540069357899104E-3</v>
      </c>
      <c r="AR513" s="287">
        <v>6.9900279158389869E-4</v>
      </c>
      <c r="AS513" s="287">
        <v>6.8136970956358235E-3</v>
      </c>
      <c r="AT513" s="287">
        <v>5.129585880309491E-3</v>
      </c>
      <c r="AU513" s="287">
        <v>8.9108479624026536E-3</v>
      </c>
      <c r="AV513" s="287">
        <v>5.5213336776638961E-3</v>
      </c>
      <c r="AW513" s="287">
        <v>4.7942707769664007E-3</v>
      </c>
      <c r="AX513" s="287">
        <v>6.9266863246066649E-3</v>
      </c>
      <c r="AY513" s="287">
        <v>5.5456340419883345E-3</v>
      </c>
      <c r="AZ513" s="287">
        <v>2.7279824776694859E-3</v>
      </c>
      <c r="BA513" s="287">
        <v>4.5057473601380653E-3</v>
      </c>
      <c r="BB513" s="287">
        <v>7.7780280116946281E-3</v>
      </c>
      <c r="BC513" s="287">
        <v>6.6556589734762441E-3</v>
      </c>
      <c r="BD513" s="287">
        <v>7.7069593208773856E-3</v>
      </c>
      <c r="BE513" s="287">
        <v>1.2165095391148718E-2</v>
      </c>
      <c r="BF513" s="287">
        <v>7.0023155013964125E-3</v>
      </c>
      <c r="BG513" s="287">
        <v>1.047667289033445E-2</v>
      </c>
      <c r="BH513" s="287">
        <v>1.2104917519466445E-2</v>
      </c>
      <c r="BI513" s="287">
        <v>7.9218647937639997E-3</v>
      </c>
      <c r="BJ513" s="287">
        <v>6.7524938922325847E-3</v>
      </c>
      <c r="BK513" s="287">
        <v>1.388090317181025E-2</v>
      </c>
    </row>
    <row r="514" spans="1:63" ht="14.25" customHeight="1" x14ac:dyDescent="0.35">
      <c r="A514" s="277" t="s">
        <v>116</v>
      </c>
      <c r="B514" s="287">
        <v>5.004073401517449E-3</v>
      </c>
      <c r="C514" s="287">
        <v>2.7313736836728927E-3</v>
      </c>
      <c r="D514" s="287">
        <v>2.9071599718536126E-3</v>
      </c>
      <c r="E514" s="287">
        <v>4.9767637244157404E-3</v>
      </c>
      <c r="F514" s="287">
        <v>4.9171506398002019E-3</v>
      </c>
      <c r="G514" s="287">
        <v>4.1673608226964788E-3</v>
      </c>
      <c r="H514" s="287">
        <v>8.3362522591431919E-3</v>
      </c>
      <c r="I514" s="287">
        <v>4.3796469522788851E-3</v>
      </c>
      <c r="J514" s="287">
        <v>1.4513000243264275E-4</v>
      </c>
      <c r="K514" s="287">
        <v>2.8597178480177553E-3</v>
      </c>
      <c r="L514" s="287">
        <v>2.8294609220242549E-3</v>
      </c>
      <c r="M514" s="287">
        <v>8.2174613145779059E-3</v>
      </c>
      <c r="N514" s="287">
        <v>1.6346933561483378E-3</v>
      </c>
      <c r="O514" s="287">
        <v>3.679119475588979E-3</v>
      </c>
      <c r="P514" s="287">
        <v>1.0506405620451834E-3</v>
      </c>
      <c r="Q514" s="287">
        <v>2.5124170983109781E-3</v>
      </c>
      <c r="R514" s="287">
        <v>3.7231525823515506E-3</v>
      </c>
      <c r="S514" s="287">
        <v>3.300488022309029E-3</v>
      </c>
      <c r="T514" s="287">
        <v>2.9392717560067288E-3</v>
      </c>
      <c r="U514" s="287">
        <v>0</v>
      </c>
      <c r="V514" s="287">
        <v>3.2547338030217646E-3</v>
      </c>
      <c r="W514" s="287">
        <v>3.2940428745208659E-3</v>
      </c>
      <c r="X514" s="287">
        <v>2.6277942988201658E-3</v>
      </c>
      <c r="Y514" s="287">
        <v>3.5019727572171795E-3</v>
      </c>
      <c r="Z514" s="287">
        <v>0</v>
      </c>
      <c r="AA514" s="287">
        <v>3.2020824514260781E-3</v>
      </c>
      <c r="AB514" s="287">
        <v>3.1938771678342312E-3</v>
      </c>
      <c r="AC514" s="287">
        <v>3.5690704496146768E-3</v>
      </c>
      <c r="AD514" s="287">
        <v>3.2938107674440396E-3</v>
      </c>
      <c r="AE514" s="287">
        <v>1.9497976776773659E-3</v>
      </c>
      <c r="AF514" s="287">
        <v>4.2515386443917206E-3</v>
      </c>
      <c r="AG514" s="287">
        <v>1.5569143866179646E-3</v>
      </c>
      <c r="AH514" s="287">
        <v>1.6830707722091717E-3</v>
      </c>
      <c r="AI514" s="287">
        <v>6.5528795991021604E-3</v>
      </c>
      <c r="AJ514" s="287">
        <v>5.2851695368245719E-3</v>
      </c>
      <c r="AK514" s="287">
        <v>5.2234077511632811E-3</v>
      </c>
      <c r="AL514" s="287">
        <v>3.5962405404575611E-4</v>
      </c>
      <c r="AM514" s="287">
        <v>3.216934768441614E-3</v>
      </c>
      <c r="AN514" s="287">
        <v>0</v>
      </c>
      <c r="AO514" s="287">
        <v>7.0063818807606309E-5</v>
      </c>
      <c r="AP514" s="287">
        <v>2.0563664497950341E-3</v>
      </c>
      <c r="AQ514" s="287">
        <v>4.4027593506449584E-3</v>
      </c>
      <c r="AR514" s="287">
        <v>1.7820904192182501E-4</v>
      </c>
      <c r="AS514" s="287">
        <v>8.6197356417627247E-4</v>
      </c>
      <c r="AT514" s="287">
        <v>2.9774914712009286E-3</v>
      </c>
      <c r="AU514" s="287">
        <v>5.0107544181849416E-3</v>
      </c>
      <c r="AV514" s="287">
        <v>7.8336374089555301E-3</v>
      </c>
      <c r="AW514" s="287">
        <v>5.1707027068234523E-3</v>
      </c>
      <c r="AX514" s="287">
        <v>4.0205282306816697E-3</v>
      </c>
      <c r="AY514" s="287">
        <v>1.6473449053203005E-4</v>
      </c>
      <c r="AZ514" s="287">
        <v>4.4574590580013446E-3</v>
      </c>
      <c r="BA514" s="287">
        <v>2.2338393048324124E-3</v>
      </c>
      <c r="BB514" s="287">
        <v>4.4321840881870996E-3</v>
      </c>
      <c r="BC514" s="287">
        <v>4.9481552973102494E-3</v>
      </c>
      <c r="BD514" s="287">
        <v>6.3384115342747177E-3</v>
      </c>
      <c r="BE514" s="287">
        <v>7.0662481273986253E-3</v>
      </c>
      <c r="BF514" s="287">
        <v>3.8205370753578221E-3</v>
      </c>
      <c r="BG514" s="287">
        <v>7.6923516277275306E-3</v>
      </c>
      <c r="BH514" s="287">
        <v>7.1061095274286149E-3</v>
      </c>
      <c r="BI514" s="287">
        <v>4.3485940468284568E-3</v>
      </c>
      <c r="BJ514" s="287">
        <v>4.753775424447426E-3</v>
      </c>
      <c r="BK514" s="287">
        <v>9.2860412666079719E-3</v>
      </c>
    </row>
    <row r="515" spans="1:63" ht="14.25" customHeight="1" x14ac:dyDescent="0.35">
      <c r="A515" s="277" t="s">
        <v>117</v>
      </c>
      <c r="B515" s="287">
        <v>2.5993626898918056E-3</v>
      </c>
      <c r="C515" s="287">
        <v>2.8613168724741056E-3</v>
      </c>
      <c r="D515" s="287">
        <v>2.5438999850115173E-3</v>
      </c>
      <c r="E515" s="287">
        <v>2.0831938713681232E-3</v>
      </c>
      <c r="F515" s="287">
        <v>3.8815662838248845E-3</v>
      </c>
      <c r="G515" s="287">
        <v>1.0570756544360576E-3</v>
      </c>
      <c r="H515" s="287">
        <v>2.6833543454055316E-3</v>
      </c>
      <c r="I515" s="287">
        <v>3.2564144249605017E-3</v>
      </c>
      <c r="J515" s="287">
        <v>0</v>
      </c>
      <c r="K515" s="287">
        <v>6.0683567399236833E-4</v>
      </c>
      <c r="L515" s="287">
        <v>2.2293117876756056E-3</v>
      </c>
      <c r="M515" s="287">
        <v>0</v>
      </c>
      <c r="N515" s="287">
        <v>1.0104179558269345E-3</v>
      </c>
      <c r="O515" s="287">
        <v>1.2344517222430196E-3</v>
      </c>
      <c r="P515" s="287">
        <v>2.3894812931453311E-3</v>
      </c>
      <c r="Q515" s="287">
        <v>5.1586410664979402E-4</v>
      </c>
      <c r="R515" s="287">
        <v>2.6542310111679159E-3</v>
      </c>
      <c r="S515" s="287">
        <v>1.3082553186915618E-3</v>
      </c>
      <c r="T515" s="287">
        <v>1.7887871452613939E-3</v>
      </c>
      <c r="U515" s="287">
        <v>6.2191540233603592E-4</v>
      </c>
      <c r="V515" s="287">
        <v>7.1762863648939179E-4</v>
      </c>
      <c r="W515" s="287">
        <v>1.5198246460074586E-3</v>
      </c>
      <c r="X515" s="287">
        <v>1.4931076567376016E-3</v>
      </c>
      <c r="Y515" s="287">
        <v>1.668493762651302E-3</v>
      </c>
      <c r="Z515" s="287">
        <v>0</v>
      </c>
      <c r="AA515" s="287">
        <v>1.868475332424792E-3</v>
      </c>
      <c r="AB515" s="287">
        <v>5.4155048417683439E-4</v>
      </c>
      <c r="AC515" s="287">
        <v>1.1704764979527744E-3</v>
      </c>
      <c r="AD515" s="287">
        <v>1.2449890397579944E-3</v>
      </c>
      <c r="AE515" s="287">
        <v>6.0020220136942676E-4</v>
      </c>
      <c r="AF515" s="287">
        <v>1.8286173443433742E-3</v>
      </c>
      <c r="AG515" s="287">
        <v>1.4785815234815817E-3</v>
      </c>
      <c r="AH515" s="287">
        <v>1.2391222131431648E-3</v>
      </c>
      <c r="AI515" s="287">
        <v>3.0063551154779901E-3</v>
      </c>
      <c r="AJ515" s="287">
        <v>3.0062210692089874E-3</v>
      </c>
      <c r="AK515" s="287">
        <v>1.167474397094646E-3</v>
      </c>
      <c r="AL515" s="287">
        <v>6.1578574954506023E-4</v>
      </c>
      <c r="AM515" s="287">
        <v>3.1504099459005053E-3</v>
      </c>
      <c r="AN515" s="287">
        <v>0</v>
      </c>
      <c r="AO515" s="287">
        <v>4.2891752459340069E-4</v>
      </c>
      <c r="AP515" s="287">
        <v>2.5964338757184587E-4</v>
      </c>
      <c r="AQ515" s="287">
        <v>3.0432669338555009E-4</v>
      </c>
      <c r="AR515" s="287">
        <v>5.1596437929782345E-4</v>
      </c>
      <c r="AS515" s="287">
        <v>2.0099858410307092E-3</v>
      </c>
      <c r="AT515" s="287">
        <v>1.8883892565305187E-3</v>
      </c>
      <c r="AU515" s="287">
        <v>2.711301639672376E-3</v>
      </c>
      <c r="AV515" s="287">
        <v>3.4240138850123013E-3</v>
      </c>
      <c r="AW515" s="287">
        <v>2.3596936486627242E-3</v>
      </c>
      <c r="AX515" s="287">
        <v>3.9140252210648962E-3</v>
      </c>
      <c r="AY515" s="287">
        <v>1.8315162460857081E-3</v>
      </c>
      <c r="AZ515" s="287">
        <v>2.615664871759777E-3</v>
      </c>
      <c r="BA515" s="287">
        <v>2.1777370124104163E-3</v>
      </c>
      <c r="BB515" s="287">
        <v>2.4466737396418824E-3</v>
      </c>
      <c r="BC515" s="287">
        <v>2.4732275469528603E-3</v>
      </c>
      <c r="BD515" s="287">
        <v>2.7436004790897315E-3</v>
      </c>
      <c r="BE515" s="287">
        <v>3.0002287925387631E-3</v>
      </c>
      <c r="BF515" s="287">
        <v>1.9304700763804914E-3</v>
      </c>
      <c r="BG515" s="287">
        <v>3.2704971640633677E-3</v>
      </c>
      <c r="BH515" s="287">
        <v>3.6255886580104099E-3</v>
      </c>
      <c r="BI515" s="287">
        <v>3.1005859447884444E-3</v>
      </c>
      <c r="BJ515" s="287">
        <v>3.1983445125797197E-3</v>
      </c>
      <c r="BK515" s="287">
        <v>5.064830412667959E-3</v>
      </c>
    </row>
    <row r="516" spans="1:63" ht="14.25" customHeight="1" x14ac:dyDescent="0.35">
      <c r="A516" s="277" t="s">
        <v>118</v>
      </c>
      <c r="B516" s="287">
        <v>3.4194870479668819E-3</v>
      </c>
      <c r="C516" s="287">
        <v>1.8286638191378161E-3</v>
      </c>
      <c r="D516" s="287">
        <v>3.8539573378517013E-3</v>
      </c>
      <c r="E516" s="287">
        <v>1.9347939762831279E-3</v>
      </c>
      <c r="F516" s="287">
        <v>2.8229157935425399E-3</v>
      </c>
      <c r="G516" s="287">
        <v>0</v>
      </c>
      <c r="H516" s="287">
        <v>5.8894894167385069E-3</v>
      </c>
      <c r="I516" s="287">
        <v>0</v>
      </c>
      <c r="J516" s="287">
        <v>0</v>
      </c>
      <c r="K516" s="287">
        <v>1.405734177166759E-3</v>
      </c>
      <c r="L516" s="287">
        <v>1.1645470407013439E-3</v>
      </c>
      <c r="M516" s="287">
        <v>5.9117462512795369E-3</v>
      </c>
      <c r="N516" s="287">
        <v>1.0219504587926018E-3</v>
      </c>
      <c r="O516" s="287">
        <v>2.2327634215075086E-3</v>
      </c>
      <c r="P516" s="287">
        <v>1.6529383428916396E-3</v>
      </c>
      <c r="Q516" s="287">
        <v>1.5874251268112615E-3</v>
      </c>
      <c r="R516" s="287">
        <v>2.8990691753478732E-3</v>
      </c>
      <c r="S516" s="287">
        <v>1.5741507553519432E-3</v>
      </c>
      <c r="T516" s="287">
        <v>1.7602951570654386E-3</v>
      </c>
      <c r="U516" s="287">
        <v>0</v>
      </c>
      <c r="V516" s="287">
        <v>1.2727302957519469E-3</v>
      </c>
      <c r="W516" s="287">
        <v>2.41359949578246E-3</v>
      </c>
      <c r="X516" s="287">
        <v>2.0900951243199217E-3</v>
      </c>
      <c r="Y516" s="287">
        <v>2.1918508643116773E-3</v>
      </c>
      <c r="Z516" s="287">
        <v>0</v>
      </c>
      <c r="AA516" s="287">
        <v>2.4157396151268293E-3</v>
      </c>
      <c r="AB516" s="287">
        <v>2.4148739419570793E-3</v>
      </c>
      <c r="AC516" s="287">
        <v>1.8977711379218245E-3</v>
      </c>
      <c r="AD516" s="287">
        <v>2.1135742526379366E-3</v>
      </c>
      <c r="AE516" s="287">
        <v>1.4020807412565962E-3</v>
      </c>
      <c r="AF516" s="287">
        <v>2.5345357892039779E-3</v>
      </c>
      <c r="AG516" s="287">
        <v>2.2322541913279538E-3</v>
      </c>
      <c r="AH516" s="287">
        <v>1.8281465581249615E-3</v>
      </c>
      <c r="AI516" s="287">
        <v>4.2081703319012112E-3</v>
      </c>
      <c r="AJ516" s="287">
        <v>3.8571260709803572E-3</v>
      </c>
      <c r="AK516" s="287">
        <v>0</v>
      </c>
      <c r="AL516" s="287">
        <v>1.0539825559473161E-3</v>
      </c>
      <c r="AM516" s="287">
        <v>3.800300431181635E-3</v>
      </c>
      <c r="AN516" s="287">
        <v>0</v>
      </c>
      <c r="AO516" s="287">
        <v>5.2418154037175101E-4</v>
      </c>
      <c r="AP516" s="287">
        <v>9.2622677594725246E-4</v>
      </c>
      <c r="AQ516" s="287">
        <v>1.824977764259262E-3</v>
      </c>
      <c r="AR516" s="287">
        <v>2.0574532469008712E-3</v>
      </c>
      <c r="AS516" s="287">
        <v>1.8978649514048264E-3</v>
      </c>
      <c r="AT516" s="287">
        <v>2.0076624970252342E-3</v>
      </c>
      <c r="AU516" s="287">
        <v>3.3535251740335857E-3</v>
      </c>
      <c r="AV516" s="287">
        <v>2.4251384920768986E-3</v>
      </c>
      <c r="AW516" s="287">
        <v>2.488038459652116E-3</v>
      </c>
      <c r="AX516" s="287">
        <v>1.3977764721139544E-3</v>
      </c>
      <c r="AY516" s="287">
        <v>2.2591493953336354E-3</v>
      </c>
      <c r="AZ516" s="287">
        <v>4.9133890530291347E-3</v>
      </c>
      <c r="BA516" s="287">
        <v>7.9406765320094524E-4</v>
      </c>
      <c r="BB516" s="287">
        <v>2.8444747168279681E-3</v>
      </c>
      <c r="BC516" s="287">
        <v>2.9938938605318455E-3</v>
      </c>
      <c r="BD516" s="287">
        <v>3.4339310076647866E-3</v>
      </c>
      <c r="BE516" s="287">
        <v>5.0553687831233277E-3</v>
      </c>
      <c r="BF516" s="287">
        <v>3.1572752723954328E-3</v>
      </c>
      <c r="BG516" s="287">
        <v>4.1226228379955101E-3</v>
      </c>
      <c r="BH516" s="287">
        <v>4.6752153250766955E-3</v>
      </c>
      <c r="BI516" s="287">
        <v>3.778982023214794E-3</v>
      </c>
      <c r="BJ516" s="287">
        <v>2.9729082830815476E-3</v>
      </c>
      <c r="BK516" s="287">
        <v>6.173045022581751E-3</v>
      </c>
    </row>
    <row r="517" spans="1:63" ht="14.25" customHeight="1" x14ac:dyDescent="0.35">
      <c r="A517" s="277" t="s">
        <v>119</v>
      </c>
      <c r="B517" s="287">
        <v>1.1891912876666468E-2</v>
      </c>
      <c r="C517" s="287">
        <v>3.8287272236761419E-3</v>
      </c>
      <c r="D517" s="287">
        <v>1.1648421511329634E-2</v>
      </c>
      <c r="E517" s="287">
        <v>4.3802379344778262E-3</v>
      </c>
      <c r="F517" s="287">
        <v>6.3083514922799627E-3</v>
      </c>
      <c r="G517" s="287">
        <v>3.7580807150720077E-3</v>
      </c>
      <c r="H517" s="287">
        <v>4.3745077187281748E-3</v>
      </c>
      <c r="I517" s="287">
        <v>1.6544093864215396E-2</v>
      </c>
      <c r="J517" s="287">
        <v>1.5375558378447556E-4</v>
      </c>
      <c r="K517" s="287">
        <v>3.7175775748518767E-3</v>
      </c>
      <c r="L517" s="287">
        <v>4.4516888611132576E-3</v>
      </c>
      <c r="M517" s="287">
        <v>2.676103533675834E-4</v>
      </c>
      <c r="N517" s="287">
        <v>1.7127232344793018E-3</v>
      </c>
      <c r="O517" s="287">
        <v>2.5745512167617501E-3</v>
      </c>
      <c r="P517" s="287">
        <v>3.2249359791251602E-3</v>
      </c>
      <c r="Q517" s="287">
        <v>2.3123189040942312E-3</v>
      </c>
      <c r="R517" s="287">
        <v>7.0622680351617824E-3</v>
      </c>
      <c r="S517" s="287">
        <v>3.3638698808827862E-3</v>
      </c>
      <c r="T517" s="287">
        <v>4.917190573231269E-3</v>
      </c>
      <c r="U517" s="287">
        <v>5.407152141583898E-4</v>
      </c>
      <c r="V517" s="287">
        <v>1.3159558485601277E-3</v>
      </c>
      <c r="W517" s="287">
        <v>4.7665878017766278E-3</v>
      </c>
      <c r="X517" s="287">
        <v>5.0443911401577843E-3</v>
      </c>
      <c r="Y517" s="287">
        <v>5.4011637948115539E-3</v>
      </c>
      <c r="Z517" s="287">
        <v>0</v>
      </c>
      <c r="AA517" s="287">
        <v>5.605290626802888E-3</v>
      </c>
      <c r="AB517" s="287">
        <v>6.6366980600947364E-3</v>
      </c>
      <c r="AC517" s="287">
        <v>4.5635951365839752E-3</v>
      </c>
      <c r="AD517" s="287">
        <v>6.4470945845912552E-3</v>
      </c>
      <c r="AE517" s="287">
        <v>3.6797781930645785E-3</v>
      </c>
      <c r="AF517" s="287">
        <v>6.2542025717000774E-3</v>
      </c>
      <c r="AG517" s="287">
        <v>2.613311608035059E-3</v>
      </c>
      <c r="AH517" s="287">
        <v>3.2483518648715915E-3</v>
      </c>
      <c r="AI517" s="287">
        <v>1.0393746131750904E-2</v>
      </c>
      <c r="AJ517" s="287">
        <v>9.1191676288349226E-3</v>
      </c>
      <c r="AK517" s="287">
        <v>9.7325502180755797E-3</v>
      </c>
      <c r="AL517" s="287">
        <v>1.7149980146771368E-3</v>
      </c>
      <c r="AM517" s="287">
        <v>9.8483703502747055E-3</v>
      </c>
      <c r="AN517" s="287">
        <v>7.708025819212397E-3</v>
      </c>
      <c r="AO517" s="287">
        <v>3.7985596815660731E-3</v>
      </c>
      <c r="AP517" s="287">
        <v>3.8907236542661205E-3</v>
      </c>
      <c r="AQ517" s="287">
        <v>6.6581295088922045E-4</v>
      </c>
      <c r="AR517" s="287">
        <v>0</v>
      </c>
      <c r="AS517" s="287">
        <v>4.3471761298270305E-3</v>
      </c>
      <c r="AT517" s="287">
        <v>6.3702565334455199E-3</v>
      </c>
      <c r="AU517" s="287">
        <v>1.1039120810204448E-2</v>
      </c>
      <c r="AV517" s="287">
        <v>4.8366223424655026E-3</v>
      </c>
      <c r="AW517" s="287">
        <v>8.7842000264183179E-3</v>
      </c>
      <c r="AX517" s="287">
        <v>1.2074534099798178E-2</v>
      </c>
      <c r="AY517" s="287">
        <v>3.3368794675474865E-3</v>
      </c>
      <c r="AZ517" s="287">
        <v>1.1832547570946531E-3</v>
      </c>
      <c r="BA517" s="287">
        <v>2.2725985702574882E-3</v>
      </c>
      <c r="BB517" s="287">
        <v>9.6762929074809146E-3</v>
      </c>
      <c r="BC517" s="287">
        <v>8.5963930361156824E-3</v>
      </c>
      <c r="BD517" s="287">
        <v>9.4483603296985266E-3</v>
      </c>
      <c r="BE517" s="287">
        <v>1.4570688171757239E-2</v>
      </c>
      <c r="BF517" s="287">
        <v>8.7131578392305072E-3</v>
      </c>
      <c r="BG517" s="287">
        <v>1.2528135873204194E-2</v>
      </c>
      <c r="BH517" s="287">
        <v>1.485756902834953E-2</v>
      </c>
      <c r="BI517" s="287">
        <v>1.0753820503152342E-2</v>
      </c>
      <c r="BJ517" s="287">
        <v>9.1886482903930158E-3</v>
      </c>
      <c r="BK517" s="287">
        <v>1.7057819280999358E-2</v>
      </c>
    </row>
    <row r="518" spans="1:63" ht="14.25" customHeight="1" x14ac:dyDescent="0.35">
      <c r="A518" s="277" t="s">
        <v>120</v>
      </c>
      <c r="B518" s="287">
        <v>3.786408678552268E-2</v>
      </c>
      <c r="C518" s="287">
        <v>3.1395860703122634E-2</v>
      </c>
      <c r="D518" s="287">
        <v>7.7280604114216736E-2</v>
      </c>
      <c r="E518" s="287">
        <v>2.7278416240436365E-2</v>
      </c>
      <c r="F518" s="287">
        <v>5.8079253007856477E-2</v>
      </c>
      <c r="G518" s="287">
        <v>0</v>
      </c>
      <c r="H518" s="287">
        <v>0</v>
      </c>
      <c r="I518" s="287">
        <v>0.1003875937522188</v>
      </c>
      <c r="J518" s="287">
        <v>8.9519517383841063E-2</v>
      </c>
      <c r="K518" s="287">
        <v>2.5802768252090293E-2</v>
      </c>
      <c r="L518" s="287">
        <v>3.692874011609093E-2</v>
      </c>
      <c r="M518" s="287">
        <v>8.9573683446298388E-2</v>
      </c>
      <c r="N518" s="287">
        <v>1.9817304091957404E-2</v>
      </c>
      <c r="O518" s="287">
        <v>5.2468393347106346E-2</v>
      </c>
      <c r="P518" s="287">
        <v>5.2289569857116025E-2</v>
      </c>
      <c r="Q518" s="287">
        <v>1.5551895752589638E-2</v>
      </c>
      <c r="R518" s="287">
        <v>4.9341816458073036E-3</v>
      </c>
      <c r="S518" s="287">
        <v>2.8589567093729649E-2</v>
      </c>
      <c r="T518" s="287">
        <v>2.81131378519087E-2</v>
      </c>
      <c r="U518" s="287">
        <v>6.126614389989711E-2</v>
      </c>
      <c r="V518" s="287">
        <v>1.8307749534796063E-2</v>
      </c>
      <c r="W518" s="287">
        <v>4.9550221044378319E-2</v>
      </c>
      <c r="X518" s="287">
        <v>3.6147338813417418E-2</v>
      </c>
      <c r="Y518" s="287">
        <v>3.3000954650909513E-2</v>
      </c>
      <c r="Z518" s="287">
        <v>0</v>
      </c>
      <c r="AA518" s="287">
        <v>4.233547600013636E-2</v>
      </c>
      <c r="AB518" s="287">
        <v>5.044104905997672E-2</v>
      </c>
      <c r="AC518" s="287">
        <v>3.5945537153263041E-2</v>
      </c>
      <c r="AD518" s="287">
        <v>3.9494437814604696E-2</v>
      </c>
      <c r="AE518" s="287">
        <v>3.4620836128164578E-2</v>
      </c>
      <c r="AF518" s="287">
        <v>4.2406905815616965E-2</v>
      </c>
      <c r="AG518" s="287">
        <v>2.4424443180588316E-2</v>
      </c>
      <c r="AH518" s="287">
        <v>2.4708441053443164E-2</v>
      </c>
      <c r="AI518" s="287">
        <v>7.4114247432122554E-2</v>
      </c>
      <c r="AJ518" s="287">
        <v>7.1976459392957506E-2</v>
      </c>
      <c r="AK518" s="287">
        <v>6.3653759734767293E-2</v>
      </c>
      <c r="AL518" s="287">
        <v>2.3514062881436797E-2</v>
      </c>
      <c r="AM518" s="287">
        <v>1.948327147754773E-2</v>
      </c>
      <c r="AN518" s="287">
        <v>0</v>
      </c>
      <c r="AO518" s="287">
        <v>5.0820057251331756E-2</v>
      </c>
      <c r="AP518" s="287">
        <v>2.6618964178806361E-2</v>
      </c>
      <c r="AQ518" s="287">
        <v>1.6956677224933558E-2</v>
      </c>
      <c r="AR518" s="287">
        <v>1.9638704700189503E-2</v>
      </c>
      <c r="AS518" s="287">
        <v>4.7340498309072554E-2</v>
      </c>
      <c r="AT518" s="287">
        <v>4.6798116280997844E-2</v>
      </c>
      <c r="AU518" s="287">
        <v>6.9101947485267656E-2</v>
      </c>
      <c r="AV518" s="287">
        <v>3.9031891092083125E-2</v>
      </c>
      <c r="AW518" s="287">
        <v>4.6376591692753842E-2</v>
      </c>
      <c r="AX518" s="287">
        <v>2.7259171698392117E-2</v>
      </c>
      <c r="AY518" s="287">
        <v>3.1308744173863749E-2</v>
      </c>
      <c r="AZ518" s="287">
        <v>2.0919150205244957E-2</v>
      </c>
      <c r="BA518" s="287">
        <v>2.4290869332971872E-2</v>
      </c>
      <c r="BB518" s="287">
        <v>4.659158762467798E-2</v>
      </c>
      <c r="BC518" s="287">
        <v>4.664353678628598E-2</v>
      </c>
      <c r="BD518" s="287">
        <v>6.9027651759847583E-2</v>
      </c>
      <c r="BE518" s="287">
        <v>5.2883594782297857E-2</v>
      </c>
      <c r="BF518" s="287">
        <v>5.1879437091330666E-2</v>
      </c>
      <c r="BG518" s="287">
        <v>6.0040264645069542E-2</v>
      </c>
      <c r="BH518" s="287">
        <v>7.1252051733526098E-2</v>
      </c>
      <c r="BI518" s="287">
        <v>7.2640898408613874E-2</v>
      </c>
      <c r="BJ518" s="287">
        <v>5.7129561094203835E-2</v>
      </c>
      <c r="BK518" s="287">
        <v>0.10270005373082422</v>
      </c>
    </row>
    <row r="519" spans="1:63" ht="14.25" customHeight="1" x14ac:dyDescent="0.35">
      <c r="A519" s="278" t="s">
        <v>83</v>
      </c>
      <c r="B519" s="287">
        <v>8.5914921402173994E-3</v>
      </c>
      <c r="C519" s="287">
        <v>5.8271104149181458E-3</v>
      </c>
      <c r="D519" s="287">
        <v>2.0572194413586045E-3</v>
      </c>
      <c r="E519" s="287">
        <v>3.0609014997888323E-3</v>
      </c>
      <c r="F519" s="287">
        <v>4.6220748979542365E-3</v>
      </c>
      <c r="G519" s="287">
        <v>8.5915041096252809E-3</v>
      </c>
      <c r="H519" s="287">
        <v>1.5692929623730499E-2</v>
      </c>
      <c r="I519" s="287">
        <v>0</v>
      </c>
      <c r="J519" s="287">
        <v>0</v>
      </c>
      <c r="K519" s="287">
        <v>3.6332590952435633E-3</v>
      </c>
      <c r="L519" s="287">
        <v>3.9730627926073542E-3</v>
      </c>
      <c r="M519" s="287">
        <v>0</v>
      </c>
      <c r="N519" s="287">
        <v>3.0381472798574902E-3</v>
      </c>
      <c r="O519" s="287">
        <v>1.888051840579041E-3</v>
      </c>
      <c r="P519" s="287">
        <v>5.541221808612975E-3</v>
      </c>
      <c r="Q519" s="287">
        <v>2.2019255021890611E-3</v>
      </c>
      <c r="R519" s="287">
        <v>7.9208043269983833E-3</v>
      </c>
      <c r="S519" s="287">
        <v>4.9783876960212336E-3</v>
      </c>
      <c r="T519" s="287">
        <v>5.9835358292455783E-3</v>
      </c>
      <c r="U519" s="287">
        <v>1.0904673639520456E-2</v>
      </c>
      <c r="V519" s="287">
        <v>2.1022969236416276E-3</v>
      </c>
      <c r="W519" s="287">
        <v>6.3511240705821734E-3</v>
      </c>
      <c r="X519" s="287">
        <v>6.5671003877199614E-3</v>
      </c>
      <c r="Y519" s="287">
        <v>5.1398734465135133E-3</v>
      </c>
      <c r="Z519" s="287">
        <v>0</v>
      </c>
      <c r="AA519" s="287">
        <v>8.5940445487256382E-3</v>
      </c>
      <c r="AB519" s="287">
        <v>6.4826434756830118E-3</v>
      </c>
      <c r="AC519" s="287">
        <v>6.128243526866306E-3</v>
      </c>
      <c r="AD519" s="287">
        <v>5.2098908893897927E-3</v>
      </c>
      <c r="AE519" s="287">
        <v>4.6638679937010758E-3</v>
      </c>
      <c r="AF519" s="287">
        <v>7.8112234318419198E-3</v>
      </c>
      <c r="AG519" s="287">
        <v>3.342993434719662E-3</v>
      </c>
      <c r="AH519" s="287">
        <v>6.012687409124572E-3</v>
      </c>
      <c r="AI519" s="287">
        <v>9.7904600174735304E-3</v>
      </c>
      <c r="AJ519" s="287">
        <v>8.4125294929262313E-3</v>
      </c>
      <c r="AK519" s="287">
        <v>8.6821222236982427E-3</v>
      </c>
      <c r="AL519" s="287">
        <v>1.4450603804783667E-3</v>
      </c>
      <c r="AM519" s="287">
        <v>5.0679772276947845E-3</v>
      </c>
      <c r="AN519" s="287">
        <v>0</v>
      </c>
      <c r="AO519" s="287">
        <v>4.142888061999416E-3</v>
      </c>
      <c r="AP519" s="287">
        <v>3.5280893563171619E-3</v>
      </c>
      <c r="AQ519" s="287">
        <v>2.2009713952364577E-4</v>
      </c>
      <c r="AR519" s="287">
        <v>2.3113961621896672E-4</v>
      </c>
      <c r="AS519" s="287">
        <v>1.0353454348205492E-2</v>
      </c>
      <c r="AT519" s="287">
        <v>6.1263699751800075E-3</v>
      </c>
      <c r="AU519" s="287">
        <v>1.0961907255002732E-2</v>
      </c>
      <c r="AV519" s="287">
        <v>7.035242470414556E-3</v>
      </c>
      <c r="AW519" s="287">
        <v>8.3371413886426712E-3</v>
      </c>
      <c r="AX519" s="287">
        <v>9.0953571144140738E-3</v>
      </c>
      <c r="AY519" s="287">
        <v>6.5111539111547719E-3</v>
      </c>
      <c r="AZ519" s="287">
        <v>4.2944857639049363E-4</v>
      </c>
      <c r="BA519" s="287">
        <v>4.3026126642088372E-3</v>
      </c>
      <c r="BB519" s="287">
        <v>8.6907458729436789E-3</v>
      </c>
      <c r="BC519" s="287">
        <v>9.6616727568885601E-3</v>
      </c>
      <c r="BD519" s="287">
        <v>7.6521522785248887E-3</v>
      </c>
      <c r="BE519" s="287">
        <v>1.2811035821123069E-2</v>
      </c>
      <c r="BF519" s="287">
        <v>9.6448277581337918E-3</v>
      </c>
      <c r="BG519" s="287">
        <v>8.9404288126599396E-3</v>
      </c>
      <c r="BH519" s="287">
        <v>1.256031065648946E-2</v>
      </c>
      <c r="BI519" s="287">
        <v>9.76386382753122E-3</v>
      </c>
      <c r="BJ519" s="287">
        <v>9.9317968786986136E-3</v>
      </c>
      <c r="BK519" s="287">
        <v>1.6686433668987512E-2</v>
      </c>
    </row>
    <row r="520" spans="1:63" ht="14.25" customHeight="1" x14ac:dyDescent="0.35">
      <c r="A520" s="278" t="s">
        <v>144</v>
      </c>
      <c r="B520" s="287">
        <v>-2.1153805553967564E-2</v>
      </c>
      <c r="C520" s="287">
        <v>-1.4537395937841419E-2</v>
      </c>
      <c r="D520" s="287">
        <v>-2.0386099573973714E-2</v>
      </c>
      <c r="E520" s="287">
        <v>-1.3629292775797769E-2</v>
      </c>
      <c r="F520" s="287">
        <v>-1.6248498487323449E-2</v>
      </c>
      <c r="G520" s="287">
        <v>-1.3806141059687024E-2</v>
      </c>
      <c r="H520" s="287">
        <v>-2.8471104859089609E-2</v>
      </c>
      <c r="I520" s="287">
        <v>-1.9238353515044031E-2</v>
      </c>
      <c r="J520" s="287">
        <v>-9.9634666395835604E-3</v>
      </c>
      <c r="K520" s="287">
        <v>-7.6128637860334381E-3</v>
      </c>
      <c r="L520" s="287">
        <v>-8.0919437831568058E-3</v>
      </c>
      <c r="M520" s="287">
        <v>-2.2873607103721182E-2</v>
      </c>
      <c r="N520" s="287">
        <v>-3.6568966573944151E-3</v>
      </c>
      <c r="O520" s="287">
        <v>-9.7837865828864588E-3</v>
      </c>
      <c r="P520" s="287">
        <v>-6.7497770200578601E-3</v>
      </c>
      <c r="Q520" s="287">
        <v>-1.8871748221772253E-3</v>
      </c>
      <c r="R520" s="287">
        <v>-2.7080974022214649E-3</v>
      </c>
      <c r="S520" s="287">
        <v>-7.8616342864746558E-3</v>
      </c>
      <c r="T520" s="287">
        <v>-8.3692308901405377E-3</v>
      </c>
      <c r="U520" s="287">
        <v>-5.7000749196342198E-3</v>
      </c>
      <c r="V520" s="287">
        <v>-4.7963452411645801E-3</v>
      </c>
      <c r="W520" s="287">
        <v>-7.8906584266929952E-3</v>
      </c>
      <c r="X520" s="287">
        <v>-6.4870106304655293E-3</v>
      </c>
      <c r="Y520" s="287">
        <v>-9.5291914586738014E-3</v>
      </c>
      <c r="Z520" s="287">
        <v>0</v>
      </c>
      <c r="AA520" s="287">
        <v>-7.5209254913772613E-3</v>
      </c>
      <c r="AB520" s="287">
        <v>-6.085459745092562E-3</v>
      </c>
      <c r="AC520" s="287">
        <v>-6.5189616124892184E-3</v>
      </c>
      <c r="AD520" s="287">
        <v>-8.0529912849548729E-3</v>
      </c>
      <c r="AE520" s="287">
        <v>-6.7424774202904528E-3</v>
      </c>
      <c r="AF520" s="287">
        <v>-7.897235844214822E-3</v>
      </c>
      <c r="AG520" s="287">
        <v>-1.2974104389461666E-2</v>
      </c>
      <c r="AH520" s="287">
        <v>-1.4095961122637257E-2</v>
      </c>
      <c r="AI520" s="287">
        <v>-2.6491965152343342E-2</v>
      </c>
      <c r="AJ520" s="287">
        <v>-2.6255344166187109E-2</v>
      </c>
      <c r="AK520" s="287">
        <v>-2.6119352520833656E-2</v>
      </c>
      <c r="AL520" s="287">
        <v>-6.3203748622286801E-3</v>
      </c>
      <c r="AM520" s="287">
        <v>-2.4176673020939874E-2</v>
      </c>
      <c r="AN520" s="287">
        <v>-1.9454257645698436E-3</v>
      </c>
      <c r="AO520" s="287">
        <v>-9.1068812540244255E-3</v>
      </c>
      <c r="AP520" s="287">
        <v>-1.1089248001927532E-5</v>
      </c>
      <c r="AQ520" s="287">
        <v>-4.4965435108025604E-3</v>
      </c>
      <c r="AR520" s="287">
        <v>-9.9981874416759844E-3</v>
      </c>
      <c r="AS520" s="287">
        <v>-1.5521826494887271E-2</v>
      </c>
      <c r="AT520" s="287">
        <v>-9.2895082423825361E-3</v>
      </c>
      <c r="AU520" s="287">
        <v>-2.1111675057030484E-2</v>
      </c>
      <c r="AV520" s="287">
        <v>-1.165379007466128E-2</v>
      </c>
      <c r="AW520" s="287">
        <v>-6.1199419623237435E-3</v>
      </c>
      <c r="AX520" s="287">
        <v>-6.0437191581600627E-3</v>
      </c>
      <c r="AY520" s="287">
        <v>-1.0159435681459819E-2</v>
      </c>
      <c r="AZ520" s="287">
        <v>-8.5996999854466225E-3</v>
      </c>
      <c r="BA520" s="287">
        <v>-6.7444933333860547E-3</v>
      </c>
      <c r="BB520" s="287">
        <v>-1.3968172112952565E-2</v>
      </c>
      <c r="BC520" s="287">
        <v>-2.0078361319595114E-2</v>
      </c>
      <c r="BD520" s="287">
        <v>-2.7265254576665374E-2</v>
      </c>
      <c r="BE520" s="287">
        <v>-2.7102140928386427E-2</v>
      </c>
      <c r="BF520" s="287">
        <v>-1.6740665942030684E-2</v>
      </c>
      <c r="BG520" s="287">
        <v>-2.0247745872799542E-2</v>
      </c>
      <c r="BH520" s="287">
        <v>-2.2954359134621884E-2</v>
      </c>
      <c r="BI520" s="287">
        <v>-1.6279432432709337E-2</v>
      </c>
      <c r="BJ520" s="287">
        <v>-2.0678320157159508E-2</v>
      </c>
      <c r="BK520" s="287">
        <v>-3.578273761307775E-2</v>
      </c>
    </row>
    <row r="521" spans="1:63" ht="14.25" customHeight="1" x14ac:dyDescent="0.35">
      <c r="A521" s="278" t="s">
        <v>164</v>
      </c>
      <c r="B521" s="287">
        <v>1.4996405540822983E-2</v>
      </c>
      <c r="C521" s="287">
        <v>1.1276211428729544E-2</v>
      </c>
      <c r="D521" s="287">
        <v>1.2017151051458777E-2</v>
      </c>
      <c r="E521" s="287">
        <v>8.498189649369832E-3</v>
      </c>
      <c r="F521" s="287">
        <v>1.2014315250954841E-2</v>
      </c>
      <c r="G521" s="287">
        <v>1.3397912441859911E-2</v>
      </c>
      <c r="H521" s="287">
        <v>1.9222115088303991E-2</v>
      </c>
      <c r="I521" s="287">
        <v>1.4188339695759436E-2</v>
      </c>
      <c r="J521" s="287">
        <v>2.3046679900101383E-2</v>
      </c>
      <c r="K521" s="287">
        <v>5.4379397805637934E-3</v>
      </c>
      <c r="L521" s="287">
        <v>8.327728490472185E-3</v>
      </c>
      <c r="M521" s="287">
        <v>2.081680793878761E-2</v>
      </c>
      <c r="N521" s="287">
        <v>5.9974042594879359E-3</v>
      </c>
      <c r="O521" s="287">
        <v>7.7028443530688922E-3</v>
      </c>
      <c r="P521" s="287">
        <v>8.996661429298768E-3</v>
      </c>
      <c r="Q521" s="287">
        <v>4.5030484757452097E-3</v>
      </c>
      <c r="R521" s="287">
        <v>5.5487939999675096E-3</v>
      </c>
      <c r="S521" s="287">
        <v>7.4937249238915364E-3</v>
      </c>
      <c r="T521" s="287">
        <v>7.942118421988829E-3</v>
      </c>
      <c r="U521" s="287">
        <v>2.0906138725916112E-3</v>
      </c>
      <c r="V521" s="287">
        <v>4.9015137074628389E-3</v>
      </c>
      <c r="W521" s="287">
        <v>7.4583030466596097E-3</v>
      </c>
      <c r="X521" s="287">
        <v>7.3653033224563005E-3</v>
      </c>
      <c r="Y521" s="287">
        <v>9.0773082961516857E-3</v>
      </c>
      <c r="Z521" s="287">
        <v>0</v>
      </c>
      <c r="AA521" s="287">
        <v>8.9067539749978965E-3</v>
      </c>
      <c r="AB521" s="287">
        <v>7.7849999437234457E-3</v>
      </c>
      <c r="AC521" s="287">
        <v>8.4566624681772611E-3</v>
      </c>
      <c r="AD521" s="287">
        <v>9.7269700176407965E-3</v>
      </c>
      <c r="AE521" s="287">
        <v>6.8754548778103145E-3</v>
      </c>
      <c r="AF521" s="287">
        <v>7.9026568642894101E-3</v>
      </c>
      <c r="AG521" s="287">
        <v>1.0023633174953648E-2</v>
      </c>
      <c r="AH521" s="287">
        <v>6.9903690078345444E-3</v>
      </c>
      <c r="AI521" s="287">
        <v>1.7689333645756124E-2</v>
      </c>
      <c r="AJ521" s="287">
        <v>1.82317815110997E-2</v>
      </c>
      <c r="AK521" s="287">
        <v>1.4616505876641997E-2</v>
      </c>
      <c r="AL521" s="287">
        <v>2.938449352562063E-3</v>
      </c>
      <c r="AM521" s="287">
        <v>7.7162628604331802E-3</v>
      </c>
      <c r="AN521" s="287">
        <v>2.3061287577496002E-3</v>
      </c>
      <c r="AO521" s="287">
        <v>7.5622703325233832E-3</v>
      </c>
      <c r="AP521" s="287">
        <v>3.9663746220594803E-3</v>
      </c>
      <c r="AQ521" s="287">
        <v>5.6515505308972636E-3</v>
      </c>
      <c r="AR521" s="287">
        <v>9.2594697075033747E-3</v>
      </c>
      <c r="AS521" s="287">
        <v>1.3775270756108189E-2</v>
      </c>
      <c r="AT521" s="287">
        <v>9.538518114448823E-3</v>
      </c>
      <c r="AU521" s="287">
        <v>1.634908341122817E-2</v>
      </c>
      <c r="AV521" s="287">
        <v>1.716745405497112E-2</v>
      </c>
      <c r="AW521" s="287">
        <v>1.2100605848208719E-2</v>
      </c>
      <c r="AX521" s="287">
        <v>7.4952898006384909E-3</v>
      </c>
      <c r="AY521" s="287">
        <v>7.5609707336329298E-3</v>
      </c>
      <c r="AZ521" s="287">
        <v>3.9518202171415773E-3</v>
      </c>
      <c r="BA521" s="287">
        <v>1.0400070971572585E-2</v>
      </c>
      <c r="BB521" s="287">
        <v>1.0389362584619756E-2</v>
      </c>
      <c r="BC521" s="287">
        <v>1.2887369784816739E-2</v>
      </c>
      <c r="BD521" s="287">
        <v>1.509529586700333E-2</v>
      </c>
      <c r="BE521" s="287">
        <v>1.8924666291900781E-2</v>
      </c>
      <c r="BF521" s="287">
        <v>1.4457504484733878E-2</v>
      </c>
      <c r="BG521" s="287">
        <v>1.6284477989315288E-2</v>
      </c>
      <c r="BH521" s="287">
        <v>1.9099022404670717E-2</v>
      </c>
      <c r="BI521" s="287">
        <v>1.4641249181841974E-2</v>
      </c>
      <c r="BJ521" s="287">
        <v>1.1974049467074848E-2</v>
      </c>
      <c r="BK521" s="287">
        <v>2.5277939044572768E-2</v>
      </c>
    </row>
    <row r="522" spans="1:63" ht="14.25" customHeight="1" x14ac:dyDescent="0.35">
      <c r="A522" s="278" t="s">
        <v>145</v>
      </c>
      <c r="B522" s="287">
        <v>8.0054045711832056E-3</v>
      </c>
      <c r="C522" s="287">
        <v>9.1661970906263563E-3</v>
      </c>
      <c r="D522" s="287">
        <v>7.8448076445668691E-3</v>
      </c>
      <c r="E522" s="287">
        <v>9.1191039869977144E-3</v>
      </c>
      <c r="F522" s="287">
        <v>6.7238961035785468E-3</v>
      </c>
      <c r="G522" s="287">
        <v>5.4415977216066714E-3</v>
      </c>
      <c r="H522" s="287">
        <v>9.8735386879175782E-3</v>
      </c>
      <c r="I522" s="287">
        <v>0</v>
      </c>
      <c r="J522" s="287">
        <v>7.0065364866083455E-4</v>
      </c>
      <c r="K522" s="287">
        <v>2.4232078639731158E-3</v>
      </c>
      <c r="L522" s="287">
        <v>9.4536902285452409E-4</v>
      </c>
      <c r="M522" s="287">
        <v>0</v>
      </c>
      <c r="N522" s="287">
        <v>6.8255781417729208E-4</v>
      </c>
      <c r="O522" s="287">
        <v>6.656941717261011E-4</v>
      </c>
      <c r="P522" s="287">
        <v>1.8291731306052978E-3</v>
      </c>
      <c r="Q522" s="287">
        <v>3.455744733360197E-3</v>
      </c>
      <c r="R522" s="287">
        <v>6.1324386583613754E-3</v>
      </c>
      <c r="S522" s="287">
        <v>1.7953896992040762E-3</v>
      </c>
      <c r="T522" s="287">
        <v>3.6613664552514469E-3</v>
      </c>
      <c r="U522" s="287">
        <v>2.6522353683193613E-3</v>
      </c>
      <c r="V522" s="287">
        <v>1.441424942064192E-3</v>
      </c>
      <c r="W522" s="287">
        <v>3.5249535092450488E-3</v>
      </c>
      <c r="X522" s="287">
        <v>3.221562162380235E-3</v>
      </c>
      <c r="Y522" s="287">
        <v>3.8035659804752662E-3</v>
      </c>
      <c r="Z522" s="287">
        <v>0</v>
      </c>
      <c r="AA522" s="287">
        <v>3.9251263227650622E-3</v>
      </c>
      <c r="AB522" s="287">
        <v>3.3964197295180353E-3</v>
      </c>
      <c r="AC522" s="287">
        <v>3.5725494528351153E-3</v>
      </c>
      <c r="AD522" s="287">
        <v>3.7663513065250777E-3</v>
      </c>
      <c r="AE522" s="287">
        <v>3.2896643386939903E-3</v>
      </c>
      <c r="AF522" s="287">
        <v>3.1514350232360521E-3</v>
      </c>
      <c r="AG522" s="287">
        <v>4.4813600391070026E-3</v>
      </c>
      <c r="AH522" s="287">
        <v>6.064465467257486E-3</v>
      </c>
      <c r="AI522" s="287">
        <v>9.2462239060862265E-3</v>
      </c>
      <c r="AJ522" s="287">
        <v>9.2701520771293136E-3</v>
      </c>
      <c r="AK522" s="287">
        <v>8.365203389317467E-3</v>
      </c>
      <c r="AL522" s="287">
        <v>1.0113729562212358E-3</v>
      </c>
      <c r="AM522" s="287">
        <v>1.8215647739264278E-3</v>
      </c>
      <c r="AN522" s="287">
        <v>0</v>
      </c>
      <c r="AO522" s="287">
        <v>2.7363238898284784E-3</v>
      </c>
      <c r="AP522" s="287">
        <v>1.906210274906131E-3</v>
      </c>
      <c r="AQ522" s="287">
        <v>1.9771844712498368E-3</v>
      </c>
      <c r="AR522" s="287">
        <v>1.1036556321368374E-2</v>
      </c>
      <c r="AS522" s="287">
        <v>9.0406787275673325E-4</v>
      </c>
      <c r="AT522" s="287">
        <v>4.0225106724397584E-3</v>
      </c>
      <c r="AU522" s="287">
        <v>8.1327368370405165E-3</v>
      </c>
      <c r="AV522" s="287">
        <v>8.5619730986545694E-3</v>
      </c>
      <c r="AW522" s="287">
        <v>4.884008261215305E-3</v>
      </c>
      <c r="AX522" s="287">
        <v>1.2115588143812679E-3</v>
      </c>
      <c r="AY522" s="287">
        <v>3.3073457781047939E-3</v>
      </c>
      <c r="AZ522" s="287">
        <v>3.4084112022594523E-3</v>
      </c>
      <c r="BA522" s="287">
        <v>3.4768935402530714E-3</v>
      </c>
      <c r="BB522" s="287">
        <v>1.6397936348515462E-3</v>
      </c>
      <c r="BC522" s="287">
        <v>6.5276139246776919E-3</v>
      </c>
      <c r="BD522" s="287">
        <v>7.2990438809966756E-3</v>
      </c>
      <c r="BE522" s="287">
        <v>9.4872293992276178E-3</v>
      </c>
      <c r="BF522" s="287">
        <v>6.2562541281827033E-3</v>
      </c>
      <c r="BG522" s="287">
        <v>8.7594278447635787E-3</v>
      </c>
      <c r="BH522" s="287">
        <v>8.4636647241357697E-3</v>
      </c>
      <c r="BI522" s="287">
        <v>6.6163690109807567E-3</v>
      </c>
      <c r="BJ522" s="287">
        <v>6.0473015422590534E-3</v>
      </c>
      <c r="BK522" s="287">
        <v>1.1503352606124586E-2</v>
      </c>
    </row>
    <row r="523" spans="1:63" ht="14.25" customHeight="1" x14ac:dyDescent="0.35">
      <c r="A523" s="278" t="s">
        <v>87</v>
      </c>
      <c r="B523" s="287">
        <v>8.0737346736743619E-3</v>
      </c>
      <c r="C523" s="287">
        <v>6.444369922029302E-3</v>
      </c>
      <c r="D523" s="287">
        <v>6.5748113097028717E-3</v>
      </c>
      <c r="E523" s="287">
        <v>5.0727322439560775E-3</v>
      </c>
      <c r="F523" s="287">
        <v>5.6635332080498804E-3</v>
      </c>
      <c r="G523" s="287">
        <v>7.0386539150061175E-3</v>
      </c>
      <c r="H523" s="287">
        <v>9.5375388687266045E-3</v>
      </c>
      <c r="I523" s="287">
        <v>1.4619789507835169E-3</v>
      </c>
      <c r="J523" s="287">
        <v>9.8782600780527256E-3</v>
      </c>
      <c r="K523" s="287">
        <v>5.738840981866878E-3</v>
      </c>
      <c r="L523" s="287">
        <v>9.9302222740404733E-3</v>
      </c>
      <c r="M523" s="287">
        <v>8.8808647427970951E-3</v>
      </c>
      <c r="N523" s="287">
        <v>3.2894183115216931E-3</v>
      </c>
      <c r="O523" s="287">
        <v>6.4495167607017045E-3</v>
      </c>
      <c r="P523" s="287">
        <v>8.3376516071194395E-3</v>
      </c>
      <c r="Q523" s="287">
        <v>2.9618318870890574E-3</v>
      </c>
      <c r="R523" s="287">
        <v>1.1388969680440216E-3</v>
      </c>
      <c r="S523" s="287">
        <v>3.2669259075474677E-3</v>
      </c>
      <c r="T523" s="287">
        <v>4.729893502953538E-3</v>
      </c>
      <c r="U523" s="287">
        <v>4.2830671229812474E-3</v>
      </c>
      <c r="V523" s="287">
        <v>1.6017371525289667E-3</v>
      </c>
      <c r="W523" s="287">
        <v>3.5757377646729008E-3</v>
      </c>
      <c r="X523" s="287">
        <v>3.8843548450936292E-3</v>
      </c>
      <c r="Y523" s="287">
        <v>4.7674380489126011E-3</v>
      </c>
      <c r="Z523" s="287">
        <v>0</v>
      </c>
      <c r="AA523" s="287">
        <v>5.3283573796747549E-3</v>
      </c>
      <c r="AB523" s="287">
        <v>2.8281882602315999E-3</v>
      </c>
      <c r="AC523" s="287">
        <v>3.581962513089921E-3</v>
      </c>
      <c r="AD523" s="287">
        <v>4.6065517970664393E-3</v>
      </c>
      <c r="AE523" s="287">
        <v>2.8749974301023142E-3</v>
      </c>
      <c r="AF523" s="287">
        <v>5.3099829644066973E-3</v>
      </c>
      <c r="AG523" s="287">
        <v>5.6588638426898234E-3</v>
      </c>
      <c r="AH523" s="287">
        <v>4.4486217964968015E-3</v>
      </c>
      <c r="AI523" s="287">
        <v>1.0254965423509366E-2</v>
      </c>
      <c r="AJ523" s="287">
        <v>9.9537544141369283E-3</v>
      </c>
      <c r="AK523" s="287">
        <v>9.1780107200036282E-3</v>
      </c>
      <c r="AL523" s="287">
        <v>1.2936086797000431E-3</v>
      </c>
      <c r="AM523" s="287">
        <v>2.1163726962919248E-3</v>
      </c>
      <c r="AN523" s="287">
        <v>7.0887137534588569E-3</v>
      </c>
      <c r="AO523" s="287">
        <v>5.188120905740546E-3</v>
      </c>
      <c r="AP523" s="287">
        <v>9.6660506345588491E-4</v>
      </c>
      <c r="AQ523" s="287">
        <v>1.7844634638659105E-3</v>
      </c>
      <c r="AR523" s="287">
        <v>0</v>
      </c>
      <c r="AS523" s="287">
        <v>1.620278612108876E-4</v>
      </c>
      <c r="AT523" s="287">
        <v>5.8703317498098586E-3</v>
      </c>
      <c r="AU523" s="287">
        <v>8.4210371478523876E-3</v>
      </c>
      <c r="AV523" s="287">
        <v>9.1207084680904726E-3</v>
      </c>
      <c r="AW523" s="287">
        <v>5.6763689282142756E-3</v>
      </c>
      <c r="AX523" s="287">
        <v>6.8676655164071811E-3</v>
      </c>
      <c r="AY523" s="287">
        <v>3.4506534591061378E-3</v>
      </c>
      <c r="AZ523" s="287">
        <v>3.1162069732150262E-3</v>
      </c>
      <c r="BA523" s="287">
        <v>6.2345777677389564E-3</v>
      </c>
      <c r="BB523" s="287">
        <v>6.9182694227182635E-3</v>
      </c>
      <c r="BC523" s="287">
        <v>6.8441487710999924E-3</v>
      </c>
      <c r="BD523" s="287">
        <v>8.3919896543869256E-3</v>
      </c>
      <c r="BE523" s="287">
        <v>1.1511847427667338E-2</v>
      </c>
      <c r="BF523" s="287">
        <v>8.5262987641468984E-3</v>
      </c>
      <c r="BG523" s="287">
        <v>8.9792888919083234E-3</v>
      </c>
      <c r="BH523" s="287">
        <v>1.0353458868833031E-2</v>
      </c>
      <c r="BI523" s="287">
        <v>8.1362933943923774E-3</v>
      </c>
      <c r="BJ523" s="287">
        <v>6.5133418598102124E-3</v>
      </c>
      <c r="BK523" s="287">
        <v>1.3384682866283717E-2</v>
      </c>
    </row>
    <row r="524" spans="1:63" ht="14.25" customHeight="1" x14ac:dyDescent="0.35">
      <c r="A524" s="278" t="s">
        <v>146</v>
      </c>
      <c r="B524" s="287">
        <v>5.2915107993216654E-3</v>
      </c>
      <c r="C524" s="287">
        <v>3.7110022838662345E-3</v>
      </c>
      <c r="D524" s="287">
        <v>6.2718335709583397E-3</v>
      </c>
      <c r="E524" s="287">
        <v>2.3799486034662845E-3</v>
      </c>
      <c r="F524" s="287">
        <v>9.363262127677404E-4</v>
      </c>
      <c r="G524" s="287">
        <v>6.5469187247963268E-3</v>
      </c>
      <c r="H524" s="287">
        <v>5.8896002206437308E-3</v>
      </c>
      <c r="I524" s="287">
        <v>0</v>
      </c>
      <c r="J524" s="287">
        <v>8.0554128438207724E-4</v>
      </c>
      <c r="K524" s="287">
        <v>1.7190872863364968E-3</v>
      </c>
      <c r="L524" s="287">
        <v>6.4170295771903947E-3</v>
      </c>
      <c r="M524" s="287">
        <v>4.0087264758076543E-3</v>
      </c>
      <c r="N524" s="287">
        <v>4.3706421303089894E-3</v>
      </c>
      <c r="O524" s="287">
        <v>6.7625586700616053E-3</v>
      </c>
      <c r="P524" s="287">
        <v>5.908009858925178E-3</v>
      </c>
      <c r="Q524" s="287">
        <v>4.2978153876505496E-3</v>
      </c>
      <c r="R524" s="287">
        <v>2.2435475436914692E-4</v>
      </c>
      <c r="S524" s="287">
        <v>1.611988942612773E-3</v>
      </c>
      <c r="T524" s="287">
        <v>2.5437911182200424E-3</v>
      </c>
      <c r="U524" s="287">
        <v>1.0665756484385508E-4</v>
      </c>
      <c r="V524" s="287">
        <v>1.8173484713025912E-3</v>
      </c>
      <c r="W524" s="287">
        <v>3.1001283222498364E-3</v>
      </c>
      <c r="X524" s="287">
        <v>1.6801276685139423E-3</v>
      </c>
      <c r="Y524" s="287">
        <v>2.2483475387565848E-3</v>
      </c>
      <c r="Z524" s="287">
        <v>0</v>
      </c>
      <c r="AA524" s="287">
        <v>2.0553226266910966E-3</v>
      </c>
      <c r="AB524" s="287">
        <v>3.3587454579274167E-3</v>
      </c>
      <c r="AC524" s="287">
        <v>2.3133628998088821E-3</v>
      </c>
      <c r="AD524" s="287">
        <v>2.7271360021907348E-3</v>
      </c>
      <c r="AE524" s="287">
        <v>2.3158646618695921E-3</v>
      </c>
      <c r="AF524" s="287">
        <v>2.3886221209087387E-3</v>
      </c>
      <c r="AG524" s="287">
        <v>1.752327392315483E-3</v>
      </c>
      <c r="AH524" s="287">
        <v>4.3249015224426377E-3</v>
      </c>
      <c r="AI524" s="287">
        <v>7.1398143450076132E-3</v>
      </c>
      <c r="AJ524" s="287">
        <v>7.0613420824405517E-3</v>
      </c>
      <c r="AK524" s="287">
        <v>5.7568777962850571E-4</v>
      </c>
      <c r="AL524" s="287">
        <v>2.1619554625065904E-3</v>
      </c>
      <c r="AM524" s="287">
        <v>0</v>
      </c>
      <c r="AN524" s="287">
        <v>0</v>
      </c>
      <c r="AO524" s="287">
        <v>1.7465125695336158E-3</v>
      </c>
      <c r="AP524" s="287">
        <v>1.5135271769269557E-3</v>
      </c>
      <c r="AQ524" s="287">
        <v>2.3608640413653594E-4</v>
      </c>
      <c r="AR524" s="287">
        <v>1.6669144260404075E-4</v>
      </c>
      <c r="AS524" s="287">
        <v>1.685408450442491E-4</v>
      </c>
      <c r="AT524" s="287">
        <v>3.7070714081754445E-3</v>
      </c>
      <c r="AU524" s="287">
        <v>5.4009858992952976E-3</v>
      </c>
      <c r="AV524" s="287">
        <v>3.5866428161182491E-3</v>
      </c>
      <c r="AW524" s="287">
        <v>4.6023121112832603E-3</v>
      </c>
      <c r="AX524" s="287">
        <v>7.9265057134355612E-4</v>
      </c>
      <c r="AY524" s="287">
        <v>2.4417348366249387E-3</v>
      </c>
      <c r="AZ524" s="287">
        <v>2.1135008821287766E-3</v>
      </c>
      <c r="BA524" s="287">
        <v>2.3675073854612255E-3</v>
      </c>
      <c r="BB524" s="287">
        <v>3.6624988545063586E-3</v>
      </c>
      <c r="BC524" s="287">
        <v>4.0829883332143043E-3</v>
      </c>
      <c r="BD524" s="287">
        <v>5.4779874055307628E-3</v>
      </c>
      <c r="BE524" s="287">
        <v>6.4943814269682962E-3</v>
      </c>
      <c r="BF524" s="287">
        <v>4.8755230347278357E-3</v>
      </c>
      <c r="BG524" s="287">
        <v>5.4920769483745449E-3</v>
      </c>
      <c r="BH524" s="287">
        <v>6.2704458488314421E-3</v>
      </c>
      <c r="BI524" s="287">
        <v>5.0425296940223557E-3</v>
      </c>
      <c r="BJ524" s="287">
        <v>4.7093724154688987E-3</v>
      </c>
      <c r="BK524" s="287">
        <v>9.1247828697939484E-3</v>
      </c>
    </row>
    <row r="525" spans="1:63" ht="14.25" customHeight="1" x14ac:dyDescent="0.35">
      <c r="A525" s="278" t="s">
        <v>89</v>
      </c>
      <c r="B525" s="287">
        <v>1.1971324833962443E-2</v>
      </c>
      <c r="C525" s="287">
        <v>8.5294991435341406E-3</v>
      </c>
      <c r="D525" s="287">
        <v>2.0955693249800667E-2</v>
      </c>
      <c r="E525" s="287">
        <v>2.3279352974111097E-2</v>
      </c>
      <c r="F525" s="287">
        <v>2.2056633575293205E-2</v>
      </c>
      <c r="G525" s="287">
        <v>2.2798897864554114E-2</v>
      </c>
      <c r="H525" s="287">
        <v>2.7637252605725995E-2</v>
      </c>
      <c r="I525" s="287">
        <v>4.4540416836868777E-3</v>
      </c>
      <c r="J525" s="287">
        <v>2.9532010722594045E-2</v>
      </c>
      <c r="K525" s="287">
        <v>7.8425734284976404E-3</v>
      </c>
      <c r="L525" s="287">
        <v>1.4879174699694265E-2</v>
      </c>
      <c r="M525" s="287">
        <v>2.7176721210129352E-2</v>
      </c>
      <c r="N525" s="287">
        <v>8.0832371167996672E-3</v>
      </c>
      <c r="O525" s="287">
        <v>1.5983797999898301E-2</v>
      </c>
      <c r="P525" s="287">
        <v>8.2802794047561884E-3</v>
      </c>
      <c r="Q525" s="287">
        <v>9.3248781137904128E-3</v>
      </c>
      <c r="R525" s="287">
        <v>1.5324553514260686E-2</v>
      </c>
      <c r="S525" s="287">
        <v>8.4810916639916963E-3</v>
      </c>
      <c r="T525" s="287">
        <v>1.0120303245072987E-2</v>
      </c>
      <c r="U525" s="287">
        <v>1.8145683806037893E-3</v>
      </c>
      <c r="V525" s="287">
        <v>8.5693389927075213E-3</v>
      </c>
      <c r="W525" s="287">
        <v>1.3870216478999751E-2</v>
      </c>
      <c r="X525" s="287">
        <v>1.059818974980847E-2</v>
      </c>
      <c r="Y525" s="287">
        <v>1.2321478310169692E-2</v>
      </c>
      <c r="Z525" s="287">
        <v>0</v>
      </c>
      <c r="AA525" s="287">
        <v>1.2226117659093018E-2</v>
      </c>
      <c r="AB525" s="287">
        <v>1.9454236395274875E-2</v>
      </c>
      <c r="AC525" s="287">
        <v>1.2370332736732789E-2</v>
      </c>
      <c r="AD525" s="287">
        <v>1.1772329973637431E-2</v>
      </c>
      <c r="AE525" s="287">
        <v>8.5206165138366173E-3</v>
      </c>
      <c r="AF525" s="287">
        <v>1.2745321970649533E-2</v>
      </c>
      <c r="AG525" s="287">
        <v>2.2473373514843218E-2</v>
      </c>
      <c r="AH525" s="287">
        <v>1.6080106962446338E-2</v>
      </c>
      <c r="AI525" s="287">
        <v>2.6470591531763708E-2</v>
      </c>
      <c r="AJ525" s="287">
        <v>2.6344775055646991E-2</v>
      </c>
      <c r="AK525" s="287">
        <v>2.4064253019060105E-2</v>
      </c>
      <c r="AL525" s="287">
        <v>6.6345033643443775E-3</v>
      </c>
      <c r="AM525" s="287">
        <v>1.7825985917453911E-2</v>
      </c>
      <c r="AN525" s="287">
        <v>1.4699521155208669E-2</v>
      </c>
      <c r="AO525" s="287">
        <v>1.9622667572495849E-2</v>
      </c>
      <c r="AP525" s="287">
        <v>1.0976672236625301E-2</v>
      </c>
      <c r="AQ525" s="287">
        <v>6.9107030294756639E-3</v>
      </c>
      <c r="AR525" s="287">
        <v>6.1975654892253828E-3</v>
      </c>
      <c r="AS525" s="287">
        <v>2.351760093284859E-2</v>
      </c>
      <c r="AT525" s="287">
        <v>1.6504944992110068E-2</v>
      </c>
      <c r="AU525" s="287">
        <v>2.2069166527943152E-2</v>
      </c>
      <c r="AV525" s="287">
        <v>2.2785874642492945E-2</v>
      </c>
      <c r="AW525" s="287">
        <v>2.1766634531445311E-2</v>
      </c>
      <c r="AX525" s="287">
        <v>1.8017822670904626E-2</v>
      </c>
      <c r="AY525" s="287">
        <v>2.3033118174260108E-2</v>
      </c>
      <c r="AZ525" s="287">
        <v>7.4325700591303554E-3</v>
      </c>
      <c r="BA525" s="287">
        <v>5.0449660310636288E-3</v>
      </c>
      <c r="BB525" s="287">
        <v>1.6373265165068325E-2</v>
      </c>
      <c r="BC525" s="287">
        <v>1.6742338641906666E-2</v>
      </c>
      <c r="BD525" s="287">
        <v>1.7702763461660321E-2</v>
      </c>
      <c r="BE525" s="287">
        <v>2.2396435326340842E-2</v>
      </c>
      <c r="BF525" s="287">
        <v>1.9002831816897065E-2</v>
      </c>
      <c r="BG525" s="287">
        <v>1.856337293635775E-2</v>
      </c>
      <c r="BH525" s="287">
        <v>2.294890357083567E-2</v>
      </c>
      <c r="BI525" s="287">
        <v>1.8213531901658774E-2</v>
      </c>
      <c r="BJ525" s="287">
        <v>1.8718330877917279E-2</v>
      </c>
      <c r="BK525" s="287">
        <v>3.0930233679544655E-2</v>
      </c>
    </row>
    <row r="526" spans="1:63" ht="14.25" customHeight="1" x14ac:dyDescent="0.35">
      <c r="A526" s="278" t="s">
        <v>90</v>
      </c>
      <c r="B526" s="287">
        <v>5.5185257093699595E-4</v>
      </c>
      <c r="C526" s="287">
        <v>2.4981755672195385E-4</v>
      </c>
      <c r="D526" s="287">
        <v>3.3654687567526669E-4</v>
      </c>
      <c r="E526" s="287">
        <v>2.0008848675795332E-4</v>
      </c>
      <c r="F526" s="287">
        <v>2.9798059274851747E-4</v>
      </c>
      <c r="G526" s="287">
        <v>4.2110209081105472E-4</v>
      </c>
      <c r="H526" s="287">
        <v>7.4378911243009249E-4</v>
      </c>
      <c r="I526" s="287">
        <v>4.1587676198068127E-4</v>
      </c>
      <c r="J526" s="287">
        <v>9.0595829469113494E-5</v>
      </c>
      <c r="K526" s="287">
        <v>2.5367056585923686E-4</v>
      </c>
      <c r="L526" s="287">
        <v>4.8657236784202952E-4</v>
      </c>
      <c r="M526" s="287">
        <v>4.7952207742043819E-4</v>
      </c>
      <c r="N526" s="287">
        <v>1.6295910200369077E-4</v>
      </c>
      <c r="O526" s="287">
        <v>4.8063075834326363E-4</v>
      </c>
      <c r="P526" s="287">
        <v>2.0872292114175174E-4</v>
      </c>
      <c r="Q526" s="287">
        <v>1.2669771074599604E-4</v>
      </c>
      <c r="R526" s="287">
        <v>2.5392333592649525E-4</v>
      </c>
      <c r="S526" s="287">
        <v>2.1383284202132106E-4</v>
      </c>
      <c r="T526" s="287">
        <v>2.5032248699520461E-4</v>
      </c>
      <c r="U526" s="287">
        <v>1.3799660294960294E-4</v>
      </c>
      <c r="V526" s="287">
        <v>1.6416779583902324E-4</v>
      </c>
      <c r="W526" s="287">
        <v>2.4076008491644873E-4</v>
      </c>
      <c r="X526" s="287">
        <v>2.2735467661795619E-4</v>
      </c>
      <c r="Y526" s="287">
        <v>2.9589840202196162E-4</v>
      </c>
      <c r="Z526" s="287">
        <v>0</v>
      </c>
      <c r="AA526" s="287">
        <v>2.9827157865321954E-4</v>
      </c>
      <c r="AB526" s="287">
        <v>2.7339908327141148E-4</v>
      </c>
      <c r="AC526" s="287">
        <v>2.1152045826707582E-4</v>
      </c>
      <c r="AD526" s="287">
        <v>2.7116804047922128E-4</v>
      </c>
      <c r="AE526" s="287">
        <v>2.4718270088918369E-4</v>
      </c>
      <c r="AF526" s="287">
        <v>2.8482178382937938E-4</v>
      </c>
      <c r="AG526" s="287">
        <v>3.7131630989199375E-4</v>
      </c>
      <c r="AH526" s="287">
        <v>2.4416068265732785E-4</v>
      </c>
      <c r="AI526" s="287">
        <v>3.8736345293731748E-4</v>
      </c>
      <c r="AJ526" s="287">
        <v>6.0577526141367382E-4</v>
      </c>
      <c r="AK526" s="287">
        <v>5.7119030595176984E-4</v>
      </c>
      <c r="AL526" s="287">
        <v>1.8188306248289631E-4</v>
      </c>
      <c r="AM526" s="287">
        <v>4.4920966323329695E-4</v>
      </c>
      <c r="AN526" s="287">
        <v>6.1543347692773523E-4</v>
      </c>
      <c r="AO526" s="287">
        <v>3.8031809995029477E-4</v>
      </c>
      <c r="AP526" s="287">
        <v>1.0339391760584883E-4</v>
      </c>
      <c r="AQ526" s="287">
        <v>2.8657154592738205E-5</v>
      </c>
      <c r="AR526" s="287">
        <v>3.3258563567034106E-4</v>
      </c>
      <c r="AS526" s="287">
        <v>1.6721387308680949E-4</v>
      </c>
      <c r="AT526" s="287">
        <v>2.8807163950929045E-4</v>
      </c>
      <c r="AU526" s="287">
        <v>4.4370262488058003E-4</v>
      </c>
      <c r="AV526" s="287">
        <v>3.6243036805857636E-4</v>
      </c>
      <c r="AW526" s="287">
        <v>4.1084813118542104E-4</v>
      </c>
      <c r="AX526" s="287">
        <v>2.9871875308032776E-4</v>
      </c>
      <c r="AY526" s="287">
        <v>2.4140898669610734E-4</v>
      </c>
      <c r="AZ526" s="287">
        <v>2.0440475411274175E-4</v>
      </c>
      <c r="BA526" s="287">
        <v>2.0409002523385521E-4</v>
      </c>
      <c r="BB526" s="287">
        <v>3.3709065741954996E-4</v>
      </c>
      <c r="BC526" s="287">
        <v>3.8913416938538166E-4</v>
      </c>
      <c r="BD526" s="287">
        <v>4.3764510516496215E-4</v>
      </c>
      <c r="BE526" s="287">
        <v>5.6029407534937455E-4</v>
      </c>
      <c r="BF526" s="287">
        <v>4.0762736181399075E-4</v>
      </c>
      <c r="BG526" s="287">
        <v>4.5403035631120294E-4</v>
      </c>
      <c r="BH526" s="287">
        <v>4.937468843512734E-4</v>
      </c>
      <c r="BI526" s="287">
        <v>4.3012466771253792E-4</v>
      </c>
      <c r="BJ526" s="287">
        <v>3.5801073200379126E-4</v>
      </c>
      <c r="BK526" s="287">
        <v>7.762398163465783E-4</v>
      </c>
    </row>
    <row r="528" spans="1:63" ht="14.25" customHeight="1" x14ac:dyDescent="0.35">
      <c r="A528" s="143" t="s">
        <v>1184</v>
      </c>
    </row>
    <row r="529" spans="1:63" ht="14.25" customHeight="1" x14ac:dyDescent="0.35">
      <c r="A529" s="34" t="s">
        <v>1239</v>
      </c>
      <c r="B529" s="2"/>
    </row>
    <row r="530" spans="1:63" ht="14.25" customHeight="1" x14ac:dyDescent="0.35">
      <c r="A530" s="38" t="s">
        <v>1211</v>
      </c>
      <c r="B530" s="9" t="s">
        <v>169</v>
      </c>
    </row>
    <row r="531" spans="1:63" ht="14.25" customHeight="1" x14ac:dyDescent="0.35">
      <c r="A531" s="271">
        <v>0</v>
      </c>
      <c r="B531" s="272" t="s">
        <v>1218</v>
      </c>
    </row>
    <row r="532" spans="1:63" ht="14.25" customHeight="1" x14ac:dyDescent="0.35">
      <c r="A532" s="271">
        <v>1</v>
      </c>
      <c r="B532" s="272" t="s">
        <v>1287</v>
      </c>
    </row>
    <row r="533" spans="1:63" ht="14.25" customHeight="1" x14ac:dyDescent="0.35">
      <c r="A533" s="39" t="s">
        <v>170</v>
      </c>
      <c r="B533" s="40">
        <v>0</v>
      </c>
    </row>
    <row r="535" spans="1:63" ht="14.25" customHeight="1" x14ac:dyDescent="0.35">
      <c r="A535" s="14" t="s">
        <v>649</v>
      </c>
      <c r="B535" s="34" t="s">
        <v>1240</v>
      </c>
    </row>
    <row r="536" spans="1:63" ht="14.25" customHeight="1" x14ac:dyDescent="0.35">
      <c r="A536" s="74" t="s">
        <v>380</v>
      </c>
      <c r="B536" s="273" t="s">
        <v>12</v>
      </c>
    </row>
    <row r="537" spans="1:63" ht="14.25" customHeight="1" x14ac:dyDescent="0.35">
      <c r="A537" s="74" t="s">
        <v>127</v>
      </c>
      <c r="B537" s="93">
        <v>2025</v>
      </c>
    </row>
    <row r="538" spans="1:63" ht="14.25" customHeight="1" x14ac:dyDescent="0.35">
      <c r="A538" s="118"/>
    </row>
    <row r="539" spans="1:63" ht="14.25" customHeight="1" x14ac:dyDescent="0.35">
      <c r="A539" s="34" t="s">
        <v>1241</v>
      </c>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row>
    <row r="540" spans="1:63" ht="14.25" customHeight="1" x14ac:dyDescent="0.35">
      <c r="A540" s="39" t="s">
        <v>1232</v>
      </c>
      <c r="B540" s="35" t="s">
        <v>127</v>
      </c>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row>
    <row r="541" spans="1:63" ht="14.25" customHeight="1" x14ac:dyDescent="0.35">
      <c r="A541" s="275" t="s">
        <v>228</v>
      </c>
      <c r="B541" s="276">
        <v>0.15343038710828166</v>
      </c>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row>
    <row r="542" spans="1:63" ht="14.25" customHeight="1" x14ac:dyDescent="0.35">
      <c r="A542" s="277" t="s">
        <v>95</v>
      </c>
      <c r="B542" s="276">
        <v>0.2117202555452537</v>
      </c>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row>
    <row r="543" spans="1:63" ht="14.25" customHeight="1" x14ac:dyDescent="0.35">
      <c r="A543" s="277" t="s">
        <v>96</v>
      </c>
      <c r="B543" s="276">
        <v>0.10671012384068788</v>
      </c>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row>
    <row r="544" spans="1:63" ht="14.25" customHeight="1" x14ac:dyDescent="0.35">
      <c r="A544" s="277" t="s">
        <v>97</v>
      </c>
      <c r="B544" s="276">
        <v>7.1209247996342248E-2</v>
      </c>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row>
    <row r="545" spans="1:63" ht="14.25" customHeight="1" x14ac:dyDescent="0.35">
      <c r="A545" s="277" t="s">
        <v>98</v>
      </c>
      <c r="B545" s="276">
        <v>0.17585332872001413</v>
      </c>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row>
    <row r="546" spans="1:63" ht="14.25" customHeight="1" x14ac:dyDescent="0.35">
      <c r="A546" s="277" t="s">
        <v>163</v>
      </c>
      <c r="B546" s="276">
        <v>0.16537368495011656</v>
      </c>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row>
    <row r="547" spans="1:63" ht="14.25" customHeight="1" x14ac:dyDescent="0.35">
      <c r="A547" s="277" t="s">
        <v>100</v>
      </c>
      <c r="B547" s="276">
        <v>0.19053139744552672</v>
      </c>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row>
    <row r="548" spans="1:63" ht="14.25" customHeight="1" x14ac:dyDescent="0.35">
      <c r="A548" s="277" t="s">
        <v>101</v>
      </c>
      <c r="B548" s="276">
        <v>0.11521761085022303</v>
      </c>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row>
    <row r="549" spans="1:63" ht="14.25" customHeight="1" x14ac:dyDescent="0.35">
      <c r="A549" s="277" t="s">
        <v>102</v>
      </c>
      <c r="B549" s="276">
        <v>0.13059450081455609</v>
      </c>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row>
    <row r="550" spans="1:63" ht="14.25" customHeight="1" x14ac:dyDescent="0.35">
      <c r="A550" s="277" t="s">
        <v>103</v>
      </c>
      <c r="B550" s="276">
        <v>0.1721002385231428</v>
      </c>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row>
    <row r="551" spans="1:63" ht="14.25" customHeight="1" x14ac:dyDescent="0.35">
      <c r="A551" s="277" t="s">
        <v>104</v>
      </c>
      <c r="B551" s="276">
        <v>0.14522619131855169</v>
      </c>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row>
    <row r="552" spans="1:63" ht="14.25" customHeight="1" x14ac:dyDescent="0.35">
      <c r="A552" s="277" t="s">
        <v>105</v>
      </c>
      <c r="B552" s="276">
        <v>8.1264384047191801E-2</v>
      </c>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row>
    <row r="553" spans="1:63" ht="14.25" customHeight="1" x14ac:dyDescent="0.35">
      <c r="A553" s="277" t="s">
        <v>106</v>
      </c>
      <c r="B553" s="276">
        <v>9.9870728042374166E-2</v>
      </c>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row>
    <row r="554" spans="1:63" ht="14.25" customHeight="1" x14ac:dyDescent="0.35">
      <c r="A554" s="277" t="s">
        <v>107</v>
      </c>
      <c r="B554" s="276">
        <v>7.008642295565197E-2</v>
      </c>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row>
    <row r="555" spans="1:63" ht="14.25" customHeight="1" x14ac:dyDescent="0.35">
      <c r="A555" s="277" t="s">
        <v>108</v>
      </c>
      <c r="B555" s="276">
        <v>0.12702050997360181</v>
      </c>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row>
    <row r="556" spans="1:63" ht="14.25" customHeight="1" x14ac:dyDescent="0.35">
      <c r="A556" s="277" t="s">
        <v>109</v>
      </c>
      <c r="B556" s="276">
        <v>7.1098629099813113E-2</v>
      </c>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row>
    <row r="557" spans="1:63" ht="14.25" customHeight="1" x14ac:dyDescent="0.35">
      <c r="A557" s="277" t="s">
        <v>229</v>
      </c>
      <c r="B557" s="276">
        <v>5.3272833424024627E-2</v>
      </c>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row>
    <row r="558" spans="1:63" ht="14.25" customHeight="1" x14ac:dyDescent="0.35">
      <c r="A558" s="277" t="s">
        <v>111</v>
      </c>
      <c r="B558" s="276">
        <v>0.13800942247894959</v>
      </c>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row>
    <row r="559" spans="1:63" ht="14.25" customHeight="1" x14ac:dyDescent="0.35">
      <c r="A559" s="277" t="s">
        <v>112</v>
      </c>
      <c r="B559" s="276">
        <v>0.10619413241107431</v>
      </c>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row>
    <row r="560" spans="1:63" ht="14.25" customHeight="1" x14ac:dyDescent="0.35">
      <c r="A560" s="277" t="s">
        <v>113</v>
      </c>
      <c r="B560" s="276">
        <v>0.17211376167672499</v>
      </c>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row>
    <row r="561" spans="1:63" ht="14.25" customHeight="1" x14ac:dyDescent="0.35">
      <c r="A561" s="277" t="s">
        <v>114</v>
      </c>
      <c r="B561" s="276">
        <v>5.980911600873122E-2</v>
      </c>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row>
    <row r="562" spans="1:63" ht="14.25" customHeight="1" x14ac:dyDescent="0.35">
      <c r="A562" s="277" t="s">
        <v>115</v>
      </c>
      <c r="B562" s="276">
        <v>0.12119006357879743</v>
      </c>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row>
    <row r="563" spans="1:63" ht="14.25" customHeight="1" x14ac:dyDescent="0.35">
      <c r="A563" s="277" t="s">
        <v>116</v>
      </c>
      <c r="B563" s="276">
        <v>4.1859376222037462E-2</v>
      </c>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row>
    <row r="564" spans="1:63" ht="14.25" customHeight="1" x14ac:dyDescent="0.35">
      <c r="A564" s="277" t="s">
        <v>117</v>
      </c>
      <c r="B564" s="276">
        <v>0.19094668822474486</v>
      </c>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row>
    <row r="565" spans="1:63" ht="14.25" customHeight="1" x14ac:dyDescent="0.35">
      <c r="A565" s="277" t="s">
        <v>118</v>
      </c>
      <c r="B565" s="276">
        <v>0.13254837591277838</v>
      </c>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row>
    <row r="566" spans="1:63" ht="14.25" customHeight="1" x14ac:dyDescent="0.35">
      <c r="A566" s="277" t="s">
        <v>119</v>
      </c>
      <c r="B566" s="276">
        <v>0.11126541427553158</v>
      </c>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row>
    <row r="567" spans="1:63" ht="14.25" customHeight="1" x14ac:dyDescent="0.35">
      <c r="A567" s="277" t="s">
        <v>120</v>
      </c>
      <c r="B567" s="276">
        <v>0.2013288199638949</v>
      </c>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row>
    <row r="568" spans="1:63" ht="14.25" customHeight="1" x14ac:dyDescent="0.35">
      <c r="A568" s="278" t="s">
        <v>83</v>
      </c>
      <c r="B568" s="276">
        <v>0.12018983862372334</v>
      </c>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row>
    <row r="569" spans="1:63" ht="14.25" customHeight="1" x14ac:dyDescent="0.35">
      <c r="A569" s="278" t="s">
        <v>144</v>
      </c>
      <c r="B569" s="276">
        <v>8.7691836843988596E-2</v>
      </c>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row>
    <row r="570" spans="1:63" ht="14.25" customHeight="1" x14ac:dyDescent="0.35">
      <c r="A570" s="278" t="s">
        <v>164</v>
      </c>
      <c r="B570" s="276">
        <v>0.1432645320047943</v>
      </c>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row>
    <row r="571" spans="1:63" ht="14.25" customHeight="1" x14ac:dyDescent="0.35">
      <c r="A571" s="278" t="s">
        <v>145</v>
      </c>
      <c r="B571" s="276">
        <v>3.2652064616684996E-2</v>
      </c>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row>
    <row r="572" spans="1:63" ht="14.25" customHeight="1" x14ac:dyDescent="0.35">
      <c r="A572" s="278" t="s">
        <v>87</v>
      </c>
      <c r="B572" s="276">
        <v>4.9444891834059951E-2</v>
      </c>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row>
    <row r="573" spans="1:63" ht="14.25" customHeight="1" x14ac:dyDescent="0.35">
      <c r="A573" s="278" t="s">
        <v>146</v>
      </c>
      <c r="B573" s="276">
        <v>7.1303179457055305E-2</v>
      </c>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row>
    <row r="574" spans="1:63" ht="14.25" customHeight="1" x14ac:dyDescent="0.35">
      <c r="A574" s="278" t="s">
        <v>89</v>
      </c>
      <c r="B574" s="276">
        <v>8.1590846882825807E-2</v>
      </c>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row>
    <row r="575" spans="1:63" ht="14.25" customHeight="1" x14ac:dyDescent="0.35">
      <c r="A575" s="278" t="s">
        <v>90</v>
      </c>
      <c r="B575" s="276">
        <v>0.17218265248388498</v>
      </c>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row>
    <row r="577" spans="1:63" ht="14.25" customHeight="1" x14ac:dyDescent="0.35">
      <c r="A577" s="143" t="s">
        <v>1185</v>
      </c>
    </row>
    <row r="578" spans="1:63" ht="14.25" customHeight="1" x14ac:dyDescent="0.35">
      <c r="A578" s="34" t="s">
        <v>1242</v>
      </c>
      <c r="B578" s="2"/>
    </row>
    <row r="579" spans="1:63" ht="14.25" customHeight="1" x14ac:dyDescent="0.35">
      <c r="A579" s="38" t="s">
        <v>1211</v>
      </c>
      <c r="B579" s="9" t="s">
        <v>169</v>
      </c>
    </row>
    <row r="580" spans="1:63" ht="14.25" customHeight="1" x14ac:dyDescent="0.35">
      <c r="A580" s="271">
        <v>0</v>
      </c>
      <c r="B580" s="272" t="s">
        <v>1218</v>
      </c>
    </row>
    <row r="581" spans="1:63" ht="14.25" customHeight="1" x14ac:dyDescent="0.35">
      <c r="A581" s="271">
        <v>1</v>
      </c>
      <c r="B581" s="272" t="s">
        <v>1287</v>
      </c>
    </row>
    <row r="582" spans="1:63" ht="14.25" customHeight="1" x14ac:dyDescent="0.35">
      <c r="A582" s="39" t="s">
        <v>170</v>
      </c>
      <c r="B582" s="40">
        <v>0</v>
      </c>
    </row>
    <row r="584" spans="1:63" ht="14.25" customHeight="1" x14ac:dyDescent="0.35">
      <c r="A584" s="14" t="s">
        <v>649</v>
      </c>
      <c r="B584" s="34" t="s">
        <v>1243</v>
      </c>
    </row>
    <row r="585" spans="1:63" ht="14.25" customHeight="1" x14ac:dyDescent="0.35">
      <c r="A585" s="74" t="s">
        <v>380</v>
      </c>
      <c r="B585" s="273" t="s">
        <v>12</v>
      </c>
    </row>
    <row r="586" spans="1:63" ht="14.25" customHeight="1" x14ac:dyDescent="0.35">
      <c r="A586" s="74" t="s">
        <v>127</v>
      </c>
      <c r="B586" s="93">
        <v>2025</v>
      </c>
    </row>
    <row r="587" spans="1:63" ht="14.25" customHeight="1" x14ac:dyDescent="0.35">
      <c r="A587" s="118"/>
    </row>
    <row r="588" spans="1:63" ht="14.25" customHeight="1" x14ac:dyDescent="0.35">
      <c r="A588" s="34" t="s">
        <v>1244</v>
      </c>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row>
    <row r="589" spans="1:63" ht="14.25" customHeight="1" x14ac:dyDescent="0.35">
      <c r="A589" s="39" t="s">
        <v>1232</v>
      </c>
      <c r="B589" s="35" t="s">
        <v>127</v>
      </c>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row>
    <row r="590" spans="1:63" ht="14.25" customHeight="1" x14ac:dyDescent="0.35">
      <c r="A590" s="275" t="s">
        <v>228</v>
      </c>
      <c r="B590" s="276">
        <v>0.2686174936918227</v>
      </c>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row>
    <row r="591" spans="1:63" ht="14.25" customHeight="1" x14ac:dyDescent="0.35">
      <c r="A591" s="277" t="s">
        <v>95</v>
      </c>
      <c r="B591" s="276">
        <v>0.26578720114928905</v>
      </c>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row>
    <row r="592" spans="1:63" ht="14.25" customHeight="1" x14ac:dyDescent="0.35">
      <c r="A592" s="277" t="s">
        <v>96</v>
      </c>
      <c r="B592" s="276">
        <v>0.153026050634536</v>
      </c>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row>
    <row r="593" spans="1:63" ht="14.25" customHeight="1" x14ac:dyDescent="0.35">
      <c r="A593" s="277" t="s">
        <v>97</v>
      </c>
      <c r="B593" s="276">
        <v>0.21016165385157898</v>
      </c>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row>
    <row r="594" spans="1:63" ht="14.25" customHeight="1" x14ac:dyDescent="0.35">
      <c r="A594" s="277" t="s">
        <v>98</v>
      </c>
      <c r="B594" s="276">
        <v>0.14298903476655445</v>
      </c>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row>
    <row r="595" spans="1:63" ht="14.25" customHeight="1" x14ac:dyDescent="0.35">
      <c r="A595" s="277" t="s">
        <v>163</v>
      </c>
      <c r="B595" s="276">
        <v>0.2839310325473362</v>
      </c>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row>
    <row r="596" spans="1:63" ht="14.25" customHeight="1" x14ac:dyDescent="0.35">
      <c r="A596" s="277" t="s">
        <v>100</v>
      </c>
      <c r="B596" s="276">
        <v>1.7074049643448223E-2</v>
      </c>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row>
    <row r="597" spans="1:63" ht="14.25" customHeight="1" x14ac:dyDescent="0.35">
      <c r="A597" s="277" t="s">
        <v>101</v>
      </c>
      <c r="B597" s="276">
        <v>0.21895669492429923</v>
      </c>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row>
    <row r="598" spans="1:63" ht="14.25" customHeight="1" x14ac:dyDescent="0.35">
      <c r="A598" s="277" t="s">
        <v>102</v>
      </c>
      <c r="B598" s="276">
        <v>0.21966444942260199</v>
      </c>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row>
    <row r="599" spans="1:63" ht="14.25" customHeight="1" x14ac:dyDescent="0.35">
      <c r="A599" s="277" t="s">
        <v>103</v>
      </c>
      <c r="B599" s="276">
        <v>0.31683946076187397</v>
      </c>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row>
    <row r="600" spans="1:63" ht="14.25" customHeight="1" x14ac:dyDescent="0.35">
      <c r="A600" s="277" t="s">
        <v>104</v>
      </c>
      <c r="B600" s="276">
        <v>0.27517272303203477</v>
      </c>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row>
    <row r="601" spans="1:63" ht="14.25" customHeight="1" x14ac:dyDescent="0.35">
      <c r="A601" s="277" t="s">
        <v>105</v>
      </c>
      <c r="B601" s="276">
        <v>0.29952732222318851</v>
      </c>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row>
    <row r="602" spans="1:63" ht="14.25" customHeight="1" x14ac:dyDescent="0.35">
      <c r="A602" s="277" t="s">
        <v>106</v>
      </c>
      <c r="B602" s="276">
        <v>0.27928014516473404</v>
      </c>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row>
    <row r="603" spans="1:63" ht="14.25" customHeight="1" x14ac:dyDescent="0.35">
      <c r="A603" s="277" t="s">
        <v>107</v>
      </c>
      <c r="B603" s="276">
        <v>0.10668139385611995</v>
      </c>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row>
    <row r="604" spans="1:63" ht="14.25" customHeight="1" x14ac:dyDescent="0.35">
      <c r="A604" s="277" t="s">
        <v>108</v>
      </c>
      <c r="B604" s="276">
        <v>0.23596492699327087</v>
      </c>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row>
    <row r="605" spans="1:63" ht="14.25" customHeight="1" x14ac:dyDescent="0.35">
      <c r="A605" s="277" t="s">
        <v>109</v>
      </c>
      <c r="B605" s="276">
        <v>0.1692717547669827</v>
      </c>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row>
    <row r="606" spans="1:63" ht="14.25" customHeight="1" x14ac:dyDescent="0.35">
      <c r="A606" s="277" t="s">
        <v>229</v>
      </c>
      <c r="B606" s="276">
        <v>0.2411818742180187</v>
      </c>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row>
    <row r="607" spans="1:63" ht="14.25" customHeight="1" x14ac:dyDescent="0.35">
      <c r="A607" s="277" t="s">
        <v>111</v>
      </c>
      <c r="B607" s="276">
        <v>0.26167763893175972</v>
      </c>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row>
    <row r="608" spans="1:63" ht="14.25" customHeight="1" x14ac:dyDescent="0.35">
      <c r="A608" s="277" t="s">
        <v>112</v>
      </c>
      <c r="B608" s="276">
        <v>0.11910646790003326</v>
      </c>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row>
    <row r="609" spans="1:63" ht="14.25" customHeight="1" x14ac:dyDescent="0.35">
      <c r="A609" s="277" t="s">
        <v>113</v>
      </c>
      <c r="B609" s="276">
        <v>0.24237194546189864</v>
      </c>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row>
    <row r="610" spans="1:63" ht="14.25" customHeight="1" x14ac:dyDescent="0.35">
      <c r="A610" s="277" t="s">
        <v>114</v>
      </c>
      <c r="B610" s="276">
        <v>0.26894270260874342</v>
      </c>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row>
    <row r="611" spans="1:63" ht="14.25" customHeight="1" x14ac:dyDescent="0.35">
      <c r="A611" s="277" t="s">
        <v>115</v>
      </c>
      <c r="B611" s="276">
        <v>0.22825771146790139</v>
      </c>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row>
    <row r="612" spans="1:63" ht="14.25" customHeight="1" x14ac:dyDescent="0.35">
      <c r="A612" s="277" t="s">
        <v>116</v>
      </c>
      <c r="B612" s="276">
        <v>0.18510015882063094</v>
      </c>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row>
    <row r="613" spans="1:63" ht="14.25" customHeight="1" x14ac:dyDescent="0.35">
      <c r="A613" s="277" t="s">
        <v>117</v>
      </c>
      <c r="B613" s="276">
        <v>0.27987859127424841</v>
      </c>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row>
    <row r="614" spans="1:63" ht="14.25" customHeight="1" x14ac:dyDescent="0.35">
      <c r="A614" s="277" t="s">
        <v>118</v>
      </c>
      <c r="B614" s="276">
        <v>0.26706453222554433</v>
      </c>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row>
    <row r="615" spans="1:63" ht="14.25" customHeight="1" x14ac:dyDescent="0.35">
      <c r="A615" s="277" t="s">
        <v>119</v>
      </c>
      <c r="B615" s="276">
        <v>0.21269157399261862</v>
      </c>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row>
    <row r="616" spans="1:63" ht="14.25" customHeight="1" x14ac:dyDescent="0.35">
      <c r="A616" s="277" t="s">
        <v>120</v>
      </c>
      <c r="B616" s="276">
        <v>6.7643691414242466E-2</v>
      </c>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row>
    <row r="617" spans="1:63" ht="14.25" customHeight="1" x14ac:dyDescent="0.35">
      <c r="A617" s="278" t="s">
        <v>83</v>
      </c>
      <c r="B617" s="276">
        <v>0.12680124459322797</v>
      </c>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row>
    <row r="618" spans="1:63" ht="14.25" customHeight="1" x14ac:dyDescent="0.35">
      <c r="A618" s="278" t="s">
        <v>144</v>
      </c>
      <c r="B618" s="276">
        <v>7.3716591932032186E-2</v>
      </c>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row>
    <row r="619" spans="1:63" ht="14.25" customHeight="1" x14ac:dyDescent="0.35">
      <c r="A619" s="278" t="s">
        <v>164</v>
      </c>
      <c r="B619" s="276">
        <v>0.11455696660157717</v>
      </c>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row>
    <row r="620" spans="1:63" ht="14.25" customHeight="1" x14ac:dyDescent="0.35">
      <c r="A620" s="278" t="s">
        <v>145</v>
      </c>
      <c r="B620" s="276">
        <v>6.7165960830545032E-2</v>
      </c>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row>
    <row r="621" spans="1:63" ht="14.25" customHeight="1" x14ac:dyDescent="0.35">
      <c r="A621" s="278" t="s">
        <v>87</v>
      </c>
      <c r="B621" s="276">
        <v>0.161123387438491</v>
      </c>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row>
    <row r="622" spans="1:63" ht="14.25" customHeight="1" x14ac:dyDescent="0.35">
      <c r="A622" s="278" t="s">
        <v>146</v>
      </c>
      <c r="B622" s="276">
        <v>0.11406648756931856</v>
      </c>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row>
    <row r="623" spans="1:63" ht="14.25" customHeight="1" x14ac:dyDescent="0.35">
      <c r="A623" s="278" t="s">
        <v>89</v>
      </c>
      <c r="B623" s="276">
        <v>0.1143805091005765</v>
      </c>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row>
    <row r="624" spans="1:63" ht="14.25" customHeight="1" x14ac:dyDescent="0.35">
      <c r="A624" s="278" t="s">
        <v>90</v>
      </c>
      <c r="B624" s="276">
        <v>6.4701419694979806E-2</v>
      </c>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row>
    <row r="626" spans="1:63" ht="14.25" customHeight="1" x14ac:dyDescent="0.35">
      <c r="A626" s="143" t="s">
        <v>1187</v>
      </c>
    </row>
    <row r="627" spans="1:63" ht="14.25" customHeight="1" x14ac:dyDescent="0.35">
      <c r="A627" s="34" t="s">
        <v>1245</v>
      </c>
      <c r="B627" s="2"/>
    </row>
    <row r="628" spans="1:63" ht="14.25" customHeight="1" x14ac:dyDescent="0.35">
      <c r="A628" s="38" t="s">
        <v>1211</v>
      </c>
      <c r="B628" s="9" t="s">
        <v>169</v>
      </c>
    </row>
    <row r="629" spans="1:63" ht="14.25" customHeight="1" x14ac:dyDescent="0.35">
      <c r="A629" s="271">
        <v>0</v>
      </c>
      <c r="B629" s="272" t="s">
        <v>1218</v>
      </c>
    </row>
    <row r="630" spans="1:63" ht="14.25" customHeight="1" x14ac:dyDescent="0.35">
      <c r="A630" s="271">
        <v>1</v>
      </c>
      <c r="B630" s="272" t="s">
        <v>1287</v>
      </c>
    </row>
    <row r="631" spans="1:63" ht="14.25" customHeight="1" x14ac:dyDescent="0.35">
      <c r="A631" s="39" t="s">
        <v>170</v>
      </c>
      <c r="B631" s="40">
        <v>0</v>
      </c>
    </row>
    <row r="633" spans="1:63" ht="14.25" customHeight="1" x14ac:dyDescent="0.35">
      <c r="A633" s="14" t="s">
        <v>649</v>
      </c>
      <c r="B633" s="34" t="s">
        <v>1246</v>
      </c>
    </row>
    <row r="634" spans="1:63" ht="14.25" customHeight="1" x14ac:dyDescent="0.35">
      <c r="A634" s="74" t="s">
        <v>380</v>
      </c>
      <c r="B634" s="273" t="s">
        <v>12</v>
      </c>
    </row>
    <row r="635" spans="1:63" ht="14.25" customHeight="1" x14ac:dyDescent="0.35">
      <c r="A635" s="74" t="s">
        <v>127</v>
      </c>
      <c r="B635" s="93">
        <v>2025</v>
      </c>
    </row>
    <row r="636" spans="1:63" ht="14.25" customHeight="1" x14ac:dyDescent="0.35">
      <c r="A636" s="118"/>
    </row>
    <row r="637" spans="1:63" ht="14.25" customHeight="1" x14ac:dyDescent="0.35">
      <c r="A637" s="34" t="s">
        <v>1247</v>
      </c>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row>
    <row r="638" spans="1:63" ht="14.25" customHeight="1" x14ac:dyDescent="0.35">
      <c r="A638" s="39" t="s">
        <v>1232</v>
      </c>
      <c r="B638" s="34" t="s">
        <v>1248</v>
      </c>
      <c r="C638" s="34" t="s">
        <v>1249</v>
      </c>
      <c r="D638" s="34" t="s">
        <v>1250</v>
      </c>
      <c r="E638" s="34" t="s">
        <v>1251</v>
      </c>
      <c r="F638" s="34" t="s">
        <v>1252</v>
      </c>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row>
    <row r="639" spans="1:63" ht="14.25" customHeight="1" x14ac:dyDescent="0.35">
      <c r="A639" s="275" t="s">
        <v>228</v>
      </c>
      <c r="B639" s="276">
        <v>0.41610235006874541</v>
      </c>
      <c r="C639" s="276">
        <v>6.2757795642366804E-2</v>
      </c>
      <c r="D639" s="276">
        <v>0.39823830470160537</v>
      </c>
      <c r="E639" s="276">
        <v>6.0456900727576972E-2</v>
      </c>
      <c r="F639" s="276">
        <v>6.2444648859705458E-2</v>
      </c>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row>
    <row r="640" spans="1:63" ht="14.25" customHeight="1" x14ac:dyDescent="0.35">
      <c r="A640" s="277" t="s">
        <v>95</v>
      </c>
      <c r="B640" s="276">
        <v>0.5024662637584838</v>
      </c>
      <c r="C640" s="276">
        <v>5.3039989215840452E-2</v>
      </c>
      <c r="D640" s="276">
        <v>0.36123564409822562</v>
      </c>
      <c r="E640" s="276">
        <v>4.3887750787876802E-2</v>
      </c>
      <c r="F640" s="276">
        <v>3.937035213957326E-2</v>
      </c>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row>
    <row r="641" spans="1:63" ht="14.25" customHeight="1" x14ac:dyDescent="0.35">
      <c r="A641" s="277" t="s">
        <v>96</v>
      </c>
      <c r="B641" s="276">
        <v>0.42824794960180673</v>
      </c>
      <c r="C641" s="276">
        <v>0.17494353975989541</v>
      </c>
      <c r="D641" s="276">
        <v>0.31541364554855572</v>
      </c>
      <c r="E641" s="276">
        <v>5.425234755735172E-2</v>
      </c>
      <c r="F641" s="276">
        <v>2.7142517532390414E-2</v>
      </c>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row>
    <row r="642" spans="1:63" ht="14.25" customHeight="1" x14ac:dyDescent="0.35">
      <c r="A642" s="277" t="s">
        <v>97</v>
      </c>
      <c r="B642" s="276">
        <v>0.45699424324224869</v>
      </c>
      <c r="C642" s="276">
        <v>7.7500476663555806E-2</v>
      </c>
      <c r="D642" s="276">
        <v>0.32976889343809895</v>
      </c>
      <c r="E642" s="276">
        <v>5.3254524958772781E-2</v>
      </c>
      <c r="F642" s="276">
        <v>8.2481861697323688E-2</v>
      </c>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row>
    <row r="643" spans="1:63" ht="14.25" customHeight="1" x14ac:dyDescent="0.35">
      <c r="A643" s="277" t="s">
        <v>98</v>
      </c>
      <c r="B643" s="276">
        <v>0.44294214725877024</v>
      </c>
      <c r="C643" s="276">
        <v>5.9003436946416937E-2</v>
      </c>
      <c r="D643" s="276">
        <v>0.37297681953760203</v>
      </c>
      <c r="E643" s="276">
        <v>7.0147016518539815E-2</v>
      </c>
      <c r="F643" s="276">
        <v>5.4930579738670951E-2</v>
      </c>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row>
    <row r="644" spans="1:63" ht="14.25" customHeight="1" x14ac:dyDescent="0.35">
      <c r="A644" s="277" t="s">
        <v>163</v>
      </c>
      <c r="B644" s="276">
        <v>0.50109708787994511</v>
      </c>
      <c r="C644" s="276">
        <v>0.13408587074506084</v>
      </c>
      <c r="D644" s="276">
        <v>0.32252851662483917</v>
      </c>
      <c r="E644" s="276">
        <v>4.9933244174256264E-2</v>
      </c>
      <c r="F644" s="276">
        <v>-7.6447194241013499E-3</v>
      </c>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row>
    <row r="645" spans="1:63" ht="14.25" customHeight="1" x14ac:dyDescent="0.35">
      <c r="A645" s="277" t="s">
        <v>100</v>
      </c>
      <c r="B645" s="276">
        <v>0.49965943959267622</v>
      </c>
      <c r="C645" s="276">
        <v>7.1154485329890799E-2</v>
      </c>
      <c r="D645" s="276">
        <v>0.33341297405093473</v>
      </c>
      <c r="E645" s="276">
        <v>6.0645764189615564E-2</v>
      </c>
      <c r="F645" s="276">
        <v>3.5127336836882628E-2</v>
      </c>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row>
    <row r="646" spans="1:63" ht="14.25" customHeight="1" x14ac:dyDescent="0.35">
      <c r="A646" s="277" t="s">
        <v>101</v>
      </c>
      <c r="B646" s="276">
        <v>0.51547197914727239</v>
      </c>
      <c r="C646" s="276">
        <v>0.13369329113138462</v>
      </c>
      <c r="D646" s="276">
        <v>0.29059765406814375</v>
      </c>
      <c r="E646" s="276">
        <v>4.9574877428163598E-2</v>
      </c>
      <c r="F646" s="276">
        <v>1.0662198225035793E-2</v>
      </c>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row>
    <row r="647" spans="1:63" ht="14.25" customHeight="1" x14ac:dyDescent="0.35">
      <c r="A647" s="277" t="s">
        <v>102</v>
      </c>
      <c r="B647" s="276">
        <v>0.45161431637972577</v>
      </c>
      <c r="C647" s="276">
        <v>6.9286371402286759E-2</v>
      </c>
      <c r="D647" s="276">
        <v>0.36413895825119375</v>
      </c>
      <c r="E647" s="276">
        <v>5.0177421474569585E-2</v>
      </c>
      <c r="F647" s="276">
        <v>6.4782932492224179E-2</v>
      </c>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row>
    <row r="648" spans="1:63" ht="14.25" customHeight="1" x14ac:dyDescent="0.35">
      <c r="A648" s="277" t="s">
        <v>103</v>
      </c>
      <c r="B648" s="276">
        <v>0.45562449020807783</v>
      </c>
      <c r="C648" s="276">
        <v>6.5182854799943943E-2</v>
      </c>
      <c r="D648" s="276">
        <v>0.37953502624149843</v>
      </c>
      <c r="E648" s="276">
        <v>6.3813543903693842E-2</v>
      </c>
      <c r="F648" s="276">
        <v>3.5844084846785938E-2</v>
      </c>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row>
    <row r="649" spans="1:63" ht="14.25" customHeight="1" x14ac:dyDescent="0.35">
      <c r="A649" s="277" t="s">
        <v>104</v>
      </c>
      <c r="B649" s="276">
        <v>0.46868700927033757</v>
      </c>
      <c r="C649" s="276">
        <v>5.1280631929721626E-2</v>
      </c>
      <c r="D649" s="276">
        <v>0.37145403460936555</v>
      </c>
      <c r="E649" s="276">
        <v>5.2396425348991874E-2</v>
      </c>
      <c r="F649" s="276">
        <v>5.6181898841583491E-2</v>
      </c>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row>
    <row r="650" spans="1:63" ht="14.25" customHeight="1" x14ac:dyDescent="0.35">
      <c r="A650" s="277" t="s">
        <v>105</v>
      </c>
      <c r="B650" s="276">
        <v>0.41431957292098121</v>
      </c>
      <c r="C650" s="276">
        <v>7.8374522527497825E-2</v>
      </c>
      <c r="D650" s="276">
        <v>0.4031478669059782</v>
      </c>
      <c r="E650" s="276">
        <v>3.1294583275806524E-2</v>
      </c>
      <c r="F650" s="276">
        <v>7.2863454369736264E-2</v>
      </c>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row>
    <row r="651" spans="1:63" ht="14.25" customHeight="1" x14ac:dyDescent="0.35">
      <c r="A651" s="277" t="s">
        <v>106</v>
      </c>
      <c r="B651" s="276">
        <v>0.43789644208544443</v>
      </c>
      <c r="C651" s="276">
        <v>0.14457003597940807</v>
      </c>
      <c r="D651" s="276">
        <v>0.28434802047059959</v>
      </c>
      <c r="E651" s="276">
        <v>6.2772872812902503E-2</v>
      </c>
      <c r="F651" s="276">
        <v>7.0412628651645548E-2</v>
      </c>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row>
    <row r="652" spans="1:63" ht="14.25" customHeight="1" x14ac:dyDescent="0.35">
      <c r="A652" s="277" t="s">
        <v>107</v>
      </c>
      <c r="B652" s="276">
        <v>0.47780979912622279</v>
      </c>
      <c r="C652" s="276">
        <v>6.9452523981384753E-2</v>
      </c>
      <c r="D652" s="276">
        <v>0.34268745844809573</v>
      </c>
      <c r="E652" s="276">
        <v>3.7512465571279331E-2</v>
      </c>
      <c r="F652" s="276">
        <v>7.2537752873017378E-2</v>
      </c>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row>
    <row r="653" spans="1:63" ht="14.25" customHeight="1" x14ac:dyDescent="0.35">
      <c r="A653" s="277" t="s">
        <v>108</v>
      </c>
      <c r="B653" s="276">
        <v>0.42908530597407674</v>
      </c>
      <c r="C653" s="276">
        <v>5.3935425064971003E-2</v>
      </c>
      <c r="D653" s="276">
        <v>0.45156066039834414</v>
      </c>
      <c r="E653" s="276">
        <v>3.4524151850384946E-2</v>
      </c>
      <c r="F653" s="276">
        <v>3.089445671222317E-2</v>
      </c>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row>
    <row r="654" spans="1:63" ht="14.25" customHeight="1" x14ac:dyDescent="0.35">
      <c r="A654" s="277" t="s">
        <v>109</v>
      </c>
      <c r="B654" s="276">
        <v>0.51095321305822039</v>
      </c>
      <c r="C654" s="276">
        <v>0.13131126103711244</v>
      </c>
      <c r="D654" s="276">
        <v>0.29600870239431565</v>
      </c>
      <c r="E654" s="276">
        <v>7.8020668186499706E-2</v>
      </c>
      <c r="F654" s="276">
        <v>-1.6293844676148118E-2</v>
      </c>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row>
    <row r="655" spans="1:63" ht="14.25" customHeight="1" x14ac:dyDescent="0.35">
      <c r="A655" s="277" t="s">
        <v>229</v>
      </c>
      <c r="B655" s="276">
        <v>0.51889282629577904</v>
      </c>
      <c r="C655" s="276">
        <v>0.11136314102822825</v>
      </c>
      <c r="D655" s="276">
        <v>0.32724425465963852</v>
      </c>
      <c r="E655" s="276">
        <v>4.4525883293107207E-2</v>
      </c>
      <c r="F655" s="276">
        <v>-2.0261052767531181E-3</v>
      </c>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row>
    <row r="656" spans="1:63" ht="14.25" customHeight="1" x14ac:dyDescent="0.35">
      <c r="A656" s="277" t="s">
        <v>111</v>
      </c>
      <c r="B656" s="276">
        <v>0.41262107905849299</v>
      </c>
      <c r="C656" s="276">
        <v>9.740671982762765E-2</v>
      </c>
      <c r="D656" s="276">
        <v>0.38169121112724957</v>
      </c>
      <c r="E656" s="276">
        <v>7.6822077509835399E-2</v>
      </c>
      <c r="F656" s="276">
        <v>3.1458912476794249E-2</v>
      </c>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row>
    <row r="657" spans="1:63" ht="14.25" customHeight="1" x14ac:dyDescent="0.35">
      <c r="A657" s="277" t="s">
        <v>112</v>
      </c>
      <c r="B657" s="276">
        <v>0.48535961610298561</v>
      </c>
      <c r="C657" s="276">
        <v>0.11577253527197495</v>
      </c>
      <c r="D657" s="276">
        <v>0.28344013103071752</v>
      </c>
      <c r="E657" s="276">
        <v>5.7699491393925474E-2</v>
      </c>
      <c r="F657" s="276">
        <v>5.7728226200396589E-2</v>
      </c>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row>
    <row r="658" spans="1:63" ht="14.25" customHeight="1" x14ac:dyDescent="0.35">
      <c r="A658" s="277" t="s">
        <v>113</v>
      </c>
      <c r="B658" s="276">
        <v>0.59064988828117515</v>
      </c>
      <c r="C658" s="276">
        <v>8.423462324025717E-2</v>
      </c>
      <c r="D658" s="276">
        <v>0.26823141560773672</v>
      </c>
      <c r="E658" s="276">
        <v>4.1915121108689397E-2</v>
      </c>
      <c r="F658" s="276">
        <v>1.4968951762141868E-2</v>
      </c>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row>
    <row r="659" spans="1:63" ht="14.25" customHeight="1" x14ac:dyDescent="0.35">
      <c r="A659" s="277" t="s">
        <v>114</v>
      </c>
      <c r="B659" s="276">
        <v>0.45739688558116465</v>
      </c>
      <c r="C659" s="276">
        <v>0.11491926624111956</v>
      </c>
      <c r="D659" s="276">
        <v>0.36228020755280366</v>
      </c>
      <c r="E659" s="276">
        <v>5.2145106677859342E-2</v>
      </c>
      <c r="F659" s="276">
        <v>1.3258533947052824E-2</v>
      </c>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row>
    <row r="660" spans="1:63" ht="14.25" customHeight="1" x14ac:dyDescent="0.35">
      <c r="A660" s="277" t="s">
        <v>115</v>
      </c>
      <c r="B660" s="276">
        <v>0.41430648864919051</v>
      </c>
      <c r="C660" s="276">
        <v>5.224549467523177E-2</v>
      </c>
      <c r="D660" s="276">
        <v>0.40859169372315346</v>
      </c>
      <c r="E660" s="276">
        <v>5.598303513081393E-2</v>
      </c>
      <c r="F660" s="276">
        <v>6.8873287821610535E-2</v>
      </c>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row>
    <row r="661" spans="1:63" ht="14.25" customHeight="1" x14ac:dyDescent="0.35">
      <c r="A661" s="277" t="s">
        <v>116</v>
      </c>
      <c r="B661" s="276">
        <v>0.41100910402594576</v>
      </c>
      <c r="C661" s="276">
        <v>0.15177028676260704</v>
      </c>
      <c r="D661" s="276">
        <v>0.30977330757092658</v>
      </c>
      <c r="E661" s="276">
        <v>7.08703709119307E-2</v>
      </c>
      <c r="F661" s="276">
        <v>5.6576930728589797E-2</v>
      </c>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row>
    <row r="662" spans="1:63" ht="14.25" customHeight="1" x14ac:dyDescent="0.35">
      <c r="A662" s="277" t="s">
        <v>117</v>
      </c>
      <c r="B662" s="276">
        <v>0.43523806454070491</v>
      </c>
      <c r="C662" s="276">
        <v>0.14929396700002637</v>
      </c>
      <c r="D662" s="276">
        <v>0.32136442085954647</v>
      </c>
      <c r="E662" s="276">
        <v>4.236491020385439E-2</v>
      </c>
      <c r="F662" s="276">
        <v>5.1738637395868044E-2</v>
      </c>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row>
    <row r="663" spans="1:63" ht="14.25" customHeight="1" x14ac:dyDescent="0.35">
      <c r="A663" s="277" t="s">
        <v>118</v>
      </c>
      <c r="B663" s="276">
        <v>0.42135313740515207</v>
      </c>
      <c r="C663" s="276">
        <v>0.10654098993472266</v>
      </c>
      <c r="D663" s="276">
        <v>0.37920802917605323</v>
      </c>
      <c r="E663" s="276">
        <v>4.0514613953113225E-2</v>
      </c>
      <c r="F663" s="276">
        <v>5.2383229530959106E-2</v>
      </c>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row>
    <row r="664" spans="1:63" ht="14.25" customHeight="1" x14ac:dyDescent="0.35">
      <c r="A664" s="277" t="s">
        <v>119</v>
      </c>
      <c r="B664" s="276">
        <v>0.49010497413004089</v>
      </c>
      <c r="C664" s="276">
        <v>6.3610213497207538E-2</v>
      </c>
      <c r="D664" s="276">
        <v>0.39750312867736326</v>
      </c>
      <c r="E664" s="276">
        <v>3.754879802753236E-2</v>
      </c>
      <c r="F664" s="276">
        <v>1.123288566785597E-2</v>
      </c>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row>
    <row r="665" spans="1:63" ht="14.25" customHeight="1" x14ac:dyDescent="0.35">
      <c r="A665" s="277" t="s">
        <v>120</v>
      </c>
      <c r="B665" s="276">
        <v>0.54587602822405012</v>
      </c>
      <c r="C665" s="276">
        <v>8.8031658722948838E-2</v>
      </c>
      <c r="D665" s="276">
        <v>0.27928917206963921</v>
      </c>
      <c r="E665" s="276">
        <v>5.4092113941535888E-2</v>
      </c>
      <c r="F665" s="276">
        <v>3.2711027041825776E-2</v>
      </c>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row>
    <row r="666" spans="1:63" ht="14.25" customHeight="1" x14ac:dyDescent="0.35">
      <c r="A666" s="278" t="s">
        <v>83</v>
      </c>
      <c r="B666" s="276">
        <v>0.49584248093586608</v>
      </c>
      <c r="C666" s="276">
        <v>6.7822181212680438E-2</v>
      </c>
      <c r="D666" s="276">
        <v>0.34551290209678964</v>
      </c>
      <c r="E666" s="276">
        <v>5.0484160064483974E-2</v>
      </c>
      <c r="F666" s="276">
        <v>4.0338275690179864E-2</v>
      </c>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row>
    <row r="667" spans="1:63" ht="14.25" customHeight="1" x14ac:dyDescent="0.35">
      <c r="A667" s="278" t="s">
        <v>144</v>
      </c>
      <c r="B667" s="276">
        <v>0.53381768520799822</v>
      </c>
      <c r="C667" s="276">
        <v>0.20711825454407873</v>
      </c>
      <c r="D667" s="276">
        <v>0.33674370147547744</v>
      </c>
      <c r="E667" s="276">
        <v>2.1710783504104779E-3</v>
      </c>
      <c r="F667" s="276">
        <v>-7.9850719577964968E-2</v>
      </c>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row>
    <row r="668" spans="1:63" ht="14.25" customHeight="1" x14ac:dyDescent="0.35">
      <c r="A668" s="278" t="s">
        <v>164</v>
      </c>
      <c r="B668" s="276">
        <v>0.53575080029895228</v>
      </c>
      <c r="C668" s="276">
        <v>0.10730222274543458</v>
      </c>
      <c r="D668" s="276">
        <v>0.25749510814669951</v>
      </c>
      <c r="E668" s="276">
        <v>6.5149741672558978E-2</v>
      </c>
      <c r="F668" s="276">
        <v>3.43021271363547E-2</v>
      </c>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row>
    <row r="669" spans="1:63" ht="14.25" customHeight="1" x14ac:dyDescent="0.35">
      <c r="A669" s="278" t="s">
        <v>145</v>
      </c>
      <c r="B669" s="276">
        <v>0.40493253100585885</v>
      </c>
      <c r="C669" s="276">
        <v>0.13753833533302531</v>
      </c>
      <c r="D669" s="276">
        <v>0.33005326101132615</v>
      </c>
      <c r="E669" s="276">
        <v>8.3507934763649969E-2</v>
      </c>
      <c r="F669" s="276">
        <v>4.3967937886139931E-2</v>
      </c>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row>
    <row r="670" spans="1:63" ht="14.25" customHeight="1" x14ac:dyDescent="0.35">
      <c r="A670" s="278" t="s">
        <v>87</v>
      </c>
      <c r="B670" s="276">
        <v>0.38549555104019673</v>
      </c>
      <c r="C670" s="276">
        <v>4.7530891874337851E-2</v>
      </c>
      <c r="D670" s="276">
        <v>0.24771133064860798</v>
      </c>
      <c r="E670" s="276">
        <v>0.18279585322516995</v>
      </c>
      <c r="F670" s="276">
        <v>0.13646637321168753</v>
      </c>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row>
    <row r="671" spans="1:63" ht="14.25" customHeight="1" x14ac:dyDescent="0.35">
      <c r="A671" s="278" t="s">
        <v>146</v>
      </c>
      <c r="B671" s="276">
        <v>0.49189997900479621</v>
      </c>
      <c r="C671" s="276">
        <v>0.11024024569498725</v>
      </c>
      <c r="D671" s="276">
        <v>0.27987257039560909</v>
      </c>
      <c r="E671" s="276">
        <v>9.2030096452326196E-2</v>
      </c>
      <c r="F671" s="276">
        <v>2.5957108452281302E-2</v>
      </c>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row>
    <row r="672" spans="1:63" ht="14.25" customHeight="1" x14ac:dyDescent="0.35">
      <c r="A672" s="278" t="s">
        <v>89</v>
      </c>
      <c r="B672" s="276">
        <v>0.43816121990425544</v>
      </c>
      <c r="C672" s="276">
        <v>9.4402116368284786E-2</v>
      </c>
      <c r="D672" s="276">
        <v>0.40215011590460864</v>
      </c>
      <c r="E672" s="276">
        <v>2.0671771123027694E-2</v>
      </c>
      <c r="F672" s="276">
        <v>4.461477669982334E-2</v>
      </c>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row>
    <row r="673" spans="1:63" ht="14.25" customHeight="1" x14ac:dyDescent="0.35">
      <c r="A673" s="278" t="s">
        <v>90</v>
      </c>
      <c r="B673" s="276">
        <v>0.51829824830737214</v>
      </c>
      <c r="C673" s="276">
        <v>9.0521723793331191E-2</v>
      </c>
      <c r="D673" s="276">
        <v>0.26987864108776694</v>
      </c>
      <c r="E673" s="276">
        <v>6.9234046107247565E-2</v>
      </c>
      <c r="F673" s="276">
        <v>5.2067340704281879E-2</v>
      </c>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row>
    <row r="675" spans="1:63" ht="14.25" customHeight="1" x14ac:dyDescent="0.35">
      <c r="A675" s="143" t="s">
        <v>1189</v>
      </c>
    </row>
    <row r="676" spans="1:63" ht="14.25" customHeight="1" x14ac:dyDescent="0.35">
      <c r="A676" s="34" t="s">
        <v>1253</v>
      </c>
      <c r="B676" s="2"/>
    </row>
    <row r="677" spans="1:63" ht="14.25" customHeight="1" x14ac:dyDescent="0.35">
      <c r="A677" s="38" t="s">
        <v>1211</v>
      </c>
      <c r="B677" s="9" t="s">
        <v>169</v>
      </c>
    </row>
    <row r="678" spans="1:63" ht="14.25" customHeight="1" x14ac:dyDescent="0.35">
      <c r="A678" s="271">
        <v>0</v>
      </c>
      <c r="B678" s="272" t="s">
        <v>1218</v>
      </c>
    </row>
    <row r="679" spans="1:63" ht="14.25" customHeight="1" x14ac:dyDescent="0.35">
      <c r="A679" s="271">
        <v>1</v>
      </c>
      <c r="B679" s="272" t="s">
        <v>1287</v>
      </c>
    </row>
    <row r="680" spans="1:63" ht="14.25" customHeight="1" x14ac:dyDescent="0.35">
      <c r="A680" s="39" t="s">
        <v>170</v>
      </c>
      <c r="B680" s="40">
        <v>0</v>
      </c>
    </row>
    <row r="682" spans="1:63" ht="14.25" customHeight="1" x14ac:dyDescent="0.35">
      <c r="A682" s="14" t="s">
        <v>649</v>
      </c>
      <c r="B682" s="34" t="s">
        <v>1254</v>
      </c>
    </row>
    <row r="683" spans="1:63" ht="14.25" customHeight="1" x14ac:dyDescent="0.35">
      <c r="A683" s="74" t="s">
        <v>380</v>
      </c>
      <c r="B683" s="273" t="s">
        <v>12</v>
      </c>
    </row>
    <row r="684" spans="1:63" ht="14.25" customHeight="1" x14ac:dyDescent="0.35">
      <c r="A684" s="74" t="s">
        <v>127</v>
      </c>
      <c r="B684" s="93">
        <v>2025</v>
      </c>
    </row>
    <row r="685" spans="1:63" ht="14.25" customHeight="1" x14ac:dyDescent="0.35">
      <c r="A685" s="118"/>
    </row>
    <row r="686" spans="1:63" ht="14.25" customHeight="1" x14ac:dyDescent="0.35">
      <c r="A686" s="34" t="s">
        <v>1255</v>
      </c>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row>
    <row r="687" spans="1:63" ht="14.25" customHeight="1" x14ac:dyDescent="0.35">
      <c r="A687" s="39" t="s">
        <v>1232</v>
      </c>
      <c r="B687" s="34" t="s">
        <v>1256</v>
      </c>
      <c r="C687" s="34" t="s">
        <v>1257</v>
      </c>
      <c r="D687" s="34" t="s">
        <v>1258</v>
      </c>
      <c r="E687" s="34" t="s">
        <v>1259</v>
      </c>
      <c r="F687" s="34" t="s">
        <v>1260</v>
      </c>
      <c r="G687" s="34" t="s">
        <v>1261</v>
      </c>
      <c r="H687" s="34" t="s">
        <v>1262</v>
      </c>
      <c r="I687" s="34" t="s">
        <v>1263</v>
      </c>
      <c r="J687" s="34" t="s">
        <v>1264</v>
      </c>
      <c r="K687" s="34" t="s">
        <v>1265</v>
      </c>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row>
    <row r="688" spans="1:63" ht="14.25" customHeight="1" x14ac:dyDescent="0.35">
      <c r="A688" s="275" t="s">
        <v>228</v>
      </c>
      <c r="B688" s="276">
        <v>9.4841372498294954E-2</v>
      </c>
      <c r="C688" s="276">
        <v>2.9614778579995768E-2</v>
      </c>
      <c r="D688" s="276">
        <v>6.5248641847557687E-2</v>
      </c>
      <c r="E688" s="276">
        <v>0.13202594012370358</v>
      </c>
      <c r="F688" s="276">
        <v>7.7579313750852502E-3</v>
      </c>
      <c r="G688" s="276">
        <v>4.5242350838409261E-3</v>
      </c>
      <c r="H688" s="276">
        <v>0.32413983678652902</v>
      </c>
      <c r="I688" s="276">
        <v>3.2608887373297903E-2</v>
      </c>
      <c r="J688" s="276">
        <v>0.22838421015498225</v>
      </c>
      <c r="K688" s="276">
        <v>8.0854166176712677E-2</v>
      </c>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row>
    <row r="689" spans="1:63" ht="14.25" customHeight="1" x14ac:dyDescent="0.35">
      <c r="A689" s="277" t="s">
        <v>95</v>
      </c>
      <c r="B689" s="276">
        <v>0.10444360663101106</v>
      </c>
      <c r="C689" s="276">
        <v>3.4739335577815195E-2</v>
      </c>
      <c r="D689" s="276">
        <v>6.7098693857890357E-2</v>
      </c>
      <c r="E689" s="276">
        <v>0.11026042561148243</v>
      </c>
      <c r="F689" s="276">
        <v>1.6403754713970833E-2</v>
      </c>
      <c r="G689" s="276">
        <v>4.3605818038439373E-3</v>
      </c>
      <c r="H689" s="276">
        <v>0.3021727709053364</v>
      </c>
      <c r="I689" s="276">
        <v>2.770813877035861E-2</v>
      </c>
      <c r="J689" s="276">
        <v>0.24650040699440978</v>
      </c>
      <c r="K689" s="276">
        <v>8.6312285133881353E-2</v>
      </c>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row>
    <row r="690" spans="1:63" ht="14.25" customHeight="1" x14ac:dyDescent="0.35">
      <c r="A690" s="277" t="s">
        <v>96</v>
      </c>
      <c r="B690" s="276">
        <v>9.5806097950233843E-2</v>
      </c>
      <c r="C690" s="276">
        <v>5.8904755957089522E-2</v>
      </c>
      <c r="D690" s="276">
        <v>0.1395284288826901</v>
      </c>
      <c r="E690" s="276">
        <v>0.11765685498979973</v>
      </c>
      <c r="F690" s="276">
        <v>3.3320843221338659E-2</v>
      </c>
      <c r="G690" s="276">
        <v>2.0678074302288466E-2</v>
      </c>
      <c r="H690" s="276">
        <v>0.29122777800907612</v>
      </c>
      <c r="I690" s="276">
        <v>2.5792081268995376E-2</v>
      </c>
      <c r="J690" s="276">
        <v>0.18089151643837517</v>
      </c>
      <c r="K690" s="276">
        <v>3.6193568980112965E-2</v>
      </c>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row>
    <row r="691" spans="1:63" ht="14.25" customHeight="1" x14ac:dyDescent="0.35">
      <c r="A691" s="277" t="s">
        <v>97</v>
      </c>
      <c r="B691" s="276">
        <v>0.16955985817554731</v>
      </c>
      <c r="C691" s="276">
        <v>7.2185835707321649E-2</v>
      </c>
      <c r="D691" s="276">
        <v>9.2541626530893095E-2</v>
      </c>
      <c r="E691" s="276">
        <v>8.9839232438098188E-2</v>
      </c>
      <c r="F691" s="276">
        <v>1.2371577723840505E-2</v>
      </c>
      <c r="G691" s="276">
        <v>7.6650788027486554E-3</v>
      </c>
      <c r="H691" s="276">
        <v>0.27733795150915391</v>
      </c>
      <c r="I691" s="276">
        <v>3.7782280141356005E-2</v>
      </c>
      <c r="J691" s="276">
        <v>0.1848856240246641</v>
      </c>
      <c r="K691" s="276">
        <v>5.583093494637667E-2</v>
      </c>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row>
    <row r="692" spans="1:63" ht="14.25" customHeight="1" x14ac:dyDescent="0.35">
      <c r="A692" s="277" t="s">
        <v>98</v>
      </c>
      <c r="B692" s="276">
        <v>0.1608613912151769</v>
      </c>
      <c r="C692" s="276">
        <v>0.10104255682789268</v>
      </c>
      <c r="D692" s="276">
        <v>0.10746880875064091</v>
      </c>
      <c r="E692" s="276">
        <v>6.3749786361305752E-2</v>
      </c>
      <c r="F692" s="276">
        <v>1.3433601093830114E-2</v>
      </c>
      <c r="G692" s="276">
        <v>4.9905998974534266E-2</v>
      </c>
      <c r="H692" s="276">
        <v>0.14561613399418902</v>
      </c>
      <c r="I692" s="276">
        <v>3.8557511536489487E-2</v>
      </c>
      <c r="J692" s="276">
        <v>0.30572551700564005</v>
      </c>
      <c r="K692" s="276">
        <v>1.3638694240300802E-2</v>
      </c>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row>
    <row r="693" spans="1:63" ht="14.25" customHeight="1" x14ac:dyDescent="0.35">
      <c r="A693" s="277" t="s">
        <v>163</v>
      </c>
      <c r="B693" s="276">
        <v>0.11009251186122089</v>
      </c>
      <c r="C693" s="276">
        <v>4.1104933588486402E-2</v>
      </c>
      <c r="D693" s="276">
        <v>0.10012682164573732</v>
      </c>
      <c r="E693" s="276">
        <v>0.12689071824080261</v>
      </c>
      <c r="F693" s="276">
        <v>3.212890514420301E-2</v>
      </c>
      <c r="G693" s="276">
        <v>1.6629488297306174E-2</v>
      </c>
      <c r="H693" s="276">
        <v>0.29621686501421085</v>
      </c>
      <c r="I693" s="276">
        <v>3.7275372821668387E-2</v>
      </c>
      <c r="J693" s="276">
        <v>0.18954627291565229</v>
      </c>
      <c r="K693" s="276">
        <v>4.9988110470712131E-2</v>
      </c>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row>
    <row r="694" spans="1:63" ht="14.25" customHeight="1" x14ac:dyDescent="0.35">
      <c r="A694" s="277" t="s">
        <v>100</v>
      </c>
      <c r="B694" s="276">
        <v>7.929747301606889E-2</v>
      </c>
      <c r="C694" s="276">
        <v>4.3623539936989295E-2</v>
      </c>
      <c r="D694" s="276">
        <v>3.6290929003050275E-2</v>
      </c>
      <c r="E694" s="276">
        <v>5.5433227544240529E-2</v>
      </c>
      <c r="F694" s="276">
        <v>1.261756664520035E-2</v>
      </c>
      <c r="G694" s="276">
        <v>3.1119731915271033E-3</v>
      </c>
      <c r="H694" s="276">
        <v>0.3036256222982327</v>
      </c>
      <c r="I694" s="276">
        <v>4.4128705349740283E-2</v>
      </c>
      <c r="J694" s="276">
        <v>0.18688035292166855</v>
      </c>
      <c r="K694" s="276">
        <v>0.23499061009328207</v>
      </c>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row>
    <row r="695" spans="1:63" ht="14.25" customHeight="1" x14ac:dyDescent="0.35">
      <c r="A695" s="277" t="s">
        <v>101</v>
      </c>
      <c r="B695" s="276">
        <v>9.7695475232980958E-2</v>
      </c>
      <c r="C695" s="276">
        <v>7.4866954029908256E-2</v>
      </c>
      <c r="D695" s="276">
        <v>9.7334264454451327E-2</v>
      </c>
      <c r="E695" s="276">
        <v>0.11014520673296892</v>
      </c>
      <c r="F695" s="276">
        <v>2.7090808389722353E-2</v>
      </c>
      <c r="G695" s="276">
        <v>1.1823632817203267E-2</v>
      </c>
      <c r="H695" s="276">
        <v>0.22676812676090258</v>
      </c>
      <c r="I695" s="276">
        <v>5.1990271389698278E-2</v>
      </c>
      <c r="J695" s="276">
        <v>0.23329400149300455</v>
      </c>
      <c r="K695" s="276">
        <v>6.8991258699159591E-2</v>
      </c>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row>
    <row r="696" spans="1:63" ht="14.25" customHeight="1" x14ac:dyDescent="0.35">
      <c r="A696" s="277" t="s">
        <v>102</v>
      </c>
      <c r="B696" s="276">
        <v>0.12992530798331556</v>
      </c>
      <c r="C696" s="276">
        <v>5.571830439421864E-2</v>
      </c>
      <c r="D696" s="276">
        <v>4.2409545057716554E-2</v>
      </c>
      <c r="E696" s="276">
        <v>8.759336502085556E-2</v>
      </c>
      <c r="F696" s="276">
        <v>5.6455524299156082E-3</v>
      </c>
      <c r="G696" s="276">
        <v>3.7831021437578815E-3</v>
      </c>
      <c r="H696" s="276">
        <v>0.24830730429721604</v>
      </c>
      <c r="I696" s="276">
        <v>3.5793966437093802E-2</v>
      </c>
      <c r="J696" s="276">
        <v>0.18593462023474636</v>
      </c>
      <c r="K696" s="276">
        <v>0.20488893200116401</v>
      </c>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row>
    <row r="697" spans="1:63" ht="14.25" customHeight="1" x14ac:dyDescent="0.35">
      <c r="A697" s="277" t="s">
        <v>103</v>
      </c>
      <c r="B697" s="276">
        <v>9.8861291555215891E-2</v>
      </c>
      <c r="C697" s="276">
        <v>6.354604508979747E-2</v>
      </c>
      <c r="D697" s="276">
        <v>6.7021398547955663E-2</v>
      </c>
      <c r="E697" s="276">
        <v>5.8960641956438666E-2</v>
      </c>
      <c r="F697" s="276">
        <v>2.6014520443255633E-2</v>
      </c>
      <c r="G697" s="276">
        <v>2.0261750095529229E-2</v>
      </c>
      <c r="H697" s="276">
        <v>0.30596484524264422</v>
      </c>
      <c r="I697" s="276">
        <v>4.050821551394726E-2</v>
      </c>
      <c r="J697" s="276">
        <v>0.17751623996943061</v>
      </c>
      <c r="K697" s="276">
        <v>0.14134505158578523</v>
      </c>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row>
    <row r="698" spans="1:63" ht="14.25" customHeight="1" x14ac:dyDescent="0.35">
      <c r="A698" s="277" t="s">
        <v>104</v>
      </c>
      <c r="B698" s="276">
        <v>9.4403800988040923E-2</v>
      </c>
      <c r="C698" s="276">
        <v>4.5258213427638146E-2</v>
      </c>
      <c r="D698" s="276">
        <v>6.4226034608428045E-2</v>
      </c>
      <c r="E698" s="276">
        <v>6.0323475420457302E-2</v>
      </c>
      <c r="F698" s="276">
        <v>9.4467915665577846E-3</v>
      </c>
      <c r="G698" s="276">
        <v>1.0698715006883892E-2</v>
      </c>
      <c r="H698" s="276">
        <v>0.33876677104986097</v>
      </c>
      <c r="I698" s="276">
        <v>3.6273722430688653E-2</v>
      </c>
      <c r="J698" s="276">
        <v>0.16581236670895985</v>
      </c>
      <c r="K698" s="276">
        <v>0.17479010879248441</v>
      </c>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row>
    <row r="699" spans="1:63" ht="14.25" customHeight="1" x14ac:dyDescent="0.35">
      <c r="A699" s="277" t="s">
        <v>105</v>
      </c>
      <c r="B699" s="276">
        <v>0.23081836105634393</v>
      </c>
      <c r="C699" s="276">
        <v>0.13082113798561551</v>
      </c>
      <c r="D699" s="276">
        <v>0.10166338063369526</v>
      </c>
      <c r="E699" s="276">
        <v>6.4202604759656764E-2</v>
      </c>
      <c r="F699" s="276">
        <v>2.1215739635111492E-2</v>
      </c>
      <c r="G699" s="276">
        <v>2.9990836133403681E-3</v>
      </c>
      <c r="H699" s="276">
        <v>0.21957179750631753</v>
      </c>
      <c r="I699" s="276">
        <v>3.1434839354641635E-2</v>
      </c>
      <c r="J699" s="276">
        <v>0.18122240426536337</v>
      </c>
      <c r="K699" s="276">
        <v>1.6050651189914191E-2</v>
      </c>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row>
    <row r="700" spans="1:63" ht="14.25" customHeight="1" x14ac:dyDescent="0.35">
      <c r="A700" s="277" t="s">
        <v>106</v>
      </c>
      <c r="B700" s="276">
        <v>0.17288447036574198</v>
      </c>
      <c r="C700" s="276">
        <v>3.4365868456153074E-2</v>
      </c>
      <c r="D700" s="276">
        <v>8.9828060400968995E-2</v>
      </c>
      <c r="E700" s="276">
        <v>0.14691204209718786</v>
      </c>
      <c r="F700" s="276">
        <v>1.1776726598947745E-2</v>
      </c>
      <c r="G700" s="276">
        <v>1.8212964394903705E-2</v>
      </c>
      <c r="H700" s="276">
        <v>0.22668773344328064</v>
      </c>
      <c r="I700" s="276">
        <v>4.5086306372753127E-2</v>
      </c>
      <c r="J700" s="276">
        <v>0.1902455562902782</v>
      </c>
      <c r="K700" s="276">
        <v>6.4000271579784843E-2</v>
      </c>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row>
    <row r="701" spans="1:63" ht="14.25" customHeight="1" x14ac:dyDescent="0.35">
      <c r="A701" s="277" t="s">
        <v>107</v>
      </c>
      <c r="B701" s="276">
        <v>4.7404301576209333E-2</v>
      </c>
      <c r="C701" s="276">
        <v>2.0389781815358336E-2</v>
      </c>
      <c r="D701" s="276">
        <v>7.6428294122214455E-2</v>
      </c>
      <c r="E701" s="276">
        <v>7.9394362916375513E-2</v>
      </c>
      <c r="F701" s="276">
        <v>2.4116779253047598E-2</v>
      </c>
      <c r="G701" s="276">
        <v>2.0209643605870024E-2</v>
      </c>
      <c r="H701" s="276">
        <v>0.37162512617439242</v>
      </c>
      <c r="I701" s="276">
        <v>3.2971503998757666E-2</v>
      </c>
      <c r="J701" s="276">
        <v>0.21643916453140771</v>
      </c>
      <c r="K701" s="276">
        <v>0.11102104200636695</v>
      </c>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row>
    <row r="702" spans="1:63" ht="14.25" customHeight="1" x14ac:dyDescent="0.35">
      <c r="A702" s="277" t="s">
        <v>108</v>
      </c>
      <c r="B702" s="276">
        <v>0.14225969198088156</v>
      </c>
      <c r="C702" s="276">
        <v>6.1714462736767568E-2</v>
      </c>
      <c r="D702" s="276">
        <v>9.5882962850567743E-2</v>
      </c>
      <c r="E702" s="276">
        <v>7.5506410742735758E-2</v>
      </c>
      <c r="F702" s="276">
        <v>1.2287256910199024E-2</v>
      </c>
      <c r="G702" s="276">
        <v>1.8163771084642035E-2</v>
      </c>
      <c r="H702" s="276">
        <v>0.34817793288319043</v>
      </c>
      <c r="I702" s="276">
        <v>1.5302961333232177E-2</v>
      </c>
      <c r="J702" s="276">
        <v>0.1838979086058215</v>
      </c>
      <c r="K702" s="276">
        <v>4.6806640871962166E-2</v>
      </c>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row>
    <row r="703" spans="1:63" ht="14.25" customHeight="1" x14ac:dyDescent="0.35">
      <c r="A703" s="277" t="s">
        <v>109</v>
      </c>
      <c r="B703" s="276">
        <v>0.11167478201789154</v>
      </c>
      <c r="C703" s="276">
        <v>5.2066583625863444E-2</v>
      </c>
      <c r="D703" s="276">
        <v>0.10005661872947572</v>
      </c>
      <c r="E703" s="276">
        <v>0.15488619635375384</v>
      </c>
      <c r="F703" s="276">
        <v>1.8525648284452498E-2</v>
      </c>
      <c r="G703" s="276">
        <v>5.7003736836145409E-2</v>
      </c>
      <c r="H703" s="276">
        <v>0.13842146982221723</v>
      </c>
      <c r="I703" s="276">
        <v>5.0730381610236672E-2</v>
      </c>
      <c r="J703" s="276">
        <v>0.25023213679085038</v>
      </c>
      <c r="K703" s="276">
        <v>6.640244592911336E-2</v>
      </c>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row>
    <row r="704" spans="1:63" ht="14.25" customHeight="1" x14ac:dyDescent="0.35">
      <c r="A704" s="277" t="s">
        <v>229</v>
      </c>
      <c r="B704" s="276">
        <v>5.6142370455641459E-2</v>
      </c>
      <c r="C704" s="276">
        <v>5.4291181183205514E-2</v>
      </c>
      <c r="D704" s="276">
        <v>9.4099528646765074E-2</v>
      </c>
      <c r="E704" s="276">
        <v>0.1383725090614937</v>
      </c>
      <c r="F704" s="276">
        <v>3.654154286514319E-2</v>
      </c>
      <c r="G704" s="276">
        <v>1.7080721186005631E-2</v>
      </c>
      <c r="H704" s="276">
        <v>0.24588149277413934</v>
      </c>
      <c r="I704" s="276">
        <v>3.7132678935332827E-2</v>
      </c>
      <c r="J704" s="276">
        <v>0.24370362304186174</v>
      </c>
      <c r="K704" s="276">
        <v>7.6754351850411448E-2</v>
      </c>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row>
    <row r="705" spans="1:63" ht="14.25" customHeight="1" x14ac:dyDescent="0.35">
      <c r="A705" s="277" t="s">
        <v>111</v>
      </c>
      <c r="B705" s="276">
        <v>0.171783574608947</v>
      </c>
      <c r="C705" s="276">
        <v>1.3369233279716531E-2</v>
      </c>
      <c r="D705" s="276">
        <v>6.0913350583956916E-2</v>
      </c>
      <c r="E705" s="276">
        <v>0.11584726204629694</v>
      </c>
      <c r="F705" s="276">
        <v>1.0711704781220133E-2</v>
      </c>
      <c r="G705" s="276">
        <v>5.3966477842273351E-3</v>
      </c>
      <c r="H705" s="276">
        <v>0.21353474601953518</v>
      </c>
      <c r="I705" s="276">
        <v>4.4839965498752826E-2</v>
      </c>
      <c r="J705" s="276">
        <v>0.23038907149684126</v>
      </c>
      <c r="K705" s="276">
        <v>0.13321444390050588</v>
      </c>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row>
    <row r="706" spans="1:63" ht="14.25" customHeight="1" x14ac:dyDescent="0.35">
      <c r="A706" s="277" t="s">
        <v>112</v>
      </c>
      <c r="B706" s="276">
        <v>6.5001183992422454E-2</v>
      </c>
      <c r="C706" s="276">
        <v>3.1494198437130007E-2</v>
      </c>
      <c r="D706" s="276">
        <v>6.2041202936301214E-2</v>
      </c>
      <c r="E706" s="276">
        <v>0.12881837556239639</v>
      </c>
      <c r="F706" s="276">
        <v>5.8252427184466021E-2</v>
      </c>
      <c r="G706" s="276">
        <v>7.6959507459152263E-3</v>
      </c>
      <c r="H706" s="276">
        <v>0.3003788775751835</v>
      </c>
      <c r="I706" s="276">
        <v>3.0191806772436658E-2</v>
      </c>
      <c r="J706" s="276">
        <v>0.21465782618991242</v>
      </c>
      <c r="K706" s="276">
        <v>0.10146815060383614</v>
      </c>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row>
    <row r="707" spans="1:63" ht="14.25" customHeight="1" x14ac:dyDescent="0.35">
      <c r="A707" s="277" t="s">
        <v>113</v>
      </c>
      <c r="B707" s="276">
        <v>6.4106432110655975E-2</v>
      </c>
      <c r="C707" s="276">
        <v>4.4629077364029844E-2</v>
      </c>
      <c r="D707" s="276">
        <v>7.0250762964596133E-2</v>
      </c>
      <c r="E707" s="276">
        <v>8.2870139364331546E-2</v>
      </c>
      <c r="F707" s="276">
        <v>3.4272485698040082E-2</v>
      </c>
      <c r="G707" s="276">
        <v>1.4470218271696624E-2</v>
      </c>
      <c r="H707" s="276">
        <v>0.29098831474755443</v>
      </c>
      <c r="I707" s="276">
        <v>2.8151362892651171E-2</v>
      </c>
      <c r="J707" s="276">
        <v>0.17153068684219688</v>
      </c>
      <c r="K707" s="276">
        <v>0.1987305197442473</v>
      </c>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row>
    <row r="708" spans="1:63" ht="14.25" customHeight="1" x14ac:dyDescent="0.35">
      <c r="A708" s="277" t="s">
        <v>114</v>
      </c>
      <c r="B708" s="276">
        <v>8.9800813865584389E-2</v>
      </c>
      <c r="C708" s="276">
        <v>7.955066490323992E-2</v>
      </c>
      <c r="D708" s="276">
        <v>0.1076658254977344</v>
      </c>
      <c r="E708" s="276">
        <v>0.11940421220859965</v>
      </c>
      <c r="F708" s="276">
        <v>1.4748734782361014E-2</v>
      </c>
      <c r="G708" s="276">
        <v>1.923284777511074E-2</v>
      </c>
      <c r="H708" s="276">
        <v>0.2300831571702851</v>
      </c>
      <c r="I708" s="276">
        <v>3.2799429709019189E-2</v>
      </c>
      <c r="J708" s="276">
        <v>0.23714374134902155</v>
      </c>
      <c r="K708" s="276">
        <v>6.9570572739044143E-2</v>
      </c>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row>
    <row r="709" spans="1:63" ht="14.25" customHeight="1" x14ac:dyDescent="0.35">
      <c r="A709" s="277" t="s">
        <v>115</v>
      </c>
      <c r="B709" s="276">
        <v>0.11167359203992504</v>
      </c>
      <c r="C709" s="276">
        <v>5.7674383808030513E-2</v>
      </c>
      <c r="D709" s="276">
        <v>8.7163069940555032E-2</v>
      </c>
      <c r="E709" s="276">
        <v>0.12736868027219364</v>
      </c>
      <c r="F709" s="276">
        <v>1.4694467910012747E-2</v>
      </c>
      <c r="G709" s="276">
        <v>1.5380251308443548E-2</v>
      </c>
      <c r="H709" s="276">
        <v>0.29356205248736755</v>
      </c>
      <c r="I709" s="276">
        <v>2.9466865751665357E-2</v>
      </c>
      <c r="J709" s="276">
        <v>0.23498056427504893</v>
      </c>
      <c r="K709" s="276">
        <v>2.803607220675745E-2</v>
      </c>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row>
    <row r="710" spans="1:63" ht="14.25" customHeight="1" x14ac:dyDescent="0.35">
      <c r="A710" s="277" t="s">
        <v>116</v>
      </c>
      <c r="B710" s="276">
        <v>0.1071093210563817</v>
      </c>
      <c r="C710" s="276">
        <v>5.2021377769805158E-2</v>
      </c>
      <c r="D710" s="276">
        <v>0.14587231262132225</v>
      </c>
      <c r="E710" s="276">
        <v>0.10950745546214445</v>
      </c>
      <c r="F710" s="276">
        <v>2.8924928271429132E-2</v>
      </c>
      <c r="G710" s="276">
        <v>4.2975009495329508E-2</v>
      </c>
      <c r="H710" s="276">
        <v>0.25799737237425324</v>
      </c>
      <c r="I710" s="276">
        <v>4.0513739917162644E-2</v>
      </c>
      <c r="J710" s="276">
        <v>0.15560414848189974</v>
      </c>
      <c r="K710" s="276">
        <v>5.9474334550272123E-2</v>
      </c>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row>
    <row r="711" spans="1:63" ht="14.25" customHeight="1" x14ac:dyDescent="0.35">
      <c r="A711" s="277" t="s">
        <v>117</v>
      </c>
      <c r="B711" s="276">
        <v>6.3479987881644065E-2</v>
      </c>
      <c r="C711" s="276">
        <v>5.1105799979802746E-2</v>
      </c>
      <c r="D711" s="276">
        <v>0.12792944423873162</v>
      </c>
      <c r="E711" s="276">
        <v>0.16812872386979502</v>
      </c>
      <c r="F711" s="276">
        <v>3.5217288854478751E-2</v>
      </c>
      <c r="G711" s="276">
        <v>1.5296058168108527E-2</v>
      </c>
      <c r="H711" s="276">
        <v>0.3217692799676844</v>
      </c>
      <c r="I711" s="276">
        <v>2.6519002255360691E-2</v>
      </c>
      <c r="J711" s="276">
        <v>0.14325243208671359</v>
      </c>
      <c r="K711" s="276">
        <v>4.7301982697680683E-2</v>
      </c>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row>
    <row r="712" spans="1:63" ht="14.25" customHeight="1" x14ac:dyDescent="0.35">
      <c r="A712" s="277" t="s">
        <v>118</v>
      </c>
      <c r="B712" s="276">
        <v>7.9307562933285919E-2</v>
      </c>
      <c r="C712" s="276">
        <v>5.0059480672199966E-2</v>
      </c>
      <c r="D712" s="276">
        <v>8.066126099025063E-2</v>
      </c>
      <c r="E712" s="276">
        <v>0.13542450056745928</v>
      </c>
      <c r="F712" s="276">
        <v>1.022794087484446E-2</v>
      </c>
      <c r="G712" s="276">
        <v>1.386514979557792E-2</v>
      </c>
      <c r="H712" s="276">
        <v>0.29537965077324868</v>
      </c>
      <c r="I712" s="276">
        <v>4.4193455758686231E-2</v>
      </c>
      <c r="J712" s="276">
        <v>0.23320525617710197</v>
      </c>
      <c r="K712" s="276">
        <v>5.7675741457344838E-2</v>
      </c>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row>
    <row r="713" spans="1:63" ht="14.25" customHeight="1" x14ac:dyDescent="0.35">
      <c r="A713" s="277" t="s">
        <v>119</v>
      </c>
      <c r="B713" s="276">
        <v>0.10806536134533846</v>
      </c>
      <c r="C713" s="276">
        <v>4.7453670620742218E-2</v>
      </c>
      <c r="D713" s="276">
        <v>9.8375494259444501E-2</v>
      </c>
      <c r="E713" s="276">
        <v>9.70082416273641E-2</v>
      </c>
      <c r="F713" s="276">
        <v>2.3119432137582774E-2</v>
      </c>
      <c r="G713" s="276">
        <v>2.0727931018055357E-2</v>
      </c>
      <c r="H713" s="276">
        <v>0.2973178981468248</v>
      </c>
      <c r="I713" s="276">
        <v>4.7691867943404312E-2</v>
      </c>
      <c r="J713" s="276">
        <v>0.19159163451002809</v>
      </c>
      <c r="K713" s="276">
        <v>6.8648468391215273E-2</v>
      </c>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row>
    <row r="714" spans="1:63" ht="14.25" customHeight="1" x14ac:dyDescent="0.35">
      <c r="A714" s="277" t="s">
        <v>120</v>
      </c>
      <c r="B714" s="276">
        <v>9.385167568829425E-2</v>
      </c>
      <c r="C714" s="276">
        <v>4.7144691343614584E-2</v>
      </c>
      <c r="D714" s="276">
        <v>4.54358102686062E-2</v>
      </c>
      <c r="E714" s="276">
        <v>6.563963582777689E-2</v>
      </c>
      <c r="F714" s="276">
        <v>2.7912940077911845E-3</v>
      </c>
      <c r="G714" s="276">
        <v>4.789244080012839E-3</v>
      </c>
      <c r="H714" s="276">
        <v>0.24840784079137423</v>
      </c>
      <c r="I714" s="276">
        <v>3.3408898583288341E-2</v>
      </c>
      <c r="J714" s="276">
        <v>0.22450083164329798</v>
      </c>
      <c r="K714" s="276">
        <v>0.23403007776594345</v>
      </c>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row>
    <row r="715" spans="1:63" ht="14.25" customHeight="1" x14ac:dyDescent="0.35">
      <c r="A715" s="278" t="s">
        <v>83</v>
      </c>
      <c r="B715" s="276">
        <v>3.9437026421470858E-2</v>
      </c>
      <c r="C715" s="276">
        <v>0.10471800520836119</v>
      </c>
      <c r="D715" s="276">
        <v>8.1871266850973498E-2</v>
      </c>
      <c r="E715" s="276">
        <v>6.1511066430668379E-2</v>
      </c>
      <c r="F715" s="276">
        <v>2.5948226536974553E-2</v>
      </c>
      <c r="G715" s="276">
        <v>8.2804387001556099E-3</v>
      </c>
      <c r="H715" s="276">
        <v>0.36575903575801977</v>
      </c>
      <c r="I715" s="276">
        <v>2.7392022758506367E-2</v>
      </c>
      <c r="J715" s="276">
        <v>0.17893715208521607</v>
      </c>
      <c r="K715" s="276">
        <v>0.10614575924965376</v>
      </c>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row>
    <row r="716" spans="1:63" ht="14.25" customHeight="1" x14ac:dyDescent="0.35">
      <c r="A716" s="278" t="s">
        <v>144</v>
      </c>
      <c r="B716" s="276">
        <v>9.5007836106474855E-2</v>
      </c>
      <c r="C716" s="276">
        <v>0.11934304780396554</v>
      </c>
      <c r="D716" s="276">
        <v>9.7918401949295825E-2</v>
      </c>
      <c r="E716" s="276">
        <v>9.5195006423594089E-2</v>
      </c>
      <c r="F716" s="276">
        <v>1.3282669083013074E-2</v>
      </c>
      <c r="G716" s="276">
        <v>1.1469840055659458E-2</v>
      </c>
      <c r="H716" s="276">
        <v>0.22875472163300525</v>
      </c>
      <c r="I716" s="276">
        <v>2.3443916877655031E-2</v>
      </c>
      <c r="J716" s="276">
        <v>0.2214659048084299</v>
      </c>
      <c r="K716" s="276">
        <v>9.4118655258907155E-2</v>
      </c>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row>
    <row r="717" spans="1:63" ht="14.25" customHeight="1" x14ac:dyDescent="0.35">
      <c r="A717" s="278" t="s">
        <v>164</v>
      </c>
      <c r="B717" s="276">
        <v>9.1815397430759726E-2</v>
      </c>
      <c r="C717" s="276">
        <v>7.5720553030070692E-2</v>
      </c>
      <c r="D717" s="276">
        <v>7.2371437182498499E-2</v>
      </c>
      <c r="E717" s="276">
        <v>0.10805224403732683</v>
      </c>
      <c r="F717" s="276">
        <v>2.407492381511744E-2</v>
      </c>
      <c r="G717" s="276">
        <v>1.6813844854594757E-2</v>
      </c>
      <c r="H717" s="276">
        <v>0.31392784904586851</v>
      </c>
      <c r="I717" s="276">
        <v>1.9511234578422382E-2</v>
      </c>
      <c r="J717" s="276">
        <v>0.1683663313561703</v>
      </c>
      <c r="K717" s="276">
        <v>0.10934618466917095</v>
      </c>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row>
    <row r="718" spans="1:63" ht="14.25" customHeight="1" x14ac:dyDescent="0.35">
      <c r="A718" s="278" t="s">
        <v>145</v>
      </c>
      <c r="B718" s="276">
        <v>9.5007836106474841E-2</v>
      </c>
      <c r="C718" s="276">
        <v>0.11934304780396551</v>
      </c>
      <c r="D718" s="276">
        <v>9.7918401949295811E-2</v>
      </c>
      <c r="E718" s="276">
        <v>9.5195006423594089E-2</v>
      </c>
      <c r="F718" s="276">
        <v>1.3282669083013074E-2</v>
      </c>
      <c r="G718" s="276">
        <v>1.1469840055659456E-2</v>
      </c>
      <c r="H718" s="276">
        <v>0.2287547216330052</v>
      </c>
      <c r="I718" s="276">
        <v>2.3443916877655027E-2</v>
      </c>
      <c r="J718" s="276">
        <v>0.2214659048084299</v>
      </c>
      <c r="K718" s="276">
        <v>9.4118655258907141E-2</v>
      </c>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row>
    <row r="719" spans="1:63" ht="14.25" customHeight="1" x14ac:dyDescent="0.35">
      <c r="A719" s="278" t="s">
        <v>87</v>
      </c>
      <c r="B719" s="276">
        <v>9.5547735053652508E-2</v>
      </c>
      <c r="C719" s="276">
        <v>0.11304015875939323</v>
      </c>
      <c r="D719" s="276">
        <v>0.10404474344198686</v>
      </c>
      <c r="E719" s="276">
        <v>9.4643341034136103E-2</v>
      </c>
      <c r="F719" s="276">
        <v>1.3548724771592512E-2</v>
      </c>
      <c r="G719" s="276">
        <v>1.3301603764426054E-2</v>
      </c>
      <c r="H719" s="276">
        <v>0.22727708683516018</v>
      </c>
      <c r="I719" s="276">
        <v>2.1812302894352143E-2</v>
      </c>
      <c r="J719" s="276">
        <v>0.22435204945153742</v>
      </c>
      <c r="K719" s="276">
        <v>9.2432253993763064E-2</v>
      </c>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row>
    <row r="720" spans="1:63" ht="14.25" customHeight="1" x14ac:dyDescent="0.35">
      <c r="A720" s="278" t="s">
        <v>146</v>
      </c>
      <c r="B720" s="276">
        <v>0.15224603355585989</v>
      </c>
      <c r="C720" s="276">
        <v>0.12118526620143964</v>
      </c>
      <c r="D720" s="276">
        <v>0.19099913215740486</v>
      </c>
      <c r="E720" s="276">
        <v>0.1243284487016405</v>
      </c>
      <c r="F720" s="276">
        <v>2.0659445092294287E-3</v>
      </c>
      <c r="G720" s="276">
        <v>3.2468985164538861E-2</v>
      </c>
      <c r="H720" s="276">
        <v>0.1789746128121523</v>
      </c>
      <c r="I720" s="276">
        <v>1.3307099917898994E-2</v>
      </c>
      <c r="J720" s="276">
        <v>5.7459447541995272E-2</v>
      </c>
      <c r="K720" s="276">
        <v>0.12696502943784049</v>
      </c>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row>
    <row r="721" spans="1:63" ht="14.25" customHeight="1" x14ac:dyDescent="0.35">
      <c r="A721" s="278" t="s">
        <v>89</v>
      </c>
      <c r="B721" s="276">
        <v>9.1409087053483731E-2</v>
      </c>
      <c r="C721" s="276">
        <v>0.20851171759494588</v>
      </c>
      <c r="D721" s="276">
        <v>0.13224666054808534</v>
      </c>
      <c r="E721" s="276">
        <v>0.11149448357594929</v>
      </c>
      <c r="F721" s="276">
        <v>2.0202694631261532E-3</v>
      </c>
      <c r="G721" s="276">
        <v>5.0762079919454911E-3</v>
      </c>
      <c r="H721" s="276">
        <v>9.1337961436969345E-2</v>
      </c>
      <c r="I721" s="276">
        <v>1.5083260572345644E-2</v>
      </c>
      <c r="J721" s="276">
        <v>0.29692645472058765</v>
      </c>
      <c r="K721" s="276">
        <v>4.5893897042561617E-2</v>
      </c>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row>
    <row r="722" spans="1:63" ht="14.25" customHeight="1" x14ac:dyDescent="0.35">
      <c r="A722" s="278" t="s">
        <v>90</v>
      </c>
      <c r="B722" s="276">
        <v>0.10486634440253546</v>
      </c>
      <c r="C722" s="276">
        <v>0.11814267119934962</v>
      </c>
      <c r="D722" s="276">
        <v>9.1615548258968157E-2</v>
      </c>
      <c r="E722" s="276">
        <v>8.8334449835273887E-2</v>
      </c>
      <c r="F722" s="276">
        <v>1.2770640176189289E-2</v>
      </c>
      <c r="G722" s="276">
        <v>1.0499811537359141E-2</v>
      </c>
      <c r="H722" s="276">
        <v>0.21815889983656672</v>
      </c>
      <c r="I722" s="276">
        <v>2.5093907375294471E-2</v>
      </c>
      <c r="J722" s="276">
        <v>0.22740153530651447</v>
      </c>
      <c r="K722" s="276">
        <v>0.10311619207194889</v>
      </c>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row>
    <row r="724" spans="1:63" ht="14.25" customHeight="1" x14ac:dyDescent="0.35">
      <c r="A724" s="143" t="s">
        <v>1191</v>
      </c>
    </row>
    <row r="725" spans="1:63" ht="14.25" customHeight="1" x14ac:dyDescent="0.35">
      <c r="A725" s="34" t="s">
        <v>1266</v>
      </c>
      <c r="B725" s="2"/>
    </row>
    <row r="726" spans="1:63" ht="14.25" customHeight="1" x14ac:dyDescent="0.35">
      <c r="A726" s="38" t="s">
        <v>1211</v>
      </c>
      <c r="B726" s="9" t="s">
        <v>169</v>
      </c>
    </row>
    <row r="727" spans="1:63" ht="14.25" customHeight="1" x14ac:dyDescent="0.35">
      <c r="A727" s="271">
        <v>0</v>
      </c>
      <c r="B727" s="272" t="s">
        <v>1218</v>
      </c>
    </row>
    <row r="728" spans="1:63" ht="14.25" customHeight="1" x14ac:dyDescent="0.35">
      <c r="A728" s="271">
        <v>1</v>
      </c>
      <c r="B728" s="272" t="s">
        <v>1287</v>
      </c>
    </row>
    <row r="729" spans="1:63" ht="14.25" customHeight="1" x14ac:dyDescent="0.35">
      <c r="A729" s="39" t="s">
        <v>170</v>
      </c>
      <c r="B729" s="40">
        <v>0</v>
      </c>
    </row>
    <row r="731" spans="1:63" ht="14.25" customHeight="1" x14ac:dyDescent="0.35">
      <c r="A731" s="14" t="s">
        <v>649</v>
      </c>
      <c r="B731" s="34" t="s">
        <v>1267</v>
      </c>
    </row>
    <row r="732" spans="1:63" ht="14.25" customHeight="1" x14ac:dyDescent="0.35">
      <c r="A732" s="74" t="s">
        <v>380</v>
      </c>
      <c r="B732" s="273" t="s">
        <v>12</v>
      </c>
    </row>
    <row r="733" spans="1:63" ht="14.25" customHeight="1" x14ac:dyDescent="0.35">
      <c r="A733" s="74" t="s">
        <v>127</v>
      </c>
      <c r="B733" s="93">
        <v>2025</v>
      </c>
    </row>
    <row r="734" spans="1:63" ht="14.25" customHeight="1" x14ac:dyDescent="0.35">
      <c r="A734" s="118"/>
    </row>
    <row r="735" spans="1:63" ht="14.25" customHeight="1" x14ac:dyDescent="0.35">
      <c r="A735" s="34" t="s">
        <v>1268</v>
      </c>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row>
    <row r="736" spans="1:63" ht="14.25" customHeight="1" x14ac:dyDescent="0.35">
      <c r="A736" s="39" t="s">
        <v>1232</v>
      </c>
      <c r="B736" s="34" t="s">
        <v>1256</v>
      </c>
      <c r="C736" s="34" t="s">
        <v>1257</v>
      </c>
      <c r="D736" s="34" t="s">
        <v>1258</v>
      </c>
      <c r="E736" s="34" t="s">
        <v>1259</v>
      </c>
      <c r="F736" s="34" t="s">
        <v>1260</v>
      </c>
      <c r="G736" s="34" t="s">
        <v>1261</v>
      </c>
      <c r="H736" s="34" t="s">
        <v>1262</v>
      </c>
      <c r="I736" s="34" t="s">
        <v>1263</v>
      </c>
      <c r="J736" s="34" t="s">
        <v>1264</v>
      </c>
      <c r="K736" s="34" t="s">
        <v>1265</v>
      </c>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row>
    <row r="737" spans="1:63" ht="14.25" customHeight="1" x14ac:dyDescent="0.35">
      <c r="A737" s="275" t="s">
        <v>228</v>
      </c>
      <c r="B737" s="276">
        <v>0.1826350515062031</v>
      </c>
      <c r="C737" s="276">
        <v>1.9491467610053697E-2</v>
      </c>
      <c r="D737" s="276">
        <v>2.7843561480961707E-2</v>
      </c>
      <c r="E737" s="276">
        <v>0.42294535567055525</v>
      </c>
      <c r="F737" s="276">
        <v>7.4067576918204056E-3</v>
      </c>
      <c r="G737" s="276">
        <v>1.0145308891032949E-2</v>
      </c>
      <c r="H737" s="276">
        <v>0.19777017610540981</v>
      </c>
      <c r="I737" s="276">
        <v>4.0503269693691585E-2</v>
      </c>
      <c r="J737" s="276">
        <v>7.9281544503893409E-2</v>
      </c>
      <c r="K737" s="276">
        <v>1.1977506846377998E-2</v>
      </c>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row>
    <row r="738" spans="1:63" ht="14.25" customHeight="1" x14ac:dyDescent="0.35">
      <c r="A738" s="277" t="s">
        <v>95</v>
      </c>
      <c r="B738" s="276">
        <v>0.2903598452030266</v>
      </c>
      <c r="C738" s="276">
        <v>2.2497545197250623E-2</v>
      </c>
      <c r="D738" s="276">
        <v>2.2093224744411714E-2</v>
      </c>
      <c r="E738" s="276">
        <v>0.31223165636612182</v>
      </c>
      <c r="F738" s="276">
        <v>3.9180577215579819E-2</v>
      </c>
      <c r="G738" s="276">
        <v>2.2468665164904988E-2</v>
      </c>
      <c r="H738" s="276">
        <v>2.9265099443578045E-3</v>
      </c>
      <c r="I738" s="276">
        <v>6.6202660813646785E-2</v>
      </c>
      <c r="J738" s="276">
        <v>0.1936983769421822</v>
      </c>
      <c r="K738" s="276">
        <v>2.8340938408517681E-2</v>
      </c>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row>
    <row r="739" spans="1:63" ht="14.25" customHeight="1" x14ac:dyDescent="0.35">
      <c r="A739" s="277" t="s">
        <v>96</v>
      </c>
      <c r="B739" s="276">
        <v>3.9923211525066678E-2</v>
      </c>
      <c r="C739" s="276">
        <v>4.8366546047602058E-2</v>
      </c>
      <c r="D739" s="276">
        <v>2.8353974483121824E-2</v>
      </c>
      <c r="E739" s="276">
        <v>0.30356930499634749</v>
      </c>
      <c r="F739" s="276">
        <v>3.7069126616040636E-2</v>
      </c>
      <c r="G739" s="276">
        <v>0.26734960841275507</v>
      </c>
      <c r="H739" s="276">
        <v>9.9909960416560487E-2</v>
      </c>
      <c r="I739" s="276">
        <v>5.9935783089546911E-2</v>
      </c>
      <c r="J739" s="276">
        <v>0.1023563189100114</v>
      </c>
      <c r="K739" s="276">
        <v>1.3166165502947521E-2</v>
      </c>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row>
    <row r="740" spans="1:63" ht="14.25" customHeight="1" x14ac:dyDescent="0.35">
      <c r="A740" s="277" t="s">
        <v>97</v>
      </c>
      <c r="B740" s="276">
        <v>7.2657430186887653E-2</v>
      </c>
      <c r="C740" s="276">
        <v>4.2651819241227504E-2</v>
      </c>
      <c r="D740" s="276">
        <v>7.3719193750269751E-2</v>
      </c>
      <c r="E740" s="276">
        <v>0.33096810393197812</v>
      </c>
      <c r="F740" s="276">
        <v>3.471880530018559E-2</v>
      </c>
      <c r="G740" s="276">
        <v>0.14035133152056628</v>
      </c>
      <c r="H740" s="276">
        <v>9.7518235573395493E-2</v>
      </c>
      <c r="I740" s="276">
        <v>4.4050239544218578E-2</v>
      </c>
      <c r="J740" s="276">
        <v>0.14616945055893649</v>
      </c>
      <c r="K740" s="276">
        <v>1.7195390392334583E-2</v>
      </c>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row>
    <row r="741" spans="1:63" ht="14.25" customHeight="1" x14ac:dyDescent="0.35">
      <c r="A741" s="277" t="s">
        <v>98</v>
      </c>
      <c r="B741" s="276">
        <v>0.44547087503207594</v>
      </c>
      <c r="C741" s="276">
        <v>1.8732358224275079E-2</v>
      </c>
      <c r="D741" s="276">
        <v>3.438542468565562E-2</v>
      </c>
      <c r="E741" s="276">
        <v>0.10572235052604566</v>
      </c>
      <c r="F741" s="276">
        <v>1.7449319989735687E-2</v>
      </c>
      <c r="G741" s="276">
        <v>0.20528611752630221</v>
      </c>
      <c r="H741" s="276">
        <v>2.874005645368231E-2</v>
      </c>
      <c r="I741" s="276">
        <v>3.2075955863484724E-2</v>
      </c>
      <c r="J741" s="276">
        <v>0.11059789581729534</v>
      </c>
      <c r="K741" s="276">
        <v>1.5396458814472668E-3</v>
      </c>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row>
    <row r="742" spans="1:63" ht="14.25" customHeight="1" x14ac:dyDescent="0.35">
      <c r="A742" s="277" t="s">
        <v>163</v>
      </c>
      <c r="B742" s="276">
        <v>3.2905650157419003E-2</v>
      </c>
      <c r="C742" s="276">
        <v>5.7094011307085545E-2</v>
      </c>
      <c r="D742" s="276">
        <v>4.2063035309252171E-2</v>
      </c>
      <c r="E742" s="276">
        <v>0.32852330816886144</v>
      </c>
      <c r="F742" s="276">
        <v>0.10684603405667081</v>
      </c>
      <c r="G742" s="276">
        <v>2.0456007312366697E-2</v>
      </c>
      <c r="H742" s="276">
        <v>8.3677511087037457E-2</v>
      </c>
      <c r="I742" s="276">
        <v>6.0145062459798906E-2</v>
      </c>
      <c r="J742" s="276">
        <v>0.24413487254138594</v>
      </c>
      <c r="K742" s="276">
        <v>2.4154507600121871E-2</v>
      </c>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row>
    <row r="743" spans="1:63" ht="14.25" customHeight="1" x14ac:dyDescent="0.35">
      <c r="A743" s="277" t="s">
        <v>100</v>
      </c>
      <c r="B743" s="276">
        <v>0.29351873163730891</v>
      </c>
      <c r="C743" s="276">
        <v>2.2082616878105577E-2</v>
      </c>
      <c r="D743" s="276">
        <v>1.8237452443168739E-2</v>
      </c>
      <c r="E743" s="276">
        <v>0.23722227487509981</v>
      </c>
      <c r="F743" s="276">
        <v>1.0425269770779457E-2</v>
      </c>
      <c r="G743" s="276">
        <v>1.9740316007527858E-2</v>
      </c>
      <c r="H743" s="276">
        <v>0.16076578345225362</v>
      </c>
      <c r="I743" s="276">
        <v>5.3209493765147102E-2</v>
      </c>
      <c r="J743" s="276">
        <v>0.14194614061928809</v>
      </c>
      <c r="K743" s="276">
        <v>4.2851920551320755E-2</v>
      </c>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row>
    <row r="744" spans="1:63" ht="14.25" customHeight="1" x14ac:dyDescent="0.35">
      <c r="A744" s="277" t="s">
        <v>101</v>
      </c>
      <c r="B744" s="276">
        <v>0.12672918020610902</v>
      </c>
      <c r="C744" s="276">
        <v>0.11958035465602082</v>
      </c>
      <c r="D744" s="276">
        <v>4.2707269520007429E-3</v>
      </c>
      <c r="E744" s="276">
        <v>0.34444341286788605</v>
      </c>
      <c r="F744" s="276">
        <v>3.1102033237396721E-2</v>
      </c>
      <c r="G744" s="276">
        <v>1.021260792869743E-2</v>
      </c>
      <c r="H744" s="276">
        <v>0.11670225605793337</v>
      </c>
      <c r="I744" s="276">
        <v>7.9101290502274657E-2</v>
      </c>
      <c r="J744" s="276">
        <v>0.14780428929533007</v>
      </c>
      <c r="K744" s="276">
        <v>2.0053848296351321E-2</v>
      </c>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row>
    <row r="745" spans="1:63" ht="14.25" customHeight="1" x14ac:dyDescent="0.35">
      <c r="A745" s="277" t="s">
        <v>102</v>
      </c>
      <c r="B745" s="276">
        <v>0.21282245827010624</v>
      </c>
      <c r="C745" s="276">
        <v>4.8431967627718772E-2</v>
      </c>
      <c r="D745" s="276">
        <v>1.5680323722812344E-2</v>
      </c>
      <c r="E745" s="276">
        <v>0.32309054122407688</v>
      </c>
      <c r="F745" s="276">
        <v>5.5639858371269611E-3</v>
      </c>
      <c r="G745" s="276">
        <v>1.3657056145675266E-2</v>
      </c>
      <c r="H745" s="276">
        <v>0.10432473444613051</v>
      </c>
      <c r="I745" s="276">
        <v>6.5756196256954988E-2</v>
      </c>
      <c r="J745" s="276">
        <v>0.2047293879615579</v>
      </c>
      <c r="K745" s="276">
        <v>5.9433485078401625E-3</v>
      </c>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row>
    <row r="746" spans="1:63" ht="14.25" customHeight="1" x14ac:dyDescent="0.35">
      <c r="A746" s="277" t="s">
        <v>103</v>
      </c>
      <c r="B746" s="276">
        <v>0.1294488441352048</v>
      </c>
      <c r="C746" s="276">
        <v>9.0786468836389383E-2</v>
      </c>
      <c r="D746" s="276">
        <v>2.8045246330746943E-2</v>
      </c>
      <c r="E746" s="276">
        <v>0.3191816130023104</v>
      </c>
      <c r="F746" s="276">
        <v>6.4250323855820718E-2</v>
      </c>
      <c r="G746" s="276">
        <v>6.5372133709050609E-2</v>
      </c>
      <c r="H746" s="276">
        <v>8.6593036765982456E-2</v>
      </c>
      <c r="I746" s="276">
        <v>7.6590232241349379E-2</v>
      </c>
      <c r="J746" s="276">
        <v>0.10526315789473684</v>
      </c>
      <c r="K746" s="276">
        <v>3.4468943228408502E-2</v>
      </c>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row>
    <row r="747" spans="1:63" ht="14.25" customHeight="1" x14ac:dyDescent="0.35">
      <c r="A747" s="277" t="s">
        <v>104</v>
      </c>
      <c r="B747" s="276">
        <v>0.26378608438193935</v>
      </c>
      <c r="C747" s="276">
        <v>9.0796940537873197E-2</v>
      </c>
      <c r="D747" s="276">
        <v>3.950777202072539E-2</v>
      </c>
      <c r="E747" s="276">
        <v>0.29757278559092037</v>
      </c>
      <c r="F747" s="276">
        <v>5.0379348630643972E-2</v>
      </c>
      <c r="G747" s="276">
        <v>2.7680113496175676E-2</v>
      </c>
      <c r="H747" s="276">
        <v>2.1666049839624973E-2</v>
      </c>
      <c r="I747" s="276">
        <v>4.9084011843079207E-2</v>
      </c>
      <c r="J747" s="276">
        <v>0.13156920799407848</v>
      </c>
      <c r="K747" s="276">
        <v>2.7957685664939554E-2</v>
      </c>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row>
    <row r="748" spans="1:63" ht="14.25" customHeight="1" x14ac:dyDescent="0.35">
      <c r="A748" s="277" t="s">
        <v>105</v>
      </c>
      <c r="B748" s="276">
        <v>0.18320610687022901</v>
      </c>
      <c r="C748" s="276">
        <v>0.10863182618907812</v>
      </c>
      <c r="D748" s="276">
        <v>1.467997651203758E-4</v>
      </c>
      <c r="E748" s="276">
        <v>0.3916617733411627</v>
      </c>
      <c r="F748" s="276">
        <v>9.028185554903112E-2</v>
      </c>
      <c r="G748" s="276">
        <v>3.3763945977686442E-2</v>
      </c>
      <c r="H748" s="276">
        <v>2.3928361714621257E-2</v>
      </c>
      <c r="I748" s="276">
        <v>3.4791544333529066E-2</v>
      </c>
      <c r="J748" s="276">
        <v>0.11817381092190253</v>
      </c>
      <c r="K748" s="276">
        <v>1.5413975337639461E-2</v>
      </c>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row>
    <row r="749" spans="1:63" ht="14.25" customHeight="1" x14ac:dyDescent="0.35">
      <c r="A749" s="277" t="s">
        <v>106</v>
      </c>
      <c r="B749" s="276">
        <v>0.16982418073383182</v>
      </c>
      <c r="C749" s="276">
        <v>1.0706889037815122E-2</v>
      </c>
      <c r="D749" s="276">
        <v>2.2629472559756652E-2</v>
      </c>
      <c r="E749" s="276">
        <v>0.38574424860206102</v>
      </c>
      <c r="F749" s="276">
        <v>0.12963209222776234</v>
      </c>
      <c r="G749" s="276">
        <v>5.3146037384580347E-2</v>
      </c>
      <c r="H749" s="276">
        <v>7.8734870199378304E-2</v>
      </c>
      <c r="I749" s="276">
        <v>5.2304267702069709E-2</v>
      </c>
      <c r="J749" s="276">
        <v>6.9978358882667055E-2</v>
      </c>
      <c r="K749" s="276">
        <v>2.7299582670077635E-2</v>
      </c>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row>
    <row r="750" spans="1:63" ht="14.25" customHeight="1" x14ac:dyDescent="0.35">
      <c r="A750" s="277" t="s">
        <v>107</v>
      </c>
      <c r="B750" s="276">
        <v>0.11833333333333333</v>
      </c>
      <c r="C750" s="276">
        <v>1.9551282051282051E-2</v>
      </c>
      <c r="D750" s="276">
        <v>2.5470085470085477E-2</v>
      </c>
      <c r="E750" s="276">
        <v>0.32100427350427352</v>
      </c>
      <c r="F750" s="276">
        <v>3.4230769230769231E-2</v>
      </c>
      <c r="G750" s="276">
        <v>0.1516880341880342</v>
      </c>
      <c r="H750" s="276">
        <v>0.12794871794871795</v>
      </c>
      <c r="I750" s="276">
        <v>3.4615384615384624E-2</v>
      </c>
      <c r="J750" s="276">
        <v>0.1052777777777778</v>
      </c>
      <c r="K750" s="276">
        <v>6.1880341880341895E-2</v>
      </c>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row>
    <row r="751" spans="1:63" ht="14.25" customHeight="1" x14ac:dyDescent="0.35">
      <c r="A751" s="277" t="s">
        <v>108</v>
      </c>
      <c r="B751" s="276">
        <v>0.20488381450558291</v>
      </c>
      <c r="C751" s="276">
        <v>9.2797505281158835E-2</v>
      </c>
      <c r="D751" s="276">
        <v>2.0269590584448244E-2</v>
      </c>
      <c r="E751" s="276">
        <v>0.37010864098179252</v>
      </c>
      <c r="F751" s="276">
        <v>5.1906246856453071E-2</v>
      </c>
      <c r="G751" s="276">
        <v>5.7137108942762298E-2</v>
      </c>
      <c r="H751" s="276">
        <v>9.1037119002112463E-2</v>
      </c>
      <c r="I751" s="276">
        <v>3.1536062770345034E-2</v>
      </c>
      <c r="J751" s="276">
        <v>6.3474499547329241E-2</v>
      </c>
      <c r="K751" s="276">
        <v>1.6849411528015289E-2</v>
      </c>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row>
    <row r="752" spans="1:63" ht="14.25" customHeight="1" x14ac:dyDescent="0.35">
      <c r="A752" s="277" t="s">
        <v>109</v>
      </c>
      <c r="B752" s="276">
        <v>0.12548466690165672</v>
      </c>
      <c r="C752" s="276">
        <v>4.6528022559041246E-2</v>
      </c>
      <c r="D752" s="276">
        <v>4.3972506168487843E-2</v>
      </c>
      <c r="E752" s="276">
        <v>0.27687698272823408</v>
      </c>
      <c r="F752" s="276">
        <v>2.925625660909412E-2</v>
      </c>
      <c r="G752" s="276">
        <v>6.4769122312301738E-2</v>
      </c>
      <c r="H752" s="276">
        <v>8.2481494536482194E-2</v>
      </c>
      <c r="I752" s="276">
        <v>7.146633768064857E-2</v>
      </c>
      <c r="J752" s="276">
        <v>0.23598872047937969</v>
      </c>
      <c r="K752" s="276">
        <v>2.3175890024673955E-2</v>
      </c>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row>
    <row r="753" spans="1:63" ht="14.25" customHeight="1" x14ac:dyDescent="0.35">
      <c r="A753" s="277" t="s">
        <v>229</v>
      </c>
      <c r="B753" s="276">
        <v>9.1844871330192104E-2</v>
      </c>
      <c r="C753" s="276">
        <v>7.1547662196448009E-2</v>
      </c>
      <c r="D753" s="276">
        <v>6.3501268575570868E-2</v>
      </c>
      <c r="E753" s="276">
        <v>0.38586444363899969</v>
      </c>
      <c r="F753" s="276">
        <v>3.2982964842334178E-2</v>
      </c>
      <c r="G753" s="276">
        <v>1.1380935121420806E-2</v>
      </c>
      <c r="H753" s="276">
        <v>8.8292859731786882E-2</v>
      </c>
      <c r="I753" s="276">
        <v>4.9220732149329482E-2</v>
      </c>
      <c r="J753" s="276">
        <v>0.1864443638999638</v>
      </c>
      <c r="K753" s="276">
        <v>1.8919898513954338E-2</v>
      </c>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row>
    <row r="754" spans="1:63" ht="14.25" customHeight="1" x14ac:dyDescent="0.35">
      <c r="A754" s="277" t="s">
        <v>111</v>
      </c>
      <c r="B754" s="276">
        <v>0.16812324100133313</v>
      </c>
      <c r="C754" s="276">
        <v>7.7025625833209892E-3</v>
      </c>
      <c r="D754" s="276">
        <v>2.5773959413420242E-2</v>
      </c>
      <c r="E754" s="276">
        <v>0.38483187675899866</v>
      </c>
      <c r="F754" s="276">
        <v>6.004048782896361E-2</v>
      </c>
      <c r="G754" s="276">
        <v>6.9767441860465129E-2</v>
      </c>
      <c r="H754" s="276">
        <v>2.9082111292154249E-2</v>
      </c>
      <c r="I754" s="276">
        <v>6.1571125265392788E-2</v>
      </c>
      <c r="J754" s="276">
        <v>0.12664790401422013</v>
      </c>
      <c r="K754" s="276">
        <v>6.6459289981731104E-2</v>
      </c>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row>
    <row r="755" spans="1:63" ht="14.25" customHeight="1" x14ac:dyDescent="0.35">
      <c r="A755" s="277" t="s">
        <v>112</v>
      </c>
      <c r="B755" s="276">
        <v>7.5452965996525179E-2</v>
      </c>
      <c r="C755" s="276">
        <v>7.3715562174236804E-2</v>
      </c>
      <c r="D755" s="276">
        <v>9.6798212956068514E-3</v>
      </c>
      <c r="E755" s="276">
        <v>0.2290891039960288</v>
      </c>
      <c r="F755" s="276">
        <v>0.18888061553735419</v>
      </c>
      <c r="G755" s="276">
        <v>2.6309257880367337E-2</v>
      </c>
      <c r="H755" s="276">
        <v>0.14643832216430877</v>
      </c>
      <c r="I755" s="276">
        <v>0.10449242988334576</v>
      </c>
      <c r="J755" s="276">
        <v>0.13477289650037233</v>
      </c>
      <c r="K755" s="276">
        <v>1.1169024571854059E-2</v>
      </c>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row>
    <row r="756" spans="1:63" ht="14.25" customHeight="1" x14ac:dyDescent="0.35">
      <c r="A756" s="277" t="s">
        <v>113</v>
      </c>
      <c r="B756" s="276">
        <v>0.14556550040683483</v>
      </c>
      <c r="C756" s="276">
        <v>3.2343368592351505E-2</v>
      </c>
      <c r="D756" s="276">
        <v>4.1619202603742876E-2</v>
      </c>
      <c r="E756" s="276">
        <v>0.40386493083807978</v>
      </c>
      <c r="F756" s="276">
        <v>9.3856794141578534E-2</v>
      </c>
      <c r="G756" s="276">
        <v>3.5191212367778682E-2</v>
      </c>
      <c r="H756" s="276">
        <v>3.2587469487388124E-2</v>
      </c>
      <c r="I756" s="276">
        <v>4.2839707078925954E-2</v>
      </c>
      <c r="J756" s="276">
        <v>0.14271765663140765</v>
      </c>
      <c r="K756" s="276">
        <v>2.9414157851912124E-2</v>
      </c>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row>
    <row r="757" spans="1:63" ht="14.25" customHeight="1" x14ac:dyDescent="0.35">
      <c r="A757" s="277" t="s">
        <v>114</v>
      </c>
      <c r="B757" s="276">
        <v>7.2452666464030424E-2</v>
      </c>
      <c r="C757" s="276">
        <v>5.6645814744727366E-2</v>
      </c>
      <c r="D757" s="276">
        <v>3.5805331947562968E-2</v>
      </c>
      <c r="E757" s="276">
        <v>0.48071605761405634</v>
      </c>
      <c r="F757" s="276">
        <v>7.2615674239378758E-2</v>
      </c>
      <c r="G757" s="276">
        <v>2.5632666267930853E-2</v>
      </c>
      <c r="H757" s="276">
        <v>7.6549922050417191E-2</v>
      </c>
      <c r="I757" s="276">
        <v>6.8721871966584636E-2</v>
      </c>
      <c r="J757" s="276">
        <v>0.10188476208218533</v>
      </c>
      <c r="K757" s="276">
        <v>8.9752326231260227E-3</v>
      </c>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row>
    <row r="758" spans="1:63" ht="14.25" customHeight="1" x14ac:dyDescent="0.35">
      <c r="A758" s="277" t="s">
        <v>115</v>
      </c>
      <c r="B758" s="276">
        <v>0.19208522839628236</v>
      </c>
      <c r="C758" s="276">
        <v>3.7299782479731064E-2</v>
      </c>
      <c r="D758" s="276">
        <v>2.1826181530551703E-2</v>
      </c>
      <c r="E758" s="276">
        <v>0.33535198734427524</v>
      </c>
      <c r="F758" s="276">
        <v>7.7639905082064462E-2</v>
      </c>
      <c r="G758" s="276">
        <v>5.771702590468656E-2</v>
      </c>
      <c r="H758" s="276">
        <v>8.7477753608858996E-2</v>
      </c>
      <c r="I758" s="276">
        <v>6.8296420802847535E-2</v>
      </c>
      <c r="J758" s="276">
        <v>0.10725232351196361</v>
      </c>
      <c r="K758" s="276">
        <v>1.505339133873838E-2</v>
      </c>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row>
    <row r="759" spans="1:63" ht="14.25" customHeight="1" x14ac:dyDescent="0.35">
      <c r="A759" s="277" t="s">
        <v>116</v>
      </c>
      <c r="B759" s="276">
        <v>4.6326450856510125E-2</v>
      </c>
      <c r="C759" s="276">
        <v>3.5332399748149113E-2</v>
      </c>
      <c r="D759" s="276">
        <v>3.0683471199982625E-2</v>
      </c>
      <c r="E759" s="276">
        <v>0.45114961245359209</v>
      </c>
      <c r="F759" s="276">
        <v>8.3072797933085835E-2</v>
      </c>
      <c r="G759" s="276">
        <v>0.14997068976747216</v>
      </c>
      <c r="H759" s="276">
        <v>5.893799257474109E-2</v>
      </c>
      <c r="I759" s="276">
        <v>4.7230183026118679E-2</v>
      </c>
      <c r="J759" s="276">
        <v>8.7526324931066671E-2</v>
      </c>
      <c r="K759" s="276">
        <v>9.7700775092815738E-3</v>
      </c>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row>
    <row r="760" spans="1:63" ht="14.25" customHeight="1" x14ac:dyDescent="0.35">
      <c r="A760" s="277" t="s">
        <v>117</v>
      </c>
      <c r="B760" s="276">
        <v>0.19124631992149169</v>
      </c>
      <c r="C760" s="276">
        <v>1.0284592737978411E-2</v>
      </c>
      <c r="D760" s="276">
        <v>7.6879293424926401E-2</v>
      </c>
      <c r="E760" s="276">
        <v>0.53377821393523062</v>
      </c>
      <c r="F760" s="276">
        <v>3.3562315996074586E-2</v>
      </c>
      <c r="G760" s="276">
        <v>5.48577036310108E-2</v>
      </c>
      <c r="H760" s="276">
        <v>2.4337585868498528E-2</v>
      </c>
      <c r="I760" s="276">
        <v>3.1128557409224732E-2</v>
      </c>
      <c r="J760" s="276">
        <v>3.6957801766437683E-2</v>
      </c>
      <c r="K760" s="276">
        <v>6.9676153091265949E-3</v>
      </c>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row>
    <row r="761" spans="1:63" ht="14.25" customHeight="1" x14ac:dyDescent="0.35">
      <c r="A761" s="277" t="s">
        <v>118</v>
      </c>
      <c r="B761" s="276">
        <v>8.2314764737696056E-2</v>
      </c>
      <c r="C761" s="276">
        <v>1.5143320713899404E-3</v>
      </c>
      <c r="D761" s="276">
        <v>1.5954570037858305E-2</v>
      </c>
      <c r="E761" s="276">
        <v>0.40319091400757173</v>
      </c>
      <c r="F761" s="276">
        <v>0.15840995132504057</v>
      </c>
      <c r="G761" s="276">
        <v>7.560843699296918E-2</v>
      </c>
      <c r="H761" s="276">
        <v>9.1292590589507866E-2</v>
      </c>
      <c r="I761" s="276">
        <v>7.5392103839913474E-2</v>
      </c>
      <c r="J761" s="276">
        <v>7.7609518658734458E-2</v>
      </c>
      <c r="K761" s="276">
        <v>1.871281773931855E-2</v>
      </c>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row>
    <row r="762" spans="1:63" ht="14.25" customHeight="1" x14ac:dyDescent="0.35">
      <c r="A762" s="277" t="s">
        <v>119</v>
      </c>
      <c r="B762" s="276">
        <v>0.14256350022023195</v>
      </c>
      <c r="C762" s="276">
        <v>7.9870797239759206E-2</v>
      </c>
      <c r="D762" s="276">
        <v>4.3789458229334895E-2</v>
      </c>
      <c r="E762" s="276">
        <v>0.44780502128909117</v>
      </c>
      <c r="F762" s="276">
        <v>4.6175304654235791E-2</v>
      </c>
      <c r="G762" s="276">
        <v>4.3495815592424013E-2</v>
      </c>
      <c r="H762" s="276">
        <v>8.4789311408016432E-2</v>
      </c>
      <c r="I762" s="276">
        <v>4.5257671413889297E-2</v>
      </c>
      <c r="J762" s="276">
        <v>5.8031126119512548E-2</v>
      </c>
      <c r="K762" s="276">
        <v>8.2219938335046233E-3</v>
      </c>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row>
    <row r="763" spans="1:63" ht="14.25" customHeight="1" x14ac:dyDescent="0.35">
      <c r="A763" s="277" t="s">
        <v>120</v>
      </c>
      <c r="B763" s="276">
        <v>0.29084133922159577</v>
      </c>
      <c r="C763" s="276">
        <v>4.9754310174216408E-2</v>
      </c>
      <c r="D763" s="276">
        <v>2.8216161810357982E-2</v>
      </c>
      <c r="E763" s="276">
        <v>0.25556830968792577</v>
      </c>
      <c r="F763" s="276">
        <v>2.3127074509892615E-2</v>
      </c>
      <c r="G763" s="276">
        <v>5.4470197739314316E-2</v>
      </c>
      <c r="H763" s="276">
        <v>0.11612166311372976</v>
      </c>
      <c r="I763" s="276">
        <v>3.9327335749707371E-2</v>
      </c>
      <c r="J763" s="276">
        <v>0.11028052180108452</v>
      </c>
      <c r="K763" s="276">
        <v>3.229308619217524E-2</v>
      </c>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row>
    <row r="764" spans="1:63" ht="14.25" customHeight="1" x14ac:dyDescent="0.35">
      <c r="A764" s="278" t="s">
        <v>83</v>
      </c>
      <c r="B764" s="276">
        <v>3.5028734508776735E-2</v>
      </c>
      <c r="C764" s="276">
        <v>0.18753665115915402</v>
      </c>
      <c r="D764" s="276">
        <v>2.6506118300168108E-2</v>
      </c>
      <c r="E764" s="276">
        <v>0.34037687165252745</v>
      </c>
      <c r="F764" s="276">
        <v>5.6511200594237462E-2</v>
      </c>
      <c r="G764" s="276">
        <v>8.3290980882755397E-2</v>
      </c>
      <c r="H764" s="276">
        <v>0.11482075139763089</v>
      </c>
      <c r="I764" s="276">
        <v>1.1962938347863482E-2</v>
      </c>
      <c r="J764" s="276">
        <v>0.13884436451776849</v>
      </c>
      <c r="K764" s="276">
        <v>5.1213886391180269E-3</v>
      </c>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row>
    <row r="765" spans="1:63" ht="14.25" customHeight="1" x14ac:dyDescent="0.35">
      <c r="A765" s="278" t="s">
        <v>144</v>
      </c>
      <c r="B765" s="276">
        <v>4.4093702288885657E-2</v>
      </c>
      <c r="C765" s="276">
        <v>0.15612820336001787</v>
      </c>
      <c r="D765" s="276">
        <v>3.9833971998586029E-2</v>
      </c>
      <c r="E765" s="276">
        <v>0.39702662734405159</v>
      </c>
      <c r="F765" s="276">
        <v>7.586617084583426E-2</v>
      </c>
      <c r="G765" s="276">
        <v>0.11986165171598143</v>
      </c>
      <c r="H765" s="276">
        <v>6.9129653883291979E-3</v>
      </c>
      <c r="I765" s="276">
        <v>4.5710012439354505E-2</v>
      </c>
      <c r="J765" s="276">
        <v>8.8395901703328769E-2</v>
      </c>
      <c r="K765" s="276">
        <v>2.6170792915630518E-2</v>
      </c>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row>
    <row r="766" spans="1:63" ht="14.25" customHeight="1" x14ac:dyDescent="0.35">
      <c r="A766" s="278" t="s">
        <v>164</v>
      </c>
      <c r="B766" s="276">
        <v>5.1919232368076773E-2</v>
      </c>
      <c r="C766" s="276">
        <v>0.11488011611390198</v>
      </c>
      <c r="D766" s="276">
        <v>4.2409605014917834E-2</v>
      </c>
      <c r="E766" s="276">
        <v>0.42980432616031922</v>
      </c>
      <c r="F766" s="276">
        <v>9.203096838837739E-2</v>
      </c>
      <c r="G766" s="276">
        <v>9.7676100220360204E-2</v>
      </c>
      <c r="H766" s="276">
        <v>6.8580753613172148E-3</v>
      </c>
      <c r="I766" s="276">
        <v>3.8156317658948946E-2</v>
      </c>
      <c r="J766" s="276">
        <v>0.10321624166098906</v>
      </c>
      <c r="K766" s="276">
        <v>2.3049017052791502E-2</v>
      </c>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row>
    <row r="767" spans="1:63" ht="14.25" customHeight="1" x14ac:dyDescent="0.35">
      <c r="A767" s="278" t="s">
        <v>145</v>
      </c>
      <c r="B767" s="276">
        <v>4.4093702288885671E-2</v>
      </c>
      <c r="C767" s="276">
        <v>0.15612820336001793</v>
      </c>
      <c r="D767" s="276">
        <v>3.983397199858605E-2</v>
      </c>
      <c r="E767" s="276">
        <v>0.3970266273440517</v>
      </c>
      <c r="F767" s="276">
        <v>7.5866170845834288E-2</v>
      </c>
      <c r="G767" s="276">
        <v>0.11986165171598147</v>
      </c>
      <c r="H767" s="276">
        <v>6.9129653883291987E-3</v>
      </c>
      <c r="I767" s="276">
        <v>4.5710012439354519E-2</v>
      </c>
      <c r="J767" s="276">
        <v>8.8395901703328797E-2</v>
      </c>
      <c r="K767" s="276">
        <v>2.6170792915630525E-2</v>
      </c>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row>
    <row r="768" spans="1:63" ht="14.25" customHeight="1" x14ac:dyDescent="0.35">
      <c r="A768" s="278" t="s">
        <v>87</v>
      </c>
      <c r="B768" s="276">
        <v>5.2794435366216065E-2</v>
      </c>
      <c r="C768" s="276">
        <v>0.14334139450316735</v>
      </c>
      <c r="D768" s="276">
        <v>4.0841421683061742E-2</v>
      </c>
      <c r="E768" s="276">
        <v>0.40078345421829109</v>
      </c>
      <c r="F768" s="276">
        <v>6.8739505388339908E-2</v>
      </c>
      <c r="G768" s="276">
        <v>0.1133331893954348</v>
      </c>
      <c r="H768" s="276">
        <v>1.3565644501341394E-2</v>
      </c>
      <c r="I768" s="276">
        <v>4.6177106152599984E-2</v>
      </c>
      <c r="J768" s="276">
        <v>9.5949626050087167E-2</v>
      </c>
      <c r="K768" s="276">
        <v>2.4474222741460713E-2</v>
      </c>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row>
    <row r="769" spans="1:63" ht="14.25" customHeight="1" x14ac:dyDescent="0.35">
      <c r="A769" s="278" t="s">
        <v>146</v>
      </c>
      <c r="B769" s="276">
        <v>4.4093702288885664E-2</v>
      </c>
      <c r="C769" s="276">
        <v>0.1561282033600179</v>
      </c>
      <c r="D769" s="276">
        <v>3.983397199858605E-2</v>
      </c>
      <c r="E769" s="276">
        <v>0.3970266273440517</v>
      </c>
      <c r="F769" s="276">
        <v>7.5866170845834288E-2</v>
      </c>
      <c r="G769" s="276">
        <v>0.11986165171598147</v>
      </c>
      <c r="H769" s="276">
        <v>6.9129653883291987E-3</v>
      </c>
      <c r="I769" s="276">
        <v>4.5710012439354519E-2</v>
      </c>
      <c r="J769" s="276">
        <v>8.8395901703328783E-2</v>
      </c>
      <c r="K769" s="276">
        <v>2.6170792915630521E-2</v>
      </c>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row>
    <row r="770" spans="1:63" ht="14.25" customHeight="1" x14ac:dyDescent="0.35">
      <c r="A770" s="278" t="s">
        <v>89</v>
      </c>
      <c r="B770" s="276">
        <v>5.1426643034465994E-2</v>
      </c>
      <c r="C770" s="276">
        <v>0.24089584729681096</v>
      </c>
      <c r="D770" s="276">
        <v>3.4254891326770072E-2</v>
      </c>
      <c r="E770" s="276">
        <v>0.28931408795266883</v>
      </c>
      <c r="F770" s="276">
        <v>9.2695497166634545E-3</v>
      </c>
      <c r="G770" s="276">
        <v>5.8437723419307273E-2</v>
      </c>
      <c r="H770" s="276">
        <v>0.11184116625143309</v>
      </c>
      <c r="I770" s="276">
        <v>2.0014775124794843E-2</v>
      </c>
      <c r="J770" s="276">
        <v>0.17502297145256399</v>
      </c>
      <c r="K770" s="276">
        <v>9.5223444245214669E-3</v>
      </c>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row>
    <row r="771" spans="1:63" ht="14.25" customHeight="1" x14ac:dyDescent="0.35">
      <c r="A771" s="278" t="s">
        <v>90</v>
      </c>
      <c r="B771" s="276">
        <v>8.2152952611284802E-2</v>
      </c>
      <c r="C771" s="276">
        <v>0.14037389153050117</v>
      </c>
      <c r="D771" s="276">
        <v>3.6581845361670799E-2</v>
      </c>
      <c r="E771" s="276">
        <v>0.37719424634325599</v>
      </c>
      <c r="F771" s="276">
        <v>6.9615633760500922E-2</v>
      </c>
      <c r="G771" s="276">
        <v>0.10435979431740104</v>
      </c>
      <c r="H771" s="276">
        <v>1.8285735039411267E-2</v>
      </c>
      <c r="I771" s="276">
        <v>4.5492829319771784E-2</v>
      </c>
      <c r="J771" s="276">
        <v>0.10091873544123213</v>
      </c>
      <c r="K771" s="276">
        <v>2.5024336274970003E-2</v>
      </c>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row>
    <row r="773" spans="1:63" ht="14.25" customHeight="1" x14ac:dyDescent="0.35">
      <c r="A773" s="143" t="s">
        <v>1107</v>
      </c>
      <c r="B773" s="2"/>
    </row>
    <row r="774" spans="1:63" ht="14.25" customHeight="1" x14ac:dyDescent="0.35">
      <c r="A774" s="34" t="s">
        <v>1269</v>
      </c>
      <c r="B774" s="2"/>
    </row>
    <row r="775" spans="1:63" ht="14.25" customHeight="1" x14ac:dyDescent="0.35">
      <c r="A775" s="38" t="s">
        <v>168</v>
      </c>
      <c r="B775" s="9" t="s">
        <v>169</v>
      </c>
    </row>
    <row r="776" spans="1:63" ht="14.25" customHeight="1" x14ac:dyDescent="0.35">
      <c r="A776" s="271">
        <v>0</v>
      </c>
      <c r="B776" s="272" t="s">
        <v>1270</v>
      </c>
    </row>
    <row r="777" spans="1:63" ht="14.25" customHeight="1" x14ac:dyDescent="0.35">
      <c r="A777" s="271">
        <v>1</v>
      </c>
      <c r="B777" s="272" t="s">
        <v>1192</v>
      </c>
    </row>
    <row r="778" spans="1:63" ht="14.25" customHeight="1" x14ac:dyDescent="0.35">
      <c r="A778" s="39" t="s">
        <v>170</v>
      </c>
      <c r="B778" s="40">
        <v>1</v>
      </c>
    </row>
    <row r="780" spans="1:63" ht="14.25" customHeight="1" x14ac:dyDescent="0.35">
      <c r="A780" s="34" t="s">
        <v>1271</v>
      </c>
      <c r="B780" s="2"/>
    </row>
    <row r="781" spans="1:63" ht="14.25" customHeight="1" x14ac:dyDescent="0.35">
      <c r="A781" s="38" t="s">
        <v>168</v>
      </c>
      <c r="B781" s="9" t="s">
        <v>169</v>
      </c>
    </row>
    <row r="782" spans="1:63" ht="14.25" customHeight="1" x14ac:dyDescent="0.35">
      <c r="A782" s="271">
        <v>0</v>
      </c>
      <c r="B782" s="272" t="s">
        <v>1109</v>
      </c>
    </row>
    <row r="783" spans="1:63" ht="14.25" customHeight="1" x14ac:dyDescent="0.35">
      <c r="A783" s="271">
        <v>1</v>
      </c>
      <c r="B783" s="272" t="s">
        <v>1110</v>
      </c>
    </row>
    <row r="784" spans="1:63" ht="14.25" customHeight="1" x14ac:dyDescent="0.35">
      <c r="A784" s="271">
        <v>2</v>
      </c>
      <c r="B784" s="272" t="s">
        <v>1112</v>
      </c>
    </row>
    <row r="785" spans="1:5" ht="14.25" customHeight="1" x14ac:dyDescent="0.35">
      <c r="A785" s="271">
        <v>3</v>
      </c>
      <c r="B785" s="272" t="s">
        <v>1111</v>
      </c>
    </row>
    <row r="786" spans="1:5" ht="14.25" customHeight="1" x14ac:dyDescent="0.35">
      <c r="A786" s="39" t="s">
        <v>170</v>
      </c>
      <c r="B786" s="40">
        <v>0</v>
      </c>
    </row>
    <row r="787" spans="1:5" ht="14.25" customHeight="1" x14ac:dyDescent="0.35">
      <c r="A787" s="121"/>
    </row>
    <row r="788" spans="1:5" ht="14.25" customHeight="1" x14ac:dyDescent="0.35">
      <c r="A788" s="34" t="s">
        <v>1680</v>
      </c>
      <c r="B788" s="52" t="s">
        <v>1680</v>
      </c>
      <c r="C788" s="52" t="s">
        <v>1681</v>
      </c>
      <c r="D788" s="52" t="s">
        <v>1682</v>
      </c>
      <c r="E788" s="52" t="s">
        <v>1683</v>
      </c>
    </row>
    <row r="789" spans="1:5" ht="14.25" customHeight="1" x14ac:dyDescent="0.35">
      <c r="A789" s="39" t="s">
        <v>1232</v>
      </c>
      <c r="B789" s="66" t="s">
        <v>128</v>
      </c>
      <c r="C789" s="66" t="s">
        <v>322</v>
      </c>
      <c r="D789" s="66" t="s">
        <v>322</v>
      </c>
      <c r="E789" s="66" t="s">
        <v>13</v>
      </c>
    </row>
    <row r="790" spans="1:5" ht="14.25" customHeight="1" x14ac:dyDescent="0.35">
      <c r="A790" s="371" t="s">
        <v>175</v>
      </c>
      <c r="B790" s="543">
        <v>0</v>
      </c>
      <c r="C790" s="372">
        <v>2015</v>
      </c>
      <c r="D790" s="372">
        <v>2050</v>
      </c>
      <c r="E790" s="373">
        <v>1</v>
      </c>
    </row>
    <row r="791" spans="1:5" ht="14.25" customHeight="1" x14ac:dyDescent="0.35">
      <c r="A791" s="371" t="s">
        <v>176</v>
      </c>
      <c r="B791" s="543">
        <v>0</v>
      </c>
      <c r="C791" s="372">
        <v>2015</v>
      </c>
      <c r="D791" s="372">
        <v>2050</v>
      </c>
      <c r="E791" s="373">
        <v>1</v>
      </c>
    </row>
    <row r="792" spans="1:5" ht="14.25" customHeight="1" x14ac:dyDescent="0.35">
      <c r="A792" s="371" t="s">
        <v>177</v>
      </c>
      <c r="B792" s="543">
        <v>0</v>
      </c>
      <c r="C792" s="372">
        <v>2015</v>
      </c>
      <c r="D792" s="372">
        <v>2050</v>
      </c>
      <c r="E792" s="373">
        <v>1</v>
      </c>
    </row>
    <row r="793" spans="1:5" ht="14.25" customHeight="1" x14ac:dyDescent="0.35">
      <c r="A793" s="371" t="s">
        <v>178</v>
      </c>
      <c r="B793" s="543">
        <v>0</v>
      </c>
      <c r="C793" s="372">
        <v>2015</v>
      </c>
      <c r="D793" s="372">
        <v>2050</v>
      </c>
      <c r="E793" s="373">
        <v>1</v>
      </c>
    </row>
    <row r="794" spans="1:5" ht="14.25" customHeight="1" x14ac:dyDescent="0.35">
      <c r="A794" s="371" t="s">
        <v>179</v>
      </c>
      <c r="B794" s="543">
        <v>0</v>
      </c>
      <c r="C794" s="372">
        <v>2015</v>
      </c>
      <c r="D794" s="372">
        <v>2050</v>
      </c>
      <c r="E794" s="373">
        <v>1</v>
      </c>
    </row>
    <row r="795" spans="1:5" ht="14.25" customHeight="1" x14ac:dyDescent="0.35">
      <c r="A795" s="371" t="s">
        <v>180</v>
      </c>
      <c r="B795" s="543">
        <v>0</v>
      </c>
      <c r="C795" s="372">
        <v>2015</v>
      </c>
      <c r="D795" s="372">
        <v>2050</v>
      </c>
      <c r="E795" s="373">
        <v>1</v>
      </c>
    </row>
    <row r="796" spans="1:5" ht="14.25" customHeight="1" x14ac:dyDescent="0.35">
      <c r="A796" s="371" t="s">
        <v>181</v>
      </c>
      <c r="B796" s="543">
        <v>0</v>
      </c>
      <c r="C796" s="372">
        <v>2015</v>
      </c>
      <c r="D796" s="372">
        <v>2050</v>
      </c>
      <c r="E796" s="373">
        <v>1</v>
      </c>
    </row>
    <row r="797" spans="1:5" ht="14.25" customHeight="1" x14ac:dyDescent="0.35">
      <c r="A797" s="371" t="s">
        <v>182</v>
      </c>
      <c r="B797" s="543">
        <v>0</v>
      </c>
      <c r="C797" s="372">
        <v>2015</v>
      </c>
      <c r="D797" s="372">
        <v>2050</v>
      </c>
      <c r="E797" s="373">
        <v>1</v>
      </c>
    </row>
    <row r="798" spans="1:5" ht="14.25" customHeight="1" x14ac:dyDescent="0.35">
      <c r="A798" s="371" t="s">
        <v>1671</v>
      </c>
      <c r="B798" s="543">
        <v>0</v>
      </c>
      <c r="C798" s="372">
        <v>2015</v>
      </c>
      <c r="D798" s="372">
        <v>2050</v>
      </c>
      <c r="E798" s="373">
        <v>1</v>
      </c>
    </row>
    <row r="799" spans="1:5" ht="14.25" customHeight="1" x14ac:dyDescent="0.35">
      <c r="A799" s="371" t="s">
        <v>1672</v>
      </c>
      <c r="B799" s="543">
        <v>1</v>
      </c>
      <c r="C799" s="372">
        <v>2015</v>
      </c>
      <c r="D799" s="372">
        <v>2050</v>
      </c>
      <c r="E799" s="373">
        <v>1</v>
      </c>
    </row>
    <row r="800" spans="1:5" ht="14.25" customHeight="1" x14ac:dyDescent="0.35">
      <c r="A800" s="371" t="s">
        <v>1673</v>
      </c>
      <c r="B800" s="543">
        <v>1</v>
      </c>
      <c r="C800" s="372">
        <v>2015</v>
      </c>
      <c r="D800" s="372">
        <v>2050</v>
      </c>
      <c r="E800" s="373">
        <v>1</v>
      </c>
    </row>
    <row r="801" spans="1:5" ht="14.25" customHeight="1" x14ac:dyDescent="0.35">
      <c r="A801" s="371" t="s">
        <v>1674</v>
      </c>
      <c r="B801" s="543">
        <v>1</v>
      </c>
      <c r="C801" s="372">
        <v>2015</v>
      </c>
      <c r="D801" s="372">
        <v>2050</v>
      </c>
      <c r="E801" s="373">
        <v>1</v>
      </c>
    </row>
    <row r="802" spans="1:5" ht="14.25" customHeight="1" x14ac:dyDescent="0.35">
      <c r="A802" s="371" t="s">
        <v>1675</v>
      </c>
      <c r="B802" s="543">
        <v>1</v>
      </c>
      <c r="C802" s="372">
        <v>2015</v>
      </c>
      <c r="D802" s="372">
        <v>2050</v>
      </c>
      <c r="E802" s="373">
        <v>1</v>
      </c>
    </row>
    <row r="803" spans="1:5" ht="14.25" customHeight="1" x14ac:dyDescent="0.35">
      <c r="A803" s="371" t="s">
        <v>1676</v>
      </c>
      <c r="B803" s="543">
        <v>1</v>
      </c>
      <c r="C803" s="372">
        <v>2015</v>
      </c>
      <c r="D803" s="372">
        <v>2050</v>
      </c>
      <c r="E803" s="373">
        <v>1</v>
      </c>
    </row>
    <row r="804" spans="1:5" ht="14.25" customHeight="1" x14ac:dyDescent="0.35">
      <c r="A804" s="371" t="s">
        <v>1677</v>
      </c>
      <c r="B804" s="543">
        <v>1</v>
      </c>
      <c r="C804" s="372">
        <v>2015</v>
      </c>
      <c r="D804" s="372">
        <v>2050</v>
      </c>
      <c r="E804" s="373">
        <v>1</v>
      </c>
    </row>
    <row r="805" spans="1:5" ht="14.25" customHeight="1" x14ac:dyDescent="0.35">
      <c r="A805" s="371" t="s">
        <v>1678</v>
      </c>
      <c r="B805" s="543">
        <v>1</v>
      </c>
      <c r="C805" s="372">
        <v>2015</v>
      </c>
      <c r="D805" s="372">
        <v>2050</v>
      </c>
      <c r="E805" s="373">
        <v>1</v>
      </c>
    </row>
    <row r="806" spans="1:5" ht="14.25" customHeight="1" x14ac:dyDescent="0.35">
      <c r="A806" s="371" t="s">
        <v>183</v>
      </c>
      <c r="B806" s="543">
        <v>0</v>
      </c>
      <c r="C806" s="372">
        <v>2015</v>
      </c>
      <c r="D806" s="372">
        <v>2050</v>
      </c>
      <c r="E806" s="373">
        <v>1</v>
      </c>
    </row>
    <row r="807" spans="1:5" ht="14.25" customHeight="1" x14ac:dyDescent="0.35">
      <c r="A807" s="371" t="s">
        <v>184</v>
      </c>
      <c r="B807" s="543">
        <v>0</v>
      </c>
      <c r="C807" s="372">
        <v>2015</v>
      </c>
      <c r="D807" s="372">
        <v>2050</v>
      </c>
      <c r="E807" s="373">
        <v>1</v>
      </c>
    </row>
    <row r="808" spans="1:5" ht="14.25" customHeight="1" x14ac:dyDescent="0.35">
      <c r="A808" s="371" t="s">
        <v>185</v>
      </c>
      <c r="B808" s="543">
        <v>0</v>
      </c>
      <c r="C808" s="372">
        <v>2015</v>
      </c>
      <c r="D808" s="372">
        <v>2050</v>
      </c>
      <c r="E808" s="373">
        <v>1</v>
      </c>
    </row>
    <row r="809" spans="1:5" ht="14.25" customHeight="1" x14ac:dyDescent="0.35">
      <c r="A809" s="371" t="s">
        <v>186</v>
      </c>
      <c r="B809" s="543">
        <v>1</v>
      </c>
      <c r="C809" s="372">
        <v>2015</v>
      </c>
      <c r="D809" s="372">
        <v>2050</v>
      </c>
      <c r="E809" s="373">
        <v>1</v>
      </c>
    </row>
    <row r="810" spans="1:5" ht="14.25" customHeight="1" x14ac:dyDescent="0.35">
      <c r="A810" s="371" t="s">
        <v>187</v>
      </c>
      <c r="B810" s="543">
        <v>1</v>
      </c>
      <c r="C810" s="372">
        <v>2015</v>
      </c>
      <c r="D810" s="372">
        <v>2050</v>
      </c>
      <c r="E810" s="373">
        <v>1</v>
      </c>
    </row>
    <row r="811" spans="1:5" ht="14.25" customHeight="1" x14ac:dyDescent="0.35">
      <c r="A811" s="371" t="s">
        <v>188</v>
      </c>
      <c r="B811" s="543">
        <v>1</v>
      </c>
      <c r="C811" s="372">
        <v>2015</v>
      </c>
      <c r="D811" s="372">
        <v>2050</v>
      </c>
      <c r="E811" s="373">
        <v>1</v>
      </c>
    </row>
    <row r="812" spans="1:5" ht="14.25" customHeight="1" x14ac:dyDescent="0.35">
      <c r="A812" s="371" t="s">
        <v>189</v>
      </c>
      <c r="B812" s="543">
        <v>1</v>
      </c>
      <c r="C812" s="372">
        <v>2015</v>
      </c>
      <c r="D812" s="372">
        <v>2050</v>
      </c>
      <c r="E812" s="373">
        <v>1</v>
      </c>
    </row>
    <row r="813" spans="1:5" ht="14.25" customHeight="1" x14ac:dyDescent="0.35">
      <c r="A813" s="371" t="s">
        <v>190</v>
      </c>
      <c r="B813" s="543">
        <v>0</v>
      </c>
      <c r="C813" s="372">
        <v>2015</v>
      </c>
      <c r="D813" s="372">
        <v>2050</v>
      </c>
      <c r="E813" s="373">
        <v>1</v>
      </c>
    </row>
    <row r="814" spans="1:5" ht="14.25" customHeight="1" x14ac:dyDescent="0.35">
      <c r="A814" s="371" t="s">
        <v>1679</v>
      </c>
      <c r="B814" s="543">
        <v>0</v>
      </c>
      <c r="C814" s="372">
        <v>2015</v>
      </c>
      <c r="D814" s="372">
        <v>2050</v>
      </c>
      <c r="E814" s="373">
        <v>1</v>
      </c>
    </row>
    <row r="815" spans="1:5" ht="14.25" customHeight="1" x14ac:dyDescent="0.35">
      <c r="A815" s="371" t="s">
        <v>191</v>
      </c>
      <c r="B815" s="543">
        <v>1</v>
      </c>
      <c r="C815" s="372">
        <v>2015</v>
      </c>
      <c r="D815" s="372">
        <v>2050</v>
      </c>
      <c r="E815" s="373">
        <v>1</v>
      </c>
    </row>
    <row r="816" spans="1:5" ht="14.25" customHeight="1" x14ac:dyDescent="0.35">
      <c r="A816" s="371" t="s">
        <v>192</v>
      </c>
      <c r="B816" s="543">
        <v>0</v>
      </c>
      <c r="C816" s="372">
        <v>2015</v>
      </c>
      <c r="D816" s="372">
        <v>2050</v>
      </c>
      <c r="E816" s="373">
        <v>1</v>
      </c>
    </row>
    <row r="817" spans="1:5" ht="14.25" customHeight="1" x14ac:dyDescent="0.35">
      <c r="A817" s="371" t="s">
        <v>193</v>
      </c>
      <c r="B817" s="543">
        <v>0</v>
      </c>
      <c r="C817" s="372">
        <v>2015</v>
      </c>
      <c r="D817" s="372">
        <v>2050</v>
      </c>
      <c r="E817" s="373">
        <v>1</v>
      </c>
    </row>
    <row r="818" spans="1:5" ht="14.25" customHeight="1" x14ac:dyDescent="0.35">
      <c r="A818" s="371" t="s">
        <v>194</v>
      </c>
      <c r="B818" s="543">
        <v>0</v>
      </c>
      <c r="C818" s="372">
        <v>2015</v>
      </c>
      <c r="D818" s="372">
        <v>2050</v>
      </c>
      <c r="E818" s="373">
        <v>1</v>
      </c>
    </row>
    <row r="819" spans="1:5" ht="14.25" customHeight="1" x14ac:dyDescent="0.35">
      <c r="A819" s="371" t="s">
        <v>195</v>
      </c>
      <c r="B819" s="543">
        <v>0</v>
      </c>
      <c r="C819" s="372">
        <v>2015</v>
      </c>
      <c r="D819" s="372">
        <v>2050</v>
      </c>
      <c r="E819" s="373">
        <v>1</v>
      </c>
    </row>
    <row r="820" spans="1:5" ht="14.25" customHeight="1" x14ac:dyDescent="0.35">
      <c r="A820" s="371" t="s">
        <v>196</v>
      </c>
      <c r="B820" s="543">
        <v>0</v>
      </c>
      <c r="C820" s="372">
        <v>2015</v>
      </c>
      <c r="D820" s="372">
        <v>2050</v>
      </c>
      <c r="E820" s="373">
        <v>1</v>
      </c>
    </row>
    <row r="821" spans="1:5" ht="14.25" customHeight="1" x14ac:dyDescent="0.35">
      <c r="A821" s="371" t="s">
        <v>197</v>
      </c>
      <c r="B821" s="543">
        <v>1</v>
      </c>
      <c r="C821" s="372">
        <v>2015</v>
      </c>
      <c r="D821" s="372">
        <v>2050</v>
      </c>
      <c r="E821" s="373">
        <v>1</v>
      </c>
    </row>
    <row r="822" spans="1:5" ht="14.25" customHeight="1" x14ac:dyDescent="0.35">
      <c r="A822" s="371" t="s">
        <v>198</v>
      </c>
      <c r="B822" s="543">
        <v>1</v>
      </c>
      <c r="C822" s="372">
        <v>2015</v>
      </c>
      <c r="D822" s="372">
        <v>2050</v>
      </c>
      <c r="E822" s="373">
        <v>1</v>
      </c>
    </row>
    <row r="823" spans="1:5" ht="14.25" customHeight="1" x14ac:dyDescent="0.35">
      <c r="A823" s="371" t="s">
        <v>199</v>
      </c>
      <c r="B823" s="543">
        <v>1</v>
      </c>
      <c r="C823" s="372">
        <v>2015</v>
      </c>
      <c r="D823" s="372">
        <v>2050</v>
      </c>
      <c r="E823" s="373">
        <v>1</v>
      </c>
    </row>
    <row r="824" spans="1:5" ht="14.25" customHeight="1" x14ac:dyDescent="0.35">
      <c r="A824" s="371" t="s">
        <v>200</v>
      </c>
      <c r="B824" s="543">
        <v>1</v>
      </c>
      <c r="C824" s="372">
        <v>2015</v>
      </c>
      <c r="D824" s="372">
        <v>2050</v>
      </c>
      <c r="E824" s="373">
        <v>1</v>
      </c>
    </row>
    <row r="825" spans="1:5" ht="14.25" customHeight="1" x14ac:dyDescent="0.35">
      <c r="A825" s="371" t="s">
        <v>201</v>
      </c>
      <c r="B825" s="543">
        <v>1</v>
      </c>
      <c r="C825" s="372">
        <v>2015</v>
      </c>
      <c r="D825" s="372">
        <v>2050</v>
      </c>
      <c r="E825" s="373">
        <v>1</v>
      </c>
    </row>
    <row r="826" spans="1:5" ht="14.25" customHeight="1" x14ac:dyDescent="0.35">
      <c r="A826" s="371" t="s">
        <v>202</v>
      </c>
      <c r="B826" s="543">
        <v>1</v>
      </c>
      <c r="C826" s="372">
        <v>2015</v>
      </c>
      <c r="D826" s="372">
        <v>2050</v>
      </c>
      <c r="E826" s="373">
        <v>1</v>
      </c>
    </row>
    <row r="827" spans="1:5" ht="14.25" customHeight="1" x14ac:dyDescent="0.35">
      <c r="A827" s="371" t="s">
        <v>203</v>
      </c>
      <c r="B827" s="543">
        <v>1</v>
      </c>
      <c r="C827" s="372">
        <v>2015</v>
      </c>
      <c r="D827" s="372">
        <v>2050</v>
      </c>
      <c r="E827" s="373">
        <v>1</v>
      </c>
    </row>
    <row r="828" spans="1:5" ht="14.25" customHeight="1" x14ac:dyDescent="0.35">
      <c r="A828" s="371" t="s">
        <v>204</v>
      </c>
      <c r="B828" s="543">
        <v>1</v>
      </c>
      <c r="C828" s="372">
        <v>2015</v>
      </c>
      <c r="D828" s="372">
        <v>2050</v>
      </c>
      <c r="E828" s="373">
        <v>1</v>
      </c>
    </row>
    <row r="829" spans="1:5" ht="14.25" customHeight="1" x14ac:dyDescent="0.35">
      <c r="A829" s="371" t="s">
        <v>205</v>
      </c>
      <c r="B829" s="543">
        <v>1</v>
      </c>
      <c r="C829" s="372">
        <v>2015</v>
      </c>
      <c r="D829" s="372">
        <v>2050</v>
      </c>
      <c r="E829" s="373">
        <v>1</v>
      </c>
    </row>
    <row r="830" spans="1:5" ht="14.25" customHeight="1" x14ac:dyDescent="0.35">
      <c r="A830" s="371" t="s">
        <v>206</v>
      </c>
      <c r="B830" s="543">
        <v>0</v>
      </c>
      <c r="C830" s="372">
        <v>2015</v>
      </c>
      <c r="D830" s="372">
        <v>2050</v>
      </c>
      <c r="E830" s="373">
        <v>1</v>
      </c>
    </row>
    <row r="831" spans="1:5" ht="14.25" customHeight="1" x14ac:dyDescent="0.35">
      <c r="A831" s="371" t="s">
        <v>207</v>
      </c>
      <c r="B831" s="543">
        <v>0</v>
      </c>
      <c r="C831" s="372">
        <v>2015</v>
      </c>
      <c r="D831" s="372">
        <v>2050</v>
      </c>
      <c r="E831" s="373">
        <v>1</v>
      </c>
    </row>
    <row r="832" spans="1:5" ht="14.25" customHeight="1" x14ac:dyDescent="0.35">
      <c r="A832" s="371" t="s">
        <v>208</v>
      </c>
      <c r="B832" s="543">
        <v>0</v>
      </c>
      <c r="C832" s="372">
        <v>2015</v>
      </c>
      <c r="D832" s="372">
        <v>2050</v>
      </c>
      <c r="E832" s="373">
        <v>1</v>
      </c>
    </row>
    <row r="833" spans="1:5" ht="14.25" customHeight="1" x14ac:dyDescent="0.35">
      <c r="A833" s="371" t="s">
        <v>209</v>
      </c>
      <c r="B833" s="543">
        <v>0</v>
      </c>
      <c r="C833" s="372">
        <v>2015</v>
      </c>
      <c r="D833" s="372">
        <v>2050</v>
      </c>
      <c r="E833" s="373">
        <v>1</v>
      </c>
    </row>
    <row r="834" spans="1:5" ht="14.25" customHeight="1" x14ac:dyDescent="0.35">
      <c r="A834" s="371" t="s">
        <v>210</v>
      </c>
      <c r="B834" s="543">
        <v>0</v>
      </c>
      <c r="C834" s="372">
        <v>2015</v>
      </c>
      <c r="D834" s="372">
        <v>2050</v>
      </c>
      <c r="E834" s="373">
        <v>1</v>
      </c>
    </row>
    <row r="835" spans="1:5" ht="14.25" customHeight="1" x14ac:dyDescent="0.35">
      <c r="A835" s="371" t="s">
        <v>211</v>
      </c>
      <c r="B835" s="543">
        <v>0</v>
      </c>
      <c r="C835" s="372">
        <v>2015</v>
      </c>
      <c r="D835" s="372">
        <v>2050</v>
      </c>
      <c r="E835" s="373">
        <v>1</v>
      </c>
    </row>
    <row r="836" spans="1:5" ht="14.25" customHeight="1" x14ac:dyDescent="0.35">
      <c r="A836" s="371" t="s">
        <v>212</v>
      </c>
      <c r="B836" s="543">
        <v>0</v>
      </c>
      <c r="C836" s="372">
        <v>2015</v>
      </c>
      <c r="D836" s="372">
        <v>2050</v>
      </c>
      <c r="E836" s="373">
        <v>1</v>
      </c>
    </row>
    <row r="837" spans="1:5" ht="14.25" customHeight="1" x14ac:dyDescent="0.35">
      <c r="A837" s="371" t="s">
        <v>213</v>
      </c>
      <c r="B837" s="543">
        <v>0</v>
      </c>
      <c r="C837" s="372">
        <v>2015</v>
      </c>
      <c r="D837" s="372">
        <v>2050</v>
      </c>
      <c r="E837" s="373">
        <v>1</v>
      </c>
    </row>
    <row r="838" spans="1:5" ht="14.25" customHeight="1" x14ac:dyDescent="0.35">
      <c r="A838" s="371" t="s">
        <v>214</v>
      </c>
      <c r="B838" s="543">
        <v>0</v>
      </c>
      <c r="C838" s="372">
        <v>2015</v>
      </c>
      <c r="D838" s="372">
        <v>2050</v>
      </c>
      <c r="E838" s="373">
        <v>1</v>
      </c>
    </row>
    <row r="839" spans="1:5" ht="14.25" customHeight="1" x14ac:dyDescent="0.35">
      <c r="A839" s="371" t="s">
        <v>215</v>
      </c>
      <c r="B839" s="543">
        <v>0</v>
      </c>
      <c r="C839" s="372">
        <v>2015</v>
      </c>
      <c r="D839" s="372">
        <v>2050</v>
      </c>
      <c r="E839" s="373">
        <v>1</v>
      </c>
    </row>
    <row r="840" spans="1:5" ht="14.25" customHeight="1" x14ac:dyDescent="0.35">
      <c r="A840" s="371" t="s">
        <v>216</v>
      </c>
      <c r="B840" s="543">
        <v>0</v>
      </c>
      <c r="C840" s="372">
        <v>2015</v>
      </c>
      <c r="D840" s="372">
        <v>2050</v>
      </c>
      <c r="E840" s="373">
        <v>1</v>
      </c>
    </row>
    <row r="841" spans="1:5" ht="14.25" customHeight="1" x14ac:dyDescent="0.35">
      <c r="A841" s="371" t="s">
        <v>217</v>
      </c>
      <c r="B841" s="543">
        <v>0</v>
      </c>
      <c r="C841" s="372">
        <v>2015</v>
      </c>
      <c r="D841" s="372">
        <v>2050</v>
      </c>
      <c r="E841" s="373">
        <v>1</v>
      </c>
    </row>
    <row r="842" spans="1:5" ht="14.25" customHeight="1" x14ac:dyDescent="0.35">
      <c r="A842" s="371" t="s">
        <v>218</v>
      </c>
      <c r="B842" s="543">
        <v>0</v>
      </c>
      <c r="C842" s="372">
        <v>2015</v>
      </c>
      <c r="D842" s="372">
        <v>2050</v>
      </c>
      <c r="E842" s="373">
        <v>1</v>
      </c>
    </row>
    <row r="843" spans="1:5" ht="14.25" customHeight="1" x14ac:dyDescent="0.35">
      <c r="A843" s="371" t="s">
        <v>219</v>
      </c>
      <c r="B843" s="543">
        <v>0</v>
      </c>
      <c r="C843" s="372">
        <v>2015</v>
      </c>
      <c r="D843" s="372">
        <v>2050</v>
      </c>
      <c r="E843" s="373">
        <v>1</v>
      </c>
    </row>
    <row r="844" spans="1:5" ht="14.25" customHeight="1" x14ac:dyDescent="0.35">
      <c r="A844" s="371" t="s">
        <v>220</v>
      </c>
      <c r="B844" s="543">
        <v>0</v>
      </c>
      <c r="C844" s="372">
        <v>2015</v>
      </c>
      <c r="D844" s="372">
        <v>2050</v>
      </c>
      <c r="E844" s="373">
        <v>1</v>
      </c>
    </row>
    <row r="845" spans="1:5" ht="14.25" customHeight="1" x14ac:dyDescent="0.35">
      <c r="A845" s="371" t="s">
        <v>221</v>
      </c>
      <c r="B845" s="543">
        <v>0</v>
      </c>
      <c r="C845" s="372">
        <v>2015</v>
      </c>
      <c r="D845" s="372">
        <v>2050</v>
      </c>
      <c r="E845" s="373">
        <v>1</v>
      </c>
    </row>
    <row r="846" spans="1:5" ht="14.25" customHeight="1" x14ac:dyDescent="0.35">
      <c r="A846" s="371" t="s">
        <v>222</v>
      </c>
      <c r="B846" s="543">
        <v>0</v>
      </c>
      <c r="C846" s="372">
        <v>2015</v>
      </c>
      <c r="D846" s="372">
        <v>2050</v>
      </c>
      <c r="E846" s="373">
        <v>1</v>
      </c>
    </row>
    <row r="847" spans="1:5" ht="14.25" customHeight="1" x14ac:dyDescent="0.35">
      <c r="A847" s="371" t="s">
        <v>223</v>
      </c>
      <c r="B847" s="543">
        <v>0</v>
      </c>
      <c r="C847" s="372">
        <v>2015</v>
      </c>
      <c r="D847" s="372">
        <v>2050</v>
      </c>
      <c r="E847" s="373">
        <v>1</v>
      </c>
    </row>
    <row r="848" spans="1:5" ht="14.25" customHeight="1" x14ac:dyDescent="0.35">
      <c r="A848" s="371" t="s">
        <v>224</v>
      </c>
      <c r="B848" s="543">
        <v>0</v>
      </c>
      <c r="C848" s="372">
        <v>2015</v>
      </c>
      <c r="D848" s="372">
        <v>2050</v>
      </c>
      <c r="E848" s="373">
        <v>1</v>
      </c>
    </row>
    <row r="849" spans="1:87" ht="14.25" customHeight="1" x14ac:dyDescent="0.35">
      <c r="A849" s="371" t="s">
        <v>225</v>
      </c>
      <c r="B849" s="543">
        <v>0</v>
      </c>
      <c r="C849" s="372">
        <v>2015</v>
      </c>
      <c r="D849" s="372">
        <v>2050</v>
      </c>
      <c r="E849" s="373">
        <v>1</v>
      </c>
    </row>
    <row r="850" spans="1:87" ht="14.25" customHeight="1" x14ac:dyDescent="0.35">
      <c r="A850" s="371" t="s">
        <v>226</v>
      </c>
      <c r="B850" s="543">
        <v>0</v>
      </c>
      <c r="C850" s="372">
        <v>2015</v>
      </c>
      <c r="D850" s="372">
        <v>2050</v>
      </c>
      <c r="E850" s="373">
        <v>1</v>
      </c>
    </row>
    <row r="851" spans="1:87" ht="14.25" customHeight="1" x14ac:dyDescent="0.35">
      <c r="A851" s="371" t="s">
        <v>227</v>
      </c>
      <c r="B851" s="543">
        <v>0</v>
      </c>
      <c r="C851" s="372">
        <v>2015</v>
      </c>
      <c r="D851" s="372">
        <v>2050</v>
      </c>
      <c r="E851" s="373">
        <v>1</v>
      </c>
    </row>
    <row r="852" spans="1:87" ht="14.25" customHeight="1" x14ac:dyDescent="0.35">
      <c r="A852" s="121"/>
    </row>
    <row r="853" spans="1:87" ht="14.25" customHeight="1" x14ac:dyDescent="0.35">
      <c r="A853" s="121"/>
    </row>
    <row r="854" spans="1:87" ht="14.25" customHeight="1" x14ac:dyDescent="0.35">
      <c r="A854" s="121"/>
    </row>
    <row r="855" spans="1:87" ht="14.25" customHeight="1" x14ac:dyDescent="0.35">
      <c r="A855" s="121"/>
    </row>
    <row r="856" spans="1:87" ht="14.25" customHeight="1" x14ac:dyDescent="0.35">
      <c r="A856" s="121"/>
    </row>
    <row r="858" spans="1:87" ht="14.25" customHeight="1" x14ac:dyDescent="0.35">
      <c r="A858" s="34" t="s">
        <v>1107</v>
      </c>
    </row>
    <row r="859" spans="1:87" ht="14.25" customHeight="1" x14ac:dyDescent="0.35">
      <c r="A859" s="74" t="s">
        <v>850</v>
      </c>
      <c r="B859" s="52">
        <v>2015</v>
      </c>
      <c r="C859" s="52">
        <f t="shared" ref="C859:BN859" si="29">1+B859</f>
        <v>2016</v>
      </c>
      <c r="D859" s="52">
        <f t="shared" si="29"/>
        <v>2017</v>
      </c>
      <c r="E859" s="52">
        <f t="shared" si="29"/>
        <v>2018</v>
      </c>
      <c r="F859" s="52">
        <f t="shared" si="29"/>
        <v>2019</v>
      </c>
      <c r="G859" s="52">
        <f t="shared" si="29"/>
        <v>2020</v>
      </c>
      <c r="H859" s="52">
        <f t="shared" si="29"/>
        <v>2021</v>
      </c>
      <c r="I859" s="52">
        <f t="shared" si="29"/>
        <v>2022</v>
      </c>
      <c r="J859" s="52">
        <f t="shared" si="29"/>
        <v>2023</v>
      </c>
      <c r="K859" s="52">
        <f t="shared" si="29"/>
        <v>2024</v>
      </c>
      <c r="L859" s="52">
        <f t="shared" si="29"/>
        <v>2025</v>
      </c>
      <c r="M859" s="52">
        <f t="shared" si="29"/>
        <v>2026</v>
      </c>
      <c r="N859" s="52">
        <f t="shared" si="29"/>
        <v>2027</v>
      </c>
      <c r="O859" s="52">
        <f t="shared" si="29"/>
        <v>2028</v>
      </c>
      <c r="P859" s="52">
        <f t="shared" si="29"/>
        <v>2029</v>
      </c>
      <c r="Q859" s="52">
        <f t="shared" si="29"/>
        <v>2030</v>
      </c>
      <c r="R859" s="52">
        <f t="shared" si="29"/>
        <v>2031</v>
      </c>
      <c r="S859" s="52">
        <f t="shared" si="29"/>
        <v>2032</v>
      </c>
      <c r="T859" s="52">
        <f t="shared" si="29"/>
        <v>2033</v>
      </c>
      <c r="U859" s="52">
        <f t="shared" si="29"/>
        <v>2034</v>
      </c>
      <c r="V859" s="52">
        <f t="shared" si="29"/>
        <v>2035</v>
      </c>
      <c r="W859" s="52">
        <f t="shared" si="29"/>
        <v>2036</v>
      </c>
      <c r="X859" s="52">
        <f t="shared" si="29"/>
        <v>2037</v>
      </c>
      <c r="Y859" s="52">
        <f t="shared" si="29"/>
        <v>2038</v>
      </c>
      <c r="Z859" s="52">
        <f t="shared" si="29"/>
        <v>2039</v>
      </c>
      <c r="AA859" s="52">
        <f t="shared" si="29"/>
        <v>2040</v>
      </c>
      <c r="AB859" s="52">
        <f t="shared" si="29"/>
        <v>2041</v>
      </c>
      <c r="AC859" s="52">
        <f t="shared" si="29"/>
        <v>2042</v>
      </c>
      <c r="AD859" s="52">
        <f t="shared" si="29"/>
        <v>2043</v>
      </c>
      <c r="AE859" s="52">
        <f t="shared" si="29"/>
        <v>2044</v>
      </c>
      <c r="AF859" s="52">
        <f t="shared" si="29"/>
        <v>2045</v>
      </c>
      <c r="AG859" s="52">
        <f t="shared" si="29"/>
        <v>2046</v>
      </c>
      <c r="AH859" s="52">
        <f t="shared" si="29"/>
        <v>2047</v>
      </c>
      <c r="AI859" s="52">
        <f t="shared" si="29"/>
        <v>2048</v>
      </c>
      <c r="AJ859" s="52">
        <f t="shared" si="29"/>
        <v>2049</v>
      </c>
      <c r="AK859" s="52">
        <f t="shared" si="29"/>
        <v>2050</v>
      </c>
      <c r="AL859" s="52">
        <f t="shared" si="29"/>
        <v>2051</v>
      </c>
      <c r="AM859" s="52">
        <f t="shared" si="29"/>
        <v>2052</v>
      </c>
      <c r="AN859" s="52">
        <f t="shared" si="29"/>
        <v>2053</v>
      </c>
      <c r="AO859" s="52">
        <f t="shared" si="29"/>
        <v>2054</v>
      </c>
      <c r="AP859" s="52">
        <f t="shared" si="29"/>
        <v>2055</v>
      </c>
      <c r="AQ859" s="52">
        <f t="shared" si="29"/>
        <v>2056</v>
      </c>
      <c r="AR859" s="52">
        <f t="shared" si="29"/>
        <v>2057</v>
      </c>
      <c r="AS859" s="52">
        <f t="shared" si="29"/>
        <v>2058</v>
      </c>
      <c r="AT859" s="52">
        <f t="shared" si="29"/>
        <v>2059</v>
      </c>
      <c r="AU859" s="52">
        <f t="shared" si="29"/>
        <v>2060</v>
      </c>
      <c r="AV859" s="52">
        <f t="shared" si="29"/>
        <v>2061</v>
      </c>
      <c r="AW859" s="52">
        <f t="shared" si="29"/>
        <v>2062</v>
      </c>
      <c r="AX859" s="52">
        <f t="shared" si="29"/>
        <v>2063</v>
      </c>
      <c r="AY859" s="52">
        <f t="shared" si="29"/>
        <v>2064</v>
      </c>
      <c r="AZ859" s="52">
        <f t="shared" si="29"/>
        <v>2065</v>
      </c>
      <c r="BA859" s="52">
        <f t="shared" si="29"/>
        <v>2066</v>
      </c>
      <c r="BB859" s="52">
        <f t="shared" si="29"/>
        <v>2067</v>
      </c>
      <c r="BC859" s="52">
        <f t="shared" si="29"/>
        <v>2068</v>
      </c>
      <c r="BD859" s="52">
        <f t="shared" si="29"/>
        <v>2069</v>
      </c>
      <c r="BE859" s="52">
        <f t="shared" si="29"/>
        <v>2070</v>
      </c>
      <c r="BF859" s="52">
        <f t="shared" si="29"/>
        <v>2071</v>
      </c>
      <c r="BG859" s="52">
        <f t="shared" si="29"/>
        <v>2072</v>
      </c>
      <c r="BH859" s="52">
        <f t="shared" si="29"/>
        <v>2073</v>
      </c>
      <c r="BI859" s="52">
        <f t="shared" si="29"/>
        <v>2074</v>
      </c>
      <c r="BJ859" s="52">
        <f t="shared" si="29"/>
        <v>2075</v>
      </c>
      <c r="BK859" s="52">
        <f t="shared" si="29"/>
        <v>2076</v>
      </c>
      <c r="BL859" s="52">
        <f t="shared" si="29"/>
        <v>2077</v>
      </c>
      <c r="BM859" s="52">
        <f t="shared" si="29"/>
        <v>2078</v>
      </c>
      <c r="BN859" s="52">
        <f t="shared" si="29"/>
        <v>2079</v>
      </c>
      <c r="BO859" s="52">
        <f t="shared" ref="BO859:CI859" si="30">1+BN859</f>
        <v>2080</v>
      </c>
      <c r="BP859" s="52">
        <f t="shared" si="30"/>
        <v>2081</v>
      </c>
      <c r="BQ859" s="52">
        <f t="shared" si="30"/>
        <v>2082</v>
      </c>
      <c r="BR859" s="52">
        <f t="shared" si="30"/>
        <v>2083</v>
      </c>
      <c r="BS859" s="52">
        <f t="shared" si="30"/>
        <v>2084</v>
      </c>
      <c r="BT859" s="52">
        <f t="shared" si="30"/>
        <v>2085</v>
      </c>
      <c r="BU859" s="52">
        <f t="shared" si="30"/>
        <v>2086</v>
      </c>
      <c r="BV859" s="52">
        <f t="shared" si="30"/>
        <v>2087</v>
      </c>
      <c r="BW859" s="52">
        <f t="shared" si="30"/>
        <v>2088</v>
      </c>
      <c r="BX859" s="52">
        <f t="shared" si="30"/>
        <v>2089</v>
      </c>
      <c r="BY859" s="52">
        <f t="shared" si="30"/>
        <v>2090</v>
      </c>
      <c r="BZ859" s="52">
        <f t="shared" si="30"/>
        <v>2091</v>
      </c>
      <c r="CA859" s="52">
        <f t="shared" si="30"/>
        <v>2092</v>
      </c>
      <c r="CB859" s="52">
        <f t="shared" si="30"/>
        <v>2093</v>
      </c>
      <c r="CC859" s="52">
        <f t="shared" si="30"/>
        <v>2094</v>
      </c>
      <c r="CD859" s="52">
        <f t="shared" si="30"/>
        <v>2095</v>
      </c>
      <c r="CE859" s="52">
        <f t="shared" si="30"/>
        <v>2096</v>
      </c>
      <c r="CF859" s="52">
        <f t="shared" si="30"/>
        <v>2097</v>
      </c>
      <c r="CG859" s="52">
        <f t="shared" si="30"/>
        <v>2098</v>
      </c>
      <c r="CH859" s="52">
        <f t="shared" si="30"/>
        <v>2099</v>
      </c>
      <c r="CI859" s="52">
        <f t="shared" si="30"/>
        <v>2100</v>
      </c>
    </row>
    <row r="860" spans="1:87" ht="14.25" customHeight="1" x14ac:dyDescent="0.35">
      <c r="A860" s="42" t="s">
        <v>228</v>
      </c>
      <c r="B860" s="54">
        <v>0</v>
      </c>
      <c r="C860" s="54">
        <v>32.611092389156795</v>
      </c>
      <c r="D860" s="54">
        <v>35.913837411756191</v>
      </c>
      <c r="E860" s="54">
        <v>39.825816687296452</v>
      </c>
      <c r="F860" s="54">
        <v>44.837998804444197</v>
      </c>
      <c r="G860" s="54">
        <v>49.907637953194929</v>
      </c>
      <c r="H860" s="54">
        <v>55.585854791339372</v>
      </c>
      <c r="I860" s="54">
        <v>62.238730277986463</v>
      </c>
      <c r="J860" s="54">
        <v>71.028099173553713</v>
      </c>
      <c r="K860" s="54">
        <v>80.399999999999991</v>
      </c>
      <c r="L860" s="542">
        <f>+K860</f>
        <v>80.399999999999991</v>
      </c>
      <c r="M860" s="542">
        <f>+L860</f>
        <v>80.399999999999991</v>
      </c>
      <c r="N860" s="542">
        <f t="shared" ref="N860:BY863" si="31">+M860</f>
        <v>80.399999999999991</v>
      </c>
      <c r="O860" s="542">
        <f t="shared" si="31"/>
        <v>80.399999999999991</v>
      </c>
      <c r="P860" s="542">
        <f t="shared" si="31"/>
        <v>80.399999999999991</v>
      </c>
      <c r="Q860" s="542">
        <f t="shared" si="31"/>
        <v>80.399999999999991</v>
      </c>
      <c r="R860" s="542">
        <f t="shared" si="31"/>
        <v>80.399999999999991</v>
      </c>
      <c r="S860" s="542">
        <f t="shared" si="31"/>
        <v>80.399999999999991</v>
      </c>
      <c r="T860" s="542">
        <f t="shared" si="31"/>
        <v>80.399999999999991</v>
      </c>
      <c r="U860" s="542">
        <f t="shared" si="31"/>
        <v>80.399999999999991</v>
      </c>
      <c r="V860" s="542">
        <f t="shared" si="31"/>
        <v>80.399999999999991</v>
      </c>
      <c r="W860" s="542">
        <f t="shared" si="31"/>
        <v>80.399999999999991</v>
      </c>
      <c r="X860" s="542">
        <f t="shared" si="31"/>
        <v>80.399999999999991</v>
      </c>
      <c r="Y860" s="542">
        <f t="shared" si="31"/>
        <v>80.399999999999991</v>
      </c>
      <c r="Z860" s="542">
        <f t="shared" si="31"/>
        <v>80.399999999999991</v>
      </c>
      <c r="AA860" s="542">
        <f t="shared" si="31"/>
        <v>80.399999999999991</v>
      </c>
      <c r="AB860" s="542">
        <f t="shared" si="31"/>
        <v>80.399999999999991</v>
      </c>
      <c r="AC860" s="542">
        <f t="shared" si="31"/>
        <v>80.399999999999991</v>
      </c>
      <c r="AD860" s="542">
        <f t="shared" si="31"/>
        <v>80.399999999999991</v>
      </c>
      <c r="AE860" s="542">
        <f t="shared" si="31"/>
        <v>80.399999999999991</v>
      </c>
      <c r="AF860" s="542">
        <f t="shared" si="31"/>
        <v>80.399999999999991</v>
      </c>
      <c r="AG860" s="542">
        <f t="shared" si="31"/>
        <v>80.399999999999991</v>
      </c>
      <c r="AH860" s="542">
        <f t="shared" si="31"/>
        <v>80.399999999999991</v>
      </c>
      <c r="AI860" s="542">
        <f t="shared" si="31"/>
        <v>80.399999999999991</v>
      </c>
      <c r="AJ860" s="542">
        <f t="shared" si="31"/>
        <v>80.399999999999991</v>
      </c>
      <c r="AK860" s="542">
        <f t="shared" si="31"/>
        <v>80.399999999999991</v>
      </c>
      <c r="AL860" s="542">
        <f t="shared" si="31"/>
        <v>80.399999999999991</v>
      </c>
      <c r="AM860" s="542">
        <f t="shared" si="31"/>
        <v>80.399999999999991</v>
      </c>
      <c r="AN860" s="542">
        <f t="shared" si="31"/>
        <v>80.399999999999991</v>
      </c>
      <c r="AO860" s="542">
        <f t="shared" si="31"/>
        <v>80.399999999999991</v>
      </c>
      <c r="AP860" s="542">
        <f t="shared" si="31"/>
        <v>80.399999999999991</v>
      </c>
      <c r="AQ860" s="542">
        <f t="shared" si="31"/>
        <v>80.399999999999991</v>
      </c>
      <c r="AR860" s="542">
        <f t="shared" si="31"/>
        <v>80.399999999999991</v>
      </c>
      <c r="AS860" s="542">
        <f t="shared" si="31"/>
        <v>80.399999999999991</v>
      </c>
      <c r="AT860" s="542">
        <f t="shared" si="31"/>
        <v>80.399999999999991</v>
      </c>
      <c r="AU860" s="542">
        <f t="shared" si="31"/>
        <v>80.399999999999991</v>
      </c>
      <c r="AV860" s="542">
        <f t="shared" si="31"/>
        <v>80.399999999999991</v>
      </c>
      <c r="AW860" s="542">
        <f t="shared" si="31"/>
        <v>80.399999999999991</v>
      </c>
      <c r="AX860" s="542">
        <f t="shared" si="31"/>
        <v>80.399999999999991</v>
      </c>
      <c r="AY860" s="542">
        <f t="shared" si="31"/>
        <v>80.399999999999991</v>
      </c>
      <c r="AZ860" s="542">
        <f t="shared" si="31"/>
        <v>80.399999999999991</v>
      </c>
      <c r="BA860" s="542">
        <f t="shared" si="31"/>
        <v>80.399999999999991</v>
      </c>
      <c r="BB860" s="542">
        <f t="shared" si="31"/>
        <v>80.399999999999991</v>
      </c>
      <c r="BC860" s="542">
        <f t="shared" si="31"/>
        <v>80.399999999999991</v>
      </c>
      <c r="BD860" s="542">
        <f t="shared" si="31"/>
        <v>80.399999999999991</v>
      </c>
      <c r="BE860" s="542">
        <f t="shared" si="31"/>
        <v>80.399999999999991</v>
      </c>
      <c r="BF860" s="542">
        <f t="shared" si="31"/>
        <v>80.399999999999991</v>
      </c>
      <c r="BG860" s="542">
        <f t="shared" si="31"/>
        <v>80.399999999999991</v>
      </c>
      <c r="BH860" s="542">
        <f t="shared" si="31"/>
        <v>80.399999999999991</v>
      </c>
      <c r="BI860" s="542">
        <f t="shared" si="31"/>
        <v>80.399999999999991</v>
      </c>
      <c r="BJ860" s="542">
        <f t="shared" si="31"/>
        <v>80.399999999999991</v>
      </c>
      <c r="BK860" s="542">
        <f t="shared" si="31"/>
        <v>80.399999999999991</v>
      </c>
      <c r="BL860" s="542">
        <f t="shared" si="31"/>
        <v>80.399999999999991</v>
      </c>
      <c r="BM860" s="542">
        <f t="shared" si="31"/>
        <v>80.399999999999991</v>
      </c>
      <c r="BN860" s="542">
        <f t="shared" si="31"/>
        <v>80.399999999999991</v>
      </c>
      <c r="BO860" s="542">
        <f t="shared" si="31"/>
        <v>80.399999999999991</v>
      </c>
      <c r="BP860" s="542">
        <f t="shared" si="31"/>
        <v>80.399999999999991</v>
      </c>
      <c r="BQ860" s="542">
        <f t="shared" si="31"/>
        <v>80.399999999999991</v>
      </c>
      <c r="BR860" s="542">
        <f t="shared" si="31"/>
        <v>80.399999999999991</v>
      </c>
      <c r="BS860" s="542">
        <f t="shared" si="31"/>
        <v>80.399999999999991</v>
      </c>
      <c r="BT860" s="542">
        <f t="shared" si="31"/>
        <v>80.399999999999991</v>
      </c>
      <c r="BU860" s="542">
        <f t="shared" si="31"/>
        <v>80.399999999999991</v>
      </c>
      <c r="BV860" s="542">
        <f t="shared" si="31"/>
        <v>80.399999999999991</v>
      </c>
      <c r="BW860" s="542">
        <f t="shared" si="31"/>
        <v>80.399999999999991</v>
      </c>
      <c r="BX860" s="542">
        <f t="shared" si="31"/>
        <v>80.399999999999991</v>
      </c>
      <c r="BY860" s="542">
        <f t="shared" si="31"/>
        <v>80.399999999999991</v>
      </c>
      <c r="BZ860" s="542">
        <f t="shared" ref="BZ860:CI875" si="32">+BY860</f>
        <v>80.399999999999991</v>
      </c>
      <c r="CA860" s="542">
        <f t="shared" si="32"/>
        <v>80.399999999999991</v>
      </c>
      <c r="CB860" s="542">
        <f t="shared" si="32"/>
        <v>80.399999999999991</v>
      </c>
      <c r="CC860" s="542">
        <f t="shared" si="32"/>
        <v>80.399999999999991</v>
      </c>
      <c r="CD860" s="542">
        <f t="shared" si="32"/>
        <v>80.399999999999991</v>
      </c>
      <c r="CE860" s="542">
        <f t="shared" si="32"/>
        <v>80.399999999999991</v>
      </c>
      <c r="CF860" s="542">
        <f t="shared" si="32"/>
        <v>80.399999999999991</v>
      </c>
      <c r="CG860" s="542">
        <f t="shared" si="32"/>
        <v>80.399999999999991</v>
      </c>
      <c r="CH860" s="542">
        <f t="shared" si="32"/>
        <v>80.399999999999991</v>
      </c>
      <c r="CI860" s="542">
        <f t="shared" si="32"/>
        <v>80.399999999999991</v>
      </c>
    </row>
    <row r="861" spans="1:87" ht="14.25" customHeight="1" x14ac:dyDescent="0.35">
      <c r="A861" s="42" t="s">
        <v>95</v>
      </c>
      <c r="B861" s="54">
        <f>+B860</f>
        <v>0</v>
      </c>
      <c r="C861" s="54">
        <f t="shared" ref="C861:K864" si="33">+C860</f>
        <v>32.611092389156795</v>
      </c>
      <c r="D861" s="54">
        <f t="shared" si="33"/>
        <v>35.913837411756191</v>
      </c>
      <c r="E861" s="54">
        <f t="shared" si="33"/>
        <v>39.825816687296452</v>
      </c>
      <c r="F861" s="54">
        <f t="shared" si="33"/>
        <v>44.837998804444197</v>
      </c>
      <c r="G861" s="54">
        <f t="shared" si="33"/>
        <v>49.907637953194929</v>
      </c>
      <c r="H861" s="54">
        <f t="shared" si="33"/>
        <v>55.585854791339372</v>
      </c>
      <c r="I861" s="54">
        <f t="shared" si="33"/>
        <v>62.238730277986463</v>
      </c>
      <c r="J861" s="54">
        <f t="shared" si="33"/>
        <v>71.028099173553713</v>
      </c>
      <c r="K861" s="54">
        <f t="shared" si="33"/>
        <v>80.399999999999991</v>
      </c>
      <c r="L861" s="542">
        <f t="shared" ref="L861:M876" si="34">+L860</f>
        <v>80.399999999999991</v>
      </c>
      <c r="M861" s="542">
        <f t="shared" si="34"/>
        <v>80.399999999999991</v>
      </c>
      <c r="N861" s="542">
        <f t="shared" si="31"/>
        <v>80.399999999999991</v>
      </c>
      <c r="O861" s="542">
        <f t="shared" si="31"/>
        <v>80.399999999999991</v>
      </c>
      <c r="P861" s="542">
        <f t="shared" si="31"/>
        <v>80.399999999999991</v>
      </c>
      <c r="Q861" s="542">
        <f t="shared" si="31"/>
        <v>80.399999999999991</v>
      </c>
      <c r="R861" s="542">
        <f t="shared" si="31"/>
        <v>80.399999999999991</v>
      </c>
      <c r="S861" s="542">
        <f t="shared" si="31"/>
        <v>80.399999999999991</v>
      </c>
      <c r="T861" s="542">
        <f t="shared" si="31"/>
        <v>80.399999999999991</v>
      </c>
      <c r="U861" s="542">
        <f t="shared" si="31"/>
        <v>80.399999999999991</v>
      </c>
      <c r="V861" s="542">
        <f t="shared" si="31"/>
        <v>80.399999999999991</v>
      </c>
      <c r="W861" s="542">
        <f t="shared" si="31"/>
        <v>80.399999999999991</v>
      </c>
      <c r="X861" s="542">
        <f t="shared" si="31"/>
        <v>80.399999999999991</v>
      </c>
      <c r="Y861" s="542">
        <f t="shared" si="31"/>
        <v>80.399999999999991</v>
      </c>
      <c r="Z861" s="542">
        <f t="shared" si="31"/>
        <v>80.399999999999991</v>
      </c>
      <c r="AA861" s="542">
        <f t="shared" si="31"/>
        <v>80.399999999999991</v>
      </c>
      <c r="AB861" s="542">
        <f t="shared" si="31"/>
        <v>80.399999999999991</v>
      </c>
      <c r="AC861" s="542">
        <f t="shared" si="31"/>
        <v>80.399999999999991</v>
      </c>
      <c r="AD861" s="542">
        <f t="shared" si="31"/>
        <v>80.399999999999991</v>
      </c>
      <c r="AE861" s="542">
        <f t="shared" si="31"/>
        <v>80.399999999999991</v>
      </c>
      <c r="AF861" s="542">
        <f t="shared" si="31"/>
        <v>80.399999999999991</v>
      </c>
      <c r="AG861" s="542">
        <f t="shared" si="31"/>
        <v>80.399999999999991</v>
      </c>
      <c r="AH861" s="542">
        <f t="shared" si="31"/>
        <v>80.399999999999991</v>
      </c>
      <c r="AI861" s="542">
        <f t="shared" si="31"/>
        <v>80.399999999999991</v>
      </c>
      <c r="AJ861" s="542">
        <f t="shared" si="31"/>
        <v>80.399999999999991</v>
      </c>
      <c r="AK861" s="542">
        <f t="shared" si="31"/>
        <v>80.399999999999991</v>
      </c>
      <c r="AL861" s="542">
        <f t="shared" si="31"/>
        <v>80.399999999999991</v>
      </c>
      <c r="AM861" s="542">
        <f t="shared" si="31"/>
        <v>80.399999999999991</v>
      </c>
      <c r="AN861" s="542">
        <f t="shared" si="31"/>
        <v>80.399999999999991</v>
      </c>
      <c r="AO861" s="542">
        <f t="shared" si="31"/>
        <v>80.399999999999991</v>
      </c>
      <c r="AP861" s="542">
        <f t="shared" si="31"/>
        <v>80.399999999999991</v>
      </c>
      <c r="AQ861" s="542">
        <f t="shared" si="31"/>
        <v>80.399999999999991</v>
      </c>
      <c r="AR861" s="542">
        <f t="shared" si="31"/>
        <v>80.399999999999991</v>
      </c>
      <c r="AS861" s="542">
        <f t="shared" si="31"/>
        <v>80.399999999999991</v>
      </c>
      <c r="AT861" s="542">
        <f t="shared" si="31"/>
        <v>80.399999999999991</v>
      </c>
      <c r="AU861" s="542">
        <f t="shared" si="31"/>
        <v>80.399999999999991</v>
      </c>
      <c r="AV861" s="542">
        <f t="shared" si="31"/>
        <v>80.399999999999991</v>
      </c>
      <c r="AW861" s="542">
        <f t="shared" si="31"/>
        <v>80.399999999999991</v>
      </c>
      <c r="AX861" s="542">
        <f t="shared" si="31"/>
        <v>80.399999999999991</v>
      </c>
      <c r="AY861" s="542">
        <f t="shared" si="31"/>
        <v>80.399999999999991</v>
      </c>
      <c r="AZ861" s="542">
        <f t="shared" si="31"/>
        <v>80.399999999999991</v>
      </c>
      <c r="BA861" s="542">
        <f t="shared" si="31"/>
        <v>80.399999999999991</v>
      </c>
      <c r="BB861" s="542">
        <f t="shared" si="31"/>
        <v>80.399999999999991</v>
      </c>
      <c r="BC861" s="542">
        <f t="shared" si="31"/>
        <v>80.399999999999991</v>
      </c>
      <c r="BD861" s="542">
        <f t="shared" si="31"/>
        <v>80.399999999999991</v>
      </c>
      <c r="BE861" s="542">
        <f t="shared" si="31"/>
        <v>80.399999999999991</v>
      </c>
      <c r="BF861" s="542">
        <f t="shared" si="31"/>
        <v>80.399999999999991</v>
      </c>
      <c r="BG861" s="542">
        <f t="shared" si="31"/>
        <v>80.399999999999991</v>
      </c>
      <c r="BH861" s="542">
        <f t="shared" si="31"/>
        <v>80.399999999999991</v>
      </c>
      <c r="BI861" s="542">
        <f t="shared" si="31"/>
        <v>80.399999999999991</v>
      </c>
      <c r="BJ861" s="542">
        <f t="shared" si="31"/>
        <v>80.399999999999991</v>
      </c>
      <c r="BK861" s="542">
        <f t="shared" si="31"/>
        <v>80.399999999999991</v>
      </c>
      <c r="BL861" s="542">
        <f t="shared" si="31"/>
        <v>80.399999999999991</v>
      </c>
      <c r="BM861" s="542">
        <f t="shared" si="31"/>
        <v>80.399999999999991</v>
      </c>
      <c r="BN861" s="542">
        <f t="shared" si="31"/>
        <v>80.399999999999991</v>
      </c>
      <c r="BO861" s="542">
        <f t="shared" si="31"/>
        <v>80.399999999999991</v>
      </c>
      <c r="BP861" s="542">
        <f t="shared" si="31"/>
        <v>80.399999999999991</v>
      </c>
      <c r="BQ861" s="542">
        <f t="shared" si="31"/>
        <v>80.399999999999991</v>
      </c>
      <c r="BR861" s="542">
        <f t="shared" si="31"/>
        <v>80.399999999999991</v>
      </c>
      <c r="BS861" s="542">
        <f t="shared" si="31"/>
        <v>80.399999999999991</v>
      </c>
      <c r="BT861" s="542">
        <f t="shared" si="31"/>
        <v>80.399999999999991</v>
      </c>
      <c r="BU861" s="542">
        <f t="shared" si="31"/>
        <v>80.399999999999991</v>
      </c>
      <c r="BV861" s="542">
        <f t="shared" si="31"/>
        <v>80.399999999999991</v>
      </c>
      <c r="BW861" s="542">
        <f t="shared" si="31"/>
        <v>80.399999999999991</v>
      </c>
      <c r="BX861" s="542">
        <f t="shared" si="31"/>
        <v>80.399999999999991</v>
      </c>
      <c r="BY861" s="542">
        <f t="shared" si="31"/>
        <v>80.399999999999991</v>
      </c>
      <c r="BZ861" s="542">
        <f t="shared" si="32"/>
        <v>80.399999999999991</v>
      </c>
      <c r="CA861" s="542">
        <f t="shared" si="32"/>
        <v>80.399999999999991</v>
      </c>
      <c r="CB861" s="542">
        <f t="shared" si="32"/>
        <v>80.399999999999991</v>
      </c>
      <c r="CC861" s="542">
        <f t="shared" si="32"/>
        <v>80.399999999999991</v>
      </c>
      <c r="CD861" s="542">
        <f t="shared" si="32"/>
        <v>80.399999999999991</v>
      </c>
      <c r="CE861" s="542">
        <f t="shared" si="32"/>
        <v>80.399999999999991</v>
      </c>
      <c r="CF861" s="542">
        <f t="shared" si="32"/>
        <v>80.399999999999991</v>
      </c>
      <c r="CG861" s="542">
        <f t="shared" si="32"/>
        <v>80.399999999999991</v>
      </c>
      <c r="CH861" s="542">
        <f t="shared" si="32"/>
        <v>80.399999999999991</v>
      </c>
      <c r="CI861" s="542">
        <f t="shared" si="32"/>
        <v>80.399999999999991</v>
      </c>
    </row>
    <row r="862" spans="1:87" ht="14.25" customHeight="1" x14ac:dyDescent="0.35">
      <c r="A862" s="42" t="s">
        <v>96</v>
      </c>
      <c r="B862" s="54">
        <f t="shared" ref="B862:M877" si="35">+B861</f>
        <v>0</v>
      </c>
      <c r="C862" s="54">
        <f t="shared" si="33"/>
        <v>32.611092389156795</v>
      </c>
      <c r="D862" s="54">
        <f t="shared" si="33"/>
        <v>35.913837411756191</v>
      </c>
      <c r="E862" s="54">
        <f t="shared" si="33"/>
        <v>39.825816687296452</v>
      </c>
      <c r="F862" s="54">
        <f t="shared" si="33"/>
        <v>44.837998804444197</v>
      </c>
      <c r="G862" s="54">
        <f t="shared" si="33"/>
        <v>49.907637953194929</v>
      </c>
      <c r="H862" s="54">
        <f t="shared" si="33"/>
        <v>55.585854791339372</v>
      </c>
      <c r="I862" s="54">
        <f t="shared" si="33"/>
        <v>62.238730277986463</v>
      </c>
      <c r="J862" s="54">
        <f t="shared" si="33"/>
        <v>71.028099173553713</v>
      </c>
      <c r="K862" s="54">
        <f t="shared" si="33"/>
        <v>80.399999999999991</v>
      </c>
      <c r="L862" s="542">
        <f t="shared" si="34"/>
        <v>80.399999999999991</v>
      </c>
      <c r="M862" s="542">
        <f t="shared" si="34"/>
        <v>80.399999999999991</v>
      </c>
      <c r="N862" s="542">
        <f t="shared" si="31"/>
        <v>80.399999999999991</v>
      </c>
      <c r="O862" s="542">
        <f t="shared" si="31"/>
        <v>80.399999999999991</v>
      </c>
      <c r="P862" s="542">
        <f t="shared" si="31"/>
        <v>80.399999999999991</v>
      </c>
      <c r="Q862" s="542">
        <f t="shared" si="31"/>
        <v>80.399999999999991</v>
      </c>
      <c r="R862" s="542">
        <f t="shared" si="31"/>
        <v>80.399999999999991</v>
      </c>
      <c r="S862" s="542">
        <f t="shared" si="31"/>
        <v>80.399999999999991</v>
      </c>
      <c r="T862" s="542">
        <f t="shared" si="31"/>
        <v>80.399999999999991</v>
      </c>
      <c r="U862" s="542">
        <f t="shared" si="31"/>
        <v>80.399999999999991</v>
      </c>
      <c r="V862" s="542">
        <f t="shared" si="31"/>
        <v>80.399999999999991</v>
      </c>
      <c r="W862" s="542">
        <f t="shared" si="31"/>
        <v>80.399999999999991</v>
      </c>
      <c r="X862" s="542">
        <f t="shared" si="31"/>
        <v>80.399999999999991</v>
      </c>
      <c r="Y862" s="542">
        <f t="shared" si="31"/>
        <v>80.399999999999991</v>
      </c>
      <c r="Z862" s="542">
        <f t="shared" si="31"/>
        <v>80.399999999999991</v>
      </c>
      <c r="AA862" s="542">
        <f t="shared" si="31"/>
        <v>80.399999999999991</v>
      </c>
      <c r="AB862" s="542">
        <f t="shared" si="31"/>
        <v>80.399999999999991</v>
      </c>
      <c r="AC862" s="542">
        <f t="shared" si="31"/>
        <v>80.399999999999991</v>
      </c>
      <c r="AD862" s="542">
        <f t="shared" si="31"/>
        <v>80.399999999999991</v>
      </c>
      <c r="AE862" s="542">
        <f t="shared" si="31"/>
        <v>80.399999999999991</v>
      </c>
      <c r="AF862" s="542">
        <f t="shared" si="31"/>
        <v>80.399999999999991</v>
      </c>
      <c r="AG862" s="542">
        <f t="shared" si="31"/>
        <v>80.399999999999991</v>
      </c>
      <c r="AH862" s="542">
        <f t="shared" si="31"/>
        <v>80.399999999999991</v>
      </c>
      <c r="AI862" s="542">
        <f t="shared" si="31"/>
        <v>80.399999999999991</v>
      </c>
      <c r="AJ862" s="542">
        <f t="shared" si="31"/>
        <v>80.399999999999991</v>
      </c>
      <c r="AK862" s="542">
        <f t="shared" si="31"/>
        <v>80.399999999999991</v>
      </c>
      <c r="AL862" s="542">
        <f t="shared" si="31"/>
        <v>80.399999999999991</v>
      </c>
      <c r="AM862" s="542">
        <f t="shared" si="31"/>
        <v>80.399999999999991</v>
      </c>
      <c r="AN862" s="542">
        <f t="shared" si="31"/>
        <v>80.399999999999991</v>
      </c>
      <c r="AO862" s="542">
        <f t="shared" si="31"/>
        <v>80.399999999999991</v>
      </c>
      <c r="AP862" s="542">
        <f t="shared" si="31"/>
        <v>80.399999999999991</v>
      </c>
      <c r="AQ862" s="542">
        <f t="shared" si="31"/>
        <v>80.399999999999991</v>
      </c>
      <c r="AR862" s="542">
        <f t="shared" si="31"/>
        <v>80.399999999999991</v>
      </c>
      <c r="AS862" s="542">
        <f t="shared" si="31"/>
        <v>80.399999999999991</v>
      </c>
      <c r="AT862" s="542">
        <f t="shared" si="31"/>
        <v>80.399999999999991</v>
      </c>
      <c r="AU862" s="542">
        <f t="shared" si="31"/>
        <v>80.399999999999991</v>
      </c>
      <c r="AV862" s="542">
        <f t="shared" si="31"/>
        <v>80.399999999999991</v>
      </c>
      <c r="AW862" s="542">
        <f t="shared" si="31"/>
        <v>80.399999999999991</v>
      </c>
      <c r="AX862" s="542">
        <f t="shared" si="31"/>
        <v>80.399999999999991</v>
      </c>
      <c r="AY862" s="542">
        <f t="shared" si="31"/>
        <v>80.399999999999991</v>
      </c>
      <c r="AZ862" s="542">
        <f t="shared" si="31"/>
        <v>80.399999999999991</v>
      </c>
      <c r="BA862" s="542">
        <f t="shared" si="31"/>
        <v>80.399999999999991</v>
      </c>
      <c r="BB862" s="542">
        <f t="shared" si="31"/>
        <v>80.399999999999991</v>
      </c>
      <c r="BC862" s="542">
        <f t="shared" si="31"/>
        <v>80.399999999999991</v>
      </c>
      <c r="BD862" s="542">
        <f t="shared" si="31"/>
        <v>80.399999999999991</v>
      </c>
      <c r="BE862" s="542">
        <f t="shared" si="31"/>
        <v>80.399999999999991</v>
      </c>
      <c r="BF862" s="542">
        <f t="shared" si="31"/>
        <v>80.399999999999991</v>
      </c>
      <c r="BG862" s="542">
        <f t="shared" si="31"/>
        <v>80.399999999999991</v>
      </c>
      <c r="BH862" s="542">
        <f t="shared" si="31"/>
        <v>80.399999999999991</v>
      </c>
      <c r="BI862" s="542">
        <f t="shared" si="31"/>
        <v>80.399999999999991</v>
      </c>
      <c r="BJ862" s="542">
        <f t="shared" si="31"/>
        <v>80.399999999999991</v>
      </c>
      <c r="BK862" s="542">
        <f t="shared" si="31"/>
        <v>80.399999999999991</v>
      </c>
      <c r="BL862" s="542">
        <f t="shared" si="31"/>
        <v>80.399999999999991</v>
      </c>
      <c r="BM862" s="542">
        <f t="shared" si="31"/>
        <v>80.399999999999991</v>
      </c>
      <c r="BN862" s="542">
        <f t="shared" si="31"/>
        <v>80.399999999999991</v>
      </c>
      <c r="BO862" s="542">
        <f t="shared" si="31"/>
        <v>80.399999999999991</v>
      </c>
      <c r="BP862" s="542">
        <f t="shared" si="31"/>
        <v>80.399999999999991</v>
      </c>
      <c r="BQ862" s="542">
        <f t="shared" si="31"/>
        <v>80.399999999999991</v>
      </c>
      <c r="BR862" s="542">
        <f t="shared" si="31"/>
        <v>80.399999999999991</v>
      </c>
      <c r="BS862" s="542">
        <f t="shared" si="31"/>
        <v>80.399999999999991</v>
      </c>
      <c r="BT862" s="542">
        <f t="shared" si="31"/>
        <v>80.399999999999991</v>
      </c>
      <c r="BU862" s="542">
        <f t="shared" si="31"/>
        <v>80.399999999999991</v>
      </c>
      <c r="BV862" s="542">
        <f t="shared" si="31"/>
        <v>80.399999999999991</v>
      </c>
      <c r="BW862" s="542">
        <f t="shared" si="31"/>
        <v>80.399999999999991</v>
      </c>
      <c r="BX862" s="542">
        <f t="shared" si="31"/>
        <v>80.399999999999991</v>
      </c>
      <c r="BY862" s="542">
        <f t="shared" si="31"/>
        <v>80.399999999999991</v>
      </c>
      <c r="BZ862" s="542">
        <f t="shared" si="32"/>
        <v>80.399999999999991</v>
      </c>
      <c r="CA862" s="542">
        <f t="shared" si="32"/>
        <v>80.399999999999991</v>
      </c>
      <c r="CB862" s="542">
        <f t="shared" si="32"/>
        <v>80.399999999999991</v>
      </c>
      <c r="CC862" s="542">
        <f t="shared" si="32"/>
        <v>80.399999999999991</v>
      </c>
      <c r="CD862" s="542">
        <f t="shared" si="32"/>
        <v>80.399999999999991</v>
      </c>
      <c r="CE862" s="542">
        <f t="shared" si="32"/>
        <v>80.399999999999991</v>
      </c>
      <c r="CF862" s="542">
        <f t="shared" si="32"/>
        <v>80.399999999999991</v>
      </c>
      <c r="CG862" s="542">
        <f t="shared" si="32"/>
        <v>80.399999999999991</v>
      </c>
      <c r="CH862" s="542">
        <f t="shared" si="32"/>
        <v>80.399999999999991</v>
      </c>
      <c r="CI862" s="542">
        <f t="shared" si="32"/>
        <v>80.399999999999991</v>
      </c>
    </row>
    <row r="863" spans="1:87" ht="14.25" customHeight="1" x14ac:dyDescent="0.35">
      <c r="A863" s="42" t="s">
        <v>97</v>
      </c>
      <c r="B863" s="54">
        <f t="shared" si="35"/>
        <v>0</v>
      </c>
      <c r="C863" s="54">
        <f t="shared" si="33"/>
        <v>32.611092389156795</v>
      </c>
      <c r="D863" s="54">
        <f t="shared" si="33"/>
        <v>35.913837411756191</v>
      </c>
      <c r="E863" s="54">
        <f t="shared" si="33"/>
        <v>39.825816687296452</v>
      </c>
      <c r="F863" s="54">
        <f t="shared" si="33"/>
        <v>44.837998804444197</v>
      </c>
      <c r="G863" s="54">
        <f t="shared" si="33"/>
        <v>49.907637953194929</v>
      </c>
      <c r="H863" s="54">
        <f t="shared" si="33"/>
        <v>55.585854791339372</v>
      </c>
      <c r="I863" s="54">
        <f t="shared" si="33"/>
        <v>62.238730277986463</v>
      </c>
      <c r="J863" s="54">
        <f t="shared" si="33"/>
        <v>71.028099173553713</v>
      </c>
      <c r="K863" s="54">
        <f t="shared" si="33"/>
        <v>80.399999999999991</v>
      </c>
      <c r="L863" s="542">
        <f t="shared" si="34"/>
        <v>80.399999999999991</v>
      </c>
      <c r="M863" s="542">
        <f t="shared" si="34"/>
        <v>80.399999999999991</v>
      </c>
      <c r="N863" s="542">
        <f t="shared" si="31"/>
        <v>80.399999999999991</v>
      </c>
      <c r="O863" s="542">
        <f t="shared" si="31"/>
        <v>80.399999999999991</v>
      </c>
      <c r="P863" s="542">
        <f t="shared" si="31"/>
        <v>80.399999999999991</v>
      </c>
      <c r="Q863" s="542">
        <f t="shared" si="31"/>
        <v>80.399999999999991</v>
      </c>
      <c r="R863" s="542">
        <f t="shared" si="31"/>
        <v>80.399999999999991</v>
      </c>
      <c r="S863" s="542">
        <f t="shared" si="31"/>
        <v>80.399999999999991</v>
      </c>
      <c r="T863" s="542">
        <f t="shared" si="31"/>
        <v>80.399999999999991</v>
      </c>
      <c r="U863" s="542">
        <f t="shared" si="31"/>
        <v>80.399999999999991</v>
      </c>
      <c r="V863" s="542">
        <f t="shared" si="31"/>
        <v>80.399999999999991</v>
      </c>
      <c r="W863" s="542">
        <f t="shared" si="31"/>
        <v>80.399999999999991</v>
      </c>
      <c r="X863" s="542">
        <f t="shared" si="31"/>
        <v>80.399999999999991</v>
      </c>
      <c r="Y863" s="542">
        <f t="shared" si="31"/>
        <v>80.399999999999991</v>
      </c>
      <c r="Z863" s="542">
        <f t="shared" si="31"/>
        <v>80.399999999999991</v>
      </c>
      <c r="AA863" s="542">
        <f t="shared" si="31"/>
        <v>80.399999999999991</v>
      </c>
      <c r="AB863" s="542">
        <f t="shared" si="31"/>
        <v>80.399999999999991</v>
      </c>
      <c r="AC863" s="542">
        <f t="shared" si="31"/>
        <v>80.399999999999991</v>
      </c>
      <c r="AD863" s="542">
        <f t="shared" si="31"/>
        <v>80.399999999999991</v>
      </c>
      <c r="AE863" s="542">
        <f t="shared" si="31"/>
        <v>80.399999999999991</v>
      </c>
      <c r="AF863" s="542">
        <f t="shared" si="31"/>
        <v>80.399999999999991</v>
      </c>
      <c r="AG863" s="542">
        <f t="shared" si="31"/>
        <v>80.399999999999991</v>
      </c>
      <c r="AH863" s="542">
        <f t="shared" si="31"/>
        <v>80.399999999999991</v>
      </c>
      <c r="AI863" s="542">
        <f t="shared" si="31"/>
        <v>80.399999999999991</v>
      </c>
      <c r="AJ863" s="542">
        <f t="shared" si="31"/>
        <v>80.399999999999991</v>
      </c>
      <c r="AK863" s="542">
        <f t="shared" si="31"/>
        <v>80.399999999999991</v>
      </c>
      <c r="AL863" s="542">
        <f t="shared" si="31"/>
        <v>80.399999999999991</v>
      </c>
      <c r="AM863" s="542">
        <f t="shared" si="31"/>
        <v>80.399999999999991</v>
      </c>
      <c r="AN863" s="542">
        <f t="shared" si="31"/>
        <v>80.399999999999991</v>
      </c>
      <c r="AO863" s="542">
        <f t="shared" si="31"/>
        <v>80.399999999999991</v>
      </c>
      <c r="AP863" s="542">
        <f t="shared" si="31"/>
        <v>80.399999999999991</v>
      </c>
      <c r="AQ863" s="542">
        <f t="shared" si="31"/>
        <v>80.399999999999991</v>
      </c>
      <c r="AR863" s="542">
        <f t="shared" si="31"/>
        <v>80.399999999999991</v>
      </c>
      <c r="AS863" s="542">
        <f t="shared" si="31"/>
        <v>80.399999999999991</v>
      </c>
      <c r="AT863" s="542">
        <f t="shared" si="31"/>
        <v>80.399999999999991</v>
      </c>
      <c r="AU863" s="542">
        <f t="shared" si="31"/>
        <v>80.399999999999991</v>
      </c>
      <c r="AV863" s="542">
        <f t="shared" si="31"/>
        <v>80.399999999999991</v>
      </c>
      <c r="AW863" s="542">
        <f t="shared" si="31"/>
        <v>80.399999999999991</v>
      </c>
      <c r="AX863" s="542">
        <f t="shared" si="31"/>
        <v>80.399999999999991</v>
      </c>
      <c r="AY863" s="542">
        <f t="shared" si="31"/>
        <v>80.399999999999991</v>
      </c>
      <c r="AZ863" s="542">
        <f t="shared" si="31"/>
        <v>80.399999999999991</v>
      </c>
      <c r="BA863" s="542">
        <f t="shared" si="31"/>
        <v>80.399999999999991</v>
      </c>
      <c r="BB863" s="542">
        <f t="shared" si="31"/>
        <v>80.399999999999991</v>
      </c>
      <c r="BC863" s="542">
        <f t="shared" si="31"/>
        <v>80.399999999999991</v>
      </c>
      <c r="BD863" s="542">
        <f t="shared" si="31"/>
        <v>80.399999999999991</v>
      </c>
      <c r="BE863" s="542">
        <f t="shared" si="31"/>
        <v>80.399999999999991</v>
      </c>
      <c r="BF863" s="542">
        <f t="shared" si="31"/>
        <v>80.399999999999991</v>
      </c>
      <c r="BG863" s="542">
        <f t="shared" si="31"/>
        <v>80.399999999999991</v>
      </c>
      <c r="BH863" s="542">
        <f t="shared" si="31"/>
        <v>80.399999999999991</v>
      </c>
      <c r="BI863" s="542">
        <f t="shared" si="31"/>
        <v>80.399999999999991</v>
      </c>
      <c r="BJ863" s="542">
        <f t="shared" si="31"/>
        <v>80.399999999999991</v>
      </c>
      <c r="BK863" s="542">
        <f t="shared" si="31"/>
        <v>80.399999999999991</v>
      </c>
      <c r="BL863" s="542">
        <f t="shared" si="31"/>
        <v>80.399999999999991</v>
      </c>
      <c r="BM863" s="542">
        <f t="shared" si="31"/>
        <v>80.399999999999991</v>
      </c>
      <c r="BN863" s="542">
        <f t="shared" si="31"/>
        <v>80.399999999999991</v>
      </c>
      <c r="BO863" s="542">
        <f t="shared" si="31"/>
        <v>80.399999999999991</v>
      </c>
      <c r="BP863" s="542">
        <f t="shared" si="31"/>
        <v>80.399999999999991</v>
      </c>
      <c r="BQ863" s="542">
        <f t="shared" si="31"/>
        <v>80.399999999999991</v>
      </c>
      <c r="BR863" s="542">
        <f t="shared" si="31"/>
        <v>80.399999999999991</v>
      </c>
      <c r="BS863" s="542">
        <f t="shared" si="31"/>
        <v>80.399999999999991</v>
      </c>
      <c r="BT863" s="542">
        <f t="shared" si="31"/>
        <v>80.399999999999991</v>
      </c>
      <c r="BU863" s="542">
        <f t="shared" si="31"/>
        <v>80.399999999999991</v>
      </c>
      <c r="BV863" s="542">
        <f t="shared" si="31"/>
        <v>80.399999999999991</v>
      </c>
      <c r="BW863" s="542">
        <f t="shared" si="31"/>
        <v>80.399999999999991</v>
      </c>
      <c r="BX863" s="542">
        <f t="shared" si="31"/>
        <v>80.399999999999991</v>
      </c>
      <c r="BY863" s="542">
        <f t="shared" ref="BY863" si="36">+BX863</f>
        <v>80.399999999999991</v>
      </c>
      <c r="BZ863" s="542">
        <f t="shared" si="32"/>
        <v>80.399999999999991</v>
      </c>
      <c r="CA863" s="542">
        <f t="shared" si="32"/>
        <v>80.399999999999991</v>
      </c>
      <c r="CB863" s="542">
        <f t="shared" si="32"/>
        <v>80.399999999999991</v>
      </c>
      <c r="CC863" s="542">
        <f t="shared" si="32"/>
        <v>80.399999999999991</v>
      </c>
      <c r="CD863" s="542">
        <f t="shared" si="32"/>
        <v>80.399999999999991</v>
      </c>
      <c r="CE863" s="542">
        <f t="shared" si="32"/>
        <v>80.399999999999991</v>
      </c>
      <c r="CF863" s="542">
        <f t="shared" si="32"/>
        <v>80.399999999999991</v>
      </c>
      <c r="CG863" s="542">
        <f t="shared" si="32"/>
        <v>80.399999999999991</v>
      </c>
      <c r="CH863" s="542">
        <f t="shared" si="32"/>
        <v>80.399999999999991</v>
      </c>
      <c r="CI863" s="542">
        <f t="shared" si="32"/>
        <v>80.399999999999991</v>
      </c>
    </row>
    <row r="864" spans="1:87" ht="14.25" customHeight="1" x14ac:dyDescent="0.35">
      <c r="A864" s="42" t="s">
        <v>98</v>
      </c>
      <c r="B864" s="54">
        <f t="shared" si="35"/>
        <v>0</v>
      </c>
      <c r="C864" s="54">
        <f t="shared" si="33"/>
        <v>32.611092389156795</v>
      </c>
      <c r="D864" s="54">
        <f t="shared" si="33"/>
        <v>35.913837411756191</v>
      </c>
      <c r="E864" s="54">
        <f t="shared" si="33"/>
        <v>39.825816687296452</v>
      </c>
      <c r="F864" s="54">
        <f t="shared" si="33"/>
        <v>44.837998804444197</v>
      </c>
      <c r="G864" s="54">
        <f t="shared" si="33"/>
        <v>49.907637953194929</v>
      </c>
      <c r="H864" s="54">
        <f t="shared" si="33"/>
        <v>55.585854791339372</v>
      </c>
      <c r="I864" s="54">
        <f t="shared" si="33"/>
        <v>62.238730277986463</v>
      </c>
      <c r="J864" s="54">
        <f t="shared" si="33"/>
        <v>71.028099173553713</v>
      </c>
      <c r="K864" s="54">
        <f t="shared" si="33"/>
        <v>80.399999999999991</v>
      </c>
      <c r="L864" s="542">
        <f t="shared" si="34"/>
        <v>80.399999999999991</v>
      </c>
      <c r="M864" s="542">
        <f t="shared" si="34"/>
        <v>80.399999999999991</v>
      </c>
      <c r="N864" s="542">
        <f t="shared" ref="N864:BY867" si="37">+M864</f>
        <v>80.399999999999991</v>
      </c>
      <c r="O864" s="542">
        <f t="shared" si="37"/>
        <v>80.399999999999991</v>
      </c>
      <c r="P864" s="542">
        <f t="shared" si="37"/>
        <v>80.399999999999991</v>
      </c>
      <c r="Q864" s="542">
        <f t="shared" si="37"/>
        <v>80.399999999999991</v>
      </c>
      <c r="R864" s="542">
        <f t="shared" si="37"/>
        <v>80.399999999999991</v>
      </c>
      <c r="S864" s="542">
        <f t="shared" si="37"/>
        <v>80.399999999999991</v>
      </c>
      <c r="T864" s="542">
        <f t="shared" si="37"/>
        <v>80.399999999999991</v>
      </c>
      <c r="U864" s="542">
        <f t="shared" si="37"/>
        <v>80.399999999999991</v>
      </c>
      <c r="V864" s="542">
        <f t="shared" si="37"/>
        <v>80.399999999999991</v>
      </c>
      <c r="W864" s="542">
        <f t="shared" si="37"/>
        <v>80.399999999999991</v>
      </c>
      <c r="X864" s="542">
        <f t="shared" si="37"/>
        <v>80.399999999999991</v>
      </c>
      <c r="Y864" s="542">
        <f t="shared" si="37"/>
        <v>80.399999999999991</v>
      </c>
      <c r="Z864" s="542">
        <f t="shared" si="37"/>
        <v>80.399999999999991</v>
      </c>
      <c r="AA864" s="542">
        <f t="shared" si="37"/>
        <v>80.399999999999991</v>
      </c>
      <c r="AB864" s="542">
        <f t="shared" si="37"/>
        <v>80.399999999999991</v>
      </c>
      <c r="AC864" s="542">
        <f t="shared" si="37"/>
        <v>80.399999999999991</v>
      </c>
      <c r="AD864" s="542">
        <f t="shared" si="37"/>
        <v>80.399999999999991</v>
      </c>
      <c r="AE864" s="542">
        <f t="shared" si="37"/>
        <v>80.399999999999991</v>
      </c>
      <c r="AF864" s="542">
        <f t="shared" si="37"/>
        <v>80.399999999999991</v>
      </c>
      <c r="AG864" s="542">
        <f t="shared" si="37"/>
        <v>80.399999999999991</v>
      </c>
      <c r="AH864" s="542">
        <f t="shared" si="37"/>
        <v>80.399999999999991</v>
      </c>
      <c r="AI864" s="542">
        <f t="shared" si="37"/>
        <v>80.399999999999991</v>
      </c>
      <c r="AJ864" s="542">
        <f t="shared" si="37"/>
        <v>80.399999999999991</v>
      </c>
      <c r="AK864" s="542">
        <f t="shared" si="37"/>
        <v>80.399999999999991</v>
      </c>
      <c r="AL864" s="542">
        <f t="shared" si="37"/>
        <v>80.399999999999991</v>
      </c>
      <c r="AM864" s="542">
        <f t="shared" si="37"/>
        <v>80.399999999999991</v>
      </c>
      <c r="AN864" s="542">
        <f t="shared" si="37"/>
        <v>80.399999999999991</v>
      </c>
      <c r="AO864" s="542">
        <f t="shared" si="37"/>
        <v>80.399999999999991</v>
      </c>
      <c r="AP864" s="542">
        <f t="shared" si="37"/>
        <v>80.399999999999991</v>
      </c>
      <c r="AQ864" s="542">
        <f t="shared" si="37"/>
        <v>80.399999999999991</v>
      </c>
      <c r="AR864" s="542">
        <f t="shared" si="37"/>
        <v>80.399999999999991</v>
      </c>
      <c r="AS864" s="542">
        <f t="shared" si="37"/>
        <v>80.399999999999991</v>
      </c>
      <c r="AT864" s="542">
        <f t="shared" si="37"/>
        <v>80.399999999999991</v>
      </c>
      <c r="AU864" s="542">
        <f t="shared" si="37"/>
        <v>80.399999999999991</v>
      </c>
      <c r="AV864" s="542">
        <f t="shared" si="37"/>
        <v>80.399999999999991</v>
      </c>
      <c r="AW864" s="542">
        <f t="shared" si="37"/>
        <v>80.399999999999991</v>
      </c>
      <c r="AX864" s="542">
        <f t="shared" si="37"/>
        <v>80.399999999999991</v>
      </c>
      <c r="AY864" s="542">
        <f t="shared" si="37"/>
        <v>80.399999999999991</v>
      </c>
      <c r="AZ864" s="542">
        <f t="shared" si="37"/>
        <v>80.399999999999991</v>
      </c>
      <c r="BA864" s="542">
        <f t="shared" si="37"/>
        <v>80.399999999999991</v>
      </c>
      <c r="BB864" s="542">
        <f t="shared" si="37"/>
        <v>80.399999999999991</v>
      </c>
      <c r="BC864" s="542">
        <f t="shared" si="37"/>
        <v>80.399999999999991</v>
      </c>
      <c r="BD864" s="542">
        <f t="shared" si="37"/>
        <v>80.399999999999991</v>
      </c>
      <c r="BE864" s="542">
        <f t="shared" si="37"/>
        <v>80.399999999999991</v>
      </c>
      <c r="BF864" s="542">
        <f t="shared" si="37"/>
        <v>80.399999999999991</v>
      </c>
      <c r="BG864" s="542">
        <f t="shared" si="37"/>
        <v>80.399999999999991</v>
      </c>
      <c r="BH864" s="542">
        <f t="shared" si="37"/>
        <v>80.399999999999991</v>
      </c>
      <c r="BI864" s="542">
        <f t="shared" si="37"/>
        <v>80.399999999999991</v>
      </c>
      <c r="BJ864" s="542">
        <f t="shared" si="37"/>
        <v>80.399999999999991</v>
      </c>
      <c r="BK864" s="542">
        <f t="shared" si="37"/>
        <v>80.399999999999991</v>
      </c>
      <c r="BL864" s="542">
        <f t="shared" si="37"/>
        <v>80.399999999999991</v>
      </c>
      <c r="BM864" s="542">
        <f t="shared" si="37"/>
        <v>80.399999999999991</v>
      </c>
      <c r="BN864" s="542">
        <f t="shared" si="37"/>
        <v>80.399999999999991</v>
      </c>
      <c r="BO864" s="542">
        <f t="shared" si="37"/>
        <v>80.399999999999991</v>
      </c>
      <c r="BP864" s="542">
        <f t="shared" si="37"/>
        <v>80.399999999999991</v>
      </c>
      <c r="BQ864" s="542">
        <f t="shared" si="37"/>
        <v>80.399999999999991</v>
      </c>
      <c r="BR864" s="542">
        <f t="shared" si="37"/>
        <v>80.399999999999991</v>
      </c>
      <c r="BS864" s="542">
        <f t="shared" si="37"/>
        <v>80.399999999999991</v>
      </c>
      <c r="BT864" s="542">
        <f t="shared" si="37"/>
        <v>80.399999999999991</v>
      </c>
      <c r="BU864" s="542">
        <f t="shared" si="37"/>
        <v>80.399999999999991</v>
      </c>
      <c r="BV864" s="542">
        <f t="shared" si="37"/>
        <v>80.399999999999991</v>
      </c>
      <c r="BW864" s="542">
        <f t="shared" si="37"/>
        <v>80.399999999999991</v>
      </c>
      <c r="BX864" s="542">
        <f t="shared" si="37"/>
        <v>80.399999999999991</v>
      </c>
      <c r="BY864" s="542">
        <f t="shared" si="37"/>
        <v>80.399999999999991</v>
      </c>
      <c r="BZ864" s="542">
        <f t="shared" si="32"/>
        <v>80.399999999999991</v>
      </c>
      <c r="CA864" s="542">
        <f t="shared" si="32"/>
        <v>80.399999999999991</v>
      </c>
      <c r="CB864" s="542">
        <f t="shared" si="32"/>
        <v>80.399999999999991</v>
      </c>
      <c r="CC864" s="542">
        <f t="shared" si="32"/>
        <v>80.399999999999991</v>
      </c>
      <c r="CD864" s="542">
        <f t="shared" si="32"/>
        <v>80.399999999999991</v>
      </c>
      <c r="CE864" s="542">
        <f t="shared" si="32"/>
        <v>80.399999999999991</v>
      </c>
      <c r="CF864" s="542">
        <f t="shared" si="32"/>
        <v>80.399999999999991</v>
      </c>
      <c r="CG864" s="542">
        <f t="shared" si="32"/>
        <v>80.399999999999991</v>
      </c>
      <c r="CH864" s="542">
        <f t="shared" si="32"/>
        <v>80.399999999999991</v>
      </c>
      <c r="CI864" s="542">
        <f t="shared" si="32"/>
        <v>80.399999999999991</v>
      </c>
    </row>
    <row r="865" spans="1:87" ht="14.25" customHeight="1" x14ac:dyDescent="0.35">
      <c r="A865" s="42" t="s">
        <v>163</v>
      </c>
      <c r="B865" s="54">
        <f t="shared" si="35"/>
        <v>0</v>
      </c>
      <c r="C865" s="54">
        <f t="shared" si="35"/>
        <v>32.611092389156795</v>
      </c>
      <c r="D865" s="54">
        <f t="shared" si="35"/>
        <v>35.913837411756191</v>
      </c>
      <c r="E865" s="54">
        <f t="shared" si="35"/>
        <v>39.825816687296452</v>
      </c>
      <c r="F865" s="54">
        <f t="shared" si="35"/>
        <v>44.837998804444197</v>
      </c>
      <c r="G865" s="54">
        <f t="shared" si="35"/>
        <v>49.907637953194929</v>
      </c>
      <c r="H865" s="54">
        <f t="shared" si="35"/>
        <v>55.585854791339372</v>
      </c>
      <c r="I865" s="54">
        <f t="shared" si="35"/>
        <v>62.238730277986463</v>
      </c>
      <c r="J865" s="54">
        <f t="shared" si="35"/>
        <v>71.028099173553713</v>
      </c>
      <c r="K865" s="54">
        <f t="shared" si="35"/>
        <v>80.399999999999991</v>
      </c>
      <c r="L865" s="542">
        <f t="shared" si="34"/>
        <v>80.399999999999991</v>
      </c>
      <c r="M865" s="542">
        <f t="shared" si="34"/>
        <v>80.399999999999991</v>
      </c>
      <c r="N865" s="542">
        <f t="shared" si="37"/>
        <v>80.399999999999991</v>
      </c>
      <c r="O865" s="542">
        <f t="shared" si="37"/>
        <v>80.399999999999991</v>
      </c>
      <c r="P865" s="542">
        <f t="shared" si="37"/>
        <v>80.399999999999991</v>
      </c>
      <c r="Q865" s="542">
        <f t="shared" si="37"/>
        <v>80.399999999999991</v>
      </c>
      <c r="R865" s="542">
        <f t="shared" si="37"/>
        <v>80.399999999999991</v>
      </c>
      <c r="S865" s="542">
        <f t="shared" si="37"/>
        <v>80.399999999999991</v>
      </c>
      <c r="T865" s="542">
        <f t="shared" si="37"/>
        <v>80.399999999999991</v>
      </c>
      <c r="U865" s="542">
        <f t="shared" si="37"/>
        <v>80.399999999999991</v>
      </c>
      <c r="V865" s="542">
        <f t="shared" si="37"/>
        <v>80.399999999999991</v>
      </c>
      <c r="W865" s="542">
        <f t="shared" si="37"/>
        <v>80.399999999999991</v>
      </c>
      <c r="X865" s="542">
        <f t="shared" si="37"/>
        <v>80.399999999999991</v>
      </c>
      <c r="Y865" s="542">
        <f t="shared" si="37"/>
        <v>80.399999999999991</v>
      </c>
      <c r="Z865" s="542">
        <f t="shared" si="37"/>
        <v>80.399999999999991</v>
      </c>
      <c r="AA865" s="542">
        <f t="shared" si="37"/>
        <v>80.399999999999991</v>
      </c>
      <c r="AB865" s="542">
        <f t="shared" si="37"/>
        <v>80.399999999999991</v>
      </c>
      <c r="AC865" s="542">
        <f t="shared" si="37"/>
        <v>80.399999999999991</v>
      </c>
      <c r="AD865" s="542">
        <f t="shared" si="37"/>
        <v>80.399999999999991</v>
      </c>
      <c r="AE865" s="542">
        <f t="shared" si="37"/>
        <v>80.399999999999991</v>
      </c>
      <c r="AF865" s="542">
        <f t="shared" si="37"/>
        <v>80.399999999999991</v>
      </c>
      <c r="AG865" s="542">
        <f t="shared" si="37"/>
        <v>80.399999999999991</v>
      </c>
      <c r="AH865" s="542">
        <f t="shared" si="37"/>
        <v>80.399999999999991</v>
      </c>
      <c r="AI865" s="542">
        <f t="shared" si="37"/>
        <v>80.399999999999991</v>
      </c>
      <c r="AJ865" s="542">
        <f t="shared" si="37"/>
        <v>80.399999999999991</v>
      </c>
      <c r="AK865" s="542">
        <f t="shared" si="37"/>
        <v>80.399999999999991</v>
      </c>
      <c r="AL865" s="542">
        <f t="shared" si="37"/>
        <v>80.399999999999991</v>
      </c>
      <c r="AM865" s="542">
        <f t="shared" si="37"/>
        <v>80.399999999999991</v>
      </c>
      <c r="AN865" s="542">
        <f t="shared" si="37"/>
        <v>80.399999999999991</v>
      </c>
      <c r="AO865" s="542">
        <f t="shared" si="37"/>
        <v>80.399999999999991</v>
      </c>
      <c r="AP865" s="542">
        <f t="shared" si="37"/>
        <v>80.399999999999991</v>
      </c>
      <c r="AQ865" s="542">
        <f t="shared" si="37"/>
        <v>80.399999999999991</v>
      </c>
      <c r="AR865" s="542">
        <f t="shared" si="37"/>
        <v>80.399999999999991</v>
      </c>
      <c r="AS865" s="542">
        <f t="shared" si="37"/>
        <v>80.399999999999991</v>
      </c>
      <c r="AT865" s="542">
        <f t="shared" si="37"/>
        <v>80.399999999999991</v>
      </c>
      <c r="AU865" s="542">
        <f t="shared" si="37"/>
        <v>80.399999999999991</v>
      </c>
      <c r="AV865" s="542">
        <f t="shared" si="37"/>
        <v>80.399999999999991</v>
      </c>
      <c r="AW865" s="542">
        <f t="shared" si="37"/>
        <v>80.399999999999991</v>
      </c>
      <c r="AX865" s="542">
        <f t="shared" si="37"/>
        <v>80.399999999999991</v>
      </c>
      <c r="AY865" s="542">
        <f t="shared" si="37"/>
        <v>80.399999999999991</v>
      </c>
      <c r="AZ865" s="542">
        <f t="shared" si="37"/>
        <v>80.399999999999991</v>
      </c>
      <c r="BA865" s="542">
        <f t="shared" si="37"/>
        <v>80.399999999999991</v>
      </c>
      <c r="BB865" s="542">
        <f t="shared" si="37"/>
        <v>80.399999999999991</v>
      </c>
      <c r="BC865" s="542">
        <f t="shared" si="37"/>
        <v>80.399999999999991</v>
      </c>
      <c r="BD865" s="542">
        <f t="shared" si="37"/>
        <v>80.399999999999991</v>
      </c>
      <c r="BE865" s="542">
        <f t="shared" si="37"/>
        <v>80.399999999999991</v>
      </c>
      <c r="BF865" s="542">
        <f t="shared" si="37"/>
        <v>80.399999999999991</v>
      </c>
      <c r="BG865" s="542">
        <f t="shared" si="37"/>
        <v>80.399999999999991</v>
      </c>
      <c r="BH865" s="542">
        <f t="shared" si="37"/>
        <v>80.399999999999991</v>
      </c>
      <c r="BI865" s="542">
        <f t="shared" si="37"/>
        <v>80.399999999999991</v>
      </c>
      <c r="BJ865" s="542">
        <f t="shared" si="37"/>
        <v>80.399999999999991</v>
      </c>
      <c r="BK865" s="542">
        <f t="shared" si="37"/>
        <v>80.399999999999991</v>
      </c>
      <c r="BL865" s="542">
        <f t="shared" si="37"/>
        <v>80.399999999999991</v>
      </c>
      <c r="BM865" s="542">
        <f t="shared" si="37"/>
        <v>80.399999999999991</v>
      </c>
      <c r="BN865" s="542">
        <f t="shared" si="37"/>
        <v>80.399999999999991</v>
      </c>
      <c r="BO865" s="542">
        <f t="shared" si="37"/>
        <v>80.399999999999991</v>
      </c>
      <c r="BP865" s="542">
        <f t="shared" si="37"/>
        <v>80.399999999999991</v>
      </c>
      <c r="BQ865" s="542">
        <f t="shared" si="37"/>
        <v>80.399999999999991</v>
      </c>
      <c r="BR865" s="542">
        <f t="shared" si="37"/>
        <v>80.399999999999991</v>
      </c>
      <c r="BS865" s="542">
        <f t="shared" si="37"/>
        <v>80.399999999999991</v>
      </c>
      <c r="BT865" s="542">
        <f t="shared" si="37"/>
        <v>80.399999999999991</v>
      </c>
      <c r="BU865" s="542">
        <f t="shared" si="37"/>
        <v>80.399999999999991</v>
      </c>
      <c r="BV865" s="542">
        <f t="shared" si="37"/>
        <v>80.399999999999991</v>
      </c>
      <c r="BW865" s="542">
        <f t="shared" si="37"/>
        <v>80.399999999999991</v>
      </c>
      <c r="BX865" s="542">
        <f t="shared" si="37"/>
        <v>80.399999999999991</v>
      </c>
      <c r="BY865" s="542">
        <f t="shared" si="37"/>
        <v>80.399999999999991</v>
      </c>
      <c r="BZ865" s="542">
        <f t="shared" si="32"/>
        <v>80.399999999999991</v>
      </c>
      <c r="CA865" s="542">
        <f t="shared" si="32"/>
        <v>80.399999999999991</v>
      </c>
      <c r="CB865" s="542">
        <f t="shared" si="32"/>
        <v>80.399999999999991</v>
      </c>
      <c r="CC865" s="542">
        <f t="shared" si="32"/>
        <v>80.399999999999991</v>
      </c>
      <c r="CD865" s="542">
        <f t="shared" si="32"/>
        <v>80.399999999999991</v>
      </c>
      <c r="CE865" s="542">
        <f t="shared" si="32"/>
        <v>80.399999999999991</v>
      </c>
      <c r="CF865" s="542">
        <f t="shared" si="32"/>
        <v>80.399999999999991</v>
      </c>
      <c r="CG865" s="542">
        <f t="shared" si="32"/>
        <v>80.399999999999991</v>
      </c>
      <c r="CH865" s="542">
        <f t="shared" si="32"/>
        <v>80.399999999999991</v>
      </c>
      <c r="CI865" s="542">
        <f t="shared" si="32"/>
        <v>80.399999999999991</v>
      </c>
    </row>
    <row r="866" spans="1:87" ht="14.25" customHeight="1" x14ac:dyDescent="0.35">
      <c r="A866" s="42" t="s">
        <v>100</v>
      </c>
      <c r="B866" s="54">
        <f t="shared" si="35"/>
        <v>0</v>
      </c>
      <c r="C866" s="54">
        <f t="shared" si="35"/>
        <v>32.611092389156795</v>
      </c>
      <c r="D866" s="54">
        <f t="shared" si="35"/>
        <v>35.913837411756191</v>
      </c>
      <c r="E866" s="54">
        <f t="shared" si="35"/>
        <v>39.825816687296452</v>
      </c>
      <c r="F866" s="54">
        <f t="shared" si="35"/>
        <v>44.837998804444197</v>
      </c>
      <c r="G866" s="54">
        <f t="shared" si="35"/>
        <v>49.907637953194929</v>
      </c>
      <c r="H866" s="54">
        <f t="shared" si="35"/>
        <v>55.585854791339372</v>
      </c>
      <c r="I866" s="54">
        <f t="shared" si="35"/>
        <v>62.238730277986463</v>
      </c>
      <c r="J866" s="54">
        <f t="shared" si="35"/>
        <v>71.028099173553713</v>
      </c>
      <c r="K866" s="54">
        <f t="shared" si="35"/>
        <v>80.399999999999991</v>
      </c>
      <c r="L866" s="542">
        <f t="shared" si="34"/>
        <v>80.399999999999991</v>
      </c>
      <c r="M866" s="542">
        <f t="shared" si="34"/>
        <v>80.399999999999991</v>
      </c>
      <c r="N866" s="542">
        <f t="shared" si="37"/>
        <v>80.399999999999991</v>
      </c>
      <c r="O866" s="542">
        <f t="shared" si="37"/>
        <v>80.399999999999991</v>
      </c>
      <c r="P866" s="542">
        <f t="shared" si="37"/>
        <v>80.399999999999991</v>
      </c>
      <c r="Q866" s="542">
        <f t="shared" si="37"/>
        <v>80.399999999999991</v>
      </c>
      <c r="R866" s="542">
        <f t="shared" si="37"/>
        <v>80.399999999999991</v>
      </c>
      <c r="S866" s="542">
        <f t="shared" si="37"/>
        <v>80.399999999999991</v>
      </c>
      <c r="T866" s="542">
        <f t="shared" si="37"/>
        <v>80.399999999999991</v>
      </c>
      <c r="U866" s="542">
        <f t="shared" si="37"/>
        <v>80.399999999999991</v>
      </c>
      <c r="V866" s="542">
        <f t="shared" si="37"/>
        <v>80.399999999999991</v>
      </c>
      <c r="W866" s="542">
        <f t="shared" si="37"/>
        <v>80.399999999999991</v>
      </c>
      <c r="X866" s="542">
        <f t="shared" si="37"/>
        <v>80.399999999999991</v>
      </c>
      <c r="Y866" s="542">
        <f t="shared" si="37"/>
        <v>80.399999999999991</v>
      </c>
      <c r="Z866" s="542">
        <f t="shared" si="37"/>
        <v>80.399999999999991</v>
      </c>
      <c r="AA866" s="542">
        <f t="shared" si="37"/>
        <v>80.399999999999991</v>
      </c>
      <c r="AB866" s="542">
        <f t="shared" si="37"/>
        <v>80.399999999999991</v>
      </c>
      <c r="AC866" s="542">
        <f t="shared" si="37"/>
        <v>80.399999999999991</v>
      </c>
      <c r="AD866" s="542">
        <f t="shared" si="37"/>
        <v>80.399999999999991</v>
      </c>
      <c r="AE866" s="542">
        <f t="shared" si="37"/>
        <v>80.399999999999991</v>
      </c>
      <c r="AF866" s="542">
        <f t="shared" si="37"/>
        <v>80.399999999999991</v>
      </c>
      <c r="AG866" s="542">
        <f t="shared" si="37"/>
        <v>80.399999999999991</v>
      </c>
      <c r="AH866" s="542">
        <f t="shared" si="37"/>
        <v>80.399999999999991</v>
      </c>
      <c r="AI866" s="542">
        <f t="shared" si="37"/>
        <v>80.399999999999991</v>
      </c>
      <c r="AJ866" s="542">
        <f t="shared" si="37"/>
        <v>80.399999999999991</v>
      </c>
      <c r="AK866" s="542">
        <f t="shared" si="37"/>
        <v>80.399999999999991</v>
      </c>
      <c r="AL866" s="542">
        <f t="shared" si="37"/>
        <v>80.399999999999991</v>
      </c>
      <c r="AM866" s="542">
        <f t="shared" si="37"/>
        <v>80.399999999999991</v>
      </c>
      <c r="AN866" s="542">
        <f t="shared" si="37"/>
        <v>80.399999999999991</v>
      </c>
      <c r="AO866" s="542">
        <f t="shared" si="37"/>
        <v>80.399999999999991</v>
      </c>
      <c r="AP866" s="542">
        <f t="shared" si="37"/>
        <v>80.399999999999991</v>
      </c>
      <c r="AQ866" s="542">
        <f t="shared" si="37"/>
        <v>80.399999999999991</v>
      </c>
      <c r="AR866" s="542">
        <f t="shared" si="37"/>
        <v>80.399999999999991</v>
      </c>
      <c r="AS866" s="542">
        <f t="shared" si="37"/>
        <v>80.399999999999991</v>
      </c>
      <c r="AT866" s="542">
        <f t="shared" si="37"/>
        <v>80.399999999999991</v>
      </c>
      <c r="AU866" s="542">
        <f t="shared" si="37"/>
        <v>80.399999999999991</v>
      </c>
      <c r="AV866" s="542">
        <f t="shared" si="37"/>
        <v>80.399999999999991</v>
      </c>
      <c r="AW866" s="542">
        <f t="shared" si="37"/>
        <v>80.399999999999991</v>
      </c>
      <c r="AX866" s="542">
        <f t="shared" si="37"/>
        <v>80.399999999999991</v>
      </c>
      <c r="AY866" s="542">
        <f t="shared" si="37"/>
        <v>80.399999999999991</v>
      </c>
      <c r="AZ866" s="542">
        <f t="shared" si="37"/>
        <v>80.399999999999991</v>
      </c>
      <c r="BA866" s="542">
        <f t="shared" si="37"/>
        <v>80.399999999999991</v>
      </c>
      <c r="BB866" s="542">
        <f t="shared" si="37"/>
        <v>80.399999999999991</v>
      </c>
      <c r="BC866" s="542">
        <f t="shared" si="37"/>
        <v>80.399999999999991</v>
      </c>
      <c r="BD866" s="542">
        <f t="shared" si="37"/>
        <v>80.399999999999991</v>
      </c>
      <c r="BE866" s="542">
        <f t="shared" si="37"/>
        <v>80.399999999999991</v>
      </c>
      <c r="BF866" s="542">
        <f t="shared" si="37"/>
        <v>80.399999999999991</v>
      </c>
      <c r="BG866" s="542">
        <f t="shared" si="37"/>
        <v>80.399999999999991</v>
      </c>
      <c r="BH866" s="542">
        <f t="shared" si="37"/>
        <v>80.399999999999991</v>
      </c>
      <c r="BI866" s="542">
        <f t="shared" si="37"/>
        <v>80.399999999999991</v>
      </c>
      <c r="BJ866" s="542">
        <f t="shared" si="37"/>
        <v>80.399999999999991</v>
      </c>
      <c r="BK866" s="542">
        <f t="shared" si="37"/>
        <v>80.399999999999991</v>
      </c>
      <c r="BL866" s="542">
        <f t="shared" si="37"/>
        <v>80.399999999999991</v>
      </c>
      <c r="BM866" s="542">
        <f t="shared" si="37"/>
        <v>80.399999999999991</v>
      </c>
      <c r="BN866" s="542">
        <f t="shared" si="37"/>
        <v>80.399999999999991</v>
      </c>
      <c r="BO866" s="542">
        <f t="shared" si="37"/>
        <v>80.399999999999991</v>
      </c>
      <c r="BP866" s="542">
        <f t="shared" si="37"/>
        <v>80.399999999999991</v>
      </c>
      <c r="BQ866" s="542">
        <f t="shared" si="37"/>
        <v>80.399999999999991</v>
      </c>
      <c r="BR866" s="542">
        <f t="shared" si="37"/>
        <v>80.399999999999991</v>
      </c>
      <c r="BS866" s="542">
        <f t="shared" si="37"/>
        <v>80.399999999999991</v>
      </c>
      <c r="BT866" s="542">
        <f t="shared" si="37"/>
        <v>80.399999999999991</v>
      </c>
      <c r="BU866" s="542">
        <f t="shared" si="37"/>
        <v>80.399999999999991</v>
      </c>
      <c r="BV866" s="542">
        <f t="shared" si="37"/>
        <v>80.399999999999991</v>
      </c>
      <c r="BW866" s="542">
        <f t="shared" si="37"/>
        <v>80.399999999999991</v>
      </c>
      <c r="BX866" s="542">
        <f t="shared" si="37"/>
        <v>80.399999999999991</v>
      </c>
      <c r="BY866" s="542">
        <f t="shared" si="37"/>
        <v>80.399999999999991</v>
      </c>
      <c r="BZ866" s="542">
        <f t="shared" si="32"/>
        <v>80.399999999999991</v>
      </c>
      <c r="CA866" s="542">
        <f t="shared" si="32"/>
        <v>80.399999999999991</v>
      </c>
      <c r="CB866" s="542">
        <f t="shared" si="32"/>
        <v>80.399999999999991</v>
      </c>
      <c r="CC866" s="542">
        <f t="shared" si="32"/>
        <v>80.399999999999991</v>
      </c>
      <c r="CD866" s="542">
        <f t="shared" si="32"/>
        <v>80.399999999999991</v>
      </c>
      <c r="CE866" s="542">
        <f t="shared" si="32"/>
        <v>80.399999999999991</v>
      </c>
      <c r="CF866" s="542">
        <f t="shared" si="32"/>
        <v>80.399999999999991</v>
      </c>
      <c r="CG866" s="542">
        <f t="shared" si="32"/>
        <v>80.399999999999991</v>
      </c>
      <c r="CH866" s="542">
        <f t="shared" si="32"/>
        <v>80.399999999999991</v>
      </c>
      <c r="CI866" s="542">
        <f t="shared" si="32"/>
        <v>80.399999999999991</v>
      </c>
    </row>
    <row r="867" spans="1:87" ht="14.25" customHeight="1" x14ac:dyDescent="0.35">
      <c r="A867" s="42" t="s">
        <v>101</v>
      </c>
      <c r="B867" s="54">
        <f t="shared" si="35"/>
        <v>0</v>
      </c>
      <c r="C867" s="54">
        <f t="shared" si="35"/>
        <v>32.611092389156795</v>
      </c>
      <c r="D867" s="54">
        <f t="shared" si="35"/>
        <v>35.913837411756191</v>
      </c>
      <c r="E867" s="54">
        <f t="shared" si="35"/>
        <v>39.825816687296452</v>
      </c>
      <c r="F867" s="54">
        <f t="shared" si="35"/>
        <v>44.837998804444197</v>
      </c>
      <c r="G867" s="54">
        <f t="shared" si="35"/>
        <v>49.907637953194929</v>
      </c>
      <c r="H867" s="54">
        <f t="shared" si="35"/>
        <v>55.585854791339372</v>
      </c>
      <c r="I867" s="54">
        <f t="shared" si="35"/>
        <v>62.238730277986463</v>
      </c>
      <c r="J867" s="54">
        <f t="shared" si="35"/>
        <v>71.028099173553713</v>
      </c>
      <c r="K867" s="54">
        <f t="shared" si="35"/>
        <v>80.399999999999991</v>
      </c>
      <c r="L867" s="542">
        <f t="shared" si="34"/>
        <v>80.399999999999991</v>
      </c>
      <c r="M867" s="542">
        <f t="shared" si="34"/>
        <v>80.399999999999991</v>
      </c>
      <c r="N867" s="542">
        <f t="shared" si="37"/>
        <v>80.399999999999991</v>
      </c>
      <c r="O867" s="542">
        <f t="shared" si="37"/>
        <v>80.399999999999991</v>
      </c>
      <c r="P867" s="542">
        <f t="shared" si="37"/>
        <v>80.399999999999991</v>
      </c>
      <c r="Q867" s="542">
        <f t="shared" si="37"/>
        <v>80.399999999999991</v>
      </c>
      <c r="R867" s="542">
        <f t="shared" si="37"/>
        <v>80.399999999999991</v>
      </c>
      <c r="S867" s="542">
        <f t="shared" si="37"/>
        <v>80.399999999999991</v>
      </c>
      <c r="T867" s="542">
        <f t="shared" si="37"/>
        <v>80.399999999999991</v>
      </c>
      <c r="U867" s="542">
        <f t="shared" si="37"/>
        <v>80.399999999999991</v>
      </c>
      <c r="V867" s="542">
        <f t="shared" si="37"/>
        <v>80.399999999999991</v>
      </c>
      <c r="W867" s="542">
        <f t="shared" si="37"/>
        <v>80.399999999999991</v>
      </c>
      <c r="X867" s="542">
        <f t="shared" si="37"/>
        <v>80.399999999999991</v>
      </c>
      <c r="Y867" s="542">
        <f t="shared" si="37"/>
        <v>80.399999999999991</v>
      </c>
      <c r="Z867" s="542">
        <f t="shared" si="37"/>
        <v>80.399999999999991</v>
      </c>
      <c r="AA867" s="542">
        <f t="shared" si="37"/>
        <v>80.399999999999991</v>
      </c>
      <c r="AB867" s="542">
        <f t="shared" si="37"/>
        <v>80.399999999999991</v>
      </c>
      <c r="AC867" s="542">
        <f t="shared" si="37"/>
        <v>80.399999999999991</v>
      </c>
      <c r="AD867" s="542">
        <f t="shared" si="37"/>
        <v>80.399999999999991</v>
      </c>
      <c r="AE867" s="542">
        <f t="shared" si="37"/>
        <v>80.399999999999991</v>
      </c>
      <c r="AF867" s="542">
        <f t="shared" si="37"/>
        <v>80.399999999999991</v>
      </c>
      <c r="AG867" s="542">
        <f t="shared" si="37"/>
        <v>80.399999999999991</v>
      </c>
      <c r="AH867" s="542">
        <f t="shared" si="37"/>
        <v>80.399999999999991</v>
      </c>
      <c r="AI867" s="542">
        <f t="shared" si="37"/>
        <v>80.399999999999991</v>
      </c>
      <c r="AJ867" s="542">
        <f t="shared" si="37"/>
        <v>80.399999999999991</v>
      </c>
      <c r="AK867" s="542">
        <f t="shared" si="37"/>
        <v>80.399999999999991</v>
      </c>
      <c r="AL867" s="542">
        <f t="shared" si="37"/>
        <v>80.399999999999991</v>
      </c>
      <c r="AM867" s="542">
        <f t="shared" si="37"/>
        <v>80.399999999999991</v>
      </c>
      <c r="AN867" s="542">
        <f t="shared" si="37"/>
        <v>80.399999999999991</v>
      </c>
      <c r="AO867" s="542">
        <f t="shared" si="37"/>
        <v>80.399999999999991</v>
      </c>
      <c r="AP867" s="542">
        <f t="shared" si="37"/>
        <v>80.399999999999991</v>
      </c>
      <c r="AQ867" s="542">
        <f t="shared" si="37"/>
        <v>80.399999999999991</v>
      </c>
      <c r="AR867" s="542">
        <f t="shared" si="37"/>
        <v>80.399999999999991</v>
      </c>
      <c r="AS867" s="542">
        <f t="shared" si="37"/>
        <v>80.399999999999991</v>
      </c>
      <c r="AT867" s="542">
        <f t="shared" si="37"/>
        <v>80.399999999999991</v>
      </c>
      <c r="AU867" s="542">
        <f t="shared" si="37"/>
        <v>80.399999999999991</v>
      </c>
      <c r="AV867" s="542">
        <f t="shared" si="37"/>
        <v>80.399999999999991</v>
      </c>
      <c r="AW867" s="542">
        <f t="shared" si="37"/>
        <v>80.399999999999991</v>
      </c>
      <c r="AX867" s="542">
        <f t="shared" si="37"/>
        <v>80.399999999999991</v>
      </c>
      <c r="AY867" s="542">
        <f t="shared" si="37"/>
        <v>80.399999999999991</v>
      </c>
      <c r="AZ867" s="542">
        <f t="shared" si="37"/>
        <v>80.399999999999991</v>
      </c>
      <c r="BA867" s="542">
        <f t="shared" si="37"/>
        <v>80.399999999999991</v>
      </c>
      <c r="BB867" s="542">
        <f t="shared" si="37"/>
        <v>80.399999999999991</v>
      </c>
      <c r="BC867" s="542">
        <f t="shared" si="37"/>
        <v>80.399999999999991</v>
      </c>
      <c r="BD867" s="542">
        <f t="shared" si="37"/>
        <v>80.399999999999991</v>
      </c>
      <c r="BE867" s="542">
        <f t="shared" si="37"/>
        <v>80.399999999999991</v>
      </c>
      <c r="BF867" s="542">
        <f t="shared" si="37"/>
        <v>80.399999999999991</v>
      </c>
      <c r="BG867" s="542">
        <f t="shared" si="37"/>
        <v>80.399999999999991</v>
      </c>
      <c r="BH867" s="542">
        <f t="shared" si="37"/>
        <v>80.399999999999991</v>
      </c>
      <c r="BI867" s="542">
        <f t="shared" si="37"/>
        <v>80.399999999999991</v>
      </c>
      <c r="BJ867" s="542">
        <f t="shared" si="37"/>
        <v>80.399999999999991</v>
      </c>
      <c r="BK867" s="542">
        <f t="shared" si="37"/>
        <v>80.399999999999991</v>
      </c>
      <c r="BL867" s="542">
        <f t="shared" si="37"/>
        <v>80.399999999999991</v>
      </c>
      <c r="BM867" s="542">
        <f t="shared" si="37"/>
        <v>80.399999999999991</v>
      </c>
      <c r="BN867" s="542">
        <f t="shared" si="37"/>
        <v>80.399999999999991</v>
      </c>
      <c r="BO867" s="542">
        <f t="shared" si="37"/>
        <v>80.399999999999991</v>
      </c>
      <c r="BP867" s="542">
        <f t="shared" si="37"/>
        <v>80.399999999999991</v>
      </c>
      <c r="BQ867" s="542">
        <f t="shared" si="37"/>
        <v>80.399999999999991</v>
      </c>
      <c r="BR867" s="542">
        <f t="shared" si="37"/>
        <v>80.399999999999991</v>
      </c>
      <c r="BS867" s="542">
        <f t="shared" si="37"/>
        <v>80.399999999999991</v>
      </c>
      <c r="BT867" s="542">
        <f t="shared" si="37"/>
        <v>80.399999999999991</v>
      </c>
      <c r="BU867" s="542">
        <f t="shared" si="37"/>
        <v>80.399999999999991</v>
      </c>
      <c r="BV867" s="542">
        <f t="shared" si="37"/>
        <v>80.399999999999991</v>
      </c>
      <c r="BW867" s="542">
        <f t="shared" si="37"/>
        <v>80.399999999999991</v>
      </c>
      <c r="BX867" s="542">
        <f t="shared" si="37"/>
        <v>80.399999999999991</v>
      </c>
      <c r="BY867" s="542">
        <f t="shared" ref="BY867" si="38">+BX867</f>
        <v>80.399999999999991</v>
      </c>
      <c r="BZ867" s="542">
        <f t="shared" si="32"/>
        <v>80.399999999999991</v>
      </c>
      <c r="CA867" s="542">
        <f t="shared" si="32"/>
        <v>80.399999999999991</v>
      </c>
      <c r="CB867" s="542">
        <f t="shared" si="32"/>
        <v>80.399999999999991</v>
      </c>
      <c r="CC867" s="542">
        <f t="shared" si="32"/>
        <v>80.399999999999991</v>
      </c>
      <c r="CD867" s="542">
        <f t="shared" si="32"/>
        <v>80.399999999999991</v>
      </c>
      <c r="CE867" s="542">
        <f t="shared" si="32"/>
        <v>80.399999999999991</v>
      </c>
      <c r="CF867" s="542">
        <f t="shared" si="32"/>
        <v>80.399999999999991</v>
      </c>
      <c r="CG867" s="542">
        <f t="shared" si="32"/>
        <v>80.399999999999991</v>
      </c>
      <c r="CH867" s="542">
        <f t="shared" si="32"/>
        <v>80.399999999999991</v>
      </c>
      <c r="CI867" s="542">
        <f t="shared" si="32"/>
        <v>80.399999999999991</v>
      </c>
    </row>
    <row r="868" spans="1:87" ht="14.25" customHeight="1" x14ac:dyDescent="0.35">
      <c r="A868" s="42" t="s">
        <v>102</v>
      </c>
      <c r="B868" s="54">
        <f t="shared" si="35"/>
        <v>0</v>
      </c>
      <c r="C868" s="54">
        <f t="shared" si="35"/>
        <v>32.611092389156795</v>
      </c>
      <c r="D868" s="54">
        <f t="shared" si="35"/>
        <v>35.913837411756191</v>
      </c>
      <c r="E868" s="54">
        <f t="shared" si="35"/>
        <v>39.825816687296452</v>
      </c>
      <c r="F868" s="54">
        <f t="shared" si="35"/>
        <v>44.837998804444197</v>
      </c>
      <c r="G868" s="54">
        <f t="shared" si="35"/>
        <v>49.907637953194929</v>
      </c>
      <c r="H868" s="54">
        <f t="shared" si="35"/>
        <v>55.585854791339372</v>
      </c>
      <c r="I868" s="54">
        <f t="shared" si="35"/>
        <v>62.238730277986463</v>
      </c>
      <c r="J868" s="54">
        <f t="shared" si="35"/>
        <v>71.028099173553713</v>
      </c>
      <c r="K868" s="54">
        <f t="shared" si="35"/>
        <v>80.399999999999991</v>
      </c>
      <c r="L868" s="542">
        <f t="shared" si="34"/>
        <v>80.399999999999991</v>
      </c>
      <c r="M868" s="542">
        <f t="shared" si="34"/>
        <v>80.399999999999991</v>
      </c>
      <c r="N868" s="542">
        <f t="shared" ref="N868:BY871" si="39">+M868</f>
        <v>80.399999999999991</v>
      </c>
      <c r="O868" s="542">
        <f t="shared" si="39"/>
        <v>80.399999999999991</v>
      </c>
      <c r="P868" s="542">
        <f t="shared" si="39"/>
        <v>80.399999999999991</v>
      </c>
      <c r="Q868" s="542">
        <f t="shared" si="39"/>
        <v>80.399999999999991</v>
      </c>
      <c r="R868" s="542">
        <f t="shared" si="39"/>
        <v>80.399999999999991</v>
      </c>
      <c r="S868" s="542">
        <f t="shared" si="39"/>
        <v>80.399999999999991</v>
      </c>
      <c r="T868" s="542">
        <f t="shared" si="39"/>
        <v>80.399999999999991</v>
      </c>
      <c r="U868" s="542">
        <f t="shared" si="39"/>
        <v>80.399999999999991</v>
      </c>
      <c r="V868" s="542">
        <f t="shared" si="39"/>
        <v>80.399999999999991</v>
      </c>
      <c r="W868" s="542">
        <f t="shared" si="39"/>
        <v>80.399999999999991</v>
      </c>
      <c r="X868" s="542">
        <f t="shared" si="39"/>
        <v>80.399999999999991</v>
      </c>
      <c r="Y868" s="542">
        <f t="shared" si="39"/>
        <v>80.399999999999991</v>
      </c>
      <c r="Z868" s="542">
        <f t="shared" si="39"/>
        <v>80.399999999999991</v>
      </c>
      <c r="AA868" s="542">
        <f t="shared" si="39"/>
        <v>80.399999999999991</v>
      </c>
      <c r="AB868" s="542">
        <f t="shared" si="39"/>
        <v>80.399999999999991</v>
      </c>
      <c r="AC868" s="542">
        <f t="shared" si="39"/>
        <v>80.399999999999991</v>
      </c>
      <c r="AD868" s="542">
        <f t="shared" si="39"/>
        <v>80.399999999999991</v>
      </c>
      <c r="AE868" s="542">
        <f t="shared" si="39"/>
        <v>80.399999999999991</v>
      </c>
      <c r="AF868" s="542">
        <f t="shared" si="39"/>
        <v>80.399999999999991</v>
      </c>
      <c r="AG868" s="542">
        <f t="shared" si="39"/>
        <v>80.399999999999991</v>
      </c>
      <c r="AH868" s="542">
        <f t="shared" si="39"/>
        <v>80.399999999999991</v>
      </c>
      <c r="AI868" s="542">
        <f t="shared" si="39"/>
        <v>80.399999999999991</v>
      </c>
      <c r="AJ868" s="542">
        <f t="shared" si="39"/>
        <v>80.399999999999991</v>
      </c>
      <c r="AK868" s="542">
        <f t="shared" si="39"/>
        <v>80.399999999999991</v>
      </c>
      <c r="AL868" s="542">
        <f t="shared" si="39"/>
        <v>80.399999999999991</v>
      </c>
      <c r="AM868" s="542">
        <f t="shared" si="39"/>
        <v>80.399999999999991</v>
      </c>
      <c r="AN868" s="542">
        <f t="shared" si="39"/>
        <v>80.399999999999991</v>
      </c>
      <c r="AO868" s="542">
        <f t="shared" si="39"/>
        <v>80.399999999999991</v>
      </c>
      <c r="AP868" s="542">
        <f t="shared" si="39"/>
        <v>80.399999999999991</v>
      </c>
      <c r="AQ868" s="542">
        <f t="shared" si="39"/>
        <v>80.399999999999991</v>
      </c>
      <c r="AR868" s="542">
        <f t="shared" si="39"/>
        <v>80.399999999999991</v>
      </c>
      <c r="AS868" s="542">
        <f t="shared" si="39"/>
        <v>80.399999999999991</v>
      </c>
      <c r="AT868" s="542">
        <f t="shared" si="39"/>
        <v>80.399999999999991</v>
      </c>
      <c r="AU868" s="542">
        <f t="shared" si="39"/>
        <v>80.399999999999991</v>
      </c>
      <c r="AV868" s="542">
        <f t="shared" si="39"/>
        <v>80.399999999999991</v>
      </c>
      <c r="AW868" s="542">
        <f t="shared" si="39"/>
        <v>80.399999999999991</v>
      </c>
      <c r="AX868" s="542">
        <f t="shared" si="39"/>
        <v>80.399999999999991</v>
      </c>
      <c r="AY868" s="542">
        <f t="shared" si="39"/>
        <v>80.399999999999991</v>
      </c>
      <c r="AZ868" s="542">
        <f t="shared" si="39"/>
        <v>80.399999999999991</v>
      </c>
      <c r="BA868" s="542">
        <f t="shared" si="39"/>
        <v>80.399999999999991</v>
      </c>
      <c r="BB868" s="542">
        <f t="shared" si="39"/>
        <v>80.399999999999991</v>
      </c>
      <c r="BC868" s="542">
        <f t="shared" si="39"/>
        <v>80.399999999999991</v>
      </c>
      <c r="BD868" s="542">
        <f t="shared" si="39"/>
        <v>80.399999999999991</v>
      </c>
      <c r="BE868" s="542">
        <f t="shared" si="39"/>
        <v>80.399999999999991</v>
      </c>
      <c r="BF868" s="542">
        <f t="shared" si="39"/>
        <v>80.399999999999991</v>
      </c>
      <c r="BG868" s="542">
        <f t="shared" si="39"/>
        <v>80.399999999999991</v>
      </c>
      <c r="BH868" s="542">
        <f t="shared" si="39"/>
        <v>80.399999999999991</v>
      </c>
      <c r="BI868" s="542">
        <f t="shared" si="39"/>
        <v>80.399999999999991</v>
      </c>
      <c r="BJ868" s="542">
        <f t="shared" si="39"/>
        <v>80.399999999999991</v>
      </c>
      <c r="BK868" s="542">
        <f t="shared" si="39"/>
        <v>80.399999999999991</v>
      </c>
      <c r="BL868" s="542">
        <f t="shared" si="39"/>
        <v>80.399999999999991</v>
      </c>
      <c r="BM868" s="542">
        <f t="shared" si="39"/>
        <v>80.399999999999991</v>
      </c>
      <c r="BN868" s="542">
        <f t="shared" si="39"/>
        <v>80.399999999999991</v>
      </c>
      <c r="BO868" s="542">
        <f t="shared" si="39"/>
        <v>80.399999999999991</v>
      </c>
      <c r="BP868" s="542">
        <f t="shared" si="39"/>
        <v>80.399999999999991</v>
      </c>
      <c r="BQ868" s="542">
        <f t="shared" si="39"/>
        <v>80.399999999999991</v>
      </c>
      <c r="BR868" s="542">
        <f t="shared" si="39"/>
        <v>80.399999999999991</v>
      </c>
      <c r="BS868" s="542">
        <f t="shared" si="39"/>
        <v>80.399999999999991</v>
      </c>
      <c r="BT868" s="542">
        <f t="shared" si="39"/>
        <v>80.399999999999991</v>
      </c>
      <c r="BU868" s="542">
        <f t="shared" si="39"/>
        <v>80.399999999999991</v>
      </c>
      <c r="BV868" s="542">
        <f t="shared" si="39"/>
        <v>80.399999999999991</v>
      </c>
      <c r="BW868" s="542">
        <f t="shared" si="39"/>
        <v>80.399999999999991</v>
      </c>
      <c r="BX868" s="542">
        <f t="shared" si="39"/>
        <v>80.399999999999991</v>
      </c>
      <c r="BY868" s="542">
        <f t="shared" si="39"/>
        <v>80.399999999999991</v>
      </c>
      <c r="BZ868" s="542">
        <f t="shared" si="32"/>
        <v>80.399999999999991</v>
      </c>
      <c r="CA868" s="542">
        <f t="shared" si="32"/>
        <v>80.399999999999991</v>
      </c>
      <c r="CB868" s="542">
        <f t="shared" si="32"/>
        <v>80.399999999999991</v>
      </c>
      <c r="CC868" s="542">
        <f t="shared" si="32"/>
        <v>80.399999999999991</v>
      </c>
      <c r="CD868" s="542">
        <f t="shared" si="32"/>
        <v>80.399999999999991</v>
      </c>
      <c r="CE868" s="542">
        <f t="shared" si="32"/>
        <v>80.399999999999991</v>
      </c>
      <c r="CF868" s="542">
        <f t="shared" si="32"/>
        <v>80.399999999999991</v>
      </c>
      <c r="CG868" s="542">
        <f t="shared" si="32"/>
        <v>80.399999999999991</v>
      </c>
      <c r="CH868" s="542">
        <f t="shared" si="32"/>
        <v>80.399999999999991</v>
      </c>
      <c r="CI868" s="542">
        <f t="shared" si="32"/>
        <v>80.399999999999991</v>
      </c>
    </row>
    <row r="869" spans="1:87" ht="14.25" customHeight="1" x14ac:dyDescent="0.35">
      <c r="A869" s="42" t="s">
        <v>103</v>
      </c>
      <c r="B869" s="54">
        <f t="shared" si="35"/>
        <v>0</v>
      </c>
      <c r="C869" s="54">
        <f t="shared" si="35"/>
        <v>32.611092389156795</v>
      </c>
      <c r="D869" s="54">
        <f t="shared" si="35"/>
        <v>35.913837411756191</v>
      </c>
      <c r="E869" s="54">
        <f t="shared" si="35"/>
        <v>39.825816687296452</v>
      </c>
      <c r="F869" s="54">
        <f t="shared" si="35"/>
        <v>44.837998804444197</v>
      </c>
      <c r="G869" s="54">
        <f t="shared" si="35"/>
        <v>49.907637953194929</v>
      </c>
      <c r="H869" s="54">
        <f t="shared" si="35"/>
        <v>55.585854791339372</v>
      </c>
      <c r="I869" s="54">
        <f t="shared" si="35"/>
        <v>62.238730277986463</v>
      </c>
      <c r="J869" s="54">
        <f t="shared" si="35"/>
        <v>71.028099173553713</v>
      </c>
      <c r="K869" s="54">
        <f t="shared" si="35"/>
        <v>80.399999999999991</v>
      </c>
      <c r="L869" s="542">
        <f t="shared" si="34"/>
        <v>80.399999999999991</v>
      </c>
      <c r="M869" s="542">
        <f t="shared" si="34"/>
        <v>80.399999999999991</v>
      </c>
      <c r="N869" s="542">
        <f t="shared" si="39"/>
        <v>80.399999999999991</v>
      </c>
      <c r="O869" s="542">
        <f t="shared" si="39"/>
        <v>80.399999999999991</v>
      </c>
      <c r="P869" s="542">
        <f t="shared" si="39"/>
        <v>80.399999999999991</v>
      </c>
      <c r="Q869" s="542">
        <f t="shared" si="39"/>
        <v>80.399999999999991</v>
      </c>
      <c r="R869" s="542">
        <f t="shared" si="39"/>
        <v>80.399999999999991</v>
      </c>
      <c r="S869" s="542">
        <f t="shared" si="39"/>
        <v>80.399999999999991</v>
      </c>
      <c r="T869" s="542">
        <f t="shared" si="39"/>
        <v>80.399999999999991</v>
      </c>
      <c r="U869" s="542">
        <f t="shared" si="39"/>
        <v>80.399999999999991</v>
      </c>
      <c r="V869" s="542">
        <f t="shared" si="39"/>
        <v>80.399999999999991</v>
      </c>
      <c r="W869" s="542">
        <f t="shared" si="39"/>
        <v>80.399999999999991</v>
      </c>
      <c r="X869" s="542">
        <f t="shared" si="39"/>
        <v>80.399999999999991</v>
      </c>
      <c r="Y869" s="542">
        <f t="shared" si="39"/>
        <v>80.399999999999991</v>
      </c>
      <c r="Z869" s="542">
        <f t="shared" si="39"/>
        <v>80.399999999999991</v>
      </c>
      <c r="AA869" s="542">
        <f t="shared" si="39"/>
        <v>80.399999999999991</v>
      </c>
      <c r="AB869" s="542">
        <f t="shared" si="39"/>
        <v>80.399999999999991</v>
      </c>
      <c r="AC869" s="542">
        <f t="shared" si="39"/>
        <v>80.399999999999991</v>
      </c>
      <c r="AD869" s="542">
        <f t="shared" si="39"/>
        <v>80.399999999999991</v>
      </c>
      <c r="AE869" s="542">
        <f t="shared" si="39"/>
        <v>80.399999999999991</v>
      </c>
      <c r="AF869" s="542">
        <f t="shared" si="39"/>
        <v>80.399999999999991</v>
      </c>
      <c r="AG869" s="542">
        <f t="shared" si="39"/>
        <v>80.399999999999991</v>
      </c>
      <c r="AH869" s="542">
        <f t="shared" si="39"/>
        <v>80.399999999999991</v>
      </c>
      <c r="AI869" s="542">
        <f t="shared" si="39"/>
        <v>80.399999999999991</v>
      </c>
      <c r="AJ869" s="542">
        <f t="shared" si="39"/>
        <v>80.399999999999991</v>
      </c>
      <c r="AK869" s="542">
        <f t="shared" si="39"/>
        <v>80.399999999999991</v>
      </c>
      <c r="AL869" s="542">
        <f t="shared" si="39"/>
        <v>80.399999999999991</v>
      </c>
      <c r="AM869" s="542">
        <f t="shared" si="39"/>
        <v>80.399999999999991</v>
      </c>
      <c r="AN869" s="542">
        <f t="shared" si="39"/>
        <v>80.399999999999991</v>
      </c>
      <c r="AO869" s="542">
        <f t="shared" si="39"/>
        <v>80.399999999999991</v>
      </c>
      <c r="AP869" s="542">
        <f t="shared" si="39"/>
        <v>80.399999999999991</v>
      </c>
      <c r="AQ869" s="542">
        <f t="shared" si="39"/>
        <v>80.399999999999991</v>
      </c>
      <c r="AR869" s="542">
        <f t="shared" si="39"/>
        <v>80.399999999999991</v>
      </c>
      <c r="AS869" s="542">
        <f t="shared" si="39"/>
        <v>80.399999999999991</v>
      </c>
      <c r="AT869" s="542">
        <f t="shared" si="39"/>
        <v>80.399999999999991</v>
      </c>
      <c r="AU869" s="542">
        <f t="shared" si="39"/>
        <v>80.399999999999991</v>
      </c>
      <c r="AV869" s="542">
        <f t="shared" si="39"/>
        <v>80.399999999999991</v>
      </c>
      <c r="AW869" s="542">
        <f t="shared" si="39"/>
        <v>80.399999999999991</v>
      </c>
      <c r="AX869" s="542">
        <f t="shared" si="39"/>
        <v>80.399999999999991</v>
      </c>
      <c r="AY869" s="542">
        <f t="shared" si="39"/>
        <v>80.399999999999991</v>
      </c>
      <c r="AZ869" s="542">
        <f t="shared" si="39"/>
        <v>80.399999999999991</v>
      </c>
      <c r="BA869" s="542">
        <f t="shared" si="39"/>
        <v>80.399999999999991</v>
      </c>
      <c r="BB869" s="542">
        <f t="shared" si="39"/>
        <v>80.399999999999991</v>
      </c>
      <c r="BC869" s="542">
        <f t="shared" si="39"/>
        <v>80.399999999999991</v>
      </c>
      <c r="BD869" s="542">
        <f t="shared" si="39"/>
        <v>80.399999999999991</v>
      </c>
      <c r="BE869" s="542">
        <f t="shared" si="39"/>
        <v>80.399999999999991</v>
      </c>
      <c r="BF869" s="542">
        <f t="shared" si="39"/>
        <v>80.399999999999991</v>
      </c>
      <c r="BG869" s="542">
        <f t="shared" si="39"/>
        <v>80.399999999999991</v>
      </c>
      <c r="BH869" s="542">
        <f t="shared" si="39"/>
        <v>80.399999999999991</v>
      </c>
      <c r="BI869" s="542">
        <f t="shared" si="39"/>
        <v>80.399999999999991</v>
      </c>
      <c r="BJ869" s="542">
        <f t="shared" si="39"/>
        <v>80.399999999999991</v>
      </c>
      <c r="BK869" s="542">
        <f t="shared" si="39"/>
        <v>80.399999999999991</v>
      </c>
      <c r="BL869" s="542">
        <f t="shared" si="39"/>
        <v>80.399999999999991</v>
      </c>
      <c r="BM869" s="542">
        <f t="shared" si="39"/>
        <v>80.399999999999991</v>
      </c>
      <c r="BN869" s="542">
        <f t="shared" si="39"/>
        <v>80.399999999999991</v>
      </c>
      <c r="BO869" s="542">
        <f t="shared" si="39"/>
        <v>80.399999999999991</v>
      </c>
      <c r="BP869" s="542">
        <f t="shared" si="39"/>
        <v>80.399999999999991</v>
      </c>
      <c r="BQ869" s="542">
        <f t="shared" si="39"/>
        <v>80.399999999999991</v>
      </c>
      <c r="BR869" s="542">
        <f t="shared" si="39"/>
        <v>80.399999999999991</v>
      </c>
      <c r="BS869" s="542">
        <f t="shared" si="39"/>
        <v>80.399999999999991</v>
      </c>
      <c r="BT869" s="542">
        <f t="shared" si="39"/>
        <v>80.399999999999991</v>
      </c>
      <c r="BU869" s="542">
        <f t="shared" si="39"/>
        <v>80.399999999999991</v>
      </c>
      <c r="BV869" s="542">
        <f t="shared" si="39"/>
        <v>80.399999999999991</v>
      </c>
      <c r="BW869" s="542">
        <f t="shared" si="39"/>
        <v>80.399999999999991</v>
      </c>
      <c r="BX869" s="542">
        <f t="shared" si="39"/>
        <v>80.399999999999991</v>
      </c>
      <c r="BY869" s="542">
        <f t="shared" si="39"/>
        <v>80.399999999999991</v>
      </c>
      <c r="BZ869" s="542">
        <f t="shared" si="32"/>
        <v>80.399999999999991</v>
      </c>
      <c r="CA869" s="542">
        <f t="shared" si="32"/>
        <v>80.399999999999991</v>
      </c>
      <c r="CB869" s="542">
        <f t="shared" si="32"/>
        <v>80.399999999999991</v>
      </c>
      <c r="CC869" s="542">
        <f t="shared" si="32"/>
        <v>80.399999999999991</v>
      </c>
      <c r="CD869" s="542">
        <f t="shared" si="32"/>
        <v>80.399999999999991</v>
      </c>
      <c r="CE869" s="542">
        <f t="shared" si="32"/>
        <v>80.399999999999991</v>
      </c>
      <c r="CF869" s="542">
        <f t="shared" si="32"/>
        <v>80.399999999999991</v>
      </c>
      <c r="CG869" s="542">
        <f t="shared" si="32"/>
        <v>80.399999999999991</v>
      </c>
      <c r="CH869" s="542">
        <f t="shared" si="32"/>
        <v>80.399999999999991</v>
      </c>
      <c r="CI869" s="542">
        <f t="shared" si="32"/>
        <v>80.399999999999991</v>
      </c>
    </row>
    <row r="870" spans="1:87" ht="14.25" customHeight="1" x14ac:dyDescent="0.35">
      <c r="A870" s="42" t="s">
        <v>104</v>
      </c>
      <c r="B870" s="54">
        <f t="shared" si="35"/>
        <v>0</v>
      </c>
      <c r="C870" s="54">
        <f t="shared" si="35"/>
        <v>32.611092389156795</v>
      </c>
      <c r="D870" s="54">
        <f t="shared" si="35"/>
        <v>35.913837411756191</v>
      </c>
      <c r="E870" s="54">
        <f t="shared" si="35"/>
        <v>39.825816687296452</v>
      </c>
      <c r="F870" s="54">
        <f t="shared" si="35"/>
        <v>44.837998804444197</v>
      </c>
      <c r="G870" s="54">
        <f t="shared" si="35"/>
        <v>49.907637953194929</v>
      </c>
      <c r="H870" s="54">
        <f t="shared" si="35"/>
        <v>55.585854791339372</v>
      </c>
      <c r="I870" s="54">
        <f t="shared" si="35"/>
        <v>62.238730277986463</v>
      </c>
      <c r="J870" s="54">
        <f t="shared" si="35"/>
        <v>71.028099173553713</v>
      </c>
      <c r="K870" s="54">
        <f t="shared" si="35"/>
        <v>80.399999999999991</v>
      </c>
      <c r="L870" s="542">
        <f t="shared" si="34"/>
        <v>80.399999999999991</v>
      </c>
      <c r="M870" s="542">
        <f t="shared" si="34"/>
        <v>80.399999999999991</v>
      </c>
      <c r="N870" s="542">
        <f t="shared" si="39"/>
        <v>80.399999999999991</v>
      </c>
      <c r="O870" s="542">
        <f t="shared" si="39"/>
        <v>80.399999999999991</v>
      </c>
      <c r="P870" s="542">
        <f t="shared" si="39"/>
        <v>80.399999999999991</v>
      </c>
      <c r="Q870" s="542">
        <f t="shared" si="39"/>
        <v>80.399999999999991</v>
      </c>
      <c r="R870" s="542">
        <f t="shared" si="39"/>
        <v>80.399999999999991</v>
      </c>
      <c r="S870" s="542">
        <f t="shared" si="39"/>
        <v>80.399999999999991</v>
      </c>
      <c r="T870" s="542">
        <f t="shared" si="39"/>
        <v>80.399999999999991</v>
      </c>
      <c r="U870" s="542">
        <f t="shared" si="39"/>
        <v>80.399999999999991</v>
      </c>
      <c r="V870" s="542">
        <f t="shared" si="39"/>
        <v>80.399999999999991</v>
      </c>
      <c r="W870" s="542">
        <f t="shared" si="39"/>
        <v>80.399999999999991</v>
      </c>
      <c r="X870" s="542">
        <f t="shared" si="39"/>
        <v>80.399999999999991</v>
      </c>
      <c r="Y870" s="542">
        <f t="shared" si="39"/>
        <v>80.399999999999991</v>
      </c>
      <c r="Z870" s="542">
        <f t="shared" si="39"/>
        <v>80.399999999999991</v>
      </c>
      <c r="AA870" s="542">
        <f t="shared" si="39"/>
        <v>80.399999999999991</v>
      </c>
      <c r="AB870" s="542">
        <f t="shared" si="39"/>
        <v>80.399999999999991</v>
      </c>
      <c r="AC870" s="542">
        <f t="shared" si="39"/>
        <v>80.399999999999991</v>
      </c>
      <c r="AD870" s="542">
        <f t="shared" si="39"/>
        <v>80.399999999999991</v>
      </c>
      <c r="AE870" s="542">
        <f t="shared" si="39"/>
        <v>80.399999999999991</v>
      </c>
      <c r="AF870" s="542">
        <f t="shared" si="39"/>
        <v>80.399999999999991</v>
      </c>
      <c r="AG870" s="542">
        <f t="shared" si="39"/>
        <v>80.399999999999991</v>
      </c>
      <c r="AH870" s="542">
        <f t="shared" si="39"/>
        <v>80.399999999999991</v>
      </c>
      <c r="AI870" s="542">
        <f t="shared" si="39"/>
        <v>80.399999999999991</v>
      </c>
      <c r="AJ870" s="542">
        <f t="shared" si="39"/>
        <v>80.399999999999991</v>
      </c>
      <c r="AK870" s="542">
        <f t="shared" si="39"/>
        <v>80.399999999999991</v>
      </c>
      <c r="AL870" s="542">
        <f t="shared" si="39"/>
        <v>80.399999999999991</v>
      </c>
      <c r="AM870" s="542">
        <f t="shared" si="39"/>
        <v>80.399999999999991</v>
      </c>
      <c r="AN870" s="542">
        <f t="shared" si="39"/>
        <v>80.399999999999991</v>
      </c>
      <c r="AO870" s="542">
        <f t="shared" si="39"/>
        <v>80.399999999999991</v>
      </c>
      <c r="AP870" s="542">
        <f t="shared" si="39"/>
        <v>80.399999999999991</v>
      </c>
      <c r="AQ870" s="542">
        <f t="shared" si="39"/>
        <v>80.399999999999991</v>
      </c>
      <c r="AR870" s="542">
        <f t="shared" si="39"/>
        <v>80.399999999999991</v>
      </c>
      <c r="AS870" s="542">
        <f t="shared" si="39"/>
        <v>80.399999999999991</v>
      </c>
      <c r="AT870" s="542">
        <f t="shared" si="39"/>
        <v>80.399999999999991</v>
      </c>
      <c r="AU870" s="542">
        <f t="shared" si="39"/>
        <v>80.399999999999991</v>
      </c>
      <c r="AV870" s="542">
        <f t="shared" si="39"/>
        <v>80.399999999999991</v>
      </c>
      <c r="AW870" s="542">
        <f t="shared" si="39"/>
        <v>80.399999999999991</v>
      </c>
      <c r="AX870" s="542">
        <f t="shared" si="39"/>
        <v>80.399999999999991</v>
      </c>
      <c r="AY870" s="542">
        <f t="shared" si="39"/>
        <v>80.399999999999991</v>
      </c>
      <c r="AZ870" s="542">
        <f t="shared" si="39"/>
        <v>80.399999999999991</v>
      </c>
      <c r="BA870" s="542">
        <f t="shared" si="39"/>
        <v>80.399999999999991</v>
      </c>
      <c r="BB870" s="542">
        <f t="shared" si="39"/>
        <v>80.399999999999991</v>
      </c>
      <c r="BC870" s="542">
        <f t="shared" si="39"/>
        <v>80.399999999999991</v>
      </c>
      <c r="BD870" s="542">
        <f t="shared" si="39"/>
        <v>80.399999999999991</v>
      </c>
      <c r="BE870" s="542">
        <f t="shared" si="39"/>
        <v>80.399999999999991</v>
      </c>
      <c r="BF870" s="542">
        <f t="shared" si="39"/>
        <v>80.399999999999991</v>
      </c>
      <c r="BG870" s="542">
        <f t="shared" si="39"/>
        <v>80.399999999999991</v>
      </c>
      <c r="BH870" s="542">
        <f t="shared" si="39"/>
        <v>80.399999999999991</v>
      </c>
      <c r="BI870" s="542">
        <f t="shared" si="39"/>
        <v>80.399999999999991</v>
      </c>
      <c r="BJ870" s="542">
        <f t="shared" si="39"/>
        <v>80.399999999999991</v>
      </c>
      <c r="BK870" s="542">
        <f t="shared" si="39"/>
        <v>80.399999999999991</v>
      </c>
      <c r="BL870" s="542">
        <f t="shared" si="39"/>
        <v>80.399999999999991</v>
      </c>
      <c r="BM870" s="542">
        <f t="shared" si="39"/>
        <v>80.399999999999991</v>
      </c>
      <c r="BN870" s="542">
        <f t="shared" si="39"/>
        <v>80.399999999999991</v>
      </c>
      <c r="BO870" s="542">
        <f t="shared" si="39"/>
        <v>80.399999999999991</v>
      </c>
      <c r="BP870" s="542">
        <f t="shared" si="39"/>
        <v>80.399999999999991</v>
      </c>
      <c r="BQ870" s="542">
        <f t="shared" si="39"/>
        <v>80.399999999999991</v>
      </c>
      <c r="BR870" s="542">
        <f t="shared" si="39"/>
        <v>80.399999999999991</v>
      </c>
      <c r="BS870" s="542">
        <f t="shared" si="39"/>
        <v>80.399999999999991</v>
      </c>
      <c r="BT870" s="542">
        <f t="shared" si="39"/>
        <v>80.399999999999991</v>
      </c>
      <c r="BU870" s="542">
        <f t="shared" si="39"/>
        <v>80.399999999999991</v>
      </c>
      <c r="BV870" s="542">
        <f t="shared" si="39"/>
        <v>80.399999999999991</v>
      </c>
      <c r="BW870" s="542">
        <f t="shared" si="39"/>
        <v>80.399999999999991</v>
      </c>
      <c r="BX870" s="542">
        <f t="shared" si="39"/>
        <v>80.399999999999991</v>
      </c>
      <c r="BY870" s="542">
        <f t="shared" si="39"/>
        <v>80.399999999999991</v>
      </c>
      <c r="BZ870" s="542">
        <f t="shared" si="32"/>
        <v>80.399999999999991</v>
      </c>
      <c r="CA870" s="542">
        <f t="shared" si="32"/>
        <v>80.399999999999991</v>
      </c>
      <c r="CB870" s="542">
        <f t="shared" si="32"/>
        <v>80.399999999999991</v>
      </c>
      <c r="CC870" s="542">
        <f t="shared" si="32"/>
        <v>80.399999999999991</v>
      </c>
      <c r="CD870" s="542">
        <f t="shared" si="32"/>
        <v>80.399999999999991</v>
      </c>
      <c r="CE870" s="542">
        <f t="shared" si="32"/>
        <v>80.399999999999991</v>
      </c>
      <c r="CF870" s="542">
        <f t="shared" si="32"/>
        <v>80.399999999999991</v>
      </c>
      <c r="CG870" s="542">
        <f t="shared" si="32"/>
        <v>80.399999999999991</v>
      </c>
      <c r="CH870" s="542">
        <f t="shared" si="32"/>
        <v>80.399999999999991</v>
      </c>
      <c r="CI870" s="542">
        <f t="shared" si="32"/>
        <v>80.399999999999991</v>
      </c>
    </row>
    <row r="871" spans="1:87" ht="14.25" customHeight="1" x14ac:dyDescent="0.35">
      <c r="A871" s="42" t="s">
        <v>105</v>
      </c>
      <c r="B871" s="54">
        <f t="shared" si="35"/>
        <v>0</v>
      </c>
      <c r="C871" s="54">
        <f t="shared" si="35"/>
        <v>32.611092389156795</v>
      </c>
      <c r="D871" s="54">
        <f t="shared" si="35"/>
        <v>35.913837411756191</v>
      </c>
      <c r="E871" s="54">
        <f t="shared" si="35"/>
        <v>39.825816687296452</v>
      </c>
      <c r="F871" s="54">
        <f t="shared" si="35"/>
        <v>44.837998804444197</v>
      </c>
      <c r="G871" s="54">
        <f t="shared" si="35"/>
        <v>49.907637953194929</v>
      </c>
      <c r="H871" s="54">
        <f t="shared" si="35"/>
        <v>55.585854791339372</v>
      </c>
      <c r="I871" s="54">
        <f t="shared" si="35"/>
        <v>62.238730277986463</v>
      </c>
      <c r="J871" s="54">
        <f t="shared" si="35"/>
        <v>71.028099173553713</v>
      </c>
      <c r="K871" s="54">
        <f t="shared" si="35"/>
        <v>80.399999999999991</v>
      </c>
      <c r="L871" s="542">
        <f t="shared" si="34"/>
        <v>80.399999999999991</v>
      </c>
      <c r="M871" s="542">
        <f t="shared" si="34"/>
        <v>80.399999999999991</v>
      </c>
      <c r="N871" s="542">
        <f t="shared" si="39"/>
        <v>80.399999999999991</v>
      </c>
      <c r="O871" s="542">
        <f t="shared" si="39"/>
        <v>80.399999999999991</v>
      </c>
      <c r="P871" s="542">
        <f t="shared" si="39"/>
        <v>80.399999999999991</v>
      </c>
      <c r="Q871" s="542">
        <f t="shared" si="39"/>
        <v>80.399999999999991</v>
      </c>
      <c r="R871" s="542">
        <f t="shared" si="39"/>
        <v>80.399999999999991</v>
      </c>
      <c r="S871" s="542">
        <f t="shared" si="39"/>
        <v>80.399999999999991</v>
      </c>
      <c r="T871" s="542">
        <f t="shared" si="39"/>
        <v>80.399999999999991</v>
      </c>
      <c r="U871" s="542">
        <f t="shared" si="39"/>
        <v>80.399999999999991</v>
      </c>
      <c r="V871" s="542">
        <f t="shared" si="39"/>
        <v>80.399999999999991</v>
      </c>
      <c r="W871" s="542">
        <f t="shared" si="39"/>
        <v>80.399999999999991</v>
      </c>
      <c r="X871" s="542">
        <f t="shared" si="39"/>
        <v>80.399999999999991</v>
      </c>
      <c r="Y871" s="542">
        <f t="shared" si="39"/>
        <v>80.399999999999991</v>
      </c>
      <c r="Z871" s="542">
        <f t="shared" si="39"/>
        <v>80.399999999999991</v>
      </c>
      <c r="AA871" s="542">
        <f t="shared" si="39"/>
        <v>80.399999999999991</v>
      </c>
      <c r="AB871" s="542">
        <f t="shared" si="39"/>
        <v>80.399999999999991</v>
      </c>
      <c r="AC871" s="542">
        <f t="shared" si="39"/>
        <v>80.399999999999991</v>
      </c>
      <c r="AD871" s="542">
        <f t="shared" si="39"/>
        <v>80.399999999999991</v>
      </c>
      <c r="AE871" s="542">
        <f t="shared" si="39"/>
        <v>80.399999999999991</v>
      </c>
      <c r="AF871" s="542">
        <f t="shared" si="39"/>
        <v>80.399999999999991</v>
      </c>
      <c r="AG871" s="542">
        <f t="shared" si="39"/>
        <v>80.399999999999991</v>
      </c>
      <c r="AH871" s="542">
        <f t="shared" si="39"/>
        <v>80.399999999999991</v>
      </c>
      <c r="AI871" s="542">
        <f t="shared" si="39"/>
        <v>80.399999999999991</v>
      </c>
      <c r="AJ871" s="542">
        <f t="shared" si="39"/>
        <v>80.399999999999991</v>
      </c>
      <c r="AK871" s="542">
        <f t="shared" si="39"/>
        <v>80.399999999999991</v>
      </c>
      <c r="AL871" s="542">
        <f t="shared" si="39"/>
        <v>80.399999999999991</v>
      </c>
      <c r="AM871" s="542">
        <f t="shared" si="39"/>
        <v>80.399999999999991</v>
      </c>
      <c r="AN871" s="542">
        <f t="shared" si="39"/>
        <v>80.399999999999991</v>
      </c>
      <c r="AO871" s="542">
        <f t="shared" si="39"/>
        <v>80.399999999999991</v>
      </c>
      <c r="AP871" s="542">
        <f t="shared" si="39"/>
        <v>80.399999999999991</v>
      </c>
      <c r="AQ871" s="542">
        <f t="shared" si="39"/>
        <v>80.399999999999991</v>
      </c>
      <c r="AR871" s="542">
        <f t="shared" si="39"/>
        <v>80.399999999999991</v>
      </c>
      <c r="AS871" s="542">
        <f t="shared" si="39"/>
        <v>80.399999999999991</v>
      </c>
      <c r="AT871" s="542">
        <f t="shared" si="39"/>
        <v>80.399999999999991</v>
      </c>
      <c r="AU871" s="542">
        <f t="shared" si="39"/>
        <v>80.399999999999991</v>
      </c>
      <c r="AV871" s="542">
        <f t="shared" si="39"/>
        <v>80.399999999999991</v>
      </c>
      <c r="AW871" s="542">
        <f t="shared" si="39"/>
        <v>80.399999999999991</v>
      </c>
      <c r="AX871" s="542">
        <f t="shared" si="39"/>
        <v>80.399999999999991</v>
      </c>
      <c r="AY871" s="542">
        <f t="shared" si="39"/>
        <v>80.399999999999991</v>
      </c>
      <c r="AZ871" s="542">
        <f t="shared" si="39"/>
        <v>80.399999999999991</v>
      </c>
      <c r="BA871" s="542">
        <f t="shared" si="39"/>
        <v>80.399999999999991</v>
      </c>
      <c r="BB871" s="542">
        <f t="shared" si="39"/>
        <v>80.399999999999991</v>
      </c>
      <c r="BC871" s="542">
        <f t="shared" si="39"/>
        <v>80.399999999999991</v>
      </c>
      <c r="BD871" s="542">
        <f t="shared" si="39"/>
        <v>80.399999999999991</v>
      </c>
      <c r="BE871" s="542">
        <f t="shared" si="39"/>
        <v>80.399999999999991</v>
      </c>
      <c r="BF871" s="542">
        <f t="shared" si="39"/>
        <v>80.399999999999991</v>
      </c>
      <c r="BG871" s="542">
        <f t="shared" si="39"/>
        <v>80.399999999999991</v>
      </c>
      <c r="BH871" s="542">
        <f t="shared" si="39"/>
        <v>80.399999999999991</v>
      </c>
      <c r="BI871" s="542">
        <f t="shared" si="39"/>
        <v>80.399999999999991</v>
      </c>
      <c r="BJ871" s="542">
        <f t="shared" si="39"/>
        <v>80.399999999999991</v>
      </c>
      <c r="BK871" s="542">
        <f t="shared" si="39"/>
        <v>80.399999999999991</v>
      </c>
      <c r="BL871" s="542">
        <f t="shared" si="39"/>
        <v>80.399999999999991</v>
      </c>
      <c r="BM871" s="542">
        <f t="shared" si="39"/>
        <v>80.399999999999991</v>
      </c>
      <c r="BN871" s="542">
        <f t="shared" si="39"/>
        <v>80.399999999999991</v>
      </c>
      <c r="BO871" s="542">
        <f t="shared" si="39"/>
        <v>80.399999999999991</v>
      </c>
      <c r="BP871" s="542">
        <f t="shared" si="39"/>
        <v>80.399999999999991</v>
      </c>
      <c r="BQ871" s="542">
        <f t="shared" si="39"/>
        <v>80.399999999999991</v>
      </c>
      <c r="BR871" s="542">
        <f t="shared" si="39"/>
        <v>80.399999999999991</v>
      </c>
      <c r="BS871" s="542">
        <f t="shared" si="39"/>
        <v>80.399999999999991</v>
      </c>
      <c r="BT871" s="542">
        <f t="shared" si="39"/>
        <v>80.399999999999991</v>
      </c>
      <c r="BU871" s="542">
        <f t="shared" si="39"/>
        <v>80.399999999999991</v>
      </c>
      <c r="BV871" s="542">
        <f t="shared" si="39"/>
        <v>80.399999999999991</v>
      </c>
      <c r="BW871" s="542">
        <f t="shared" si="39"/>
        <v>80.399999999999991</v>
      </c>
      <c r="BX871" s="542">
        <f t="shared" si="39"/>
        <v>80.399999999999991</v>
      </c>
      <c r="BY871" s="542">
        <f t="shared" ref="BY871" si="40">+BX871</f>
        <v>80.399999999999991</v>
      </c>
      <c r="BZ871" s="542">
        <f t="shared" si="32"/>
        <v>80.399999999999991</v>
      </c>
      <c r="CA871" s="542">
        <f t="shared" si="32"/>
        <v>80.399999999999991</v>
      </c>
      <c r="CB871" s="542">
        <f t="shared" si="32"/>
        <v>80.399999999999991</v>
      </c>
      <c r="CC871" s="542">
        <f t="shared" si="32"/>
        <v>80.399999999999991</v>
      </c>
      <c r="CD871" s="542">
        <f t="shared" si="32"/>
        <v>80.399999999999991</v>
      </c>
      <c r="CE871" s="542">
        <f t="shared" si="32"/>
        <v>80.399999999999991</v>
      </c>
      <c r="CF871" s="542">
        <f t="shared" si="32"/>
        <v>80.399999999999991</v>
      </c>
      <c r="CG871" s="542">
        <f t="shared" si="32"/>
        <v>80.399999999999991</v>
      </c>
      <c r="CH871" s="542">
        <f t="shared" si="32"/>
        <v>80.399999999999991</v>
      </c>
      <c r="CI871" s="542">
        <f t="shared" si="32"/>
        <v>80.399999999999991</v>
      </c>
    </row>
    <row r="872" spans="1:87" ht="14.25" customHeight="1" x14ac:dyDescent="0.35">
      <c r="A872" s="42" t="s">
        <v>106</v>
      </c>
      <c r="B872" s="54">
        <f t="shared" si="35"/>
        <v>0</v>
      </c>
      <c r="C872" s="54">
        <f t="shared" si="35"/>
        <v>32.611092389156795</v>
      </c>
      <c r="D872" s="54">
        <f t="shared" si="35"/>
        <v>35.913837411756191</v>
      </c>
      <c r="E872" s="54">
        <f t="shared" si="35"/>
        <v>39.825816687296452</v>
      </c>
      <c r="F872" s="54">
        <f t="shared" si="35"/>
        <v>44.837998804444197</v>
      </c>
      <c r="G872" s="54">
        <f t="shared" si="35"/>
        <v>49.907637953194929</v>
      </c>
      <c r="H872" s="54">
        <f t="shared" si="35"/>
        <v>55.585854791339372</v>
      </c>
      <c r="I872" s="54">
        <f t="shared" si="35"/>
        <v>62.238730277986463</v>
      </c>
      <c r="J872" s="54">
        <f t="shared" si="35"/>
        <v>71.028099173553713</v>
      </c>
      <c r="K872" s="54">
        <f t="shared" si="35"/>
        <v>80.399999999999991</v>
      </c>
      <c r="L872" s="542">
        <f t="shared" si="34"/>
        <v>80.399999999999991</v>
      </c>
      <c r="M872" s="542">
        <f t="shared" si="34"/>
        <v>80.399999999999991</v>
      </c>
      <c r="N872" s="542">
        <f t="shared" ref="N872:BY875" si="41">+M872</f>
        <v>80.399999999999991</v>
      </c>
      <c r="O872" s="542">
        <f t="shared" si="41"/>
        <v>80.399999999999991</v>
      </c>
      <c r="P872" s="542">
        <f t="shared" si="41"/>
        <v>80.399999999999991</v>
      </c>
      <c r="Q872" s="542">
        <f t="shared" si="41"/>
        <v>80.399999999999991</v>
      </c>
      <c r="R872" s="542">
        <f t="shared" si="41"/>
        <v>80.399999999999991</v>
      </c>
      <c r="S872" s="542">
        <f t="shared" si="41"/>
        <v>80.399999999999991</v>
      </c>
      <c r="T872" s="542">
        <f t="shared" si="41"/>
        <v>80.399999999999991</v>
      </c>
      <c r="U872" s="542">
        <f t="shared" si="41"/>
        <v>80.399999999999991</v>
      </c>
      <c r="V872" s="542">
        <f t="shared" si="41"/>
        <v>80.399999999999991</v>
      </c>
      <c r="W872" s="542">
        <f t="shared" si="41"/>
        <v>80.399999999999991</v>
      </c>
      <c r="X872" s="542">
        <f t="shared" si="41"/>
        <v>80.399999999999991</v>
      </c>
      <c r="Y872" s="542">
        <f t="shared" si="41"/>
        <v>80.399999999999991</v>
      </c>
      <c r="Z872" s="542">
        <f t="shared" si="41"/>
        <v>80.399999999999991</v>
      </c>
      <c r="AA872" s="542">
        <f t="shared" si="41"/>
        <v>80.399999999999991</v>
      </c>
      <c r="AB872" s="542">
        <f t="shared" si="41"/>
        <v>80.399999999999991</v>
      </c>
      <c r="AC872" s="542">
        <f t="shared" si="41"/>
        <v>80.399999999999991</v>
      </c>
      <c r="AD872" s="542">
        <f t="shared" si="41"/>
        <v>80.399999999999991</v>
      </c>
      <c r="AE872" s="542">
        <f t="shared" si="41"/>
        <v>80.399999999999991</v>
      </c>
      <c r="AF872" s="542">
        <f t="shared" si="41"/>
        <v>80.399999999999991</v>
      </c>
      <c r="AG872" s="542">
        <f t="shared" si="41"/>
        <v>80.399999999999991</v>
      </c>
      <c r="AH872" s="542">
        <f t="shared" si="41"/>
        <v>80.399999999999991</v>
      </c>
      <c r="AI872" s="542">
        <f t="shared" si="41"/>
        <v>80.399999999999991</v>
      </c>
      <c r="AJ872" s="542">
        <f t="shared" si="41"/>
        <v>80.399999999999991</v>
      </c>
      <c r="AK872" s="542">
        <f t="shared" si="41"/>
        <v>80.399999999999991</v>
      </c>
      <c r="AL872" s="542">
        <f t="shared" si="41"/>
        <v>80.399999999999991</v>
      </c>
      <c r="AM872" s="542">
        <f t="shared" si="41"/>
        <v>80.399999999999991</v>
      </c>
      <c r="AN872" s="542">
        <f t="shared" si="41"/>
        <v>80.399999999999991</v>
      </c>
      <c r="AO872" s="542">
        <f t="shared" si="41"/>
        <v>80.399999999999991</v>
      </c>
      <c r="AP872" s="542">
        <f t="shared" si="41"/>
        <v>80.399999999999991</v>
      </c>
      <c r="AQ872" s="542">
        <f t="shared" si="41"/>
        <v>80.399999999999991</v>
      </c>
      <c r="AR872" s="542">
        <f t="shared" si="41"/>
        <v>80.399999999999991</v>
      </c>
      <c r="AS872" s="542">
        <f t="shared" si="41"/>
        <v>80.399999999999991</v>
      </c>
      <c r="AT872" s="542">
        <f t="shared" si="41"/>
        <v>80.399999999999991</v>
      </c>
      <c r="AU872" s="542">
        <f t="shared" si="41"/>
        <v>80.399999999999991</v>
      </c>
      <c r="AV872" s="542">
        <f t="shared" si="41"/>
        <v>80.399999999999991</v>
      </c>
      <c r="AW872" s="542">
        <f t="shared" si="41"/>
        <v>80.399999999999991</v>
      </c>
      <c r="AX872" s="542">
        <f t="shared" si="41"/>
        <v>80.399999999999991</v>
      </c>
      <c r="AY872" s="542">
        <f t="shared" si="41"/>
        <v>80.399999999999991</v>
      </c>
      <c r="AZ872" s="542">
        <f t="shared" si="41"/>
        <v>80.399999999999991</v>
      </c>
      <c r="BA872" s="542">
        <f t="shared" si="41"/>
        <v>80.399999999999991</v>
      </c>
      <c r="BB872" s="542">
        <f t="shared" si="41"/>
        <v>80.399999999999991</v>
      </c>
      <c r="BC872" s="542">
        <f t="shared" si="41"/>
        <v>80.399999999999991</v>
      </c>
      <c r="BD872" s="542">
        <f t="shared" si="41"/>
        <v>80.399999999999991</v>
      </c>
      <c r="BE872" s="542">
        <f t="shared" si="41"/>
        <v>80.399999999999991</v>
      </c>
      <c r="BF872" s="542">
        <f t="shared" si="41"/>
        <v>80.399999999999991</v>
      </c>
      <c r="BG872" s="542">
        <f t="shared" si="41"/>
        <v>80.399999999999991</v>
      </c>
      <c r="BH872" s="542">
        <f t="shared" si="41"/>
        <v>80.399999999999991</v>
      </c>
      <c r="BI872" s="542">
        <f t="shared" si="41"/>
        <v>80.399999999999991</v>
      </c>
      <c r="BJ872" s="542">
        <f t="shared" si="41"/>
        <v>80.399999999999991</v>
      </c>
      <c r="BK872" s="542">
        <f t="shared" si="41"/>
        <v>80.399999999999991</v>
      </c>
      <c r="BL872" s="542">
        <f t="shared" si="41"/>
        <v>80.399999999999991</v>
      </c>
      <c r="BM872" s="542">
        <f t="shared" si="41"/>
        <v>80.399999999999991</v>
      </c>
      <c r="BN872" s="542">
        <f t="shared" si="41"/>
        <v>80.399999999999991</v>
      </c>
      <c r="BO872" s="542">
        <f t="shared" si="41"/>
        <v>80.399999999999991</v>
      </c>
      <c r="BP872" s="542">
        <f t="shared" si="41"/>
        <v>80.399999999999991</v>
      </c>
      <c r="BQ872" s="542">
        <f t="shared" si="41"/>
        <v>80.399999999999991</v>
      </c>
      <c r="BR872" s="542">
        <f t="shared" si="41"/>
        <v>80.399999999999991</v>
      </c>
      <c r="BS872" s="542">
        <f t="shared" si="41"/>
        <v>80.399999999999991</v>
      </c>
      <c r="BT872" s="542">
        <f t="shared" si="41"/>
        <v>80.399999999999991</v>
      </c>
      <c r="BU872" s="542">
        <f t="shared" si="41"/>
        <v>80.399999999999991</v>
      </c>
      <c r="BV872" s="542">
        <f t="shared" si="41"/>
        <v>80.399999999999991</v>
      </c>
      <c r="BW872" s="542">
        <f t="shared" si="41"/>
        <v>80.399999999999991</v>
      </c>
      <c r="BX872" s="542">
        <f t="shared" si="41"/>
        <v>80.399999999999991</v>
      </c>
      <c r="BY872" s="542">
        <f t="shared" si="41"/>
        <v>80.399999999999991</v>
      </c>
      <c r="BZ872" s="542">
        <f t="shared" si="32"/>
        <v>80.399999999999991</v>
      </c>
      <c r="CA872" s="542">
        <f t="shared" si="32"/>
        <v>80.399999999999991</v>
      </c>
      <c r="CB872" s="542">
        <f t="shared" si="32"/>
        <v>80.399999999999991</v>
      </c>
      <c r="CC872" s="542">
        <f t="shared" si="32"/>
        <v>80.399999999999991</v>
      </c>
      <c r="CD872" s="542">
        <f t="shared" si="32"/>
        <v>80.399999999999991</v>
      </c>
      <c r="CE872" s="542">
        <f t="shared" si="32"/>
        <v>80.399999999999991</v>
      </c>
      <c r="CF872" s="542">
        <f t="shared" si="32"/>
        <v>80.399999999999991</v>
      </c>
      <c r="CG872" s="542">
        <f t="shared" si="32"/>
        <v>80.399999999999991</v>
      </c>
      <c r="CH872" s="542">
        <f t="shared" si="32"/>
        <v>80.399999999999991</v>
      </c>
      <c r="CI872" s="542">
        <f t="shared" si="32"/>
        <v>80.399999999999991</v>
      </c>
    </row>
    <row r="873" spans="1:87" ht="14.25" customHeight="1" x14ac:dyDescent="0.35">
      <c r="A873" s="42" t="s">
        <v>107</v>
      </c>
      <c r="B873" s="54">
        <f t="shared" si="35"/>
        <v>0</v>
      </c>
      <c r="C873" s="54">
        <f t="shared" si="35"/>
        <v>32.611092389156795</v>
      </c>
      <c r="D873" s="54">
        <f t="shared" si="35"/>
        <v>35.913837411756191</v>
      </c>
      <c r="E873" s="54">
        <f t="shared" si="35"/>
        <v>39.825816687296452</v>
      </c>
      <c r="F873" s="54">
        <f t="shared" si="35"/>
        <v>44.837998804444197</v>
      </c>
      <c r="G873" s="54">
        <f t="shared" si="35"/>
        <v>49.907637953194929</v>
      </c>
      <c r="H873" s="54">
        <f t="shared" si="35"/>
        <v>55.585854791339372</v>
      </c>
      <c r="I873" s="54">
        <f t="shared" si="35"/>
        <v>62.238730277986463</v>
      </c>
      <c r="J873" s="54">
        <f t="shared" si="35"/>
        <v>71.028099173553713</v>
      </c>
      <c r="K873" s="54">
        <f t="shared" si="35"/>
        <v>80.399999999999991</v>
      </c>
      <c r="L873" s="542">
        <f t="shared" si="34"/>
        <v>80.399999999999991</v>
      </c>
      <c r="M873" s="542">
        <f t="shared" si="34"/>
        <v>80.399999999999991</v>
      </c>
      <c r="N873" s="542">
        <f t="shared" si="41"/>
        <v>80.399999999999991</v>
      </c>
      <c r="O873" s="542">
        <f t="shared" si="41"/>
        <v>80.399999999999991</v>
      </c>
      <c r="P873" s="542">
        <f t="shared" si="41"/>
        <v>80.399999999999991</v>
      </c>
      <c r="Q873" s="542">
        <f t="shared" si="41"/>
        <v>80.399999999999991</v>
      </c>
      <c r="R873" s="542">
        <f t="shared" si="41"/>
        <v>80.399999999999991</v>
      </c>
      <c r="S873" s="542">
        <f t="shared" si="41"/>
        <v>80.399999999999991</v>
      </c>
      <c r="T873" s="542">
        <f t="shared" si="41"/>
        <v>80.399999999999991</v>
      </c>
      <c r="U873" s="542">
        <f t="shared" si="41"/>
        <v>80.399999999999991</v>
      </c>
      <c r="V873" s="542">
        <f t="shared" si="41"/>
        <v>80.399999999999991</v>
      </c>
      <c r="W873" s="542">
        <f t="shared" si="41"/>
        <v>80.399999999999991</v>
      </c>
      <c r="X873" s="542">
        <f t="shared" si="41"/>
        <v>80.399999999999991</v>
      </c>
      <c r="Y873" s="542">
        <f t="shared" si="41"/>
        <v>80.399999999999991</v>
      </c>
      <c r="Z873" s="542">
        <f t="shared" si="41"/>
        <v>80.399999999999991</v>
      </c>
      <c r="AA873" s="542">
        <f t="shared" si="41"/>
        <v>80.399999999999991</v>
      </c>
      <c r="AB873" s="542">
        <f t="shared" si="41"/>
        <v>80.399999999999991</v>
      </c>
      <c r="AC873" s="542">
        <f t="shared" si="41"/>
        <v>80.399999999999991</v>
      </c>
      <c r="AD873" s="542">
        <f t="shared" si="41"/>
        <v>80.399999999999991</v>
      </c>
      <c r="AE873" s="542">
        <f t="shared" si="41"/>
        <v>80.399999999999991</v>
      </c>
      <c r="AF873" s="542">
        <f t="shared" si="41"/>
        <v>80.399999999999991</v>
      </c>
      <c r="AG873" s="542">
        <f t="shared" si="41"/>
        <v>80.399999999999991</v>
      </c>
      <c r="AH873" s="542">
        <f t="shared" si="41"/>
        <v>80.399999999999991</v>
      </c>
      <c r="AI873" s="542">
        <f t="shared" si="41"/>
        <v>80.399999999999991</v>
      </c>
      <c r="AJ873" s="542">
        <f t="shared" si="41"/>
        <v>80.399999999999991</v>
      </c>
      <c r="AK873" s="542">
        <f t="shared" si="41"/>
        <v>80.399999999999991</v>
      </c>
      <c r="AL873" s="542">
        <f t="shared" si="41"/>
        <v>80.399999999999991</v>
      </c>
      <c r="AM873" s="542">
        <f t="shared" si="41"/>
        <v>80.399999999999991</v>
      </c>
      <c r="AN873" s="542">
        <f t="shared" si="41"/>
        <v>80.399999999999991</v>
      </c>
      <c r="AO873" s="542">
        <f t="shared" si="41"/>
        <v>80.399999999999991</v>
      </c>
      <c r="AP873" s="542">
        <f t="shared" si="41"/>
        <v>80.399999999999991</v>
      </c>
      <c r="AQ873" s="542">
        <f t="shared" si="41"/>
        <v>80.399999999999991</v>
      </c>
      <c r="AR873" s="542">
        <f t="shared" si="41"/>
        <v>80.399999999999991</v>
      </c>
      <c r="AS873" s="542">
        <f t="shared" si="41"/>
        <v>80.399999999999991</v>
      </c>
      <c r="AT873" s="542">
        <f t="shared" si="41"/>
        <v>80.399999999999991</v>
      </c>
      <c r="AU873" s="542">
        <f t="shared" si="41"/>
        <v>80.399999999999991</v>
      </c>
      <c r="AV873" s="542">
        <f t="shared" si="41"/>
        <v>80.399999999999991</v>
      </c>
      <c r="AW873" s="542">
        <f t="shared" si="41"/>
        <v>80.399999999999991</v>
      </c>
      <c r="AX873" s="542">
        <f t="shared" si="41"/>
        <v>80.399999999999991</v>
      </c>
      <c r="AY873" s="542">
        <f t="shared" si="41"/>
        <v>80.399999999999991</v>
      </c>
      <c r="AZ873" s="542">
        <f t="shared" si="41"/>
        <v>80.399999999999991</v>
      </c>
      <c r="BA873" s="542">
        <f t="shared" si="41"/>
        <v>80.399999999999991</v>
      </c>
      <c r="BB873" s="542">
        <f t="shared" si="41"/>
        <v>80.399999999999991</v>
      </c>
      <c r="BC873" s="542">
        <f t="shared" si="41"/>
        <v>80.399999999999991</v>
      </c>
      <c r="BD873" s="542">
        <f t="shared" si="41"/>
        <v>80.399999999999991</v>
      </c>
      <c r="BE873" s="542">
        <f t="shared" si="41"/>
        <v>80.399999999999991</v>
      </c>
      <c r="BF873" s="542">
        <f t="shared" si="41"/>
        <v>80.399999999999991</v>
      </c>
      <c r="BG873" s="542">
        <f t="shared" si="41"/>
        <v>80.399999999999991</v>
      </c>
      <c r="BH873" s="542">
        <f t="shared" si="41"/>
        <v>80.399999999999991</v>
      </c>
      <c r="BI873" s="542">
        <f t="shared" si="41"/>
        <v>80.399999999999991</v>
      </c>
      <c r="BJ873" s="542">
        <f t="shared" si="41"/>
        <v>80.399999999999991</v>
      </c>
      <c r="BK873" s="542">
        <f t="shared" si="41"/>
        <v>80.399999999999991</v>
      </c>
      <c r="BL873" s="542">
        <f t="shared" si="41"/>
        <v>80.399999999999991</v>
      </c>
      <c r="BM873" s="542">
        <f t="shared" si="41"/>
        <v>80.399999999999991</v>
      </c>
      <c r="BN873" s="542">
        <f t="shared" si="41"/>
        <v>80.399999999999991</v>
      </c>
      <c r="BO873" s="542">
        <f t="shared" si="41"/>
        <v>80.399999999999991</v>
      </c>
      <c r="BP873" s="542">
        <f t="shared" si="41"/>
        <v>80.399999999999991</v>
      </c>
      <c r="BQ873" s="542">
        <f t="shared" si="41"/>
        <v>80.399999999999991</v>
      </c>
      <c r="BR873" s="542">
        <f t="shared" si="41"/>
        <v>80.399999999999991</v>
      </c>
      <c r="BS873" s="542">
        <f t="shared" si="41"/>
        <v>80.399999999999991</v>
      </c>
      <c r="BT873" s="542">
        <f t="shared" si="41"/>
        <v>80.399999999999991</v>
      </c>
      <c r="BU873" s="542">
        <f t="shared" si="41"/>
        <v>80.399999999999991</v>
      </c>
      <c r="BV873" s="542">
        <f t="shared" si="41"/>
        <v>80.399999999999991</v>
      </c>
      <c r="BW873" s="542">
        <f t="shared" si="41"/>
        <v>80.399999999999991</v>
      </c>
      <c r="BX873" s="542">
        <f t="shared" si="41"/>
        <v>80.399999999999991</v>
      </c>
      <c r="BY873" s="542">
        <f t="shared" si="41"/>
        <v>80.399999999999991</v>
      </c>
      <c r="BZ873" s="542">
        <f t="shared" si="32"/>
        <v>80.399999999999991</v>
      </c>
      <c r="CA873" s="542">
        <f t="shared" si="32"/>
        <v>80.399999999999991</v>
      </c>
      <c r="CB873" s="542">
        <f t="shared" si="32"/>
        <v>80.399999999999991</v>
      </c>
      <c r="CC873" s="542">
        <f t="shared" si="32"/>
        <v>80.399999999999991</v>
      </c>
      <c r="CD873" s="542">
        <f t="shared" si="32"/>
        <v>80.399999999999991</v>
      </c>
      <c r="CE873" s="542">
        <f t="shared" si="32"/>
        <v>80.399999999999991</v>
      </c>
      <c r="CF873" s="542">
        <f t="shared" si="32"/>
        <v>80.399999999999991</v>
      </c>
      <c r="CG873" s="542">
        <f t="shared" si="32"/>
        <v>80.399999999999991</v>
      </c>
      <c r="CH873" s="542">
        <f t="shared" si="32"/>
        <v>80.399999999999991</v>
      </c>
      <c r="CI873" s="542">
        <f t="shared" si="32"/>
        <v>80.399999999999991</v>
      </c>
    </row>
    <row r="874" spans="1:87" ht="14.25" customHeight="1" x14ac:dyDescent="0.35">
      <c r="A874" s="42" t="s">
        <v>108</v>
      </c>
      <c r="B874" s="54">
        <f t="shared" si="35"/>
        <v>0</v>
      </c>
      <c r="C874" s="54">
        <f t="shared" si="35"/>
        <v>32.611092389156795</v>
      </c>
      <c r="D874" s="54">
        <f t="shared" si="35"/>
        <v>35.913837411756191</v>
      </c>
      <c r="E874" s="54">
        <f t="shared" si="35"/>
        <v>39.825816687296452</v>
      </c>
      <c r="F874" s="54">
        <f t="shared" si="35"/>
        <v>44.837998804444197</v>
      </c>
      <c r="G874" s="54">
        <f t="shared" si="35"/>
        <v>49.907637953194929</v>
      </c>
      <c r="H874" s="54">
        <f t="shared" si="35"/>
        <v>55.585854791339372</v>
      </c>
      <c r="I874" s="54">
        <f t="shared" si="35"/>
        <v>62.238730277986463</v>
      </c>
      <c r="J874" s="54">
        <f t="shared" si="35"/>
        <v>71.028099173553713</v>
      </c>
      <c r="K874" s="54">
        <f t="shared" si="35"/>
        <v>80.399999999999991</v>
      </c>
      <c r="L874" s="542">
        <f t="shared" si="34"/>
        <v>80.399999999999991</v>
      </c>
      <c r="M874" s="542">
        <f t="shared" si="34"/>
        <v>80.399999999999991</v>
      </c>
      <c r="N874" s="542">
        <f t="shared" si="41"/>
        <v>80.399999999999991</v>
      </c>
      <c r="O874" s="542">
        <f t="shared" si="41"/>
        <v>80.399999999999991</v>
      </c>
      <c r="P874" s="542">
        <f t="shared" si="41"/>
        <v>80.399999999999991</v>
      </c>
      <c r="Q874" s="542">
        <f t="shared" si="41"/>
        <v>80.399999999999991</v>
      </c>
      <c r="R874" s="542">
        <f t="shared" si="41"/>
        <v>80.399999999999991</v>
      </c>
      <c r="S874" s="542">
        <f t="shared" si="41"/>
        <v>80.399999999999991</v>
      </c>
      <c r="T874" s="542">
        <f t="shared" si="41"/>
        <v>80.399999999999991</v>
      </c>
      <c r="U874" s="542">
        <f t="shared" si="41"/>
        <v>80.399999999999991</v>
      </c>
      <c r="V874" s="542">
        <f t="shared" si="41"/>
        <v>80.399999999999991</v>
      </c>
      <c r="W874" s="542">
        <f t="shared" si="41"/>
        <v>80.399999999999991</v>
      </c>
      <c r="X874" s="542">
        <f t="shared" si="41"/>
        <v>80.399999999999991</v>
      </c>
      <c r="Y874" s="542">
        <f t="shared" si="41"/>
        <v>80.399999999999991</v>
      </c>
      <c r="Z874" s="542">
        <f t="shared" si="41"/>
        <v>80.399999999999991</v>
      </c>
      <c r="AA874" s="542">
        <f t="shared" si="41"/>
        <v>80.399999999999991</v>
      </c>
      <c r="AB874" s="542">
        <f t="shared" si="41"/>
        <v>80.399999999999991</v>
      </c>
      <c r="AC874" s="542">
        <f t="shared" si="41"/>
        <v>80.399999999999991</v>
      </c>
      <c r="AD874" s="542">
        <f t="shared" si="41"/>
        <v>80.399999999999991</v>
      </c>
      <c r="AE874" s="542">
        <f t="shared" si="41"/>
        <v>80.399999999999991</v>
      </c>
      <c r="AF874" s="542">
        <f t="shared" si="41"/>
        <v>80.399999999999991</v>
      </c>
      <c r="AG874" s="542">
        <f t="shared" si="41"/>
        <v>80.399999999999991</v>
      </c>
      <c r="AH874" s="542">
        <f t="shared" si="41"/>
        <v>80.399999999999991</v>
      </c>
      <c r="AI874" s="542">
        <f t="shared" si="41"/>
        <v>80.399999999999991</v>
      </c>
      <c r="AJ874" s="542">
        <f t="shared" si="41"/>
        <v>80.399999999999991</v>
      </c>
      <c r="AK874" s="542">
        <f t="shared" si="41"/>
        <v>80.399999999999991</v>
      </c>
      <c r="AL874" s="542">
        <f t="shared" si="41"/>
        <v>80.399999999999991</v>
      </c>
      <c r="AM874" s="542">
        <f t="shared" si="41"/>
        <v>80.399999999999991</v>
      </c>
      <c r="AN874" s="542">
        <f t="shared" si="41"/>
        <v>80.399999999999991</v>
      </c>
      <c r="AO874" s="542">
        <f t="shared" si="41"/>
        <v>80.399999999999991</v>
      </c>
      <c r="AP874" s="542">
        <f t="shared" si="41"/>
        <v>80.399999999999991</v>
      </c>
      <c r="AQ874" s="542">
        <f t="shared" si="41"/>
        <v>80.399999999999991</v>
      </c>
      <c r="AR874" s="542">
        <f t="shared" si="41"/>
        <v>80.399999999999991</v>
      </c>
      <c r="AS874" s="542">
        <f t="shared" si="41"/>
        <v>80.399999999999991</v>
      </c>
      <c r="AT874" s="542">
        <f t="shared" si="41"/>
        <v>80.399999999999991</v>
      </c>
      <c r="AU874" s="542">
        <f t="shared" si="41"/>
        <v>80.399999999999991</v>
      </c>
      <c r="AV874" s="542">
        <f t="shared" si="41"/>
        <v>80.399999999999991</v>
      </c>
      <c r="AW874" s="542">
        <f t="shared" si="41"/>
        <v>80.399999999999991</v>
      </c>
      <c r="AX874" s="542">
        <f t="shared" si="41"/>
        <v>80.399999999999991</v>
      </c>
      <c r="AY874" s="542">
        <f t="shared" si="41"/>
        <v>80.399999999999991</v>
      </c>
      <c r="AZ874" s="542">
        <f t="shared" si="41"/>
        <v>80.399999999999991</v>
      </c>
      <c r="BA874" s="542">
        <f t="shared" si="41"/>
        <v>80.399999999999991</v>
      </c>
      <c r="BB874" s="542">
        <f t="shared" si="41"/>
        <v>80.399999999999991</v>
      </c>
      <c r="BC874" s="542">
        <f t="shared" si="41"/>
        <v>80.399999999999991</v>
      </c>
      <c r="BD874" s="542">
        <f t="shared" si="41"/>
        <v>80.399999999999991</v>
      </c>
      <c r="BE874" s="542">
        <f t="shared" si="41"/>
        <v>80.399999999999991</v>
      </c>
      <c r="BF874" s="542">
        <f t="shared" si="41"/>
        <v>80.399999999999991</v>
      </c>
      <c r="BG874" s="542">
        <f t="shared" si="41"/>
        <v>80.399999999999991</v>
      </c>
      <c r="BH874" s="542">
        <f t="shared" si="41"/>
        <v>80.399999999999991</v>
      </c>
      <c r="BI874" s="542">
        <f t="shared" si="41"/>
        <v>80.399999999999991</v>
      </c>
      <c r="BJ874" s="542">
        <f t="shared" si="41"/>
        <v>80.399999999999991</v>
      </c>
      <c r="BK874" s="542">
        <f t="shared" si="41"/>
        <v>80.399999999999991</v>
      </c>
      <c r="BL874" s="542">
        <f t="shared" si="41"/>
        <v>80.399999999999991</v>
      </c>
      <c r="BM874" s="542">
        <f t="shared" si="41"/>
        <v>80.399999999999991</v>
      </c>
      <c r="BN874" s="542">
        <f t="shared" si="41"/>
        <v>80.399999999999991</v>
      </c>
      <c r="BO874" s="542">
        <f t="shared" si="41"/>
        <v>80.399999999999991</v>
      </c>
      <c r="BP874" s="542">
        <f t="shared" si="41"/>
        <v>80.399999999999991</v>
      </c>
      <c r="BQ874" s="542">
        <f t="shared" si="41"/>
        <v>80.399999999999991</v>
      </c>
      <c r="BR874" s="542">
        <f t="shared" si="41"/>
        <v>80.399999999999991</v>
      </c>
      <c r="BS874" s="542">
        <f t="shared" si="41"/>
        <v>80.399999999999991</v>
      </c>
      <c r="BT874" s="542">
        <f t="shared" si="41"/>
        <v>80.399999999999991</v>
      </c>
      <c r="BU874" s="542">
        <f t="shared" si="41"/>
        <v>80.399999999999991</v>
      </c>
      <c r="BV874" s="542">
        <f t="shared" si="41"/>
        <v>80.399999999999991</v>
      </c>
      <c r="BW874" s="542">
        <f t="shared" si="41"/>
        <v>80.399999999999991</v>
      </c>
      <c r="BX874" s="542">
        <f t="shared" si="41"/>
        <v>80.399999999999991</v>
      </c>
      <c r="BY874" s="542">
        <f t="shared" si="41"/>
        <v>80.399999999999991</v>
      </c>
      <c r="BZ874" s="542">
        <f t="shared" si="32"/>
        <v>80.399999999999991</v>
      </c>
      <c r="CA874" s="542">
        <f t="shared" si="32"/>
        <v>80.399999999999991</v>
      </c>
      <c r="CB874" s="542">
        <f t="shared" si="32"/>
        <v>80.399999999999991</v>
      </c>
      <c r="CC874" s="542">
        <f t="shared" si="32"/>
        <v>80.399999999999991</v>
      </c>
      <c r="CD874" s="542">
        <f t="shared" si="32"/>
        <v>80.399999999999991</v>
      </c>
      <c r="CE874" s="542">
        <f t="shared" si="32"/>
        <v>80.399999999999991</v>
      </c>
      <c r="CF874" s="542">
        <f t="shared" si="32"/>
        <v>80.399999999999991</v>
      </c>
      <c r="CG874" s="542">
        <f t="shared" si="32"/>
        <v>80.399999999999991</v>
      </c>
      <c r="CH874" s="542">
        <f t="shared" si="32"/>
        <v>80.399999999999991</v>
      </c>
      <c r="CI874" s="542">
        <f t="shared" si="32"/>
        <v>80.399999999999991</v>
      </c>
    </row>
    <row r="875" spans="1:87" ht="14.25" customHeight="1" x14ac:dyDescent="0.35">
      <c r="A875" s="42" t="s">
        <v>109</v>
      </c>
      <c r="B875" s="54">
        <f t="shared" si="35"/>
        <v>0</v>
      </c>
      <c r="C875" s="54">
        <f t="shared" si="35"/>
        <v>32.611092389156795</v>
      </c>
      <c r="D875" s="54">
        <f t="shared" si="35"/>
        <v>35.913837411756191</v>
      </c>
      <c r="E875" s="54">
        <f t="shared" si="35"/>
        <v>39.825816687296452</v>
      </c>
      <c r="F875" s="54">
        <f t="shared" si="35"/>
        <v>44.837998804444197</v>
      </c>
      <c r="G875" s="54">
        <f t="shared" si="35"/>
        <v>49.907637953194929</v>
      </c>
      <c r="H875" s="54">
        <f t="shared" si="35"/>
        <v>55.585854791339372</v>
      </c>
      <c r="I875" s="54">
        <f t="shared" si="35"/>
        <v>62.238730277986463</v>
      </c>
      <c r="J875" s="54">
        <f t="shared" si="35"/>
        <v>71.028099173553713</v>
      </c>
      <c r="K875" s="54">
        <f t="shared" si="35"/>
        <v>80.399999999999991</v>
      </c>
      <c r="L875" s="542">
        <f t="shared" si="34"/>
        <v>80.399999999999991</v>
      </c>
      <c r="M875" s="542">
        <f t="shared" si="34"/>
        <v>80.399999999999991</v>
      </c>
      <c r="N875" s="542">
        <f t="shared" si="41"/>
        <v>80.399999999999991</v>
      </c>
      <c r="O875" s="542">
        <f t="shared" si="41"/>
        <v>80.399999999999991</v>
      </c>
      <c r="P875" s="542">
        <f t="shared" si="41"/>
        <v>80.399999999999991</v>
      </c>
      <c r="Q875" s="542">
        <f t="shared" si="41"/>
        <v>80.399999999999991</v>
      </c>
      <c r="R875" s="542">
        <f t="shared" si="41"/>
        <v>80.399999999999991</v>
      </c>
      <c r="S875" s="542">
        <f t="shared" si="41"/>
        <v>80.399999999999991</v>
      </c>
      <c r="T875" s="542">
        <f t="shared" si="41"/>
        <v>80.399999999999991</v>
      </c>
      <c r="U875" s="542">
        <f t="shared" si="41"/>
        <v>80.399999999999991</v>
      </c>
      <c r="V875" s="542">
        <f t="shared" si="41"/>
        <v>80.399999999999991</v>
      </c>
      <c r="W875" s="542">
        <f t="shared" si="41"/>
        <v>80.399999999999991</v>
      </c>
      <c r="X875" s="542">
        <f t="shared" si="41"/>
        <v>80.399999999999991</v>
      </c>
      <c r="Y875" s="542">
        <f t="shared" si="41"/>
        <v>80.399999999999991</v>
      </c>
      <c r="Z875" s="542">
        <f t="shared" si="41"/>
        <v>80.399999999999991</v>
      </c>
      <c r="AA875" s="542">
        <f t="shared" si="41"/>
        <v>80.399999999999991</v>
      </c>
      <c r="AB875" s="542">
        <f t="shared" si="41"/>
        <v>80.399999999999991</v>
      </c>
      <c r="AC875" s="542">
        <f t="shared" si="41"/>
        <v>80.399999999999991</v>
      </c>
      <c r="AD875" s="542">
        <f t="shared" si="41"/>
        <v>80.399999999999991</v>
      </c>
      <c r="AE875" s="542">
        <f t="shared" si="41"/>
        <v>80.399999999999991</v>
      </c>
      <c r="AF875" s="542">
        <f t="shared" si="41"/>
        <v>80.399999999999991</v>
      </c>
      <c r="AG875" s="542">
        <f t="shared" si="41"/>
        <v>80.399999999999991</v>
      </c>
      <c r="AH875" s="542">
        <f t="shared" si="41"/>
        <v>80.399999999999991</v>
      </c>
      <c r="AI875" s="542">
        <f t="shared" si="41"/>
        <v>80.399999999999991</v>
      </c>
      <c r="AJ875" s="542">
        <f t="shared" si="41"/>
        <v>80.399999999999991</v>
      </c>
      <c r="AK875" s="542">
        <f t="shared" si="41"/>
        <v>80.399999999999991</v>
      </c>
      <c r="AL875" s="542">
        <f t="shared" si="41"/>
        <v>80.399999999999991</v>
      </c>
      <c r="AM875" s="542">
        <f t="shared" si="41"/>
        <v>80.399999999999991</v>
      </c>
      <c r="AN875" s="542">
        <f t="shared" si="41"/>
        <v>80.399999999999991</v>
      </c>
      <c r="AO875" s="542">
        <f t="shared" si="41"/>
        <v>80.399999999999991</v>
      </c>
      <c r="AP875" s="542">
        <f t="shared" si="41"/>
        <v>80.399999999999991</v>
      </c>
      <c r="AQ875" s="542">
        <f t="shared" si="41"/>
        <v>80.399999999999991</v>
      </c>
      <c r="AR875" s="542">
        <f t="shared" si="41"/>
        <v>80.399999999999991</v>
      </c>
      <c r="AS875" s="542">
        <f t="shared" si="41"/>
        <v>80.399999999999991</v>
      </c>
      <c r="AT875" s="542">
        <f t="shared" si="41"/>
        <v>80.399999999999991</v>
      </c>
      <c r="AU875" s="542">
        <f t="shared" si="41"/>
        <v>80.399999999999991</v>
      </c>
      <c r="AV875" s="542">
        <f t="shared" si="41"/>
        <v>80.399999999999991</v>
      </c>
      <c r="AW875" s="542">
        <f t="shared" si="41"/>
        <v>80.399999999999991</v>
      </c>
      <c r="AX875" s="542">
        <f t="shared" si="41"/>
        <v>80.399999999999991</v>
      </c>
      <c r="AY875" s="542">
        <f t="shared" si="41"/>
        <v>80.399999999999991</v>
      </c>
      <c r="AZ875" s="542">
        <f t="shared" si="41"/>
        <v>80.399999999999991</v>
      </c>
      <c r="BA875" s="542">
        <f t="shared" si="41"/>
        <v>80.399999999999991</v>
      </c>
      <c r="BB875" s="542">
        <f t="shared" si="41"/>
        <v>80.399999999999991</v>
      </c>
      <c r="BC875" s="542">
        <f t="shared" si="41"/>
        <v>80.399999999999991</v>
      </c>
      <c r="BD875" s="542">
        <f t="shared" si="41"/>
        <v>80.399999999999991</v>
      </c>
      <c r="BE875" s="542">
        <f t="shared" si="41"/>
        <v>80.399999999999991</v>
      </c>
      <c r="BF875" s="542">
        <f t="shared" si="41"/>
        <v>80.399999999999991</v>
      </c>
      <c r="BG875" s="542">
        <f t="shared" si="41"/>
        <v>80.399999999999991</v>
      </c>
      <c r="BH875" s="542">
        <f t="shared" si="41"/>
        <v>80.399999999999991</v>
      </c>
      <c r="BI875" s="542">
        <f t="shared" si="41"/>
        <v>80.399999999999991</v>
      </c>
      <c r="BJ875" s="542">
        <f t="shared" si="41"/>
        <v>80.399999999999991</v>
      </c>
      <c r="BK875" s="542">
        <f t="shared" si="41"/>
        <v>80.399999999999991</v>
      </c>
      <c r="BL875" s="542">
        <f t="shared" si="41"/>
        <v>80.399999999999991</v>
      </c>
      <c r="BM875" s="542">
        <f t="shared" si="41"/>
        <v>80.399999999999991</v>
      </c>
      <c r="BN875" s="542">
        <f t="shared" si="41"/>
        <v>80.399999999999991</v>
      </c>
      <c r="BO875" s="542">
        <f t="shared" si="41"/>
        <v>80.399999999999991</v>
      </c>
      <c r="BP875" s="542">
        <f t="shared" si="41"/>
        <v>80.399999999999991</v>
      </c>
      <c r="BQ875" s="542">
        <f t="shared" si="41"/>
        <v>80.399999999999991</v>
      </c>
      <c r="BR875" s="542">
        <f t="shared" si="41"/>
        <v>80.399999999999991</v>
      </c>
      <c r="BS875" s="542">
        <f t="shared" si="41"/>
        <v>80.399999999999991</v>
      </c>
      <c r="BT875" s="542">
        <f t="shared" si="41"/>
        <v>80.399999999999991</v>
      </c>
      <c r="BU875" s="542">
        <f t="shared" si="41"/>
        <v>80.399999999999991</v>
      </c>
      <c r="BV875" s="542">
        <f t="shared" si="41"/>
        <v>80.399999999999991</v>
      </c>
      <c r="BW875" s="542">
        <f t="shared" si="41"/>
        <v>80.399999999999991</v>
      </c>
      <c r="BX875" s="542">
        <f t="shared" si="41"/>
        <v>80.399999999999991</v>
      </c>
      <c r="BY875" s="542">
        <f t="shared" ref="BY875" si="42">+BX875</f>
        <v>80.399999999999991</v>
      </c>
      <c r="BZ875" s="542">
        <f t="shared" si="32"/>
        <v>80.399999999999991</v>
      </c>
      <c r="CA875" s="542">
        <f t="shared" si="32"/>
        <v>80.399999999999991</v>
      </c>
      <c r="CB875" s="542">
        <f t="shared" si="32"/>
        <v>80.399999999999991</v>
      </c>
      <c r="CC875" s="542">
        <f t="shared" si="32"/>
        <v>80.399999999999991</v>
      </c>
      <c r="CD875" s="542">
        <f t="shared" si="32"/>
        <v>80.399999999999991</v>
      </c>
      <c r="CE875" s="542">
        <f t="shared" si="32"/>
        <v>80.399999999999991</v>
      </c>
      <c r="CF875" s="542">
        <f t="shared" si="32"/>
        <v>80.399999999999991</v>
      </c>
      <c r="CG875" s="542">
        <f t="shared" si="32"/>
        <v>80.399999999999991</v>
      </c>
      <c r="CH875" s="542">
        <f t="shared" si="32"/>
        <v>80.399999999999991</v>
      </c>
      <c r="CI875" s="542">
        <f t="shared" si="32"/>
        <v>80.399999999999991</v>
      </c>
    </row>
    <row r="876" spans="1:87" ht="14.25" customHeight="1" x14ac:dyDescent="0.35">
      <c r="A876" s="42" t="s">
        <v>229</v>
      </c>
      <c r="B876" s="54">
        <f t="shared" si="35"/>
        <v>0</v>
      </c>
      <c r="C876" s="54">
        <f t="shared" si="35"/>
        <v>32.611092389156795</v>
      </c>
      <c r="D876" s="54">
        <f t="shared" si="35"/>
        <v>35.913837411756191</v>
      </c>
      <c r="E876" s="54">
        <f t="shared" si="35"/>
        <v>39.825816687296452</v>
      </c>
      <c r="F876" s="54">
        <f t="shared" si="35"/>
        <v>44.837998804444197</v>
      </c>
      <c r="G876" s="54">
        <f t="shared" si="35"/>
        <v>49.907637953194929</v>
      </c>
      <c r="H876" s="54">
        <f t="shared" si="35"/>
        <v>55.585854791339372</v>
      </c>
      <c r="I876" s="54">
        <f t="shared" si="35"/>
        <v>62.238730277986463</v>
      </c>
      <c r="J876" s="54">
        <f t="shared" si="35"/>
        <v>71.028099173553713</v>
      </c>
      <c r="K876" s="54">
        <f t="shared" si="35"/>
        <v>80.399999999999991</v>
      </c>
      <c r="L876" s="542">
        <f t="shared" si="34"/>
        <v>80.399999999999991</v>
      </c>
      <c r="M876" s="542">
        <f t="shared" si="34"/>
        <v>80.399999999999991</v>
      </c>
      <c r="N876" s="542">
        <f t="shared" ref="N876:BY879" si="43">+M876</f>
        <v>80.399999999999991</v>
      </c>
      <c r="O876" s="542">
        <f t="shared" si="43"/>
        <v>80.399999999999991</v>
      </c>
      <c r="P876" s="542">
        <f t="shared" si="43"/>
        <v>80.399999999999991</v>
      </c>
      <c r="Q876" s="542">
        <f t="shared" si="43"/>
        <v>80.399999999999991</v>
      </c>
      <c r="R876" s="542">
        <f t="shared" si="43"/>
        <v>80.399999999999991</v>
      </c>
      <c r="S876" s="542">
        <f t="shared" si="43"/>
        <v>80.399999999999991</v>
      </c>
      <c r="T876" s="542">
        <f t="shared" si="43"/>
        <v>80.399999999999991</v>
      </c>
      <c r="U876" s="542">
        <f t="shared" si="43"/>
        <v>80.399999999999991</v>
      </c>
      <c r="V876" s="542">
        <f t="shared" si="43"/>
        <v>80.399999999999991</v>
      </c>
      <c r="W876" s="542">
        <f t="shared" si="43"/>
        <v>80.399999999999991</v>
      </c>
      <c r="X876" s="542">
        <f t="shared" si="43"/>
        <v>80.399999999999991</v>
      </c>
      <c r="Y876" s="542">
        <f t="shared" si="43"/>
        <v>80.399999999999991</v>
      </c>
      <c r="Z876" s="542">
        <f t="shared" si="43"/>
        <v>80.399999999999991</v>
      </c>
      <c r="AA876" s="542">
        <f t="shared" si="43"/>
        <v>80.399999999999991</v>
      </c>
      <c r="AB876" s="542">
        <f t="shared" si="43"/>
        <v>80.399999999999991</v>
      </c>
      <c r="AC876" s="542">
        <f t="shared" si="43"/>
        <v>80.399999999999991</v>
      </c>
      <c r="AD876" s="542">
        <f t="shared" si="43"/>
        <v>80.399999999999991</v>
      </c>
      <c r="AE876" s="542">
        <f t="shared" si="43"/>
        <v>80.399999999999991</v>
      </c>
      <c r="AF876" s="542">
        <f t="shared" si="43"/>
        <v>80.399999999999991</v>
      </c>
      <c r="AG876" s="542">
        <f t="shared" si="43"/>
        <v>80.399999999999991</v>
      </c>
      <c r="AH876" s="542">
        <f t="shared" si="43"/>
        <v>80.399999999999991</v>
      </c>
      <c r="AI876" s="542">
        <f t="shared" si="43"/>
        <v>80.399999999999991</v>
      </c>
      <c r="AJ876" s="542">
        <f t="shared" si="43"/>
        <v>80.399999999999991</v>
      </c>
      <c r="AK876" s="542">
        <f t="shared" si="43"/>
        <v>80.399999999999991</v>
      </c>
      <c r="AL876" s="542">
        <f t="shared" si="43"/>
        <v>80.399999999999991</v>
      </c>
      <c r="AM876" s="542">
        <f t="shared" si="43"/>
        <v>80.399999999999991</v>
      </c>
      <c r="AN876" s="542">
        <f t="shared" si="43"/>
        <v>80.399999999999991</v>
      </c>
      <c r="AO876" s="542">
        <f t="shared" si="43"/>
        <v>80.399999999999991</v>
      </c>
      <c r="AP876" s="542">
        <f t="shared" si="43"/>
        <v>80.399999999999991</v>
      </c>
      <c r="AQ876" s="542">
        <f t="shared" si="43"/>
        <v>80.399999999999991</v>
      </c>
      <c r="AR876" s="542">
        <f t="shared" si="43"/>
        <v>80.399999999999991</v>
      </c>
      <c r="AS876" s="542">
        <f t="shared" si="43"/>
        <v>80.399999999999991</v>
      </c>
      <c r="AT876" s="542">
        <f t="shared" si="43"/>
        <v>80.399999999999991</v>
      </c>
      <c r="AU876" s="542">
        <f t="shared" si="43"/>
        <v>80.399999999999991</v>
      </c>
      <c r="AV876" s="542">
        <f t="shared" si="43"/>
        <v>80.399999999999991</v>
      </c>
      <c r="AW876" s="542">
        <f t="shared" si="43"/>
        <v>80.399999999999991</v>
      </c>
      <c r="AX876" s="542">
        <f t="shared" si="43"/>
        <v>80.399999999999991</v>
      </c>
      <c r="AY876" s="542">
        <f t="shared" si="43"/>
        <v>80.399999999999991</v>
      </c>
      <c r="AZ876" s="542">
        <f t="shared" si="43"/>
        <v>80.399999999999991</v>
      </c>
      <c r="BA876" s="542">
        <f t="shared" si="43"/>
        <v>80.399999999999991</v>
      </c>
      <c r="BB876" s="542">
        <f t="shared" si="43"/>
        <v>80.399999999999991</v>
      </c>
      <c r="BC876" s="542">
        <f t="shared" si="43"/>
        <v>80.399999999999991</v>
      </c>
      <c r="BD876" s="542">
        <f t="shared" si="43"/>
        <v>80.399999999999991</v>
      </c>
      <c r="BE876" s="542">
        <f t="shared" si="43"/>
        <v>80.399999999999991</v>
      </c>
      <c r="BF876" s="542">
        <f t="shared" si="43"/>
        <v>80.399999999999991</v>
      </c>
      <c r="BG876" s="542">
        <f t="shared" si="43"/>
        <v>80.399999999999991</v>
      </c>
      <c r="BH876" s="542">
        <f t="shared" si="43"/>
        <v>80.399999999999991</v>
      </c>
      <c r="BI876" s="542">
        <f t="shared" si="43"/>
        <v>80.399999999999991</v>
      </c>
      <c r="BJ876" s="542">
        <f t="shared" si="43"/>
        <v>80.399999999999991</v>
      </c>
      <c r="BK876" s="542">
        <f t="shared" si="43"/>
        <v>80.399999999999991</v>
      </c>
      <c r="BL876" s="542">
        <f t="shared" si="43"/>
        <v>80.399999999999991</v>
      </c>
      <c r="BM876" s="542">
        <f t="shared" si="43"/>
        <v>80.399999999999991</v>
      </c>
      <c r="BN876" s="542">
        <f t="shared" si="43"/>
        <v>80.399999999999991</v>
      </c>
      <c r="BO876" s="542">
        <f t="shared" si="43"/>
        <v>80.399999999999991</v>
      </c>
      <c r="BP876" s="542">
        <f t="shared" si="43"/>
        <v>80.399999999999991</v>
      </c>
      <c r="BQ876" s="542">
        <f t="shared" si="43"/>
        <v>80.399999999999991</v>
      </c>
      <c r="BR876" s="542">
        <f t="shared" si="43"/>
        <v>80.399999999999991</v>
      </c>
      <c r="BS876" s="542">
        <f t="shared" si="43"/>
        <v>80.399999999999991</v>
      </c>
      <c r="BT876" s="542">
        <f t="shared" si="43"/>
        <v>80.399999999999991</v>
      </c>
      <c r="BU876" s="542">
        <f t="shared" si="43"/>
        <v>80.399999999999991</v>
      </c>
      <c r="BV876" s="542">
        <f t="shared" si="43"/>
        <v>80.399999999999991</v>
      </c>
      <c r="BW876" s="542">
        <f t="shared" si="43"/>
        <v>80.399999999999991</v>
      </c>
      <c r="BX876" s="542">
        <f t="shared" si="43"/>
        <v>80.399999999999991</v>
      </c>
      <c r="BY876" s="542">
        <f t="shared" si="43"/>
        <v>80.399999999999991</v>
      </c>
      <c r="BZ876" s="542">
        <f t="shared" ref="BZ876:CI888" si="44">+BY876</f>
        <v>80.399999999999991</v>
      </c>
      <c r="CA876" s="542">
        <f t="shared" si="44"/>
        <v>80.399999999999991</v>
      </c>
      <c r="CB876" s="542">
        <f t="shared" si="44"/>
        <v>80.399999999999991</v>
      </c>
      <c r="CC876" s="542">
        <f t="shared" si="44"/>
        <v>80.399999999999991</v>
      </c>
      <c r="CD876" s="542">
        <f t="shared" si="44"/>
        <v>80.399999999999991</v>
      </c>
      <c r="CE876" s="542">
        <f t="shared" si="44"/>
        <v>80.399999999999991</v>
      </c>
      <c r="CF876" s="542">
        <f t="shared" si="44"/>
        <v>80.399999999999991</v>
      </c>
      <c r="CG876" s="542">
        <f t="shared" si="44"/>
        <v>80.399999999999991</v>
      </c>
      <c r="CH876" s="542">
        <f t="shared" si="44"/>
        <v>80.399999999999991</v>
      </c>
      <c r="CI876" s="542">
        <f t="shared" si="44"/>
        <v>80.399999999999991</v>
      </c>
    </row>
    <row r="877" spans="1:87" ht="14.25" customHeight="1" x14ac:dyDescent="0.35">
      <c r="A877" s="42" t="s">
        <v>111</v>
      </c>
      <c r="B877" s="54">
        <f t="shared" si="35"/>
        <v>0</v>
      </c>
      <c r="C877" s="54">
        <f t="shared" si="35"/>
        <v>32.611092389156795</v>
      </c>
      <c r="D877" s="54">
        <f t="shared" si="35"/>
        <v>35.913837411756191</v>
      </c>
      <c r="E877" s="54">
        <f t="shared" si="35"/>
        <v>39.825816687296452</v>
      </c>
      <c r="F877" s="54">
        <f t="shared" si="35"/>
        <v>44.837998804444197</v>
      </c>
      <c r="G877" s="54">
        <f t="shared" si="35"/>
        <v>49.907637953194929</v>
      </c>
      <c r="H877" s="54">
        <f t="shared" si="35"/>
        <v>55.585854791339372</v>
      </c>
      <c r="I877" s="54">
        <f t="shared" si="35"/>
        <v>62.238730277986463</v>
      </c>
      <c r="J877" s="54">
        <f t="shared" si="35"/>
        <v>71.028099173553713</v>
      </c>
      <c r="K877" s="54">
        <f t="shared" si="35"/>
        <v>80.399999999999991</v>
      </c>
      <c r="L877" s="542">
        <f t="shared" si="35"/>
        <v>80.399999999999991</v>
      </c>
      <c r="M877" s="542">
        <f t="shared" si="35"/>
        <v>80.399999999999991</v>
      </c>
      <c r="N877" s="542">
        <f t="shared" si="43"/>
        <v>80.399999999999991</v>
      </c>
      <c r="O877" s="542">
        <f t="shared" si="43"/>
        <v>80.399999999999991</v>
      </c>
      <c r="P877" s="542">
        <f t="shared" si="43"/>
        <v>80.399999999999991</v>
      </c>
      <c r="Q877" s="542">
        <f t="shared" si="43"/>
        <v>80.399999999999991</v>
      </c>
      <c r="R877" s="542">
        <f t="shared" si="43"/>
        <v>80.399999999999991</v>
      </c>
      <c r="S877" s="542">
        <f t="shared" si="43"/>
        <v>80.399999999999991</v>
      </c>
      <c r="T877" s="542">
        <f t="shared" si="43"/>
        <v>80.399999999999991</v>
      </c>
      <c r="U877" s="542">
        <f t="shared" si="43"/>
        <v>80.399999999999991</v>
      </c>
      <c r="V877" s="542">
        <f t="shared" si="43"/>
        <v>80.399999999999991</v>
      </c>
      <c r="W877" s="542">
        <f t="shared" si="43"/>
        <v>80.399999999999991</v>
      </c>
      <c r="X877" s="542">
        <f t="shared" si="43"/>
        <v>80.399999999999991</v>
      </c>
      <c r="Y877" s="542">
        <f t="shared" si="43"/>
        <v>80.399999999999991</v>
      </c>
      <c r="Z877" s="542">
        <f t="shared" si="43"/>
        <v>80.399999999999991</v>
      </c>
      <c r="AA877" s="542">
        <f t="shared" si="43"/>
        <v>80.399999999999991</v>
      </c>
      <c r="AB877" s="542">
        <f t="shared" si="43"/>
        <v>80.399999999999991</v>
      </c>
      <c r="AC877" s="542">
        <f t="shared" si="43"/>
        <v>80.399999999999991</v>
      </c>
      <c r="AD877" s="542">
        <f t="shared" si="43"/>
        <v>80.399999999999991</v>
      </c>
      <c r="AE877" s="542">
        <f t="shared" si="43"/>
        <v>80.399999999999991</v>
      </c>
      <c r="AF877" s="542">
        <f t="shared" si="43"/>
        <v>80.399999999999991</v>
      </c>
      <c r="AG877" s="542">
        <f t="shared" si="43"/>
        <v>80.399999999999991</v>
      </c>
      <c r="AH877" s="542">
        <f t="shared" si="43"/>
        <v>80.399999999999991</v>
      </c>
      <c r="AI877" s="542">
        <f t="shared" si="43"/>
        <v>80.399999999999991</v>
      </c>
      <c r="AJ877" s="542">
        <f t="shared" si="43"/>
        <v>80.399999999999991</v>
      </c>
      <c r="AK877" s="542">
        <f t="shared" si="43"/>
        <v>80.399999999999991</v>
      </c>
      <c r="AL877" s="542">
        <f t="shared" si="43"/>
        <v>80.399999999999991</v>
      </c>
      <c r="AM877" s="542">
        <f t="shared" si="43"/>
        <v>80.399999999999991</v>
      </c>
      <c r="AN877" s="542">
        <f t="shared" si="43"/>
        <v>80.399999999999991</v>
      </c>
      <c r="AO877" s="542">
        <f t="shared" si="43"/>
        <v>80.399999999999991</v>
      </c>
      <c r="AP877" s="542">
        <f t="shared" si="43"/>
        <v>80.399999999999991</v>
      </c>
      <c r="AQ877" s="542">
        <f t="shared" si="43"/>
        <v>80.399999999999991</v>
      </c>
      <c r="AR877" s="542">
        <f t="shared" si="43"/>
        <v>80.399999999999991</v>
      </c>
      <c r="AS877" s="542">
        <f t="shared" si="43"/>
        <v>80.399999999999991</v>
      </c>
      <c r="AT877" s="542">
        <f t="shared" si="43"/>
        <v>80.399999999999991</v>
      </c>
      <c r="AU877" s="542">
        <f t="shared" si="43"/>
        <v>80.399999999999991</v>
      </c>
      <c r="AV877" s="542">
        <f t="shared" si="43"/>
        <v>80.399999999999991</v>
      </c>
      <c r="AW877" s="542">
        <f t="shared" si="43"/>
        <v>80.399999999999991</v>
      </c>
      <c r="AX877" s="542">
        <f t="shared" si="43"/>
        <v>80.399999999999991</v>
      </c>
      <c r="AY877" s="542">
        <f t="shared" si="43"/>
        <v>80.399999999999991</v>
      </c>
      <c r="AZ877" s="542">
        <f t="shared" si="43"/>
        <v>80.399999999999991</v>
      </c>
      <c r="BA877" s="542">
        <f t="shared" si="43"/>
        <v>80.399999999999991</v>
      </c>
      <c r="BB877" s="542">
        <f t="shared" si="43"/>
        <v>80.399999999999991</v>
      </c>
      <c r="BC877" s="542">
        <f t="shared" si="43"/>
        <v>80.399999999999991</v>
      </c>
      <c r="BD877" s="542">
        <f t="shared" si="43"/>
        <v>80.399999999999991</v>
      </c>
      <c r="BE877" s="542">
        <f t="shared" si="43"/>
        <v>80.399999999999991</v>
      </c>
      <c r="BF877" s="542">
        <f t="shared" si="43"/>
        <v>80.399999999999991</v>
      </c>
      <c r="BG877" s="542">
        <f t="shared" si="43"/>
        <v>80.399999999999991</v>
      </c>
      <c r="BH877" s="542">
        <f t="shared" si="43"/>
        <v>80.399999999999991</v>
      </c>
      <c r="BI877" s="542">
        <f t="shared" si="43"/>
        <v>80.399999999999991</v>
      </c>
      <c r="BJ877" s="542">
        <f t="shared" si="43"/>
        <v>80.399999999999991</v>
      </c>
      <c r="BK877" s="542">
        <f t="shared" si="43"/>
        <v>80.399999999999991</v>
      </c>
      <c r="BL877" s="542">
        <f t="shared" si="43"/>
        <v>80.399999999999991</v>
      </c>
      <c r="BM877" s="542">
        <f t="shared" si="43"/>
        <v>80.399999999999991</v>
      </c>
      <c r="BN877" s="542">
        <f t="shared" si="43"/>
        <v>80.399999999999991</v>
      </c>
      <c r="BO877" s="542">
        <f t="shared" si="43"/>
        <v>80.399999999999991</v>
      </c>
      <c r="BP877" s="542">
        <f t="shared" si="43"/>
        <v>80.399999999999991</v>
      </c>
      <c r="BQ877" s="542">
        <f t="shared" si="43"/>
        <v>80.399999999999991</v>
      </c>
      <c r="BR877" s="542">
        <f t="shared" si="43"/>
        <v>80.399999999999991</v>
      </c>
      <c r="BS877" s="542">
        <f t="shared" si="43"/>
        <v>80.399999999999991</v>
      </c>
      <c r="BT877" s="542">
        <f t="shared" si="43"/>
        <v>80.399999999999991</v>
      </c>
      <c r="BU877" s="542">
        <f t="shared" si="43"/>
        <v>80.399999999999991</v>
      </c>
      <c r="BV877" s="542">
        <f t="shared" si="43"/>
        <v>80.399999999999991</v>
      </c>
      <c r="BW877" s="542">
        <f t="shared" si="43"/>
        <v>80.399999999999991</v>
      </c>
      <c r="BX877" s="542">
        <f t="shared" si="43"/>
        <v>80.399999999999991</v>
      </c>
      <c r="BY877" s="542">
        <f t="shared" si="43"/>
        <v>80.399999999999991</v>
      </c>
      <c r="BZ877" s="542">
        <f t="shared" si="44"/>
        <v>80.399999999999991</v>
      </c>
      <c r="CA877" s="542">
        <f t="shared" si="44"/>
        <v>80.399999999999991</v>
      </c>
      <c r="CB877" s="542">
        <f t="shared" si="44"/>
        <v>80.399999999999991</v>
      </c>
      <c r="CC877" s="542">
        <f t="shared" si="44"/>
        <v>80.399999999999991</v>
      </c>
      <c r="CD877" s="542">
        <f t="shared" si="44"/>
        <v>80.399999999999991</v>
      </c>
      <c r="CE877" s="542">
        <f t="shared" si="44"/>
        <v>80.399999999999991</v>
      </c>
      <c r="CF877" s="542">
        <f t="shared" si="44"/>
        <v>80.399999999999991</v>
      </c>
      <c r="CG877" s="542">
        <f t="shared" si="44"/>
        <v>80.399999999999991</v>
      </c>
      <c r="CH877" s="542">
        <f t="shared" si="44"/>
        <v>80.399999999999991</v>
      </c>
      <c r="CI877" s="542">
        <f t="shared" si="44"/>
        <v>80.399999999999991</v>
      </c>
    </row>
    <row r="878" spans="1:87" ht="14.25" customHeight="1" x14ac:dyDescent="0.35">
      <c r="A878" s="42" t="s">
        <v>112</v>
      </c>
      <c r="B878" s="54">
        <f t="shared" ref="B878:M888" si="45">+B877</f>
        <v>0</v>
      </c>
      <c r="C878" s="54">
        <f t="shared" si="45"/>
        <v>32.611092389156795</v>
      </c>
      <c r="D878" s="54">
        <f t="shared" si="45"/>
        <v>35.913837411756191</v>
      </c>
      <c r="E878" s="54">
        <f t="shared" si="45"/>
        <v>39.825816687296452</v>
      </c>
      <c r="F878" s="54">
        <f t="shared" si="45"/>
        <v>44.837998804444197</v>
      </c>
      <c r="G878" s="54">
        <f t="shared" si="45"/>
        <v>49.907637953194929</v>
      </c>
      <c r="H878" s="54">
        <f t="shared" si="45"/>
        <v>55.585854791339372</v>
      </c>
      <c r="I878" s="54">
        <f t="shared" si="45"/>
        <v>62.238730277986463</v>
      </c>
      <c r="J878" s="54">
        <f t="shared" si="45"/>
        <v>71.028099173553713</v>
      </c>
      <c r="K878" s="54">
        <f t="shared" si="45"/>
        <v>80.399999999999991</v>
      </c>
      <c r="L878" s="542">
        <f t="shared" si="45"/>
        <v>80.399999999999991</v>
      </c>
      <c r="M878" s="542">
        <f t="shared" si="45"/>
        <v>80.399999999999991</v>
      </c>
      <c r="N878" s="542">
        <f t="shared" si="43"/>
        <v>80.399999999999991</v>
      </c>
      <c r="O878" s="542">
        <f t="shared" si="43"/>
        <v>80.399999999999991</v>
      </c>
      <c r="P878" s="542">
        <f t="shared" si="43"/>
        <v>80.399999999999991</v>
      </c>
      <c r="Q878" s="542">
        <f t="shared" si="43"/>
        <v>80.399999999999991</v>
      </c>
      <c r="R878" s="542">
        <f t="shared" si="43"/>
        <v>80.399999999999991</v>
      </c>
      <c r="S878" s="542">
        <f t="shared" si="43"/>
        <v>80.399999999999991</v>
      </c>
      <c r="T878" s="542">
        <f t="shared" si="43"/>
        <v>80.399999999999991</v>
      </c>
      <c r="U878" s="542">
        <f t="shared" si="43"/>
        <v>80.399999999999991</v>
      </c>
      <c r="V878" s="542">
        <f t="shared" si="43"/>
        <v>80.399999999999991</v>
      </c>
      <c r="W878" s="542">
        <f t="shared" si="43"/>
        <v>80.399999999999991</v>
      </c>
      <c r="X878" s="542">
        <f t="shared" si="43"/>
        <v>80.399999999999991</v>
      </c>
      <c r="Y878" s="542">
        <f t="shared" si="43"/>
        <v>80.399999999999991</v>
      </c>
      <c r="Z878" s="542">
        <f t="shared" si="43"/>
        <v>80.399999999999991</v>
      </c>
      <c r="AA878" s="542">
        <f t="shared" si="43"/>
        <v>80.399999999999991</v>
      </c>
      <c r="AB878" s="542">
        <f t="shared" si="43"/>
        <v>80.399999999999991</v>
      </c>
      <c r="AC878" s="542">
        <f t="shared" si="43"/>
        <v>80.399999999999991</v>
      </c>
      <c r="AD878" s="542">
        <f t="shared" si="43"/>
        <v>80.399999999999991</v>
      </c>
      <c r="AE878" s="542">
        <f t="shared" si="43"/>
        <v>80.399999999999991</v>
      </c>
      <c r="AF878" s="542">
        <f t="shared" si="43"/>
        <v>80.399999999999991</v>
      </c>
      <c r="AG878" s="542">
        <f t="shared" si="43"/>
        <v>80.399999999999991</v>
      </c>
      <c r="AH878" s="542">
        <f t="shared" si="43"/>
        <v>80.399999999999991</v>
      </c>
      <c r="AI878" s="542">
        <f t="shared" si="43"/>
        <v>80.399999999999991</v>
      </c>
      <c r="AJ878" s="542">
        <f t="shared" si="43"/>
        <v>80.399999999999991</v>
      </c>
      <c r="AK878" s="542">
        <f t="shared" si="43"/>
        <v>80.399999999999991</v>
      </c>
      <c r="AL878" s="542">
        <f t="shared" si="43"/>
        <v>80.399999999999991</v>
      </c>
      <c r="AM878" s="542">
        <f t="shared" si="43"/>
        <v>80.399999999999991</v>
      </c>
      <c r="AN878" s="542">
        <f t="shared" si="43"/>
        <v>80.399999999999991</v>
      </c>
      <c r="AO878" s="542">
        <f t="shared" si="43"/>
        <v>80.399999999999991</v>
      </c>
      <c r="AP878" s="542">
        <f t="shared" si="43"/>
        <v>80.399999999999991</v>
      </c>
      <c r="AQ878" s="542">
        <f t="shared" si="43"/>
        <v>80.399999999999991</v>
      </c>
      <c r="AR878" s="542">
        <f t="shared" si="43"/>
        <v>80.399999999999991</v>
      </c>
      <c r="AS878" s="542">
        <f t="shared" si="43"/>
        <v>80.399999999999991</v>
      </c>
      <c r="AT878" s="542">
        <f t="shared" si="43"/>
        <v>80.399999999999991</v>
      </c>
      <c r="AU878" s="542">
        <f t="shared" si="43"/>
        <v>80.399999999999991</v>
      </c>
      <c r="AV878" s="542">
        <f t="shared" si="43"/>
        <v>80.399999999999991</v>
      </c>
      <c r="AW878" s="542">
        <f t="shared" si="43"/>
        <v>80.399999999999991</v>
      </c>
      <c r="AX878" s="542">
        <f t="shared" si="43"/>
        <v>80.399999999999991</v>
      </c>
      <c r="AY878" s="542">
        <f t="shared" si="43"/>
        <v>80.399999999999991</v>
      </c>
      <c r="AZ878" s="542">
        <f t="shared" si="43"/>
        <v>80.399999999999991</v>
      </c>
      <c r="BA878" s="542">
        <f t="shared" si="43"/>
        <v>80.399999999999991</v>
      </c>
      <c r="BB878" s="542">
        <f t="shared" si="43"/>
        <v>80.399999999999991</v>
      </c>
      <c r="BC878" s="542">
        <f t="shared" si="43"/>
        <v>80.399999999999991</v>
      </c>
      <c r="BD878" s="542">
        <f t="shared" si="43"/>
        <v>80.399999999999991</v>
      </c>
      <c r="BE878" s="542">
        <f t="shared" si="43"/>
        <v>80.399999999999991</v>
      </c>
      <c r="BF878" s="542">
        <f t="shared" si="43"/>
        <v>80.399999999999991</v>
      </c>
      <c r="BG878" s="542">
        <f t="shared" si="43"/>
        <v>80.399999999999991</v>
      </c>
      <c r="BH878" s="542">
        <f t="shared" si="43"/>
        <v>80.399999999999991</v>
      </c>
      <c r="BI878" s="542">
        <f t="shared" si="43"/>
        <v>80.399999999999991</v>
      </c>
      <c r="BJ878" s="542">
        <f t="shared" si="43"/>
        <v>80.399999999999991</v>
      </c>
      <c r="BK878" s="542">
        <f t="shared" si="43"/>
        <v>80.399999999999991</v>
      </c>
      <c r="BL878" s="542">
        <f t="shared" si="43"/>
        <v>80.399999999999991</v>
      </c>
      <c r="BM878" s="542">
        <f t="shared" si="43"/>
        <v>80.399999999999991</v>
      </c>
      <c r="BN878" s="542">
        <f t="shared" si="43"/>
        <v>80.399999999999991</v>
      </c>
      <c r="BO878" s="542">
        <f t="shared" si="43"/>
        <v>80.399999999999991</v>
      </c>
      <c r="BP878" s="542">
        <f t="shared" si="43"/>
        <v>80.399999999999991</v>
      </c>
      <c r="BQ878" s="542">
        <f t="shared" si="43"/>
        <v>80.399999999999991</v>
      </c>
      <c r="BR878" s="542">
        <f t="shared" si="43"/>
        <v>80.399999999999991</v>
      </c>
      <c r="BS878" s="542">
        <f t="shared" si="43"/>
        <v>80.399999999999991</v>
      </c>
      <c r="BT878" s="542">
        <f t="shared" si="43"/>
        <v>80.399999999999991</v>
      </c>
      <c r="BU878" s="542">
        <f t="shared" si="43"/>
        <v>80.399999999999991</v>
      </c>
      <c r="BV878" s="542">
        <f t="shared" si="43"/>
        <v>80.399999999999991</v>
      </c>
      <c r="BW878" s="542">
        <f t="shared" si="43"/>
        <v>80.399999999999991</v>
      </c>
      <c r="BX878" s="542">
        <f t="shared" si="43"/>
        <v>80.399999999999991</v>
      </c>
      <c r="BY878" s="542">
        <f t="shared" si="43"/>
        <v>80.399999999999991</v>
      </c>
      <c r="BZ878" s="542">
        <f t="shared" si="44"/>
        <v>80.399999999999991</v>
      </c>
      <c r="CA878" s="542">
        <f t="shared" si="44"/>
        <v>80.399999999999991</v>
      </c>
      <c r="CB878" s="542">
        <f t="shared" si="44"/>
        <v>80.399999999999991</v>
      </c>
      <c r="CC878" s="542">
        <f t="shared" si="44"/>
        <v>80.399999999999991</v>
      </c>
      <c r="CD878" s="542">
        <f t="shared" si="44"/>
        <v>80.399999999999991</v>
      </c>
      <c r="CE878" s="542">
        <f t="shared" si="44"/>
        <v>80.399999999999991</v>
      </c>
      <c r="CF878" s="542">
        <f t="shared" si="44"/>
        <v>80.399999999999991</v>
      </c>
      <c r="CG878" s="542">
        <f t="shared" si="44"/>
        <v>80.399999999999991</v>
      </c>
      <c r="CH878" s="542">
        <f t="shared" si="44"/>
        <v>80.399999999999991</v>
      </c>
      <c r="CI878" s="542">
        <f t="shared" si="44"/>
        <v>80.399999999999991</v>
      </c>
    </row>
    <row r="879" spans="1:87" ht="14.25" customHeight="1" x14ac:dyDescent="0.35">
      <c r="A879" s="42" t="s">
        <v>113</v>
      </c>
      <c r="B879" s="54">
        <f t="shared" si="45"/>
        <v>0</v>
      </c>
      <c r="C879" s="54">
        <f t="shared" si="45"/>
        <v>32.611092389156795</v>
      </c>
      <c r="D879" s="54">
        <f t="shared" si="45"/>
        <v>35.913837411756191</v>
      </c>
      <c r="E879" s="54">
        <f t="shared" si="45"/>
        <v>39.825816687296452</v>
      </c>
      <c r="F879" s="54">
        <f t="shared" si="45"/>
        <v>44.837998804444197</v>
      </c>
      <c r="G879" s="54">
        <f t="shared" si="45"/>
        <v>49.907637953194929</v>
      </c>
      <c r="H879" s="54">
        <f t="shared" si="45"/>
        <v>55.585854791339372</v>
      </c>
      <c r="I879" s="54">
        <f t="shared" si="45"/>
        <v>62.238730277986463</v>
      </c>
      <c r="J879" s="54">
        <f t="shared" si="45"/>
        <v>71.028099173553713</v>
      </c>
      <c r="K879" s="54">
        <f t="shared" si="45"/>
        <v>80.399999999999991</v>
      </c>
      <c r="L879" s="542">
        <f t="shared" si="45"/>
        <v>80.399999999999991</v>
      </c>
      <c r="M879" s="542">
        <f t="shared" si="45"/>
        <v>80.399999999999991</v>
      </c>
      <c r="N879" s="542">
        <f t="shared" si="43"/>
        <v>80.399999999999991</v>
      </c>
      <c r="O879" s="542">
        <f t="shared" si="43"/>
        <v>80.399999999999991</v>
      </c>
      <c r="P879" s="542">
        <f t="shared" si="43"/>
        <v>80.399999999999991</v>
      </c>
      <c r="Q879" s="542">
        <f t="shared" si="43"/>
        <v>80.399999999999991</v>
      </c>
      <c r="R879" s="542">
        <f t="shared" si="43"/>
        <v>80.399999999999991</v>
      </c>
      <c r="S879" s="542">
        <f t="shared" si="43"/>
        <v>80.399999999999991</v>
      </c>
      <c r="T879" s="542">
        <f t="shared" si="43"/>
        <v>80.399999999999991</v>
      </c>
      <c r="U879" s="542">
        <f t="shared" si="43"/>
        <v>80.399999999999991</v>
      </c>
      <c r="V879" s="542">
        <f t="shared" si="43"/>
        <v>80.399999999999991</v>
      </c>
      <c r="W879" s="542">
        <f t="shared" si="43"/>
        <v>80.399999999999991</v>
      </c>
      <c r="X879" s="542">
        <f t="shared" si="43"/>
        <v>80.399999999999991</v>
      </c>
      <c r="Y879" s="542">
        <f t="shared" si="43"/>
        <v>80.399999999999991</v>
      </c>
      <c r="Z879" s="542">
        <f t="shared" si="43"/>
        <v>80.399999999999991</v>
      </c>
      <c r="AA879" s="542">
        <f t="shared" si="43"/>
        <v>80.399999999999991</v>
      </c>
      <c r="AB879" s="542">
        <f t="shared" si="43"/>
        <v>80.399999999999991</v>
      </c>
      <c r="AC879" s="542">
        <f t="shared" si="43"/>
        <v>80.399999999999991</v>
      </c>
      <c r="AD879" s="542">
        <f t="shared" si="43"/>
        <v>80.399999999999991</v>
      </c>
      <c r="AE879" s="542">
        <f t="shared" si="43"/>
        <v>80.399999999999991</v>
      </c>
      <c r="AF879" s="542">
        <f t="shared" si="43"/>
        <v>80.399999999999991</v>
      </c>
      <c r="AG879" s="542">
        <f t="shared" si="43"/>
        <v>80.399999999999991</v>
      </c>
      <c r="AH879" s="542">
        <f t="shared" si="43"/>
        <v>80.399999999999991</v>
      </c>
      <c r="AI879" s="542">
        <f t="shared" si="43"/>
        <v>80.399999999999991</v>
      </c>
      <c r="AJ879" s="542">
        <f t="shared" si="43"/>
        <v>80.399999999999991</v>
      </c>
      <c r="AK879" s="542">
        <f t="shared" si="43"/>
        <v>80.399999999999991</v>
      </c>
      <c r="AL879" s="542">
        <f t="shared" si="43"/>
        <v>80.399999999999991</v>
      </c>
      <c r="AM879" s="542">
        <f t="shared" si="43"/>
        <v>80.399999999999991</v>
      </c>
      <c r="AN879" s="542">
        <f t="shared" si="43"/>
        <v>80.399999999999991</v>
      </c>
      <c r="AO879" s="542">
        <f t="shared" si="43"/>
        <v>80.399999999999991</v>
      </c>
      <c r="AP879" s="542">
        <f t="shared" si="43"/>
        <v>80.399999999999991</v>
      </c>
      <c r="AQ879" s="542">
        <f t="shared" si="43"/>
        <v>80.399999999999991</v>
      </c>
      <c r="AR879" s="542">
        <f t="shared" si="43"/>
        <v>80.399999999999991</v>
      </c>
      <c r="AS879" s="542">
        <f t="shared" si="43"/>
        <v>80.399999999999991</v>
      </c>
      <c r="AT879" s="542">
        <f t="shared" si="43"/>
        <v>80.399999999999991</v>
      </c>
      <c r="AU879" s="542">
        <f t="shared" si="43"/>
        <v>80.399999999999991</v>
      </c>
      <c r="AV879" s="542">
        <f t="shared" si="43"/>
        <v>80.399999999999991</v>
      </c>
      <c r="AW879" s="542">
        <f t="shared" si="43"/>
        <v>80.399999999999991</v>
      </c>
      <c r="AX879" s="542">
        <f t="shared" si="43"/>
        <v>80.399999999999991</v>
      </c>
      <c r="AY879" s="542">
        <f t="shared" si="43"/>
        <v>80.399999999999991</v>
      </c>
      <c r="AZ879" s="542">
        <f t="shared" si="43"/>
        <v>80.399999999999991</v>
      </c>
      <c r="BA879" s="542">
        <f t="shared" si="43"/>
        <v>80.399999999999991</v>
      </c>
      <c r="BB879" s="542">
        <f t="shared" si="43"/>
        <v>80.399999999999991</v>
      </c>
      <c r="BC879" s="542">
        <f t="shared" si="43"/>
        <v>80.399999999999991</v>
      </c>
      <c r="BD879" s="542">
        <f t="shared" si="43"/>
        <v>80.399999999999991</v>
      </c>
      <c r="BE879" s="542">
        <f t="shared" si="43"/>
        <v>80.399999999999991</v>
      </c>
      <c r="BF879" s="542">
        <f t="shared" si="43"/>
        <v>80.399999999999991</v>
      </c>
      <c r="BG879" s="542">
        <f t="shared" si="43"/>
        <v>80.399999999999991</v>
      </c>
      <c r="BH879" s="542">
        <f t="shared" si="43"/>
        <v>80.399999999999991</v>
      </c>
      <c r="BI879" s="542">
        <f t="shared" si="43"/>
        <v>80.399999999999991</v>
      </c>
      <c r="BJ879" s="542">
        <f t="shared" si="43"/>
        <v>80.399999999999991</v>
      </c>
      <c r="BK879" s="542">
        <f t="shared" si="43"/>
        <v>80.399999999999991</v>
      </c>
      <c r="BL879" s="542">
        <f t="shared" si="43"/>
        <v>80.399999999999991</v>
      </c>
      <c r="BM879" s="542">
        <f t="shared" si="43"/>
        <v>80.399999999999991</v>
      </c>
      <c r="BN879" s="542">
        <f t="shared" si="43"/>
        <v>80.399999999999991</v>
      </c>
      <c r="BO879" s="542">
        <f t="shared" si="43"/>
        <v>80.399999999999991</v>
      </c>
      <c r="BP879" s="542">
        <f t="shared" si="43"/>
        <v>80.399999999999991</v>
      </c>
      <c r="BQ879" s="542">
        <f t="shared" si="43"/>
        <v>80.399999999999991</v>
      </c>
      <c r="BR879" s="542">
        <f t="shared" si="43"/>
        <v>80.399999999999991</v>
      </c>
      <c r="BS879" s="542">
        <f t="shared" si="43"/>
        <v>80.399999999999991</v>
      </c>
      <c r="BT879" s="542">
        <f t="shared" si="43"/>
        <v>80.399999999999991</v>
      </c>
      <c r="BU879" s="542">
        <f t="shared" si="43"/>
        <v>80.399999999999991</v>
      </c>
      <c r="BV879" s="542">
        <f t="shared" si="43"/>
        <v>80.399999999999991</v>
      </c>
      <c r="BW879" s="542">
        <f t="shared" si="43"/>
        <v>80.399999999999991</v>
      </c>
      <c r="BX879" s="542">
        <f t="shared" si="43"/>
        <v>80.399999999999991</v>
      </c>
      <c r="BY879" s="542">
        <f t="shared" ref="BY879" si="46">+BX879</f>
        <v>80.399999999999991</v>
      </c>
      <c r="BZ879" s="542">
        <f t="shared" si="44"/>
        <v>80.399999999999991</v>
      </c>
      <c r="CA879" s="542">
        <f t="shared" si="44"/>
        <v>80.399999999999991</v>
      </c>
      <c r="CB879" s="542">
        <f t="shared" si="44"/>
        <v>80.399999999999991</v>
      </c>
      <c r="CC879" s="542">
        <f t="shared" si="44"/>
        <v>80.399999999999991</v>
      </c>
      <c r="CD879" s="542">
        <f t="shared" si="44"/>
        <v>80.399999999999991</v>
      </c>
      <c r="CE879" s="542">
        <f t="shared" si="44"/>
        <v>80.399999999999991</v>
      </c>
      <c r="CF879" s="542">
        <f t="shared" si="44"/>
        <v>80.399999999999991</v>
      </c>
      <c r="CG879" s="542">
        <f t="shared" si="44"/>
        <v>80.399999999999991</v>
      </c>
      <c r="CH879" s="542">
        <f t="shared" si="44"/>
        <v>80.399999999999991</v>
      </c>
      <c r="CI879" s="542">
        <f t="shared" si="44"/>
        <v>80.399999999999991</v>
      </c>
    </row>
    <row r="880" spans="1:87" ht="14.25" customHeight="1" x14ac:dyDescent="0.35">
      <c r="A880" s="42" t="s">
        <v>114</v>
      </c>
      <c r="B880" s="54">
        <f t="shared" si="45"/>
        <v>0</v>
      </c>
      <c r="C880" s="54">
        <f t="shared" si="45"/>
        <v>32.611092389156795</v>
      </c>
      <c r="D880" s="54">
        <f t="shared" si="45"/>
        <v>35.913837411756191</v>
      </c>
      <c r="E880" s="54">
        <f t="shared" si="45"/>
        <v>39.825816687296452</v>
      </c>
      <c r="F880" s="54">
        <f t="shared" si="45"/>
        <v>44.837998804444197</v>
      </c>
      <c r="G880" s="54">
        <f t="shared" si="45"/>
        <v>49.907637953194929</v>
      </c>
      <c r="H880" s="54">
        <f t="shared" si="45"/>
        <v>55.585854791339372</v>
      </c>
      <c r="I880" s="54">
        <f t="shared" si="45"/>
        <v>62.238730277986463</v>
      </c>
      <c r="J880" s="54">
        <f t="shared" si="45"/>
        <v>71.028099173553713</v>
      </c>
      <c r="K880" s="54">
        <f t="shared" si="45"/>
        <v>80.399999999999991</v>
      </c>
      <c r="L880" s="542">
        <f t="shared" si="45"/>
        <v>80.399999999999991</v>
      </c>
      <c r="M880" s="542">
        <f t="shared" si="45"/>
        <v>80.399999999999991</v>
      </c>
      <c r="N880" s="542">
        <f t="shared" ref="N880:BY883" si="47">+M880</f>
        <v>80.399999999999991</v>
      </c>
      <c r="O880" s="542">
        <f t="shared" si="47"/>
        <v>80.399999999999991</v>
      </c>
      <c r="P880" s="542">
        <f t="shared" si="47"/>
        <v>80.399999999999991</v>
      </c>
      <c r="Q880" s="542">
        <f t="shared" si="47"/>
        <v>80.399999999999991</v>
      </c>
      <c r="R880" s="542">
        <f t="shared" si="47"/>
        <v>80.399999999999991</v>
      </c>
      <c r="S880" s="542">
        <f t="shared" si="47"/>
        <v>80.399999999999991</v>
      </c>
      <c r="T880" s="542">
        <f t="shared" si="47"/>
        <v>80.399999999999991</v>
      </c>
      <c r="U880" s="542">
        <f t="shared" si="47"/>
        <v>80.399999999999991</v>
      </c>
      <c r="V880" s="542">
        <f t="shared" si="47"/>
        <v>80.399999999999991</v>
      </c>
      <c r="W880" s="542">
        <f t="shared" si="47"/>
        <v>80.399999999999991</v>
      </c>
      <c r="X880" s="542">
        <f t="shared" si="47"/>
        <v>80.399999999999991</v>
      </c>
      <c r="Y880" s="542">
        <f t="shared" si="47"/>
        <v>80.399999999999991</v>
      </c>
      <c r="Z880" s="542">
        <f t="shared" si="47"/>
        <v>80.399999999999991</v>
      </c>
      <c r="AA880" s="542">
        <f t="shared" si="47"/>
        <v>80.399999999999991</v>
      </c>
      <c r="AB880" s="542">
        <f t="shared" si="47"/>
        <v>80.399999999999991</v>
      </c>
      <c r="AC880" s="542">
        <f t="shared" si="47"/>
        <v>80.399999999999991</v>
      </c>
      <c r="AD880" s="542">
        <f t="shared" si="47"/>
        <v>80.399999999999991</v>
      </c>
      <c r="AE880" s="542">
        <f t="shared" si="47"/>
        <v>80.399999999999991</v>
      </c>
      <c r="AF880" s="542">
        <f t="shared" si="47"/>
        <v>80.399999999999991</v>
      </c>
      <c r="AG880" s="542">
        <f t="shared" si="47"/>
        <v>80.399999999999991</v>
      </c>
      <c r="AH880" s="542">
        <f t="shared" si="47"/>
        <v>80.399999999999991</v>
      </c>
      <c r="AI880" s="542">
        <f t="shared" si="47"/>
        <v>80.399999999999991</v>
      </c>
      <c r="AJ880" s="542">
        <f t="shared" si="47"/>
        <v>80.399999999999991</v>
      </c>
      <c r="AK880" s="542">
        <f t="shared" si="47"/>
        <v>80.399999999999991</v>
      </c>
      <c r="AL880" s="542">
        <f t="shared" si="47"/>
        <v>80.399999999999991</v>
      </c>
      <c r="AM880" s="542">
        <f t="shared" si="47"/>
        <v>80.399999999999991</v>
      </c>
      <c r="AN880" s="542">
        <f t="shared" si="47"/>
        <v>80.399999999999991</v>
      </c>
      <c r="AO880" s="542">
        <f t="shared" si="47"/>
        <v>80.399999999999991</v>
      </c>
      <c r="AP880" s="542">
        <f t="shared" si="47"/>
        <v>80.399999999999991</v>
      </c>
      <c r="AQ880" s="542">
        <f t="shared" si="47"/>
        <v>80.399999999999991</v>
      </c>
      <c r="AR880" s="542">
        <f t="shared" si="47"/>
        <v>80.399999999999991</v>
      </c>
      <c r="AS880" s="542">
        <f t="shared" si="47"/>
        <v>80.399999999999991</v>
      </c>
      <c r="AT880" s="542">
        <f t="shared" si="47"/>
        <v>80.399999999999991</v>
      </c>
      <c r="AU880" s="542">
        <f t="shared" si="47"/>
        <v>80.399999999999991</v>
      </c>
      <c r="AV880" s="542">
        <f t="shared" si="47"/>
        <v>80.399999999999991</v>
      </c>
      <c r="AW880" s="542">
        <f t="shared" si="47"/>
        <v>80.399999999999991</v>
      </c>
      <c r="AX880" s="542">
        <f t="shared" si="47"/>
        <v>80.399999999999991</v>
      </c>
      <c r="AY880" s="542">
        <f t="shared" si="47"/>
        <v>80.399999999999991</v>
      </c>
      <c r="AZ880" s="542">
        <f t="shared" si="47"/>
        <v>80.399999999999991</v>
      </c>
      <c r="BA880" s="542">
        <f t="shared" si="47"/>
        <v>80.399999999999991</v>
      </c>
      <c r="BB880" s="542">
        <f t="shared" si="47"/>
        <v>80.399999999999991</v>
      </c>
      <c r="BC880" s="542">
        <f t="shared" si="47"/>
        <v>80.399999999999991</v>
      </c>
      <c r="BD880" s="542">
        <f t="shared" si="47"/>
        <v>80.399999999999991</v>
      </c>
      <c r="BE880" s="542">
        <f t="shared" si="47"/>
        <v>80.399999999999991</v>
      </c>
      <c r="BF880" s="542">
        <f t="shared" si="47"/>
        <v>80.399999999999991</v>
      </c>
      <c r="BG880" s="542">
        <f t="shared" si="47"/>
        <v>80.399999999999991</v>
      </c>
      <c r="BH880" s="542">
        <f t="shared" si="47"/>
        <v>80.399999999999991</v>
      </c>
      <c r="BI880" s="542">
        <f t="shared" si="47"/>
        <v>80.399999999999991</v>
      </c>
      <c r="BJ880" s="542">
        <f t="shared" si="47"/>
        <v>80.399999999999991</v>
      </c>
      <c r="BK880" s="542">
        <f t="shared" si="47"/>
        <v>80.399999999999991</v>
      </c>
      <c r="BL880" s="542">
        <f t="shared" si="47"/>
        <v>80.399999999999991</v>
      </c>
      <c r="BM880" s="542">
        <f t="shared" si="47"/>
        <v>80.399999999999991</v>
      </c>
      <c r="BN880" s="542">
        <f t="shared" si="47"/>
        <v>80.399999999999991</v>
      </c>
      <c r="BO880" s="542">
        <f t="shared" si="47"/>
        <v>80.399999999999991</v>
      </c>
      <c r="BP880" s="542">
        <f t="shared" si="47"/>
        <v>80.399999999999991</v>
      </c>
      <c r="BQ880" s="542">
        <f t="shared" si="47"/>
        <v>80.399999999999991</v>
      </c>
      <c r="BR880" s="542">
        <f t="shared" si="47"/>
        <v>80.399999999999991</v>
      </c>
      <c r="BS880" s="542">
        <f t="shared" si="47"/>
        <v>80.399999999999991</v>
      </c>
      <c r="BT880" s="542">
        <f t="shared" si="47"/>
        <v>80.399999999999991</v>
      </c>
      <c r="BU880" s="542">
        <f t="shared" si="47"/>
        <v>80.399999999999991</v>
      </c>
      <c r="BV880" s="542">
        <f t="shared" si="47"/>
        <v>80.399999999999991</v>
      </c>
      <c r="BW880" s="542">
        <f t="shared" si="47"/>
        <v>80.399999999999991</v>
      </c>
      <c r="BX880" s="542">
        <f t="shared" si="47"/>
        <v>80.399999999999991</v>
      </c>
      <c r="BY880" s="542">
        <f t="shared" si="47"/>
        <v>80.399999999999991</v>
      </c>
      <c r="BZ880" s="542">
        <f t="shared" si="44"/>
        <v>80.399999999999991</v>
      </c>
      <c r="CA880" s="542">
        <f t="shared" si="44"/>
        <v>80.399999999999991</v>
      </c>
      <c r="CB880" s="542">
        <f t="shared" si="44"/>
        <v>80.399999999999991</v>
      </c>
      <c r="CC880" s="542">
        <f t="shared" si="44"/>
        <v>80.399999999999991</v>
      </c>
      <c r="CD880" s="542">
        <f t="shared" si="44"/>
        <v>80.399999999999991</v>
      </c>
      <c r="CE880" s="542">
        <f t="shared" si="44"/>
        <v>80.399999999999991</v>
      </c>
      <c r="CF880" s="542">
        <f t="shared" si="44"/>
        <v>80.399999999999991</v>
      </c>
      <c r="CG880" s="542">
        <f t="shared" si="44"/>
        <v>80.399999999999991</v>
      </c>
      <c r="CH880" s="542">
        <f t="shared" si="44"/>
        <v>80.399999999999991</v>
      </c>
      <c r="CI880" s="542">
        <f t="shared" si="44"/>
        <v>80.399999999999991</v>
      </c>
    </row>
    <row r="881" spans="1:87" ht="14.25" customHeight="1" x14ac:dyDescent="0.35">
      <c r="A881" s="42" t="s">
        <v>115</v>
      </c>
      <c r="B881" s="54">
        <f t="shared" si="45"/>
        <v>0</v>
      </c>
      <c r="C881" s="54">
        <f t="shared" si="45"/>
        <v>32.611092389156795</v>
      </c>
      <c r="D881" s="54">
        <f t="shared" si="45"/>
        <v>35.913837411756191</v>
      </c>
      <c r="E881" s="54">
        <f t="shared" si="45"/>
        <v>39.825816687296452</v>
      </c>
      <c r="F881" s="54">
        <f t="shared" si="45"/>
        <v>44.837998804444197</v>
      </c>
      <c r="G881" s="54">
        <f t="shared" si="45"/>
        <v>49.907637953194929</v>
      </c>
      <c r="H881" s="54">
        <f t="shared" si="45"/>
        <v>55.585854791339372</v>
      </c>
      <c r="I881" s="54">
        <f t="shared" si="45"/>
        <v>62.238730277986463</v>
      </c>
      <c r="J881" s="54">
        <f t="shared" si="45"/>
        <v>71.028099173553713</v>
      </c>
      <c r="K881" s="54">
        <f t="shared" si="45"/>
        <v>80.399999999999991</v>
      </c>
      <c r="L881" s="542">
        <f t="shared" si="45"/>
        <v>80.399999999999991</v>
      </c>
      <c r="M881" s="542">
        <f t="shared" si="45"/>
        <v>80.399999999999991</v>
      </c>
      <c r="N881" s="542">
        <f t="shared" si="47"/>
        <v>80.399999999999991</v>
      </c>
      <c r="O881" s="542">
        <f t="shared" si="47"/>
        <v>80.399999999999991</v>
      </c>
      <c r="P881" s="542">
        <f t="shared" si="47"/>
        <v>80.399999999999991</v>
      </c>
      <c r="Q881" s="542">
        <f t="shared" si="47"/>
        <v>80.399999999999991</v>
      </c>
      <c r="R881" s="542">
        <f t="shared" si="47"/>
        <v>80.399999999999991</v>
      </c>
      <c r="S881" s="542">
        <f t="shared" si="47"/>
        <v>80.399999999999991</v>
      </c>
      <c r="T881" s="542">
        <f t="shared" si="47"/>
        <v>80.399999999999991</v>
      </c>
      <c r="U881" s="542">
        <f t="shared" si="47"/>
        <v>80.399999999999991</v>
      </c>
      <c r="V881" s="542">
        <f t="shared" si="47"/>
        <v>80.399999999999991</v>
      </c>
      <c r="W881" s="542">
        <f t="shared" si="47"/>
        <v>80.399999999999991</v>
      </c>
      <c r="X881" s="542">
        <f t="shared" si="47"/>
        <v>80.399999999999991</v>
      </c>
      <c r="Y881" s="542">
        <f t="shared" si="47"/>
        <v>80.399999999999991</v>
      </c>
      <c r="Z881" s="542">
        <f t="shared" si="47"/>
        <v>80.399999999999991</v>
      </c>
      <c r="AA881" s="542">
        <f t="shared" si="47"/>
        <v>80.399999999999991</v>
      </c>
      <c r="AB881" s="542">
        <f t="shared" si="47"/>
        <v>80.399999999999991</v>
      </c>
      <c r="AC881" s="542">
        <f t="shared" si="47"/>
        <v>80.399999999999991</v>
      </c>
      <c r="AD881" s="542">
        <f t="shared" si="47"/>
        <v>80.399999999999991</v>
      </c>
      <c r="AE881" s="542">
        <f t="shared" si="47"/>
        <v>80.399999999999991</v>
      </c>
      <c r="AF881" s="542">
        <f t="shared" si="47"/>
        <v>80.399999999999991</v>
      </c>
      <c r="AG881" s="542">
        <f t="shared" si="47"/>
        <v>80.399999999999991</v>
      </c>
      <c r="AH881" s="542">
        <f t="shared" si="47"/>
        <v>80.399999999999991</v>
      </c>
      <c r="AI881" s="542">
        <f t="shared" si="47"/>
        <v>80.399999999999991</v>
      </c>
      <c r="AJ881" s="542">
        <f t="shared" si="47"/>
        <v>80.399999999999991</v>
      </c>
      <c r="AK881" s="542">
        <f t="shared" si="47"/>
        <v>80.399999999999991</v>
      </c>
      <c r="AL881" s="542">
        <f t="shared" si="47"/>
        <v>80.399999999999991</v>
      </c>
      <c r="AM881" s="542">
        <f t="shared" si="47"/>
        <v>80.399999999999991</v>
      </c>
      <c r="AN881" s="542">
        <f t="shared" si="47"/>
        <v>80.399999999999991</v>
      </c>
      <c r="AO881" s="542">
        <f t="shared" si="47"/>
        <v>80.399999999999991</v>
      </c>
      <c r="AP881" s="542">
        <f t="shared" si="47"/>
        <v>80.399999999999991</v>
      </c>
      <c r="AQ881" s="542">
        <f t="shared" si="47"/>
        <v>80.399999999999991</v>
      </c>
      <c r="AR881" s="542">
        <f t="shared" si="47"/>
        <v>80.399999999999991</v>
      </c>
      <c r="AS881" s="542">
        <f t="shared" si="47"/>
        <v>80.399999999999991</v>
      </c>
      <c r="AT881" s="542">
        <f t="shared" si="47"/>
        <v>80.399999999999991</v>
      </c>
      <c r="AU881" s="542">
        <f t="shared" si="47"/>
        <v>80.399999999999991</v>
      </c>
      <c r="AV881" s="542">
        <f t="shared" si="47"/>
        <v>80.399999999999991</v>
      </c>
      <c r="AW881" s="542">
        <f t="shared" si="47"/>
        <v>80.399999999999991</v>
      </c>
      <c r="AX881" s="542">
        <f t="shared" si="47"/>
        <v>80.399999999999991</v>
      </c>
      <c r="AY881" s="542">
        <f t="shared" si="47"/>
        <v>80.399999999999991</v>
      </c>
      <c r="AZ881" s="542">
        <f t="shared" si="47"/>
        <v>80.399999999999991</v>
      </c>
      <c r="BA881" s="542">
        <f t="shared" si="47"/>
        <v>80.399999999999991</v>
      </c>
      <c r="BB881" s="542">
        <f t="shared" si="47"/>
        <v>80.399999999999991</v>
      </c>
      <c r="BC881" s="542">
        <f t="shared" si="47"/>
        <v>80.399999999999991</v>
      </c>
      <c r="BD881" s="542">
        <f t="shared" si="47"/>
        <v>80.399999999999991</v>
      </c>
      <c r="BE881" s="542">
        <f t="shared" si="47"/>
        <v>80.399999999999991</v>
      </c>
      <c r="BF881" s="542">
        <f t="shared" si="47"/>
        <v>80.399999999999991</v>
      </c>
      <c r="BG881" s="542">
        <f t="shared" si="47"/>
        <v>80.399999999999991</v>
      </c>
      <c r="BH881" s="542">
        <f t="shared" si="47"/>
        <v>80.399999999999991</v>
      </c>
      <c r="BI881" s="542">
        <f t="shared" si="47"/>
        <v>80.399999999999991</v>
      </c>
      <c r="BJ881" s="542">
        <f t="shared" si="47"/>
        <v>80.399999999999991</v>
      </c>
      <c r="BK881" s="542">
        <f t="shared" si="47"/>
        <v>80.399999999999991</v>
      </c>
      <c r="BL881" s="542">
        <f t="shared" si="47"/>
        <v>80.399999999999991</v>
      </c>
      <c r="BM881" s="542">
        <f t="shared" si="47"/>
        <v>80.399999999999991</v>
      </c>
      <c r="BN881" s="542">
        <f t="shared" si="47"/>
        <v>80.399999999999991</v>
      </c>
      <c r="BO881" s="542">
        <f t="shared" si="47"/>
        <v>80.399999999999991</v>
      </c>
      <c r="BP881" s="542">
        <f t="shared" si="47"/>
        <v>80.399999999999991</v>
      </c>
      <c r="BQ881" s="542">
        <f t="shared" si="47"/>
        <v>80.399999999999991</v>
      </c>
      <c r="BR881" s="542">
        <f t="shared" si="47"/>
        <v>80.399999999999991</v>
      </c>
      <c r="BS881" s="542">
        <f t="shared" si="47"/>
        <v>80.399999999999991</v>
      </c>
      <c r="BT881" s="542">
        <f t="shared" si="47"/>
        <v>80.399999999999991</v>
      </c>
      <c r="BU881" s="542">
        <f t="shared" si="47"/>
        <v>80.399999999999991</v>
      </c>
      <c r="BV881" s="542">
        <f t="shared" si="47"/>
        <v>80.399999999999991</v>
      </c>
      <c r="BW881" s="542">
        <f t="shared" si="47"/>
        <v>80.399999999999991</v>
      </c>
      <c r="BX881" s="542">
        <f t="shared" si="47"/>
        <v>80.399999999999991</v>
      </c>
      <c r="BY881" s="542">
        <f t="shared" si="47"/>
        <v>80.399999999999991</v>
      </c>
      <c r="BZ881" s="542">
        <f t="shared" si="44"/>
        <v>80.399999999999991</v>
      </c>
      <c r="CA881" s="542">
        <f t="shared" si="44"/>
        <v>80.399999999999991</v>
      </c>
      <c r="CB881" s="542">
        <f t="shared" si="44"/>
        <v>80.399999999999991</v>
      </c>
      <c r="CC881" s="542">
        <f t="shared" si="44"/>
        <v>80.399999999999991</v>
      </c>
      <c r="CD881" s="542">
        <f t="shared" si="44"/>
        <v>80.399999999999991</v>
      </c>
      <c r="CE881" s="542">
        <f t="shared" si="44"/>
        <v>80.399999999999991</v>
      </c>
      <c r="CF881" s="542">
        <f t="shared" si="44"/>
        <v>80.399999999999991</v>
      </c>
      <c r="CG881" s="542">
        <f t="shared" si="44"/>
        <v>80.399999999999991</v>
      </c>
      <c r="CH881" s="542">
        <f t="shared" si="44"/>
        <v>80.399999999999991</v>
      </c>
      <c r="CI881" s="542">
        <f t="shared" si="44"/>
        <v>80.399999999999991</v>
      </c>
    </row>
    <row r="882" spans="1:87" ht="14.25" customHeight="1" x14ac:dyDescent="0.35">
      <c r="A882" s="42" t="s">
        <v>116</v>
      </c>
      <c r="B882" s="54">
        <f t="shared" si="45"/>
        <v>0</v>
      </c>
      <c r="C882" s="54">
        <f t="shared" si="45"/>
        <v>32.611092389156795</v>
      </c>
      <c r="D882" s="54">
        <f t="shared" si="45"/>
        <v>35.913837411756191</v>
      </c>
      <c r="E882" s="54">
        <f t="shared" si="45"/>
        <v>39.825816687296452</v>
      </c>
      <c r="F882" s="54">
        <f t="shared" si="45"/>
        <v>44.837998804444197</v>
      </c>
      <c r="G882" s="54">
        <f t="shared" si="45"/>
        <v>49.907637953194929</v>
      </c>
      <c r="H882" s="54">
        <f t="shared" si="45"/>
        <v>55.585854791339372</v>
      </c>
      <c r="I882" s="54">
        <f t="shared" si="45"/>
        <v>62.238730277986463</v>
      </c>
      <c r="J882" s="54">
        <f t="shared" si="45"/>
        <v>71.028099173553713</v>
      </c>
      <c r="K882" s="54">
        <f t="shared" si="45"/>
        <v>80.399999999999991</v>
      </c>
      <c r="L882" s="542">
        <f t="shared" si="45"/>
        <v>80.399999999999991</v>
      </c>
      <c r="M882" s="542">
        <f t="shared" si="45"/>
        <v>80.399999999999991</v>
      </c>
      <c r="N882" s="542">
        <f t="shared" si="47"/>
        <v>80.399999999999991</v>
      </c>
      <c r="O882" s="542">
        <f t="shared" si="47"/>
        <v>80.399999999999991</v>
      </c>
      <c r="P882" s="542">
        <f t="shared" si="47"/>
        <v>80.399999999999991</v>
      </c>
      <c r="Q882" s="542">
        <f t="shared" si="47"/>
        <v>80.399999999999991</v>
      </c>
      <c r="R882" s="542">
        <f t="shared" si="47"/>
        <v>80.399999999999991</v>
      </c>
      <c r="S882" s="542">
        <f t="shared" si="47"/>
        <v>80.399999999999991</v>
      </c>
      <c r="T882" s="542">
        <f t="shared" si="47"/>
        <v>80.399999999999991</v>
      </c>
      <c r="U882" s="542">
        <f t="shared" si="47"/>
        <v>80.399999999999991</v>
      </c>
      <c r="V882" s="542">
        <f t="shared" si="47"/>
        <v>80.399999999999991</v>
      </c>
      <c r="W882" s="542">
        <f t="shared" si="47"/>
        <v>80.399999999999991</v>
      </c>
      <c r="X882" s="542">
        <f t="shared" si="47"/>
        <v>80.399999999999991</v>
      </c>
      <c r="Y882" s="542">
        <f t="shared" si="47"/>
        <v>80.399999999999991</v>
      </c>
      <c r="Z882" s="542">
        <f t="shared" si="47"/>
        <v>80.399999999999991</v>
      </c>
      <c r="AA882" s="542">
        <f t="shared" si="47"/>
        <v>80.399999999999991</v>
      </c>
      <c r="AB882" s="542">
        <f t="shared" si="47"/>
        <v>80.399999999999991</v>
      </c>
      <c r="AC882" s="542">
        <f t="shared" si="47"/>
        <v>80.399999999999991</v>
      </c>
      <c r="AD882" s="542">
        <f t="shared" si="47"/>
        <v>80.399999999999991</v>
      </c>
      <c r="AE882" s="542">
        <f t="shared" si="47"/>
        <v>80.399999999999991</v>
      </c>
      <c r="AF882" s="542">
        <f t="shared" si="47"/>
        <v>80.399999999999991</v>
      </c>
      <c r="AG882" s="542">
        <f t="shared" si="47"/>
        <v>80.399999999999991</v>
      </c>
      <c r="AH882" s="542">
        <f t="shared" si="47"/>
        <v>80.399999999999991</v>
      </c>
      <c r="AI882" s="542">
        <f t="shared" si="47"/>
        <v>80.399999999999991</v>
      </c>
      <c r="AJ882" s="542">
        <f t="shared" si="47"/>
        <v>80.399999999999991</v>
      </c>
      <c r="AK882" s="542">
        <f t="shared" si="47"/>
        <v>80.399999999999991</v>
      </c>
      <c r="AL882" s="542">
        <f t="shared" si="47"/>
        <v>80.399999999999991</v>
      </c>
      <c r="AM882" s="542">
        <f t="shared" si="47"/>
        <v>80.399999999999991</v>
      </c>
      <c r="AN882" s="542">
        <f t="shared" si="47"/>
        <v>80.399999999999991</v>
      </c>
      <c r="AO882" s="542">
        <f t="shared" si="47"/>
        <v>80.399999999999991</v>
      </c>
      <c r="AP882" s="542">
        <f t="shared" si="47"/>
        <v>80.399999999999991</v>
      </c>
      <c r="AQ882" s="542">
        <f t="shared" si="47"/>
        <v>80.399999999999991</v>
      </c>
      <c r="AR882" s="542">
        <f t="shared" si="47"/>
        <v>80.399999999999991</v>
      </c>
      <c r="AS882" s="542">
        <f t="shared" si="47"/>
        <v>80.399999999999991</v>
      </c>
      <c r="AT882" s="542">
        <f t="shared" si="47"/>
        <v>80.399999999999991</v>
      </c>
      <c r="AU882" s="542">
        <f t="shared" si="47"/>
        <v>80.399999999999991</v>
      </c>
      <c r="AV882" s="542">
        <f t="shared" si="47"/>
        <v>80.399999999999991</v>
      </c>
      <c r="AW882" s="542">
        <f t="shared" si="47"/>
        <v>80.399999999999991</v>
      </c>
      <c r="AX882" s="542">
        <f t="shared" si="47"/>
        <v>80.399999999999991</v>
      </c>
      <c r="AY882" s="542">
        <f t="shared" si="47"/>
        <v>80.399999999999991</v>
      </c>
      <c r="AZ882" s="542">
        <f t="shared" si="47"/>
        <v>80.399999999999991</v>
      </c>
      <c r="BA882" s="542">
        <f t="shared" si="47"/>
        <v>80.399999999999991</v>
      </c>
      <c r="BB882" s="542">
        <f t="shared" si="47"/>
        <v>80.399999999999991</v>
      </c>
      <c r="BC882" s="542">
        <f t="shared" si="47"/>
        <v>80.399999999999991</v>
      </c>
      <c r="BD882" s="542">
        <f t="shared" si="47"/>
        <v>80.399999999999991</v>
      </c>
      <c r="BE882" s="542">
        <f t="shared" si="47"/>
        <v>80.399999999999991</v>
      </c>
      <c r="BF882" s="542">
        <f t="shared" si="47"/>
        <v>80.399999999999991</v>
      </c>
      <c r="BG882" s="542">
        <f t="shared" si="47"/>
        <v>80.399999999999991</v>
      </c>
      <c r="BH882" s="542">
        <f t="shared" si="47"/>
        <v>80.399999999999991</v>
      </c>
      <c r="BI882" s="542">
        <f t="shared" si="47"/>
        <v>80.399999999999991</v>
      </c>
      <c r="BJ882" s="542">
        <f t="shared" si="47"/>
        <v>80.399999999999991</v>
      </c>
      <c r="BK882" s="542">
        <f t="shared" si="47"/>
        <v>80.399999999999991</v>
      </c>
      <c r="BL882" s="542">
        <f t="shared" si="47"/>
        <v>80.399999999999991</v>
      </c>
      <c r="BM882" s="542">
        <f t="shared" si="47"/>
        <v>80.399999999999991</v>
      </c>
      <c r="BN882" s="542">
        <f t="shared" si="47"/>
        <v>80.399999999999991</v>
      </c>
      <c r="BO882" s="542">
        <f t="shared" si="47"/>
        <v>80.399999999999991</v>
      </c>
      <c r="BP882" s="542">
        <f t="shared" si="47"/>
        <v>80.399999999999991</v>
      </c>
      <c r="BQ882" s="542">
        <f t="shared" si="47"/>
        <v>80.399999999999991</v>
      </c>
      <c r="BR882" s="542">
        <f t="shared" si="47"/>
        <v>80.399999999999991</v>
      </c>
      <c r="BS882" s="542">
        <f t="shared" si="47"/>
        <v>80.399999999999991</v>
      </c>
      <c r="BT882" s="542">
        <f t="shared" si="47"/>
        <v>80.399999999999991</v>
      </c>
      <c r="BU882" s="542">
        <f t="shared" si="47"/>
        <v>80.399999999999991</v>
      </c>
      <c r="BV882" s="542">
        <f t="shared" si="47"/>
        <v>80.399999999999991</v>
      </c>
      <c r="BW882" s="542">
        <f t="shared" si="47"/>
        <v>80.399999999999991</v>
      </c>
      <c r="BX882" s="542">
        <f t="shared" si="47"/>
        <v>80.399999999999991</v>
      </c>
      <c r="BY882" s="542">
        <f t="shared" si="47"/>
        <v>80.399999999999991</v>
      </c>
      <c r="BZ882" s="542">
        <f t="shared" si="44"/>
        <v>80.399999999999991</v>
      </c>
      <c r="CA882" s="542">
        <f t="shared" si="44"/>
        <v>80.399999999999991</v>
      </c>
      <c r="CB882" s="542">
        <f t="shared" si="44"/>
        <v>80.399999999999991</v>
      </c>
      <c r="CC882" s="542">
        <f t="shared" si="44"/>
        <v>80.399999999999991</v>
      </c>
      <c r="CD882" s="542">
        <f t="shared" si="44"/>
        <v>80.399999999999991</v>
      </c>
      <c r="CE882" s="542">
        <f t="shared" si="44"/>
        <v>80.399999999999991</v>
      </c>
      <c r="CF882" s="542">
        <f t="shared" si="44"/>
        <v>80.399999999999991</v>
      </c>
      <c r="CG882" s="542">
        <f t="shared" si="44"/>
        <v>80.399999999999991</v>
      </c>
      <c r="CH882" s="542">
        <f t="shared" si="44"/>
        <v>80.399999999999991</v>
      </c>
      <c r="CI882" s="542">
        <f t="shared" si="44"/>
        <v>80.399999999999991</v>
      </c>
    </row>
    <row r="883" spans="1:87" ht="14.25" customHeight="1" x14ac:dyDescent="0.35">
      <c r="A883" s="42" t="s">
        <v>117</v>
      </c>
      <c r="B883" s="54">
        <f t="shared" si="45"/>
        <v>0</v>
      </c>
      <c r="C883" s="54">
        <f t="shared" si="45"/>
        <v>32.611092389156795</v>
      </c>
      <c r="D883" s="54">
        <f t="shared" si="45"/>
        <v>35.913837411756191</v>
      </c>
      <c r="E883" s="54">
        <f t="shared" si="45"/>
        <v>39.825816687296452</v>
      </c>
      <c r="F883" s="54">
        <f t="shared" si="45"/>
        <v>44.837998804444197</v>
      </c>
      <c r="G883" s="54">
        <f t="shared" si="45"/>
        <v>49.907637953194929</v>
      </c>
      <c r="H883" s="54">
        <f t="shared" si="45"/>
        <v>55.585854791339372</v>
      </c>
      <c r="I883" s="54">
        <f t="shared" si="45"/>
        <v>62.238730277986463</v>
      </c>
      <c r="J883" s="54">
        <f t="shared" si="45"/>
        <v>71.028099173553713</v>
      </c>
      <c r="K883" s="54">
        <f t="shared" si="45"/>
        <v>80.399999999999991</v>
      </c>
      <c r="L883" s="542">
        <f t="shared" si="45"/>
        <v>80.399999999999991</v>
      </c>
      <c r="M883" s="542">
        <f t="shared" si="45"/>
        <v>80.399999999999991</v>
      </c>
      <c r="N883" s="542">
        <f t="shared" si="47"/>
        <v>80.399999999999991</v>
      </c>
      <c r="O883" s="542">
        <f t="shared" si="47"/>
        <v>80.399999999999991</v>
      </c>
      <c r="P883" s="542">
        <f t="shared" si="47"/>
        <v>80.399999999999991</v>
      </c>
      <c r="Q883" s="542">
        <f t="shared" si="47"/>
        <v>80.399999999999991</v>
      </c>
      <c r="R883" s="542">
        <f t="shared" si="47"/>
        <v>80.399999999999991</v>
      </c>
      <c r="S883" s="542">
        <f t="shared" si="47"/>
        <v>80.399999999999991</v>
      </c>
      <c r="T883" s="542">
        <f t="shared" si="47"/>
        <v>80.399999999999991</v>
      </c>
      <c r="U883" s="542">
        <f t="shared" si="47"/>
        <v>80.399999999999991</v>
      </c>
      <c r="V883" s="542">
        <f t="shared" si="47"/>
        <v>80.399999999999991</v>
      </c>
      <c r="W883" s="542">
        <f t="shared" si="47"/>
        <v>80.399999999999991</v>
      </c>
      <c r="X883" s="542">
        <f t="shared" si="47"/>
        <v>80.399999999999991</v>
      </c>
      <c r="Y883" s="542">
        <f t="shared" si="47"/>
        <v>80.399999999999991</v>
      </c>
      <c r="Z883" s="542">
        <f t="shared" si="47"/>
        <v>80.399999999999991</v>
      </c>
      <c r="AA883" s="542">
        <f t="shared" si="47"/>
        <v>80.399999999999991</v>
      </c>
      <c r="AB883" s="542">
        <f t="shared" si="47"/>
        <v>80.399999999999991</v>
      </c>
      <c r="AC883" s="542">
        <f t="shared" si="47"/>
        <v>80.399999999999991</v>
      </c>
      <c r="AD883" s="542">
        <f t="shared" si="47"/>
        <v>80.399999999999991</v>
      </c>
      <c r="AE883" s="542">
        <f t="shared" si="47"/>
        <v>80.399999999999991</v>
      </c>
      <c r="AF883" s="542">
        <f t="shared" si="47"/>
        <v>80.399999999999991</v>
      </c>
      <c r="AG883" s="542">
        <f t="shared" si="47"/>
        <v>80.399999999999991</v>
      </c>
      <c r="AH883" s="542">
        <f t="shared" si="47"/>
        <v>80.399999999999991</v>
      </c>
      <c r="AI883" s="542">
        <f t="shared" si="47"/>
        <v>80.399999999999991</v>
      </c>
      <c r="AJ883" s="542">
        <f t="shared" si="47"/>
        <v>80.399999999999991</v>
      </c>
      <c r="AK883" s="542">
        <f t="shared" si="47"/>
        <v>80.399999999999991</v>
      </c>
      <c r="AL883" s="542">
        <f t="shared" si="47"/>
        <v>80.399999999999991</v>
      </c>
      <c r="AM883" s="542">
        <f t="shared" si="47"/>
        <v>80.399999999999991</v>
      </c>
      <c r="AN883" s="542">
        <f t="shared" si="47"/>
        <v>80.399999999999991</v>
      </c>
      <c r="AO883" s="542">
        <f t="shared" si="47"/>
        <v>80.399999999999991</v>
      </c>
      <c r="AP883" s="542">
        <f t="shared" si="47"/>
        <v>80.399999999999991</v>
      </c>
      <c r="AQ883" s="542">
        <f t="shared" si="47"/>
        <v>80.399999999999991</v>
      </c>
      <c r="AR883" s="542">
        <f t="shared" si="47"/>
        <v>80.399999999999991</v>
      </c>
      <c r="AS883" s="542">
        <f t="shared" si="47"/>
        <v>80.399999999999991</v>
      </c>
      <c r="AT883" s="542">
        <f t="shared" si="47"/>
        <v>80.399999999999991</v>
      </c>
      <c r="AU883" s="542">
        <f t="shared" si="47"/>
        <v>80.399999999999991</v>
      </c>
      <c r="AV883" s="542">
        <f t="shared" si="47"/>
        <v>80.399999999999991</v>
      </c>
      <c r="AW883" s="542">
        <f t="shared" si="47"/>
        <v>80.399999999999991</v>
      </c>
      <c r="AX883" s="542">
        <f t="shared" si="47"/>
        <v>80.399999999999991</v>
      </c>
      <c r="AY883" s="542">
        <f t="shared" si="47"/>
        <v>80.399999999999991</v>
      </c>
      <c r="AZ883" s="542">
        <f t="shared" si="47"/>
        <v>80.399999999999991</v>
      </c>
      <c r="BA883" s="542">
        <f t="shared" si="47"/>
        <v>80.399999999999991</v>
      </c>
      <c r="BB883" s="542">
        <f t="shared" si="47"/>
        <v>80.399999999999991</v>
      </c>
      <c r="BC883" s="542">
        <f t="shared" si="47"/>
        <v>80.399999999999991</v>
      </c>
      <c r="BD883" s="542">
        <f t="shared" si="47"/>
        <v>80.399999999999991</v>
      </c>
      <c r="BE883" s="542">
        <f t="shared" si="47"/>
        <v>80.399999999999991</v>
      </c>
      <c r="BF883" s="542">
        <f t="shared" si="47"/>
        <v>80.399999999999991</v>
      </c>
      <c r="BG883" s="542">
        <f t="shared" si="47"/>
        <v>80.399999999999991</v>
      </c>
      <c r="BH883" s="542">
        <f t="shared" si="47"/>
        <v>80.399999999999991</v>
      </c>
      <c r="BI883" s="542">
        <f t="shared" si="47"/>
        <v>80.399999999999991</v>
      </c>
      <c r="BJ883" s="542">
        <f t="shared" si="47"/>
        <v>80.399999999999991</v>
      </c>
      <c r="BK883" s="542">
        <f t="shared" si="47"/>
        <v>80.399999999999991</v>
      </c>
      <c r="BL883" s="542">
        <f t="shared" si="47"/>
        <v>80.399999999999991</v>
      </c>
      <c r="BM883" s="542">
        <f t="shared" si="47"/>
        <v>80.399999999999991</v>
      </c>
      <c r="BN883" s="542">
        <f t="shared" si="47"/>
        <v>80.399999999999991</v>
      </c>
      <c r="BO883" s="542">
        <f t="shared" si="47"/>
        <v>80.399999999999991</v>
      </c>
      <c r="BP883" s="542">
        <f t="shared" si="47"/>
        <v>80.399999999999991</v>
      </c>
      <c r="BQ883" s="542">
        <f t="shared" si="47"/>
        <v>80.399999999999991</v>
      </c>
      <c r="BR883" s="542">
        <f t="shared" si="47"/>
        <v>80.399999999999991</v>
      </c>
      <c r="BS883" s="542">
        <f t="shared" si="47"/>
        <v>80.399999999999991</v>
      </c>
      <c r="BT883" s="542">
        <f t="shared" si="47"/>
        <v>80.399999999999991</v>
      </c>
      <c r="BU883" s="542">
        <f t="shared" si="47"/>
        <v>80.399999999999991</v>
      </c>
      <c r="BV883" s="542">
        <f t="shared" si="47"/>
        <v>80.399999999999991</v>
      </c>
      <c r="BW883" s="542">
        <f t="shared" si="47"/>
        <v>80.399999999999991</v>
      </c>
      <c r="BX883" s="542">
        <f t="shared" si="47"/>
        <v>80.399999999999991</v>
      </c>
      <c r="BY883" s="542">
        <f t="shared" ref="BY883" si="48">+BX883</f>
        <v>80.399999999999991</v>
      </c>
      <c r="BZ883" s="542">
        <f t="shared" si="44"/>
        <v>80.399999999999991</v>
      </c>
      <c r="CA883" s="542">
        <f t="shared" si="44"/>
        <v>80.399999999999991</v>
      </c>
      <c r="CB883" s="542">
        <f t="shared" si="44"/>
        <v>80.399999999999991</v>
      </c>
      <c r="CC883" s="542">
        <f t="shared" si="44"/>
        <v>80.399999999999991</v>
      </c>
      <c r="CD883" s="542">
        <f t="shared" si="44"/>
        <v>80.399999999999991</v>
      </c>
      <c r="CE883" s="542">
        <f t="shared" si="44"/>
        <v>80.399999999999991</v>
      </c>
      <c r="CF883" s="542">
        <f t="shared" si="44"/>
        <v>80.399999999999991</v>
      </c>
      <c r="CG883" s="542">
        <f t="shared" si="44"/>
        <v>80.399999999999991</v>
      </c>
      <c r="CH883" s="542">
        <f t="shared" si="44"/>
        <v>80.399999999999991</v>
      </c>
      <c r="CI883" s="542">
        <f t="shared" si="44"/>
        <v>80.399999999999991</v>
      </c>
    </row>
    <row r="884" spans="1:87" ht="14.25" customHeight="1" x14ac:dyDescent="0.35">
      <c r="A884" s="42" t="s">
        <v>118</v>
      </c>
      <c r="B884" s="54">
        <f t="shared" si="45"/>
        <v>0</v>
      </c>
      <c r="C884" s="54">
        <f t="shared" si="45"/>
        <v>32.611092389156795</v>
      </c>
      <c r="D884" s="54">
        <f t="shared" si="45"/>
        <v>35.913837411756191</v>
      </c>
      <c r="E884" s="54">
        <f t="shared" si="45"/>
        <v>39.825816687296452</v>
      </c>
      <c r="F884" s="54">
        <f t="shared" si="45"/>
        <v>44.837998804444197</v>
      </c>
      <c r="G884" s="54">
        <f t="shared" si="45"/>
        <v>49.907637953194929</v>
      </c>
      <c r="H884" s="54">
        <f t="shared" si="45"/>
        <v>55.585854791339372</v>
      </c>
      <c r="I884" s="54">
        <f t="shared" si="45"/>
        <v>62.238730277986463</v>
      </c>
      <c r="J884" s="54">
        <f t="shared" si="45"/>
        <v>71.028099173553713</v>
      </c>
      <c r="K884" s="54">
        <f t="shared" si="45"/>
        <v>80.399999999999991</v>
      </c>
      <c r="L884" s="542">
        <f t="shared" si="45"/>
        <v>80.399999999999991</v>
      </c>
      <c r="M884" s="542">
        <f t="shared" si="45"/>
        <v>80.399999999999991</v>
      </c>
      <c r="N884" s="542">
        <f t="shared" ref="N884:BY887" si="49">+M884</f>
        <v>80.399999999999991</v>
      </c>
      <c r="O884" s="542">
        <f t="shared" si="49"/>
        <v>80.399999999999991</v>
      </c>
      <c r="P884" s="542">
        <f t="shared" si="49"/>
        <v>80.399999999999991</v>
      </c>
      <c r="Q884" s="542">
        <f t="shared" si="49"/>
        <v>80.399999999999991</v>
      </c>
      <c r="R884" s="542">
        <f t="shared" si="49"/>
        <v>80.399999999999991</v>
      </c>
      <c r="S884" s="542">
        <f t="shared" si="49"/>
        <v>80.399999999999991</v>
      </c>
      <c r="T884" s="542">
        <f t="shared" si="49"/>
        <v>80.399999999999991</v>
      </c>
      <c r="U884" s="542">
        <f t="shared" si="49"/>
        <v>80.399999999999991</v>
      </c>
      <c r="V884" s="542">
        <f t="shared" si="49"/>
        <v>80.399999999999991</v>
      </c>
      <c r="W884" s="542">
        <f t="shared" si="49"/>
        <v>80.399999999999991</v>
      </c>
      <c r="X884" s="542">
        <f t="shared" si="49"/>
        <v>80.399999999999991</v>
      </c>
      <c r="Y884" s="542">
        <f t="shared" si="49"/>
        <v>80.399999999999991</v>
      </c>
      <c r="Z884" s="542">
        <f t="shared" si="49"/>
        <v>80.399999999999991</v>
      </c>
      <c r="AA884" s="542">
        <f t="shared" si="49"/>
        <v>80.399999999999991</v>
      </c>
      <c r="AB884" s="542">
        <f t="shared" si="49"/>
        <v>80.399999999999991</v>
      </c>
      <c r="AC884" s="542">
        <f t="shared" si="49"/>
        <v>80.399999999999991</v>
      </c>
      <c r="AD884" s="542">
        <f t="shared" si="49"/>
        <v>80.399999999999991</v>
      </c>
      <c r="AE884" s="542">
        <f t="shared" si="49"/>
        <v>80.399999999999991</v>
      </c>
      <c r="AF884" s="542">
        <f t="shared" si="49"/>
        <v>80.399999999999991</v>
      </c>
      <c r="AG884" s="542">
        <f t="shared" si="49"/>
        <v>80.399999999999991</v>
      </c>
      <c r="AH884" s="542">
        <f t="shared" si="49"/>
        <v>80.399999999999991</v>
      </c>
      <c r="AI884" s="542">
        <f t="shared" si="49"/>
        <v>80.399999999999991</v>
      </c>
      <c r="AJ884" s="542">
        <f t="shared" si="49"/>
        <v>80.399999999999991</v>
      </c>
      <c r="AK884" s="542">
        <f t="shared" si="49"/>
        <v>80.399999999999991</v>
      </c>
      <c r="AL884" s="542">
        <f t="shared" si="49"/>
        <v>80.399999999999991</v>
      </c>
      <c r="AM884" s="542">
        <f t="shared" si="49"/>
        <v>80.399999999999991</v>
      </c>
      <c r="AN884" s="542">
        <f t="shared" si="49"/>
        <v>80.399999999999991</v>
      </c>
      <c r="AO884" s="542">
        <f t="shared" si="49"/>
        <v>80.399999999999991</v>
      </c>
      <c r="AP884" s="542">
        <f t="shared" si="49"/>
        <v>80.399999999999991</v>
      </c>
      <c r="AQ884" s="542">
        <f t="shared" si="49"/>
        <v>80.399999999999991</v>
      </c>
      <c r="AR884" s="542">
        <f t="shared" si="49"/>
        <v>80.399999999999991</v>
      </c>
      <c r="AS884" s="542">
        <f t="shared" si="49"/>
        <v>80.399999999999991</v>
      </c>
      <c r="AT884" s="542">
        <f t="shared" si="49"/>
        <v>80.399999999999991</v>
      </c>
      <c r="AU884" s="542">
        <f t="shared" si="49"/>
        <v>80.399999999999991</v>
      </c>
      <c r="AV884" s="542">
        <f t="shared" si="49"/>
        <v>80.399999999999991</v>
      </c>
      <c r="AW884" s="542">
        <f t="shared" si="49"/>
        <v>80.399999999999991</v>
      </c>
      <c r="AX884" s="542">
        <f t="shared" si="49"/>
        <v>80.399999999999991</v>
      </c>
      <c r="AY884" s="542">
        <f t="shared" si="49"/>
        <v>80.399999999999991</v>
      </c>
      <c r="AZ884" s="542">
        <f t="shared" si="49"/>
        <v>80.399999999999991</v>
      </c>
      <c r="BA884" s="542">
        <f t="shared" si="49"/>
        <v>80.399999999999991</v>
      </c>
      <c r="BB884" s="542">
        <f t="shared" si="49"/>
        <v>80.399999999999991</v>
      </c>
      <c r="BC884" s="542">
        <f t="shared" si="49"/>
        <v>80.399999999999991</v>
      </c>
      <c r="BD884" s="542">
        <f t="shared" si="49"/>
        <v>80.399999999999991</v>
      </c>
      <c r="BE884" s="542">
        <f t="shared" si="49"/>
        <v>80.399999999999991</v>
      </c>
      <c r="BF884" s="542">
        <f t="shared" si="49"/>
        <v>80.399999999999991</v>
      </c>
      <c r="BG884" s="542">
        <f t="shared" si="49"/>
        <v>80.399999999999991</v>
      </c>
      <c r="BH884" s="542">
        <f t="shared" si="49"/>
        <v>80.399999999999991</v>
      </c>
      <c r="BI884" s="542">
        <f t="shared" si="49"/>
        <v>80.399999999999991</v>
      </c>
      <c r="BJ884" s="542">
        <f t="shared" si="49"/>
        <v>80.399999999999991</v>
      </c>
      <c r="BK884" s="542">
        <f t="shared" si="49"/>
        <v>80.399999999999991</v>
      </c>
      <c r="BL884" s="542">
        <f t="shared" si="49"/>
        <v>80.399999999999991</v>
      </c>
      <c r="BM884" s="542">
        <f t="shared" si="49"/>
        <v>80.399999999999991</v>
      </c>
      <c r="BN884" s="542">
        <f t="shared" si="49"/>
        <v>80.399999999999991</v>
      </c>
      <c r="BO884" s="542">
        <f t="shared" si="49"/>
        <v>80.399999999999991</v>
      </c>
      <c r="BP884" s="542">
        <f t="shared" si="49"/>
        <v>80.399999999999991</v>
      </c>
      <c r="BQ884" s="542">
        <f t="shared" si="49"/>
        <v>80.399999999999991</v>
      </c>
      <c r="BR884" s="542">
        <f t="shared" si="49"/>
        <v>80.399999999999991</v>
      </c>
      <c r="BS884" s="542">
        <f t="shared" si="49"/>
        <v>80.399999999999991</v>
      </c>
      <c r="BT884" s="542">
        <f t="shared" si="49"/>
        <v>80.399999999999991</v>
      </c>
      <c r="BU884" s="542">
        <f t="shared" si="49"/>
        <v>80.399999999999991</v>
      </c>
      <c r="BV884" s="542">
        <f t="shared" si="49"/>
        <v>80.399999999999991</v>
      </c>
      <c r="BW884" s="542">
        <f t="shared" si="49"/>
        <v>80.399999999999991</v>
      </c>
      <c r="BX884" s="542">
        <f t="shared" si="49"/>
        <v>80.399999999999991</v>
      </c>
      <c r="BY884" s="542">
        <f t="shared" si="49"/>
        <v>80.399999999999991</v>
      </c>
      <c r="BZ884" s="542">
        <f t="shared" si="44"/>
        <v>80.399999999999991</v>
      </c>
      <c r="CA884" s="542">
        <f t="shared" si="44"/>
        <v>80.399999999999991</v>
      </c>
      <c r="CB884" s="542">
        <f t="shared" si="44"/>
        <v>80.399999999999991</v>
      </c>
      <c r="CC884" s="542">
        <f t="shared" si="44"/>
        <v>80.399999999999991</v>
      </c>
      <c r="CD884" s="542">
        <f t="shared" si="44"/>
        <v>80.399999999999991</v>
      </c>
      <c r="CE884" s="542">
        <f t="shared" si="44"/>
        <v>80.399999999999991</v>
      </c>
      <c r="CF884" s="542">
        <f t="shared" si="44"/>
        <v>80.399999999999991</v>
      </c>
      <c r="CG884" s="542">
        <f t="shared" si="44"/>
        <v>80.399999999999991</v>
      </c>
      <c r="CH884" s="542">
        <f t="shared" si="44"/>
        <v>80.399999999999991</v>
      </c>
      <c r="CI884" s="542">
        <f t="shared" si="44"/>
        <v>80.399999999999991</v>
      </c>
    </row>
    <row r="885" spans="1:87" ht="14.25" customHeight="1" x14ac:dyDescent="0.35">
      <c r="A885" s="42" t="s">
        <v>119</v>
      </c>
      <c r="B885" s="54">
        <f t="shared" si="45"/>
        <v>0</v>
      </c>
      <c r="C885" s="54">
        <f t="shared" si="45"/>
        <v>32.611092389156795</v>
      </c>
      <c r="D885" s="54">
        <f t="shared" si="45"/>
        <v>35.913837411756191</v>
      </c>
      <c r="E885" s="54">
        <f t="shared" si="45"/>
        <v>39.825816687296452</v>
      </c>
      <c r="F885" s="54">
        <f t="shared" si="45"/>
        <v>44.837998804444197</v>
      </c>
      <c r="G885" s="54">
        <f t="shared" si="45"/>
        <v>49.907637953194929</v>
      </c>
      <c r="H885" s="54">
        <f t="shared" si="45"/>
        <v>55.585854791339372</v>
      </c>
      <c r="I885" s="54">
        <f t="shared" si="45"/>
        <v>62.238730277986463</v>
      </c>
      <c r="J885" s="54">
        <f t="shared" si="45"/>
        <v>71.028099173553713</v>
      </c>
      <c r="K885" s="54">
        <f t="shared" si="45"/>
        <v>80.399999999999991</v>
      </c>
      <c r="L885" s="542">
        <f t="shared" si="45"/>
        <v>80.399999999999991</v>
      </c>
      <c r="M885" s="542">
        <f t="shared" si="45"/>
        <v>80.399999999999991</v>
      </c>
      <c r="N885" s="542">
        <f t="shared" si="49"/>
        <v>80.399999999999991</v>
      </c>
      <c r="O885" s="542">
        <f t="shared" si="49"/>
        <v>80.399999999999991</v>
      </c>
      <c r="P885" s="542">
        <f t="shared" si="49"/>
        <v>80.399999999999991</v>
      </c>
      <c r="Q885" s="542">
        <f t="shared" si="49"/>
        <v>80.399999999999991</v>
      </c>
      <c r="R885" s="542">
        <f t="shared" si="49"/>
        <v>80.399999999999991</v>
      </c>
      <c r="S885" s="542">
        <f t="shared" si="49"/>
        <v>80.399999999999991</v>
      </c>
      <c r="T885" s="542">
        <f t="shared" si="49"/>
        <v>80.399999999999991</v>
      </c>
      <c r="U885" s="542">
        <f t="shared" si="49"/>
        <v>80.399999999999991</v>
      </c>
      <c r="V885" s="542">
        <f t="shared" si="49"/>
        <v>80.399999999999991</v>
      </c>
      <c r="W885" s="542">
        <f t="shared" si="49"/>
        <v>80.399999999999991</v>
      </c>
      <c r="X885" s="542">
        <f t="shared" si="49"/>
        <v>80.399999999999991</v>
      </c>
      <c r="Y885" s="542">
        <f t="shared" si="49"/>
        <v>80.399999999999991</v>
      </c>
      <c r="Z885" s="542">
        <f t="shared" si="49"/>
        <v>80.399999999999991</v>
      </c>
      <c r="AA885" s="542">
        <f t="shared" si="49"/>
        <v>80.399999999999991</v>
      </c>
      <c r="AB885" s="542">
        <f t="shared" si="49"/>
        <v>80.399999999999991</v>
      </c>
      <c r="AC885" s="542">
        <f t="shared" si="49"/>
        <v>80.399999999999991</v>
      </c>
      <c r="AD885" s="542">
        <f t="shared" si="49"/>
        <v>80.399999999999991</v>
      </c>
      <c r="AE885" s="542">
        <f t="shared" si="49"/>
        <v>80.399999999999991</v>
      </c>
      <c r="AF885" s="542">
        <f t="shared" si="49"/>
        <v>80.399999999999991</v>
      </c>
      <c r="AG885" s="542">
        <f t="shared" si="49"/>
        <v>80.399999999999991</v>
      </c>
      <c r="AH885" s="542">
        <f t="shared" si="49"/>
        <v>80.399999999999991</v>
      </c>
      <c r="AI885" s="542">
        <f t="shared" si="49"/>
        <v>80.399999999999991</v>
      </c>
      <c r="AJ885" s="542">
        <f t="shared" si="49"/>
        <v>80.399999999999991</v>
      </c>
      <c r="AK885" s="542">
        <f t="shared" si="49"/>
        <v>80.399999999999991</v>
      </c>
      <c r="AL885" s="542">
        <f t="shared" si="49"/>
        <v>80.399999999999991</v>
      </c>
      <c r="AM885" s="542">
        <f t="shared" si="49"/>
        <v>80.399999999999991</v>
      </c>
      <c r="AN885" s="542">
        <f t="shared" si="49"/>
        <v>80.399999999999991</v>
      </c>
      <c r="AO885" s="542">
        <f t="shared" si="49"/>
        <v>80.399999999999991</v>
      </c>
      <c r="AP885" s="542">
        <f t="shared" si="49"/>
        <v>80.399999999999991</v>
      </c>
      <c r="AQ885" s="542">
        <f t="shared" si="49"/>
        <v>80.399999999999991</v>
      </c>
      <c r="AR885" s="542">
        <f t="shared" si="49"/>
        <v>80.399999999999991</v>
      </c>
      <c r="AS885" s="542">
        <f t="shared" si="49"/>
        <v>80.399999999999991</v>
      </c>
      <c r="AT885" s="542">
        <f t="shared" si="49"/>
        <v>80.399999999999991</v>
      </c>
      <c r="AU885" s="542">
        <f t="shared" si="49"/>
        <v>80.399999999999991</v>
      </c>
      <c r="AV885" s="542">
        <f t="shared" si="49"/>
        <v>80.399999999999991</v>
      </c>
      <c r="AW885" s="542">
        <f t="shared" si="49"/>
        <v>80.399999999999991</v>
      </c>
      <c r="AX885" s="542">
        <f t="shared" si="49"/>
        <v>80.399999999999991</v>
      </c>
      <c r="AY885" s="542">
        <f t="shared" si="49"/>
        <v>80.399999999999991</v>
      </c>
      <c r="AZ885" s="542">
        <f t="shared" si="49"/>
        <v>80.399999999999991</v>
      </c>
      <c r="BA885" s="542">
        <f t="shared" si="49"/>
        <v>80.399999999999991</v>
      </c>
      <c r="BB885" s="542">
        <f t="shared" si="49"/>
        <v>80.399999999999991</v>
      </c>
      <c r="BC885" s="542">
        <f t="shared" si="49"/>
        <v>80.399999999999991</v>
      </c>
      <c r="BD885" s="542">
        <f t="shared" si="49"/>
        <v>80.399999999999991</v>
      </c>
      <c r="BE885" s="542">
        <f t="shared" si="49"/>
        <v>80.399999999999991</v>
      </c>
      <c r="BF885" s="542">
        <f t="shared" si="49"/>
        <v>80.399999999999991</v>
      </c>
      <c r="BG885" s="542">
        <f t="shared" si="49"/>
        <v>80.399999999999991</v>
      </c>
      <c r="BH885" s="542">
        <f t="shared" si="49"/>
        <v>80.399999999999991</v>
      </c>
      <c r="BI885" s="542">
        <f t="shared" si="49"/>
        <v>80.399999999999991</v>
      </c>
      <c r="BJ885" s="542">
        <f t="shared" si="49"/>
        <v>80.399999999999991</v>
      </c>
      <c r="BK885" s="542">
        <f t="shared" si="49"/>
        <v>80.399999999999991</v>
      </c>
      <c r="BL885" s="542">
        <f t="shared" si="49"/>
        <v>80.399999999999991</v>
      </c>
      <c r="BM885" s="542">
        <f t="shared" si="49"/>
        <v>80.399999999999991</v>
      </c>
      <c r="BN885" s="542">
        <f t="shared" si="49"/>
        <v>80.399999999999991</v>
      </c>
      <c r="BO885" s="542">
        <f t="shared" si="49"/>
        <v>80.399999999999991</v>
      </c>
      <c r="BP885" s="542">
        <f t="shared" si="49"/>
        <v>80.399999999999991</v>
      </c>
      <c r="BQ885" s="542">
        <f t="shared" si="49"/>
        <v>80.399999999999991</v>
      </c>
      <c r="BR885" s="542">
        <f t="shared" si="49"/>
        <v>80.399999999999991</v>
      </c>
      <c r="BS885" s="542">
        <f t="shared" si="49"/>
        <v>80.399999999999991</v>
      </c>
      <c r="BT885" s="542">
        <f t="shared" si="49"/>
        <v>80.399999999999991</v>
      </c>
      <c r="BU885" s="542">
        <f t="shared" si="49"/>
        <v>80.399999999999991</v>
      </c>
      <c r="BV885" s="542">
        <f t="shared" si="49"/>
        <v>80.399999999999991</v>
      </c>
      <c r="BW885" s="542">
        <f t="shared" si="49"/>
        <v>80.399999999999991</v>
      </c>
      <c r="BX885" s="542">
        <f t="shared" si="49"/>
        <v>80.399999999999991</v>
      </c>
      <c r="BY885" s="542">
        <f t="shared" si="49"/>
        <v>80.399999999999991</v>
      </c>
      <c r="BZ885" s="542">
        <f t="shared" si="44"/>
        <v>80.399999999999991</v>
      </c>
      <c r="CA885" s="542">
        <f t="shared" si="44"/>
        <v>80.399999999999991</v>
      </c>
      <c r="CB885" s="542">
        <f t="shared" si="44"/>
        <v>80.399999999999991</v>
      </c>
      <c r="CC885" s="542">
        <f t="shared" si="44"/>
        <v>80.399999999999991</v>
      </c>
      <c r="CD885" s="542">
        <f t="shared" si="44"/>
        <v>80.399999999999991</v>
      </c>
      <c r="CE885" s="542">
        <f t="shared" si="44"/>
        <v>80.399999999999991</v>
      </c>
      <c r="CF885" s="542">
        <f t="shared" si="44"/>
        <v>80.399999999999991</v>
      </c>
      <c r="CG885" s="542">
        <f t="shared" si="44"/>
        <v>80.399999999999991</v>
      </c>
      <c r="CH885" s="542">
        <f t="shared" si="44"/>
        <v>80.399999999999991</v>
      </c>
      <c r="CI885" s="542">
        <f t="shared" si="44"/>
        <v>80.399999999999991</v>
      </c>
    </row>
    <row r="886" spans="1:87" ht="14.25" customHeight="1" x14ac:dyDescent="0.35">
      <c r="A886" s="42" t="s">
        <v>120</v>
      </c>
      <c r="B886" s="54">
        <f t="shared" si="45"/>
        <v>0</v>
      </c>
      <c r="C886" s="54">
        <f t="shared" si="45"/>
        <v>32.611092389156795</v>
      </c>
      <c r="D886" s="54">
        <f t="shared" si="45"/>
        <v>35.913837411756191</v>
      </c>
      <c r="E886" s="54">
        <f t="shared" si="45"/>
        <v>39.825816687296452</v>
      </c>
      <c r="F886" s="54">
        <f t="shared" si="45"/>
        <v>44.837998804444197</v>
      </c>
      <c r="G886" s="54">
        <f t="shared" si="45"/>
        <v>49.907637953194929</v>
      </c>
      <c r="H886" s="54">
        <f t="shared" si="45"/>
        <v>55.585854791339372</v>
      </c>
      <c r="I886" s="54">
        <f t="shared" si="45"/>
        <v>62.238730277986463</v>
      </c>
      <c r="J886" s="54">
        <f t="shared" si="45"/>
        <v>71.028099173553713</v>
      </c>
      <c r="K886" s="54">
        <f t="shared" si="45"/>
        <v>80.399999999999991</v>
      </c>
      <c r="L886" s="542">
        <f t="shared" si="45"/>
        <v>80.399999999999991</v>
      </c>
      <c r="M886" s="542">
        <f t="shared" si="45"/>
        <v>80.399999999999991</v>
      </c>
      <c r="N886" s="542">
        <f t="shared" si="49"/>
        <v>80.399999999999991</v>
      </c>
      <c r="O886" s="542">
        <f t="shared" si="49"/>
        <v>80.399999999999991</v>
      </c>
      <c r="P886" s="542">
        <f t="shared" si="49"/>
        <v>80.399999999999991</v>
      </c>
      <c r="Q886" s="542">
        <f t="shared" si="49"/>
        <v>80.399999999999991</v>
      </c>
      <c r="R886" s="542">
        <f t="shared" si="49"/>
        <v>80.399999999999991</v>
      </c>
      <c r="S886" s="542">
        <f t="shared" si="49"/>
        <v>80.399999999999991</v>
      </c>
      <c r="T886" s="542">
        <f t="shared" si="49"/>
        <v>80.399999999999991</v>
      </c>
      <c r="U886" s="542">
        <f t="shared" si="49"/>
        <v>80.399999999999991</v>
      </c>
      <c r="V886" s="542">
        <f t="shared" si="49"/>
        <v>80.399999999999991</v>
      </c>
      <c r="W886" s="542">
        <f t="shared" si="49"/>
        <v>80.399999999999991</v>
      </c>
      <c r="X886" s="542">
        <f t="shared" si="49"/>
        <v>80.399999999999991</v>
      </c>
      <c r="Y886" s="542">
        <f t="shared" si="49"/>
        <v>80.399999999999991</v>
      </c>
      <c r="Z886" s="542">
        <f t="shared" si="49"/>
        <v>80.399999999999991</v>
      </c>
      <c r="AA886" s="542">
        <f t="shared" si="49"/>
        <v>80.399999999999991</v>
      </c>
      <c r="AB886" s="542">
        <f t="shared" si="49"/>
        <v>80.399999999999991</v>
      </c>
      <c r="AC886" s="542">
        <f t="shared" si="49"/>
        <v>80.399999999999991</v>
      </c>
      <c r="AD886" s="542">
        <f t="shared" si="49"/>
        <v>80.399999999999991</v>
      </c>
      <c r="AE886" s="542">
        <f t="shared" si="49"/>
        <v>80.399999999999991</v>
      </c>
      <c r="AF886" s="542">
        <f t="shared" si="49"/>
        <v>80.399999999999991</v>
      </c>
      <c r="AG886" s="542">
        <f t="shared" si="49"/>
        <v>80.399999999999991</v>
      </c>
      <c r="AH886" s="542">
        <f t="shared" si="49"/>
        <v>80.399999999999991</v>
      </c>
      <c r="AI886" s="542">
        <f t="shared" si="49"/>
        <v>80.399999999999991</v>
      </c>
      <c r="AJ886" s="542">
        <f t="shared" si="49"/>
        <v>80.399999999999991</v>
      </c>
      <c r="AK886" s="542">
        <f t="shared" si="49"/>
        <v>80.399999999999991</v>
      </c>
      <c r="AL886" s="542">
        <f t="shared" si="49"/>
        <v>80.399999999999991</v>
      </c>
      <c r="AM886" s="542">
        <f t="shared" si="49"/>
        <v>80.399999999999991</v>
      </c>
      <c r="AN886" s="542">
        <f t="shared" si="49"/>
        <v>80.399999999999991</v>
      </c>
      <c r="AO886" s="542">
        <f t="shared" si="49"/>
        <v>80.399999999999991</v>
      </c>
      <c r="AP886" s="542">
        <f t="shared" si="49"/>
        <v>80.399999999999991</v>
      </c>
      <c r="AQ886" s="542">
        <f t="shared" si="49"/>
        <v>80.399999999999991</v>
      </c>
      <c r="AR886" s="542">
        <f t="shared" si="49"/>
        <v>80.399999999999991</v>
      </c>
      <c r="AS886" s="542">
        <f t="shared" si="49"/>
        <v>80.399999999999991</v>
      </c>
      <c r="AT886" s="542">
        <f t="shared" si="49"/>
        <v>80.399999999999991</v>
      </c>
      <c r="AU886" s="542">
        <f t="shared" si="49"/>
        <v>80.399999999999991</v>
      </c>
      <c r="AV886" s="542">
        <f t="shared" si="49"/>
        <v>80.399999999999991</v>
      </c>
      <c r="AW886" s="542">
        <f t="shared" si="49"/>
        <v>80.399999999999991</v>
      </c>
      <c r="AX886" s="542">
        <f t="shared" si="49"/>
        <v>80.399999999999991</v>
      </c>
      <c r="AY886" s="542">
        <f t="shared" si="49"/>
        <v>80.399999999999991</v>
      </c>
      <c r="AZ886" s="542">
        <f t="shared" si="49"/>
        <v>80.399999999999991</v>
      </c>
      <c r="BA886" s="542">
        <f t="shared" si="49"/>
        <v>80.399999999999991</v>
      </c>
      <c r="BB886" s="542">
        <f t="shared" si="49"/>
        <v>80.399999999999991</v>
      </c>
      <c r="BC886" s="542">
        <f t="shared" si="49"/>
        <v>80.399999999999991</v>
      </c>
      <c r="BD886" s="542">
        <f t="shared" si="49"/>
        <v>80.399999999999991</v>
      </c>
      <c r="BE886" s="542">
        <f t="shared" si="49"/>
        <v>80.399999999999991</v>
      </c>
      <c r="BF886" s="542">
        <f t="shared" si="49"/>
        <v>80.399999999999991</v>
      </c>
      <c r="BG886" s="542">
        <f t="shared" si="49"/>
        <v>80.399999999999991</v>
      </c>
      <c r="BH886" s="542">
        <f t="shared" si="49"/>
        <v>80.399999999999991</v>
      </c>
      <c r="BI886" s="542">
        <f t="shared" si="49"/>
        <v>80.399999999999991</v>
      </c>
      <c r="BJ886" s="542">
        <f t="shared" si="49"/>
        <v>80.399999999999991</v>
      </c>
      <c r="BK886" s="542">
        <f t="shared" si="49"/>
        <v>80.399999999999991</v>
      </c>
      <c r="BL886" s="542">
        <f t="shared" si="49"/>
        <v>80.399999999999991</v>
      </c>
      <c r="BM886" s="542">
        <f t="shared" si="49"/>
        <v>80.399999999999991</v>
      </c>
      <c r="BN886" s="542">
        <f t="shared" si="49"/>
        <v>80.399999999999991</v>
      </c>
      <c r="BO886" s="542">
        <f t="shared" si="49"/>
        <v>80.399999999999991</v>
      </c>
      <c r="BP886" s="542">
        <f t="shared" si="49"/>
        <v>80.399999999999991</v>
      </c>
      <c r="BQ886" s="542">
        <f t="shared" si="49"/>
        <v>80.399999999999991</v>
      </c>
      <c r="BR886" s="542">
        <f t="shared" si="49"/>
        <v>80.399999999999991</v>
      </c>
      <c r="BS886" s="542">
        <f t="shared" si="49"/>
        <v>80.399999999999991</v>
      </c>
      <c r="BT886" s="542">
        <f t="shared" si="49"/>
        <v>80.399999999999991</v>
      </c>
      <c r="BU886" s="542">
        <f t="shared" si="49"/>
        <v>80.399999999999991</v>
      </c>
      <c r="BV886" s="542">
        <f t="shared" si="49"/>
        <v>80.399999999999991</v>
      </c>
      <c r="BW886" s="542">
        <f t="shared" si="49"/>
        <v>80.399999999999991</v>
      </c>
      <c r="BX886" s="542">
        <f t="shared" si="49"/>
        <v>80.399999999999991</v>
      </c>
      <c r="BY886" s="542">
        <f t="shared" si="49"/>
        <v>80.399999999999991</v>
      </c>
      <c r="BZ886" s="542">
        <f t="shared" si="44"/>
        <v>80.399999999999991</v>
      </c>
      <c r="CA886" s="542">
        <f t="shared" si="44"/>
        <v>80.399999999999991</v>
      </c>
      <c r="CB886" s="542">
        <f t="shared" si="44"/>
        <v>80.399999999999991</v>
      </c>
      <c r="CC886" s="542">
        <f t="shared" si="44"/>
        <v>80.399999999999991</v>
      </c>
      <c r="CD886" s="542">
        <f t="shared" si="44"/>
        <v>80.399999999999991</v>
      </c>
      <c r="CE886" s="542">
        <f t="shared" si="44"/>
        <v>80.399999999999991</v>
      </c>
      <c r="CF886" s="542">
        <f t="shared" si="44"/>
        <v>80.399999999999991</v>
      </c>
      <c r="CG886" s="542">
        <f t="shared" si="44"/>
        <v>80.399999999999991</v>
      </c>
      <c r="CH886" s="542">
        <f t="shared" si="44"/>
        <v>80.399999999999991</v>
      </c>
      <c r="CI886" s="542">
        <f t="shared" si="44"/>
        <v>80.399999999999991</v>
      </c>
    </row>
    <row r="887" spans="1:87" ht="14.25" customHeight="1" x14ac:dyDescent="0.35">
      <c r="A887" s="42" t="s">
        <v>143</v>
      </c>
      <c r="B887" s="54">
        <f t="shared" si="45"/>
        <v>0</v>
      </c>
      <c r="C887" s="54">
        <f t="shared" si="45"/>
        <v>32.611092389156795</v>
      </c>
      <c r="D887" s="54">
        <f t="shared" si="45"/>
        <v>35.913837411756191</v>
      </c>
      <c r="E887" s="54">
        <f t="shared" si="45"/>
        <v>39.825816687296452</v>
      </c>
      <c r="F887" s="54">
        <f t="shared" si="45"/>
        <v>44.837998804444197</v>
      </c>
      <c r="G887" s="54">
        <f t="shared" si="45"/>
        <v>49.907637953194929</v>
      </c>
      <c r="H887" s="54">
        <f t="shared" si="45"/>
        <v>55.585854791339372</v>
      </c>
      <c r="I887" s="54">
        <f t="shared" si="45"/>
        <v>62.238730277986463</v>
      </c>
      <c r="J887" s="54">
        <f t="shared" si="45"/>
        <v>71.028099173553713</v>
      </c>
      <c r="K887" s="54">
        <f t="shared" si="45"/>
        <v>80.399999999999991</v>
      </c>
      <c r="L887" s="542">
        <f t="shared" si="45"/>
        <v>80.399999999999991</v>
      </c>
      <c r="M887" s="542">
        <f t="shared" si="45"/>
        <v>80.399999999999991</v>
      </c>
      <c r="N887" s="542">
        <f t="shared" si="49"/>
        <v>80.399999999999991</v>
      </c>
      <c r="O887" s="542">
        <f t="shared" si="49"/>
        <v>80.399999999999991</v>
      </c>
      <c r="P887" s="542">
        <f t="shared" si="49"/>
        <v>80.399999999999991</v>
      </c>
      <c r="Q887" s="542">
        <f t="shared" si="49"/>
        <v>80.399999999999991</v>
      </c>
      <c r="R887" s="542">
        <f t="shared" si="49"/>
        <v>80.399999999999991</v>
      </c>
      <c r="S887" s="542">
        <f t="shared" si="49"/>
        <v>80.399999999999991</v>
      </c>
      <c r="T887" s="542">
        <f t="shared" si="49"/>
        <v>80.399999999999991</v>
      </c>
      <c r="U887" s="542">
        <f t="shared" si="49"/>
        <v>80.399999999999991</v>
      </c>
      <c r="V887" s="542">
        <f t="shared" si="49"/>
        <v>80.399999999999991</v>
      </c>
      <c r="W887" s="542">
        <f t="shared" si="49"/>
        <v>80.399999999999991</v>
      </c>
      <c r="X887" s="542">
        <f t="shared" si="49"/>
        <v>80.399999999999991</v>
      </c>
      <c r="Y887" s="542">
        <f t="shared" si="49"/>
        <v>80.399999999999991</v>
      </c>
      <c r="Z887" s="542">
        <f t="shared" si="49"/>
        <v>80.399999999999991</v>
      </c>
      <c r="AA887" s="542">
        <f t="shared" si="49"/>
        <v>80.399999999999991</v>
      </c>
      <c r="AB887" s="542">
        <f t="shared" si="49"/>
        <v>80.399999999999991</v>
      </c>
      <c r="AC887" s="542">
        <f t="shared" si="49"/>
        <v>80.399999999999991</v>
      </c>
      <c r="AD887" s="542">
        <f t="shared" si="49"/>
        <v>80.399999999999991</v>
      </c>
      <c r="AE887" s="542">
        <f t="shared" si="49"/>
        <v>80.399999999999991</v>
      </c>
      <c r="AF887" s="542">
        <f t="shared" si="49"/>
        <v>80.399999999999991</v>
      </c>
      <c r="AG887" s="542">
        <f t="shared" si="49"/>
        <v>80.399999999999991</v>
      </c>
      <c r="AH887" s="542">
        <f t="shared" si="49"/>
        <v>80.399999999999991</v>
      </c>
      <c r="AI887" s="542">
        <f t="shared" si="49"/>
        <v>80.399999999999991</v>
      </c>
      <c r="AJ887" s="542">
        <f t="shared" si="49"/>
        <v>80.399999999999991</v>
      </c>
      <c r="AK887" s="542">
        <f t="shared" si="49"/>
        <v>80.399999999999991</v>
      </c>
      <c r="AL887" s="542">
        <f t="shared" si="49"/>
        <v>80.399999999999991</v>
      </c>
      <c r="AM887" s="542">
        <f t="shared" si="49"/>
        <v>80.399999999999991</v>
      </c>
      <c r="AN887" s="542">
        <f t="shared" si="49"/>
        <v>80.399999999999991</v>
      </c>
      <c r="AO887" s="542">
        <f t="shared" si="49"/>
        <v>80.399999999999991</v>
      </c>
      <c r="AP887" s="542">
        <f t="shared" si="49"/>
        <v>80.399999999999991</v>
      </c>
      <c r="AQ887" s="542">
        <f t="shared" si="49"/>
        <v>80.399999999999991</v>
      </c>
      <c r="AR887" s="542">
        <f t="shared" si="49"/>
        <v>80.399999999999991</v>
      </c>
      <c r="AS887" s="542">
        <f t="shared" si="49"/>
        <v>80.399999999999991</v>
      </c>
      <c r="AT887" s="542">
        <f t="shared" si="49"/>
        <v>80.399999999999991</v>
      </c>
      <c r="AU887" s="542">
        <f t="shared" si="49"/>
        <v>80.399999999999991</v>
      </c>
      <c r="AV887" s="542">
        <f t="shared" si="49"/>
        <v>80.399999999999991</v>
      </c>
      <c r="AW887" s="542">
        <f t="shared" si="49"/>
        <v>80.399999999999991</v>
      </c>
      <c r="AX887" s="542">
        <f t="shared" si="49"/>
        <v>80.399999999999991</v>
      </c>
      <c r="AY887" s="542">
        <f t="shared" si="49"/>
        <v>80.399999999999991</v>
      </c>
      <c r="AZ887" s="542">
        <f t="shared" si="49"/>
        <v>80.399999999999991</v>
      </c>
      <c r="BA887" s="542">
        <f t="shared" si="49"/>
        <v>80.399999999999991</v>
      </c>
      <c r="BB887" s="542">
        <f t="shared" si="49"/>
        <v>80.399999999999991</v>
      </c>
      <c r="BC887" s="542">
        <f t="shared" si="49"/>
        <v>80.399999999999991</v>
      </c>
      <c r="BD887" s="542">
        <f t="shared" si="49"/>
        <v>80.399999999999991</v>
      </c>
      <c r="BE887" s="542">
        <f t="shared" si="49"/>
        <v>80.399999999999991</v>
      </c>
      <c r="BF887" s="542">
        <f t="shared" si="49"/>
        <v>80.399999999999991</v>
      </c>
      <c r="BG887" s="542">
        <f t="shared" si="49"/>
        <v>80.399999999999991</v>
      </c>
      <c r="BH887" s="542">
        <f t="shared" si="49"/>
        <v>80.399999999999991</v>
      </c>
      <c r="BI887" s="542">
        <f t="shared" si="49"/>
        <v>80.399999999999991</v>
      </c>
      <c r="BJ887" s="542">
        <f t="shared" si="49"/>
        <v>80.399999999999991</v>
      </c>
      <c r="BK887" s="542">
        <f t="shared" si="49"/>
        <v>80.399999999999991</v>
      </c>
      <c r="BL887" s="542">
        <f t="shared" si="49"/>
        <v>80.399999999999991</v>
      </c>
      <c r="BM887" s="542">
        <f t="shared" si="49"/>
        <v>80.399999999999991</v>
      </c>
      <c r="BN887" s="542">
        <f t="shared" si="49"/>
        <v>80.399999999999991</v>
      </c>
      <c r="BO887" s="542">
        <f t="shared" si="49"/>
        <v>80.399999999999991</v>
      </c>
      <c r="BP887" s="542">
        <f t="shared" si="49"/>
        <v>80.399999999999991</v>
      </c>
      <c r="BQ887" s="542">
        <f t="shared" si="49"/>
        <v>80.399999999999991</v>
      </c>
      <c r="BR887" s="542">
        <f t="shared" si="49"/>
        <v>80.399999999999991</v>
      </c>
      <c r="BS887" s="542">
        <f t="shared" si="49"/>
        <v>80.399999999999991</v>
      </c>
      <c r="BT887" s="542">
        <f t="shared" si="49"/>
        <v>80.399999999999991</v>
      </c>
      <c r="BU887" s="542">
        <f t="shared" si="49"/>
        <v>80.399999999999991</v>
      </c>
      <c r="BV887" s="542">
        <f t="shared" si="49"/>
        <v>80.399999999999991</v>
      </c>
      <c r="BW887" s="542">
        <f t="shared" si="49"/>
        <v>80.399999999999991</v>
      </c>
      <c r="BX887" s="542">
        <f t="shared" si="49"/>
        <v>80.399999999999991</v>
      </c>
      <c r="BY887" s="542">
        <f t="shared" ref="BY887" si="50">+BX887</f>
        <v>80.399999999999991</v>
      </c>
      <c r="BZ887" s="542">
        <f t="shared" si="44"/>
        <v>80.399999999999991</v>
      </c>
      <c r="CA887" s="542">
        <f t="shared" si="44"/>
        <v>80.399999999999991</v>
      </c>
      <c r="CB887" s="542">
        <f t="shared" si="44"/>
        <v>80.399999999999991</v>
      </c>
      <c r="CC887" s="542">
        <f t="shared" si="44"/>
        <v>80.399999999999991</v>
      </c>
      <c r="CD887" s="542">
        <f t="shared" si="44"/>
        <v>80.399999999999991</v>
      </c>
      <c r="CE887" s="542">
        <f t="shared" si="44"/>
        <v>80.399999999999991</v>
      </c>
      <c r="CF887" s="542">
        <f t="shared" si="44"/>
        <v>80.399999999999991</v>
      </c>
      <c r="CG887" s="542">
        <f t="shared" si="44"/>
        <v>80.399999999999991</v>
      </c>
      <c r="CH887" s="542">
        <f t="shared" si="44"/>
        <v>80.399999999999991</v>
      </c>
      <c r="CI887" s="542">
        <f t="shared" si="44"/>
        <v>80.399999999999991</v>
      </c>
    </row>
    <row r="888" spans="1:87" ht="14.25" customHeight="1" x14ac:dyDescent="0.35">
      <c r="A888" s="42" t="s">
        <v>83</v>
      </c>
      <c r="B888" s="54">
        <f t="shared" si="45"/>
        <v>0</v>
      </c>
      <c r="C888" s="54">
        <f t="shared" si="45"/>
        <v>32.611092389156795</v>
      </c>
      <c r="D888" s="54">
        <f t="shared" si="45"/>
        <v>35.913837411756191</v>
      </c>
      <c r="E888" s="54">
        <f t="shared" si="45"/>
        <v>39.825816687296452</v>
      </c>
      <c r="F888" s="54">
        <f t="shared" si="45"/>
        <v>44.837998804444197</v>
      </c>
      <c r="G888" s="54">
        <f t="shared" si="45"/>
        <v>49.907637953194929</v>
      </c>
      <c r="H888" s="54">
        <f t="shared" si="45"/>
        <v>55.585854791339372</v>
      </c>
      <c r="I888" s="54">
        <f t="shared" si="45"/>
        <v>62.238730277986463</v>
      </c>
      <c r="J888" s="54">
        <f t="shared" si="45"/>
        <v>71.028099173553713</v>
      </c>
      <c r="K888" s="54">
        <f t="shared" si="45"/>
        <v>80.399999999999991</v>
      </c>
      <c r="L888" s="542">
        <f t="shared" si="45"/>
        <v>80.399999999999991</v>
      </c>
      <c r="M888" s="542">
        <f t="shared" si="45"/>
        <v>80.399999999999991</v>
      </c>
      <c r="N888" s="542">
        <f t="shared" ref="N888:BY888" si="51">+M888</f>
        <v>80.399999999999991</v>
      </c>
      <c r="O888" s="542">
        <f t="shared" si="51"/>
        <v>80.399999999999991</v>
      </c>
      <c r="P888" s="542">
        <f t="shared" si="51"/>
        <v>80.399999999999991</v>
      </c>
      <c r="Q888" s="542">
        <f t="shared" si="51"/>
        <v>80.399999999999991</v>
      </c>
      <c r="R888" s="542">
        <f t="shared" si="51"/>
        <v>80.399999999999991</v>
      </c>
      <c r="S888" s="542">
        <f t="shared" si="51"/>
        <v>80.399999999999991</v>
      </c>
      <c r="T888" s="542">
        <f t="shared" si="51"/>
        <v>80.399999999999991</v>
      </c>
      <c r="U888" s="542">
        <f t="shared" si="51"/>
        <v>80.399999999999991</v>
      </c>
      <c r="V888" s="542">
        <f t="shared" si="51"/>
        <v>80.399999999999991</v>
      </c>
      <c r="W888" s="542">
        <f t="shared" si="51"/>
        <v>80.399999999999991</v>
      </c>
      <c r="X888" s="542">
        <f t="shared" si="51"/>
        <v>80.399999999999991</v>
      </c>
      <c r="Y888" s="542">
        <f t="shared" si="51"/>
        <v>80.399999999999991</v>
      </c>
      <c r="Z888" s="542">
        <f t="shared" si="51"/>
        <v>80.399999999999991</v>
      </c>
      <c r="AA888" s="542">
        <f t="shared" si="51"/>
        <v>80.399999999999991</v>
      </c>
      <c r="AB888" s="542">
        <f t="shared" si="51"/>
        <v>80.399999999999991</v>
      </c>
      <c r="AC888" s="542">
        <f t="shared" si="51"/>
        <v>80.399999999999991</v>
      </c>
      <c r="AD888" s="542">
        <f t="shared" si="51"/>
        <v>80.399999999999991</v>
      </c>
      <c r="AE888" s="542">
        <f t="shared" si="51"/>
        <v>80.399999999999991</v>
      </c>
      <c r="AF888" s="542">
        <f t="shared" si="51"/>
        <v>80.399999999999991</v>
      </c>
      <c r="AG888" s="542">
        <f t="shared" si="51"/>
        <v>80.399999999999991</v>
      </c>
      <c r="AH888" s="542">
        <f t="shared" si="51"/>
        <v>80.399999999999991</v>
      </c>
      <c r="AI888" s="542">
        <f t="shared" si="51"/>
        <v>80.399999999999991</v>
      </c>
      <c r="AJ888" s="542">
        <f t="shared" si="51"/>
        <v>80.399999999999991</v>
      </c>
      <c r="AK888" s="542">
        <f t="shared" si="51"/>
        <v>80.399999999999991</v>
      </c>
      <c r="AL888" s="542">
        <f t="shared" si="51"/>
        <v>80.399999999999991</v>
      </c>
      <c r="AM888" s="542">
        <f t="shared" si="51"/>
        <v>80.399999999999991</v>
      </c>
      <c r="AN888" s="542">
        <f t="shared" si="51"/>
        <v>80.399999999999991</v>
      </c>
      <c r="AO888" s="542">
        <f t="shared" si="51"/>
        <v>80.399999999999991</v>
      </c>
      <c r="AP888" s="542">
        <f t="shared" si="51"/>
        <v>80.399999999999991</v>
      </c>
      <c r="AQ888" s="542">
        <f t="shared" si="51"/>
        <v>80.399999999999991</v>
      </c>
      <c r="AR888" s="542">
        <f t="shared" si="51"/>
        <v>80.399999999999991</v>
      </c>
      <c r="AS888" s="542">
        <f t="shared" si="51"/>
        <v>80.399999999999991</v>
      </c>
      <c r="AT888" s="542">
        <f t="shared" si="51"/>
        <v>80.399999999999991</v>
      </c>
      <c r="AU888" s="542">
        <f t="shared" si="51"/>
        <v>80.399999999999991</v>
      </c>
      <c r="AV888" s="542">
        <f t="shared" si="51"/>
        <v>80.399999999999991</v>
      </c>
      <c r="AW888" s="542">
        <f t="shared" si="51"/>
        <v>80.399999999999991</v>
      </c>
      <c r="AX888" s="542">
        <f t="shared" si="51"/>
        <v>80.399999999999991</v>
      </c>
      <c r="AY888" s="542">
        <f t="shared" si="51"/>
        <v>80.399999999999991</v>
      </c>
      <c r="AZ888" s="542">
        <f t="shared" si="51"/>
        <v>80.399999999999991</v>
      </c>
      <c r="BA888" s="542">
        <f t="shared" si="51"/>
        <v>80.399999999999991</v>
      </c>
      <c r="BB888" s="542">
        <f t="shared" si="51"/>
        <v>80.399999999999991</v>
      </c>
      <c r="BC888" s="542">
        <f t="shared" si="51"/>
        <v>80.399999999999991</v>
      </c>
      <c r="BD888" s="542">
        <f t="shared" si="51"/>
        <v>80.399999999999991</v>
      </c>
      <c r="BE888" s="542">
        <f t="shared" si="51"/>
        <v>80.399999999999991</v>
      </c>
      <c r="BF888" s="542">
        <f t="shared" si="51"/>
        <v>80.399999999999991</v>
      </c>
      <c r="BG888" s="542">
        <f t="shared" si="51"/>
        <v>80.399999999999991</v>
      </c>
      <c r="BH888" s="542">
        <f t="shared" si="51"/>
        <v>80.399999999999991</v>
      </c>
      <c r="BI888" s="542">
        <f t="shared" si="51"/>
        <v>80.399999999999991</v>
      </c>
      <c r="BJ888" s="542">
        <f t="shared" si="51"/>
        <v>80.399999999999991</v>
      </c>
      <c r="BK888" s="542">
        <f t="shared" si="51"/>
        <v>80.399999999999991</v>
      </c>
      <c r="BL888" s="542">
        <f t="shared" si="51"/>
        <v>80.399999999999991</v>
      </c>
      <c r="BM888" s="542">
        <f t="shared" si="51"/>
        <v>80.399999999999991</v>
      </c>
      <c r="BN888" s="542">
        <f t="shared" si="51"/>
        <v>80.399999999999991</v>
      </c>
      <c r="BO888" s="542">
        <f t="shared" si="51"/>
        <v>80.399999999999991</v>
      </c>
      <c r="BP888" s="542">
        <f t="shared" si="51"/>
        <v>80.399999999999991</v>
      </c>
      <c r="BQ888" s="542">
        <f t="shared" si="51"/>
        <v>80.399999999999991</v>
      </c>
      <c r="BR888" s="542">
        <f t="shared" si="51"/>
        <v>80.399999999999991</v>
      </c>
      <c r="BS888" s="542">
        <f t="shared" si="51"/>
        <v>80.399999999999991</v>
      </c>
      <c r="BT888" s="542">
        <f t="shared" si="51"/>
        <v>80.399999999999991</v>
      </c>
      <c r="BU888" s="542">
        <f t="shared" si="51"/>
        <v>80.399999999999991</v>
      </c>
      <c r="BV888" s="542">
        <f t="shared" si="51"/>
        <v>80.399999999999991</v>
      </c>
      <c r="BW888" s="542">
        <f t="shared" si="51"/>
        <v>80.399999999999991</v>
      </c>
      <c r="BX888" s="542">
        <f t="shared" si="51"/>
        <v>80.399999999999991</v>
      </c>
      <c r="BY888" s="542">
        <f t="shared" si="51"/>
        <v>80.399999999999991</v>
      </c>
      <c r="BZ888" s="542">
        <f t="shared" si="44"/>
        <v>80.399999999999991</v>
      </c>
      <c r="CA888" s="542">
        <f t="shared" si="44"/>
        <v>80.399999999999991</v>
      </c>
      <c r="CB888" s="542">
        <f t="shared" si="44"/>
        <v>80.399999999999991</v>
      </c>
      <c r="CC888" s="542">
        <f t="shared" si="44"/>
        <v>80.399999999999991</v>
      </c>
      <c r="CD888" s="542">
        <f t="shared" si="44"/>
        <v>80.399999999999991</v>
      </c>
      <c r="CE888" s="542">
        <f t="shared" si="44"/>
        <v>80.399999999999991</v>
      </c>
      <c r="CF888" s="542">
        <f t="shared" si="44"/>
        <v>80.399999999999991</v>
      </c>
      <c r="CG888" s="542">
        <f t="shared" si="44"/>
        <v>80.399999999999991</v>
      </c>
      <c r="CH888" s="542">
        <f t="shared" si="44"/>
        <v>80.399999999999991</v>
      </c>
      <c r="CI888" s="542">
        <f t="shared" si="44"/>
        <v>80.399999999999991</v>
      </c>
    </row>
    <row r="889" spans="1:87" ht="14.25" customHeight="1" x14ac:dyDescent="0.35">
      <c r="A889" s="42" t="s">
        <v>144</v>
      </c>
      <c r="B889" s="54">
        <v>0</v>
      </c>
      <c r="C889" s="54">
        <v>0</v>
      </c>
      <c r="D889" s="54">
        <v>0</v>
      </c>
      <c r="E889" s="54">
        <v>0</v>
      </c>
      <c r="F889" s="54">
        <v>0</v>
      </c>
      <c r="G889" s="54">
        <v>0</v>
      </c>
      <c r="H889" s="54">
        <v>0</v>
      </c>
      <c r="I889" s="54">
        <v>0</v>
      </c>
      <c r="J889" s="54">
        <v>0</v>
      </c>
      <c r="K889" s="54">
        <v>0</v>
      </c>
      <c r="L889" s="542">
        <v>0</v>
      </c>
      <c r="M889" s="542">
        <v>0</v>
      </c>
      <c r="N889" s="542">
        <v>0</v>
      </c>
      <c r="O889" s="542">
        <v>0</v>
      </c>
      <c r="P889" s="542">
        <v>0</v>
      </c>
      <c r="Q889" s="542">
        <v>0</v>
      </c>
      <c r="R889" s="542">
        <v>0</v>
      </c>
      <c r="S889" s="542">
        <v>0</v>
      </c>
      <c r="T889" s="542">
        <v>0</v>
      </c>
      <c r="U889" s="542">
        <v>0</v>
      </c>
      <c r="V889" s="542">
        <v>0</v>
      </c>
      <c r="W889" s="542">
        <v>0</v>
      </c>
      <c r="X889" s="542">
        <v>0</v>
      </c>
      <c r="Y889" s="542">
        <v>0</v>
      </c>
      <c r="Z889" s="542">
        <v>0</v>
      </c>
      <c r="AA889" s="542">
        <v>0</v>
      </c>
      <c r="AB889" s="542">
        <v>0</v>
      </c>
      <c r="AC889" s="542">
        <v>0</v>
      </c>
      <c r="AD889" s="542">
        <v>0</v>
      </c>
      <c r="AE889" s="542">
        <v>0</v>
      </c>
      <c r="AF889" s="542">
        <v>0</v>
      </c>
      <c r="AG889" s="542">
        <v>0</v>
      </c>
      <c r="AH889" s="542">
        <v>0</v>
      </c>
      <c r="AI889" s="542">
        <v>0</v>
      </c>
      <c r="AJ889" s="542">
        <v>0</v>
      </c>
      <c r="AK889" s="542">
        <v>0</v>
      </c>
      <c r="AL889" s="542">
        <v>0</v>
      </c>
      <c r="AM889" s="542">
        <v>0</v>
      </c>
      <c r="AN889" s="542">
        <v>0</v>
      </c>
      <c r="AO889" s="542">
        <v>0</v>
      </c>
      <c r="AP889" s="542">
        <v>0</v>
      </c>
      <c r="AQ889" s="542">
        <v>0</v>
      </c>
      <c r="AR889" s="542">
        <v>0</v>
      </c>
      <c r="AS889" s="542">
        <v>0</v>
      </c>
      <c r="AT889" s="542">
        <v>0</v>
      </c>
      <c r="AU889" s="542">
        <v>0</v>
      </c>
      <c r="AV889" s="542">
        <v>0</v>
      </c>
      <c r="AW889" s="542">
        <v>0</v>
      </c>
      <c r="AX889" s="542">
        <v>0</v>
      </c>
      <c r="AY889" s="542">
        <v>0</v>
      </c>
      <c r="AZ889" s="542">
        <v>0</v>
      </c>
      <c r="BA889" s="542">
        <v>0</v>
      </c>
      <c r="BB889" s="542">
        <v>0</v>
      </c>
      <c r="BC889" s="542">
        <v>0</v>
      </c>
      <c r="BD889" s="542">
        <v>0</v>
      </c>
      <c r="BE889" s="542">
        <v>0</v>
      </c>
      <c r="BF889" s="542">
        <v>0</v>
      </c>
      <c r="BG889" s="542">
        <v>0</v>
      </c>
      <c r="BH889" s="542">
        <v>0</v>
      </c>
      <c r="BI889" s="542">
        <v>0</v>
      </c>
      <c r="BJ889" s="542">
        <v>0</v>
      </c>
      <c r="BK889" s="542">
        <v>0</v>
      </c>
      <c r="BL889" s="542">
        <v>0</v>
      </c>
      <c r="BM889" s="542">
        <v>0</v>
      </c>
      <c r="BN889" s="542">
        <v>0</v>
      </c>
      <c r="BO889" s="542">
        <v>0</v>
      </c>
      <c r="BP889" s="542">
        <v>0</v>
      </c>
      <c r="BQ889" s="542">
        <v>0</v>
      </c>
      <c r="BR889" s="542">
        <v>0</v>
      </c>
      <c r="BS889" s="542">
        <v>0</v>
      </c>
      <c r="BT889" s="542">
        <v>0</v>
      </c>
      <c r="BU889" s="542">
        <v>0</v>
      </c>
      <c r="BV889" s="542">
        <v>0</v>
      </c>
      <c r="BW889" s="542">
        <v>0</v>
      </c>
      <c r="BX889" s="542">
        <v>0</v>
      </c>
      <c r="BY889" s="542">
        <v>0</v>
      </c>
      <c r="BZ889" s="542">
        <v>0</v>
      </c>
      <c r="CA889" s="542">
        <v>0</v>
      </c>
      <c r="CB889" s="542">
        <v>0</v>
      </c>
      <c r="CC889" s="542">
        <v>0</v>
      </c>
      <c r="CD889" s="542">
        <v>0</v>
      </c>
      <c r="CE889" s="542">
        <v>0</v>
      </c>
      <c r="CF889" s="542">
        <v>0</v>
      </c>
      <c r="CG889" s="542">
        <v>0</v>
      </c>
      <c r="CH889" s="542">
        <v>0</v>
      </c>
      <c r="CI889" s="542">
        <v>0</v>
      </c>
    </row>
    <row r="890" spans="1:87" ht="14.25" customHeight="1" x14ac:dyDescent="0.35">
      <c r="A890" s="42" t="s">
        <v>164</v>
      </c>
      <c r="B890" s="54">
        <v>0</v>
      </c>
      <c r="C890" s="54">
        <v>0</v>
      </c>
      <c r="D890" s="54">
        <v>0</v>
      </c>
      <c r="E890" s="54">
        <v>0</v>
      </c>
      <c r="F890" s="54">
        <v>0</v>
      </c>
      <c r="G890" s="54">
        <v>0</v>
      </c>
      <c r="H890" s="54">
        <v>0</v>
      </c>
      <c r="I890" s="54">
        <v>0</v>
      </c>
      <c r="J890" s="54">
        <v>0</v>
      </c>
      <c r="K890" s="54">
        <v>0</v>
      </c>
      <c r="L890" s="542">
        <v>0</v>
      </c>
      <c r="M890" s="542">
        <v>0</v>
      </c>
      <c r="N890" s="542">
        <v>0</v>
      </c>
      <c r="O890" s="542">
        <v>0</v>
      </c>
      <c r="P890" s="542">
        <v>0</v>
      </c>
      <c r="Q890" s="542">
        <v>0</v>
      </c>
      <c r="R890" s="542">
        <v>0</v>
      </c>
      <c r="S890" s="542">
        <v>0</v>
      </c>
      <c r="T890" s="542">
        <v>0</v>
      </c>
      <c r="U890" s="542">
        <v>0</v>
      </c>
      <c r="V890" s="542">
        <v>0</v>
      </c>
      <c r="W890" s="542">
        <v>0</v>
      </c>
      <c r="X890" s="542">
        <v>0</v>
      </c>
      <c r="Y890" s="542">
        <v>0</v>
      </c>
      <c r="Z890" s="542">
        <v>0</v>
      </c>
      <c r="AA890" s="542">
        <v>0</v>
      </c>
      <c r="AB890" s="542">
        <v>0</v>
      </c>
      <c r="AC890" s="542">
        <v>0</v>
      </c>
      <c r="AD890" s="542">
        <v>0</v>
      </c>
      <c r="AE890" s="542">
        <v>0</v>
      </c>
      <c r="AF890" s="542">
        <v>0</v>
      </c>
      <c r="AG890" s="542">
        <v>0</v>
      </c>
      <c r="AH890" s="542">
        <v>0</v>
      </c>
      <c r="AI890" s="542">
        <v>0</v>
      </c>
      <c r="AJ890" s="542">
        <v>0</v>
      </c>
      <c r="AK890" s="542">
        <v>0</v>
      </c>
      <c r="AL890" s="542">
        <v>0</v>
      </c>
      <c r="AM890" s="542">
        <v>0</v>
      </c>
      <c r="AN890" s="542">
        <v>0</v>
      </c>
      <c r="AO890" s="542">
        <v>0</v>
      </c>
      <c r="AP890" s="542">
        <v>0</v>
      </c>
      <c r="AQ890" s="542">
        <v>0</v>
      </c>
      <c r="AR890" s="542">
        <v>0</v>
      </c>
      <c r="AS890" s="542">
        <v>0</v>
      </c>
      <c r="AT890" s="542">
        <v>0</v>
      </c>
      <c r="AU890" s="542">
        <v>0</v>
      </c>
      <c r="AV890" s="542">
        <v>0</v>
      </c>
      <c r="AW890" s="542">
        <v>0</v>
      </c>
      <c r="AX890" s="542">
        <v>0</v>
      </c>
      <c r="AY890" s="542">
        <v>0</v>
      </c>
      <c r="AZ890" s="542">
        <v>0</v>
      </c>
      <c r="BA890" s="542">
        <v>0</v>
      </c>
      <c r="BB890" s="542">
        <v>0</v>
      </c>
      <c r="BC890" s="542">
        <v>0</v>
      </c>
      <c r="BD890" s="542">
        <v>0</v>
      </c>
      <c r="BE890" s="542">
        <v>0</v>
      </c>
      <c r="BF890" s="542">
        <v>0</v>
      </c>
      <c r="BG890" s="542">
        <v>0</v>
      </c>
      <c r="BH890" s="542">
        <v>0</v>
      </c>
      <c r="BI890" s="542">
        <v>0</v>
      </c>
      <c r="BJ890" s="542">
        <v>0</v>
      </c>
      <c r="BK890" s="542">
        <v>0</v>
      </c>
      <c r="BL890" s="542">
        <v>0</v>
      </c>
      <c r="BM890" s="542">
        <v>0</v>
      </c>
      <c r="BN890" s="542">
        <v>0</v>
      </c>
      <c r="BO890" s="542">
        <v>0</v>
      </c>
      <c r="BP890" s="542">
        <v>0</v>
      </c>
      <c r="BQ890" s="542">
        <v>0</v>
      </c>
      <c r="BR890" s="542">
        <v>0</v>
      </c>
      <c r="BS890" s="542">
        <v>0</v>
      </c>
      <c r="BT890" s="542">
        <v>0</v>
      </c>
      <c r="BU890" s="542">
        <v>0</v>
      </c>
      <c r="BV890" s="542">
        <v>0</v>
      </c>
      <c r="BW890" s="542">
        <v>0</v>
      </c>
      <c r="BX890" s="542">
        <v>0</v>
      </c>
      <c r="BY890" s="542">
        <v>0</v>
      </c>
      <c r="BZ890" s="542">
        <v>0</v>
      </c>
      <c r="CA890" s="542">
        <v>0</v>
      </c>
      <c r="CB890" s="542">
        <v>0</v>
      </c>
      <c r="CC890" s="542">
        <v>0</v>
      </c>
      <c r="CD890" s="542">
        <v>0</v>
      </c>
      <c r="CE890" s="542">
        <v>0</v>
      </c>
      <c r="CF890" s="542">
        <v>0</v>
      </c>
      <c r="CG890" s="542">
        <v>0</v>
      </c>
      <c r="CH890" s="542">
        <v>0</v>
      </c>
      <c r="CI890" s="542">
        <v>0</v>
      </c>
    </row>
    <row r="891" spans="1:87" ht="14.25" customHeight="1" x14ac:dyDescent="0.35">
      <c r="A891" s="42" t="s">
        <v>145</v>
      </c>
      <c r="B891" s="54">
        <v>0</v>
      </c>
      <c r="C891" s="54">
        <v>0</v>
      </c>
      <c r="D891" s="54">
        <v>0</v>
      </c>
      <c r="E891" s="54">
        <v>0</v>
      </c>
      <c r="F891" s="54">
        <v>0</v>
      </c>
      <c r="G891" s="54">
        <v>0</v>
      </c>
      <c r="H891" s="54">
        <v>0</v>
      </c>
      <c r="I891" s="54">
        <v>0</v>
      </c>
      <c r="J891" s="54">
        <v>0</v>
      </c>
      <c r="K891" s="54">
        <v>0</v>
      </c>
      <c r="L891" s="542">
        <v>0</v>
      </c>
      <c r="M891" s="542">
        <v>0</v>
      </c>
      <c r="N891" s="542">
        <v>0</v>
      </c>
      <c r="O891" s="542">
        <v>0</v>
      </c>
      <c r="P891" s="542">
        <v>0</v>
      </c>
      <c r="Q891" s="542">
        <v>0</v>
      </c>
      <c r="R891" s="542">
        <v>0</v>
      </c>
      <c r="S891" s="542">
        <v>0</v>
      </c>
      <c r="T891" s="542">
        <v>0</v>
      </c>
      <c r="U891" s="542">
        <v>0</v>
      </c>
      <c r="V891" s="542">
        <v>0</v>
      </c>
      <c r="W891" s="542">
        <v>0</v>
      </c>
      <c r="X891" s="542">
        <v>0</v>
      </c>
      <c r="Y891" s="542">
        <v>0</v>
      </c>
      <c r="Z891" s="542">
        <v>0</v>
      </c>
      <c r="AA891" s="542">
        <v>0</v>
      </c>
      <c r="AB891" s="542">
        <v>0</v>
      </c>
      <c r="AC891" s="542">
        <v>0</v>
      </c>
      <c r="AD891" s="542">
        <v>0</v>
      </c>
      <c r="AE891" s="542">
        <v>0</v>
      </c>
      <c r="AF891" s="542">
        <v>0</v>
      </c>
      <c r="AG891" s="542">
        <v>0</v>
      </c>
      <c r="AH891" s="542">
        <v>0</v>
      </c>
      <c r="AI891" s="542">
        <v>0</v>
      </c>
      <c r="AJ891" s="542">
        <v>0</v>
      </c>
      <c r="AK891" s="542">
        <v>0</v>
      </c>
      <c r="AL891" s="542">
        <v>0</v>
      </c>
      <c r="AM891" s="542">
        <v>0</v>
      </c>
      <c r="AN891" s="542">
        <v>0</v>
      </c>
      <c r="AO891" s="542">
        <v>0</v>
      </c>
      <c r="AP891" s="542">
        <v>0</v>
      </c>
      <c r="AQ891" s="542">
        <v>0</v>
      </c>
      <c r="AR891" s="542">
        <v>0</v>
      </c>
      <c r="AS891" s="542">
        <v>0</v>
      </c>
      <c r="AT891" s="542">
        <v>0</v>
      </c>
      <c r="AU891" s="542">
        <v>0</v>
      </c>
      <c r="AV891" s="542">
        <v>0</v>
      </c>
      <c r="AW891" s="542">
        <v>0</v>
      </c>
      <c r="AX891" s="542">
        <v>0</v>
      </c>
      <c r="AY891" s="542">
        <v>0</v>
      </c>
      <c r="AZ891" s="542">
        <v>0</v>
      </c>
      <c r="BA891" s="542">
        <v>0</v>
      </c>
      <c r="BB891" s="542">
        <v>0</v>
      </c>
      <c r="BC891" s="542">
        <v>0</v>
      </c>
      <c r="BD891" s="542">
        <v>0</v>
      </c>
      <c r="BE891" s="542">
        <v>0</v>
      </c>
      <c r="BF891" s="542">
        <v>0</v>
      </c>
      <c r="BG891" s="542">
        <v>0</v>
      </c>
      <c r="BH891" s="542">
        <v>0</v>
      </c>
      <c r="BI891" s="542">
        <v>0</v>
      </c>
      <c r="BJ891" s="542">
        <v>0</v>
      </c>
      <c r="BK891" s="542">
        <v>0</v>
      </c>
      <c r="BL891" s="542">
        <v>0</v>
      </c>
      <c r="BM891" s="542">
        <v>0</v>
      </c>
      <c r="BN891" s="542">
        <v>0</v>
      </c>
      <c r="BO891" s="542">
        <v>0</v>
      </c>
      <c r="BP891" s="542">
        <v>0</v>
      </c>
      <c r="BQ891" s="542">
        <v>0</v>
      </c>
      <c r="BR891" s="542">
        <v>0</v>
      </c>
      <c r="BS891" s="542">
        <v>0</v>
      </c>
      <c r="BT891" s="542">
        <v>0</v>
      </c>
      <c r="BU891" s="542">
        <v>0</v>
      </c>
      <c r="BV891" s="542">
        <v>0</v>
      </c>
      <c r="BW891" s="542">
        <v>0</v>
      </c>
      <c r="BX891" s="542">
        <v>0</v>
      </c>
      <c r="BY891" s="542">
        <v>0</v>
      </c>
      <c r="BZ891" s="542">
        <v>0</v>
      </c>
      <c r="CA891" s="542">
        <v>0</v>
      </c>
      <c r="CB891" s="542">
        <v>0</v>
      </c>
      <c r="CC891" s="542">
        <v>0</v>
      </c>
      <c r="CD891" s="542">
        <v>0</v>
      </c>
      <c r="CE891" s="542">
        <v>0</v>
      </c>
      <c r="CF891" s="542">
        <v>0</v>
      </c>
      <c r="CG891" s="542">
        <v>0</v>
      </c>
      <c r="CH891" s="542">
        <v>0</v>
      </c>
      <c r="CI891" s="542">
        <v>0</v>
      </c>
    </row>
    <row r="892" spans="1:87" ht="14.25" customHeight="1" x14ac:dyDescent="0.35">
      <c r="A892" s="42" t="s">
        <v>87</v>
      </c>
      <c r="B892" s="54">
        <v>0</v>
      </c>
      <c r="C892" s="54">
        <v>0</v>
      </c>
      <c r="D892" s="54">
        <v>0</v>
      </c>
      <c r="E892" s="54">
        <v>0</v>
      </c>
      <c r="F892" s="54">
        <v>0</v>
      </c>
      <c r="G892" s="54">
        <v>0</v>
      </c>
      <c r="H892" s="54">
        <v>0</v>
      </c>
      <c r="I892" s="54">
        <v>0</v>
      </c>
      <c r="J892" s="54">
        <v>0</v>
      </c>
      <c r="K892" s="54">
        <v>0</v>
      </c>
      <c r="L892" s="542">
        <v>0</v>
      </c>
      <c r="M892" s="542">
        <v>0</v>
      </c>
      <c r="N892" s="542">
        <v>0</v>
      </c>
      <c r="O892" s="542">
        <v>0</v>
      </c>
      <c r="P892" s="542">
        <v>0</v>
      </c>
      <c r="Q892" s="542">
        <v>0</v>
      </c>
      <c r="R892" s="542">
        <v>0</v>
      </c>
      <c r="S892" s="542">
        <v>0</v>
      </c>
      <c r="T892" s="542">
        <v>0</v>
      </c>
      <c r="U892" s="542">
        <v>0</v>
      </c>
      <c r="V892" s="542">
        <v>0</v>
      </c>
      <c r="W892" s="542">
        <v>0</v>
      </c>
      <c r="X892" s="542">
        <v>0</v>
      </c>
      <c r="Y892" s="542">
        <v>0</v>
      </c>
      <c r="Z892" s="542">
        <v>0</v>
      </c>
      <c r="AA892" s="542">
        <v>0</v>
      </c>
      <c r="AB892" s="542">
        <v>0</v>
      </c>
      <c r="AC892" s="542">
        <v>0</v>
      </c>
      <c r="AD892" s="542">
        <v>0</v>
      </c>
      <c r="AE892" s="542">
        <v>0</v>
      </c>
      <c r="AF892" s="542">
        <v>0</v>
      </c>
      <c r="AG892" s="542">
        <v>0</v>
      </c>
      <c r="AH892" s="542">
        <v>0</v>
      </c>
      <c r="AI892" s="542">
        <v>0</v>
      </c>
      <c r="AJ892" s="542">
        <v>0</v>
      </c>
      <c r="AK892" s="542">
        <v>0</v>
      </c>
      <c r="AL892" s="542">
        <v>0</v>
      </c>
      <c r="AM892" s="542">
        <v>0</v>
      </c>
      <c r="AN892" s="542">
        <v>0</v>
      </c>
      <c r="AO892" s="542">
        <v>0</v>
      </c>
      <c r="AP892" s="542">
        <v>0</v>
      </c>
      <c r="AQ892" s="542">
        <v>0</v>
      </c>
      <c r="AR892" s="542">
        <v>0</v>
      </c>
      <c r="AS892" s="542">
        <v>0</v>
      </c>
      <c r="AT892" s="542">
        <v>0</v>
      </c>
      <c r="AU892" s="542">
        <v>0</v>
      </c>
      <c r="AV892" s="542">
        <v>0</v>
      </c>
      <c r="AW892" s="542">
        <v>0</v>
      </c>
      <c r="AX892" s="542">
        <v>0</v>
      </c>
      <c r="AY892" s="542">
        <v>0</v>
      </c>
      <c r="AZ892" s="542">
        <v>0</v>
      </c>
      <c r="BA892" s="542">
        <v>0</v>
      </c>
      <c r="BB892" s="542">
        <v>0</v>
      </c>
      <c r="BC892" s="542">
        <v>0</v>
      </c>
      <c r="BD892" s="542">
        <v>0</v>
      </c>
      <c r="BE892" s="542">
        <v>0</v>
      </c>
      <c r="BF892" s="542">
        <v>0</v>
      </c>
      <c r="BG892" s="542">
        <v>0</v>
      </c>
      <c r="BH892" s="542">
        <v>0</v>
      </c>
      <c r="BI892" s="542">
        <v>0</v>
      </c>
      <c r="BJ892" s="542">
        <v>0</v>
      </c>
      <c r="BK892" s="542">
        <v>0</v>
      </c>
      <c r="BL892" s="542">
        <v>0</v>
      </c>
      <c r="BM892" s="542">
        <v>0</v>
      </c>
      <c r="BN892" s="542">
        <v>0</v>
      </c>
      <c r="BO892" s="542">
        <v>0</v>
      </c>
      <c r="BP892" s="542">
        <v>0</v>
      </c>
      <c r="BQ892" s="542">
        <v>0</v>
      </c>
      <c r="BR892" s="542">
        <v>0</v>
      </c>
      <c r="BS892" s="542">
        <v>0</v>
      </c>
      <c r="BT892" s="542">
        <v>0</v>
      </c>
      <c r="BU892" s="542">
        <v>0</v>
      </c>
      <c r="BV892" s="542">
        <v>0</v>
      </c>
      <c r="BW892" s="542">
        <v>0</v>
      </c>
      <c r="BX892" s="542">
        <v>0</v>
      </c>
      <c r="BY892" s="542">
        <v>0</v>
      </c>
      <c r="BZ892" s="542">
        <v>0</v>
      </c>
      <c r="CA892" s="542">
        <v>0</v>
      </c>
      <c r="CB892" s="542">
        <v>0</v>
      </c>
      <c r="CC892" s="542">
        <v>0</v>
      </c>
      <c r="CD892" s="542">
        <v>0</v>
      </c>
      <c r="CE892" s="542">
        <v>0</v>
      </c>
      <c r="CF892" s="542">
        <v>0</v>
      </c>
      <c r="CG892" s="542">
        <v>0</v>
      </c>
      <c r="CH892" s="542">
        <v>0</v>
      </c>
      <c r="CI892" s="542">
        <v>0</v>
      </c>
    </row>
    <row r="893" spans="1:87" ht="14.25" customHeight="1" x14ac:dyDescent="0.35">
      <c r="A893" s="42" t="s">
        <v>146</v>
      </c>
      <c r="B893" s="54">
        <v>0</v>
      </c>
      <c r="C893" s="54">
        <v>0</v>
      </c>
      <c r="D893" s="54">
        <v>0</v>
      </c>
      <c r="E893" s="54">
        <v>0</v>
      </c>
      <c r="F893" s="54">
        <v>0</v>
      </c>
      <c r="G893" s="54">
        <v>0</v>
      </c>
      <c r="H893" s="54">
        <v>0</v>
      </c>
      <c r="I893" s="54">
        <v>0</v>
      </c>
      <c r="J893" s="54">
        <v>0</v>
      </c>
      <c r="K893" s="54">
        <v>0</v>
      </c>
      <c r="L893" s="542">
        <v>0</v>
      </c>
      <c r="M893" s="542">
        <v>0</v>
      </c>
      <c r="N893" s="542">
        <v>0</v>
      </c>
      <c r="O893" s="542">
        <v>0</v>
      </c>
      <c r="P893" s="542">
        <v>0</v>
      </c>
      <c r="Q893" s="542">
        <v>0</v>
      </c>
      <c r="R893" s="542">
        <v>0</v>
      </c>
      <c r="S893" s="542">
        <v>0</v>
      </c>
      <c r="T893" s="542">
        <v>0</v>
      </c>
      <c r="U893" s="542">
        <v>0</v>
      </c>
      <c r="V893" s="542">
        <v>0</v>
      </c>
      <c r="W893" s="542">
        <v>0</v>
      </c>
      <c r="X893" s="542">
        <v>0</v>
      </c>
      <c r="Y893" s="542">
        <v>0</v>
      </c>
      <c r="Z893" s="542">
        <v>0</v>
      </c>
      <c r="AA893" s="542">
        <v>0</v>
      </c>
      <c r="AB893" s="542">
        <v>0</v>
      </c>
      <c r="AC893" s="542">
        <v>0</v>
      </c>
      <c r="AD893" s="542">
        <v>0</v>
      </c>
      <c r="AE893" s="542">
        <v>0</v>
      </c>
      <c r="AF893" s="542">
        <v>0</v>
      </c>
      <c r="AG893" s="542">
        <v>0</v>
      </c>
      <c r="AH893" s="542">
        <v>0</v>
      </c>
      <c r="AI893" s="542">
        <v>0</v>
      </c>
      <c r="AJ893" s="542">
        <v>0</v>
      </c>
      <c r="AK893" s="542">
        <v>0</v>
      </c>
      <c r="AL893" s="542">
        <v>0</v>
      </c>
      <c r="AM893" s="542">
        <v>0</v>
      </c>
      <c r="AN893" s="542">
        <v>0</v>
      </c>
      <c r="AO893" s="542">
        <v>0</v>
      </c>
      <c r="AP893" s="542">
        <v>0</v>
      </c>
      <c r="AQ893" s="542">
        <v>0</v>
      </c>
      <c r="AR893" s="542">
        <v>0</v>
      </c>
      <c r="AS893" s="542">
        <v>0</v>
      </c>
      <c r="AT893" s="542">
        <v>0</v>
      </c>
      <c r="AU893" s="542">
        <v>0</v>
      </c>
      <c r="AV893" s="542">
        <v>0</v>
      </c>
      <c r="AW893" s="542">
        <v>0</v>
      </c>
      <c r="AX893" s="542">
        <v>0</v>
      </c>
      <c r="AY893" s="542">
        <v>0</v>
      </c>
      <c r="AZ893" s="542">
        <v>0</v>
      </c>
      <c r="BA893" s="542">
        <v>0</v>
      </c>
      <c r="BB893" s="542">
        <v>0</v>
      </c>
      <c r="BC893" s="542">
        <v>0</v>
      </c>
      <c r="BD893" s="542">
        <v>0</v>
      </c>
      <c r="BE893" s="542">
        <v>0</v>
      </c>
      <c r="BF893" s="542">
        <v>0</v>
      </c>
      <c r="BG893" s="542">
        <v>0</v>
      </c>
      <c r="BH893" s="542">
        <v>0</v>
      </c>
      <c r="BI893" s="542">
        <v>0</v>
      </c>
      <c r="BJ893" s="542">
        <v>0</v>
      </c>
      <c r="BK893" s="542">
        <v>0</v>
      </c>
      <c r="BL893" s="542">
        <v>0</v>
      </c>
      <c r="BM893" s="542">
        <v>0</v>
      </c>
      <c r="BN893" s="542">
        <v>0</v>
      </c>
      <c r="BO893" s="542">
        <v>0</v>
      </c>
      <c r="BP893" s="542">
        <v>0</v>
      </c>
      <c r="BQ893" s="542">
        <v>0</v>
      </c>
      <c r="BR893" s="542">
        <v>0</v>
      </c>
      <c r="BS893" s="542">
        <v>0</v>
      </c>
      <c r="BT893" s="542">
        <v>0</v>
      </c>
      <c r="BU893" s="542">
        <v>0</v>
      </c>
      <c r="BV893" s="542">
        <v>0</v>
      </c>
      <c r="BW893" s="542">
        <v>0</v>
      </c>
      <c r="BX893" s="542">
        <v>0</v>
      </c>
      <c r="BY893" s="542">
        <v>0</v>
      </c>
      <c r="BZ893" s="542">
        <v>0</v>
      </c>
      <c r="CA893" s="542">
        <v>0</v>
      </c>
      <c r="CB893" s="542">
        <v>0</v>
      </c>
      <c r="CC893" s="542">
        <v>0</v>
      </c>
      <c r="CD893" s="542">
        <v>0</v>
      </c>
      <c r="CE893" s="542">
        <v>0</v>
      </c>
      <c r="CF893" s="542">
        <v>0</v>
      </c>
      <c r="CG893" s="542">
        <v>0</v>
      </c>
      <c r="CH893" s="542">
        <v>0</v>
      </c>
      <c r="CI893" s="542">
        <v>0</v>
      </c>
    </row>
    <row r="894" spans="1:87" ht="14.25" customHeight="1" x14ac:dyDescent="0.35">
      <c r="A894" s="42" t="s">
        <v>89</v>
      </c>
      <c r="B894" s="54">
        <v>0</v>
      </c>
      <c r="C894" s="54">
        <v>0</v>
      </c>
      <c r="D894" s="54">
        <v>0</v>
      </c>
      <c r="E894" s="54">
        <v>0</v>
      </c>
      <c r="F894" s="54">
        <v>0</v>
      </c>
      <c r="G894" s="54">
        <v>0</v>
      </c>
      <c r="H894" s="54">
        <v>0</v>
      </c>
      <c r="I894" s="54">
        <v>0</v>
      </c>
      <c r="J894" s="54">
        <v>0</v>
      </c>
      <c r="K894" s="54">
        <v>0</v>
      </c>
      <c r="L894" s="542">
        <v>0</v>
      </c>
      <c r="M894" s="542">
        <v>0</v>
      </c>
      <c r="N894" s="542">
        <v>0</v>
      </c>
      <c r="O894" s="542">
        <v>0</v>
      </c>
      <c r="P894" s="542">
        <v>0</v>
      </c>
      <c r="Q894" s="542">
        <v>0</v>
      </c>
      <c r="R894" s="542">
        <v>0</v>
      </c>
      <c r="S894" s="542">
        <v>0</v>
      </c>
      <c r="T894" s="542">
        <v>0</v>
      </c>
      <c r="U894" s="542">
        <v>0</v>
      </c>
      <c r="V894" s="542">
        <v>0</v>
      </c>
      <c r="W894" s="542">
        <v>0</v>
      </c>
      <c r="X894" s="542">
        <v>0</v>
      </c>
      <c r="Y894" s="542">
        <v>0</v>
      </c>
      <c r="Z894" s="542">
        <v>0</v>
      </c>
      <c r="AA894" s="542">
        <v>0</v>
      </c>
      <c r="AB894" s="542">
        <v>0</v>
      </c>
      <c r="AC894" s="542">
        <v>0</v>
      </c>
      <c r="AD894" s="542">
        <v>0</v>
      </c>
      <c r="AE894" s="542">
        <v>0</v>
      </c>
      <c r="AF894" s="542">
        <v>0</v>
      </c>
      <c r="AG894" s="542">
        <v>0</v>
      </c>
      <c r="AH894" s="542">
        <v>0</v>
      </c>
      <c r="AI894" s="542">
        <v>0</v>
      </c>
      <c r="AJ894" s="542">
        <v>0</v>
      </c>
      <c r="AK894" s="542">
        <v>0</v>
      </c>
      <c r="AL894" s="542">
        <v>0</v>
      </c>
      <c r="AM894" s="542">
        <v>0</v>
      </c>
      <c r="AN894" s="542">
        <v>0</v>
      </c>
      <c r="AO894" s="542">
        <v>0</v>
      </c>
      <c r="AP894" s="542">
        <v>0</v>
      </c>
      <c r="AQ894" s="542">
        <v>0</v>
      </c>
      <c r="AR894" s="542">
        <v>0</v>
      </c>
      <c r="AS894" s="542">
        <v>0</v>
      </c>
      <c r="AT894" s="542">
        <v>0</v>
      </c>
      <c r="AU894" s="542">
        <v>0</v>
      </c>
      <c r="AV894" s="542">
        <v>0</v>
      </c>
      <c r="AW894" s="542">
        <v>0</v>
      </c>
      <c r="AX894" s="542">
        <v>0</v>
      </c>
      <c r="AY894" s="542">
        <v>0</v>
      </c>
      <c r="AZ894" s="542">
        <v>0</v>
      </c>
      <c r="BA894" s="542">
        <v>0</v>
      </c>
      <c r="BB894" s="542">
        <v>0</v>
      </c>
      <c r="BC894" s="542">
        <v>0</v>
      </c>
      <c r="BD894" s="542">
        <v>0</v>
      </c>
      <c r="BE894" s="542">
        <v>0</v>
      </c>
      <c r="BF894" s="542">
        <v>0</v>
      </c>
      <c r="BG894" s="542">
        <v>0</v>
      </c>
      <c r="BH894" s="542">
        <v>0</v>
      </c>
      <c r="BI894" s="542">
        <v>0</v>
      </c>
      <c r="BJ894" s="542">
        <v>0</v>
      </c>
      <c r="BK894" s="542">
        <v>0</v>
      </c>
      <c r="BL894" s="542">
        <v>0</v>
      </c>
      <c r="BM894" s="542">
        <v>0</v>
      </c>
      <c r="BN894" s="542">
        <v>0</v>
      </c>
      <c r="BO894" s="542">
        <v>0</v>
      </c>
      <c r="BP894" s="542">
        <v>0</v>
      </c>
      <c r="BQ894" s="542">
        <v>0</v>
      </c>
      <c r="BR894" s="542">
        <v>0</v>
      </c>
      <c r="BS894" s="542">
        <v>0</v>
      </c>
      <c r="BT894" s="542">
        <v>0</v>
      </c>
      <c r="BU894" s="542">
        <v>0</v>
      </c>
      <c r="BV894" s="542">
        <v>0</v>
      </c>
      <c r="BW894" s="542">
        <v>0</v>
      </c>
      <c r="BX894" s="542">
        <v>0</v>
      </c>
      <c r="BY894" s="542">
        <v>0</v>
      </c>
      <c r="BZ894" s="542">
        <v>0</v>
      </c>
      <c r="CA894" s="542">
        <v>0</v>
      </c>
      <c r="CB894" s="542">
        <v>0</v>
      </c>
      <c r="CC894" s="542">
        <v>0</v>
      </c>
      <c r="CD894" s="542">
        <v>0</v>
      </c>
      <c r="CE894" s="542">
        <v>0</v>
      </c>
      <c r="CF894" s="542">
        <v>0</v>
      </c>
      <c r="CG894" s="542">
        <v>0</v>
      </c>
      <c r="CH894" s="542">
        <v>0</v>
      </c>
      <c r="CI894" s="542">
        <v>0</v>
      </c>
    </row>
    <row r="895" spans="1:87" ht="14.25" customHeight="1" x14ac:dyDescent="0.35">
      <c r="A895" s="42" t="s">
        <v>90</v>
      </c>
      <c r="B895" s="54">
        <v>0</v>
      </c>
      <c r="C895" s="54">
        <v>0</v>
      </c>
      <c r="D895" s="54">
        <v>0</v>
      </c>
      <c r="E895" s="54">
        <v>0</v>
      </c>
      <c r="F895" s="54">
        <v>0</v>
      </c>
      <c r="G895" s="54">
        <v>0</v>
      </c>
      <c r="H895" s="54">
        <v>0</v>
      </c>
      <c r="I895" s="54">
        <v>0</v>
      </c>
      <c r="J895" s="54">
        <v>0</v>
      </c>
      <c r="K895" s="54">
        <v>0</v>
      </c>
      <c r="L895" s="542">
        <v>0</v>
      </c>
      <c r="M895" s="542">
        <v>0</v>
      </c>
      <c r="N895" s="542">
        <v>0</v>
      </c>
      <c r="O895" s="542">
        <v>0</v>
      </c>
      <c r="P895" s="542">
        <v>0</v>
      </c>
      <c r="Q895" s="542">
        <v>0</v>
      </c>
      <c r="R895" s="542">
        <v>0</v>
      </c>
      <c r="S895" s="542">
        <v>0</v>
      </c>
      <c r="T895" s="542">
        <v>0</v>
      </c>
      <c r="U895" s="542">
        <v>0</v>
      </c>
      <c r="V895" s="542">
        <v>0</v>
      </c>
      <c r="W895" s="542">
        <v>0</v>
      </c>
      <c r="X895" s="542">
        <v>0</v>
      </c>
      <c r="Y895" s="542">
        <v>0</v>
      </c>
      <c r="Z895" s="542">
        <v>0</v>
      </c>
      <c r="AA895" s="542">
        <v>0</v>
      </c>
      <c r="AB895" s="542">
        <v>0</v>
      </c>
      <c r="AC895" s="542">
        <v>0</v>
      </c>
      <c r="AD895" s="542">
        <v>0</v>
      </c>
      <c r="AE895" s="542">
        <v>0</v>
      </c>
      <c r="AF895" s="542">
        <v>0</v>
      </c>
      <c r="AG895" s="542">
        <v>0</v>
      </c>
      <c r="AH895" s="542">
        <v>0</v>
      </c>
      <c r="AI895" s="542">
        <v>0</v>
      </c>
      <c r="AJ895" s="542">
        <v>0</v>
      </c>
      <c r="AK895" s="542">
        <v>0</v>
      </c>
      <c r="AL895" s="542">
        <v>0</v>
      </c>
      <c r="AM895" s="542">
        <v>0</v>
      </c>
      <c r="AN895" s="542">
        <v>0</v>
      </c>
      <c r="AO895" s="542">
        <v>0</v>
      </c>
      <c r="AP895" s="542">
        <v>0</v>
      </c>
      <c r="AQ895" s="542">
        <v>0</v>
      </c>
      <c r="AR895" s="542">
        <v>0</v>
      </c>
      <c r="AS895" s="542">
        <v>0</v>
      </c>
      <c r="AT895" s="542">
        <v>0</v>
      </c>
      <c r="AU895" s="542">
        <v>0</v>
      </c>
      <c r="AV895" s="542">
        <v>0</v>
      </c>
      <c r="AW895" s="542">
        <v>0</v>
      </c>
      <c r="AX895" s="542">
        <v>0</v>
      </c>
      <c r="AY895" s="542">
        <v>0</v>
      </c>
      <c r="AZ895" s="542">
        <v>0</v>
      </c>
      <c r="BA895" s="542">
        <v>0</v>
      </c>
      <c r="BB895" s="542">
        <v>0</v>
      </c>
      <c r="BC895" s="542">
        <v>0</v>
      </c>
      <c r="BD895" s="542">
        <v>0</v>
      </c>
      <c r="BE895" s="542">
        <v>0</v>
      </c>
      <c r="BF895" s="542">
        <v>0</v>
      </c>
      <c r="BG895" s="542">
        <v>0</v>
      </c>
      <c r="BH895" s="542">
        <v>0</v>
      </c>
      <c r="BI895" s="542">
        <v>0</v>
      </c>
      <c r="BJ895" s="542">
        <v>0</v>
      </c>
      <c r="BK895" s="542">
        <v>0</v>
      </c>
      <c r="BL895" s="542">
        <v>0</v>
      </c>
      <c r="BM895" s="542">
        <v>0</v>
      </c>
      <c r="BN895" s="542">
        <v>0</v>
      </c>
      <c r="BO895" s="542">
        <v>0</v>
      </c>
      <c r="BP895" s="542">
        <v>0</v>
      </c>
      <c r="BQ895" s="542">
        <v>0</v>
      </c>
      <c r="BR895" s="542">
        <v>0</v>
      </c>
      <c r="BS895" s="542">
        <v>0</v>
      </c>
      <c r="BT895" s="542">
        <v>0</v>
      </c>
      <c r="BU895" s="542">
        <v>0</v>
      </c>
      <c r="BV895" s="542">
        <v>0</v>
      </c>
      <c r="BW895" s="542">
        <v>0</v>
      </c>
      <c r="BX895" s="542">
        <v>0</v>
      </c>
      <c r="BY895" s="542">
        <v>0</v>
      </c>
      <c r="BZ895" s="542">
        <v>0</v>
      </c>
      <c r="CA895" s="542">
        <v>0</v>
      </c>
      <c r="CB895" s="542">
        <v>0</v>
      </c>
      <c r="CC895" s="542">
        <v>0</v>
      </c>
      <c r="CD895" s="542">
        <v>0</v>
      </c>
      <c r="CE895" s="542">
        <v>0</v>
      </c>
      <c r="CF895" s="542">
        <v>0</v>
      </c>
      <c r="CG895" s="542">
        <v>0</v>
      </c>
      <c r="CH895" s="542">
        <v>0</v>
      </c>
      <c r="CI895" s="542">
        <v>0</v>
      </c>
    </row>
    <row r="896" spans="1:87" ht="14.25" customHeight="1" x14ac:dyDescent="0.35">
      <c r="A896" s="98" t="s">
        <v>1456</v>
      </c>
      <c r="B896" s="51"/>
    </row>
    <row r="897" spans="1:3" ht="14.25" customHeight="1" x14ac:dyDescent="0.35">
      <c r="A897" s="25" t="s">
        <v>1684</v>
      </c>
      <c r="B897">
        <v>0.08</v>
      </c>
    </row>
    <row r="899" spans="1:3" ht="14.25" customHeight="1" x14ac:dyDescent="0.35">
      <c r="A899" s="143" t="s">
        <v>1108</v>
      </c>
      <c r="B899" s="2"/>
    </row>
    <row r="900" spans="1:3" ht="14.25" customHeight="1" x14ac:dyDescent="0.35">
      <c r="A900" s="34" t="s">
        <v>1272</v>
      </c>
      <c r="B900" s="2"/>
    </row>
    <row r="901" spans="1:3" ht="14.25" customHeight="1" x14ac:dyDescent="0.35">
      <c r="A901" s="38" t="s">
        <v>168</v>
      </c>
      <c r="B901" s="9" t="s">
        <v>169</v>
      </c>
    </row>
    <row r="902" spans="1:3" ht="14.25" customHeight="1" x14ac:dyDescent="0.35">
      <c r="A902" s="271">
        <v>0</v>
      </c>
      <c r="B902" s="272" t="s">
        <v>1270</v>
      </c>
      <c r="C902" t="s">
        <v>1293</v>
      </c>
    </row>
    <row r="903" spans="1:3" ht="14.25" customHeight="1" x14ac:dyDescent="0.35">
      <c r="A903" s="271">
        <v>1</v>
      </c>
      <c r="B903" s="272" t="s">
        <v>1193</v>
      </c>
    </row>
    <row r="904" spans="1:3" ht="14.25" customHeight="1" x14ac:dyDescent="0.35">
      <c r="A904" s="39" t="s">
        <v>170</v>
      </c>
      <c r="B904" s="40">
        <v>1</v>
      </c>
    </row>
    <row r="906" spans="1:3" ht="14.25" customHeight="1" x14ac:dyDescent="0.35">
      <c r="A906" s="34" t="s">
        <v>1273</v>
      </c>
      <c r="B906" s="2"/>
    </row>
    <row r="907" spans="1:3" ht="14.25" customHeight="1" x14ac:dyDescent="0.35">
      <c r="A907" s="38" t="s">
        <v>168</v>
      </c>
      <c r="B907" s="9" t="s">
        <v>169</v>
      </c>
    </row>
    <row r="908" spans="1:3" ht="14.25" customHeight="1" x14ac:dyDescent="0.35">
      <c r="A908" s="271">
        <v>0</v>
      </c>
      <c r="B908" s="272" t="s">
        <v>1109</v>
      </c>
    </row>
    <row r="909" spans="1:3" ht="14.25" customHeight="1" x14ac:dyDescent="0.35">
      <c r="A909" s="271">
        <v>1</v>
      </c>
      <c r="B909" s="272" t="s">
        <v>1110</v>
      </c>
    </row>
    <row r="910" spans="1:3" ht="14.25" customHeight="1" x14ac:dyDescent="0.35">
      <c r="A910" s="271">
        <v>2</v>
      </c>
      <c r="B910" s="272" t="s">
        <v>1112</v>
      </c>
    </row>
    <row r="911" spans="1:3" ht="14.25" customHeight="1" x14ac:dyDescent="0.35">
      <c r="A911" s="271">
        <v>3</v>
      </c>
      <c r="B911" s="272" t="s">
        <v>1111</v>
      </c>
    </row>
    <row r="912" spans="1:3" ht="14.25" customHeight="1" x14ac:dyDescent="0.35">
      <c r="A912" s="39" t="s">
        <v>170</v>
      </c>
      <c r="B912" s="40">
        <v>0</v>
      </c>
    </row>
    <row r="914" spans="1:87" ht="14.25" customHeight="1" x14ac:dyDescent="0.35">
      <c r="A914" s="34" t="s">
        <v>1108</v>
      </c>
    </row>
    <row r="915" spans="1:87" ht="14.25" customHeight="1" x14ac:dyDescent="0.35">
      <c r="A915" s="74" t="s">
        <v>850</v>
      </c>
      <c r="B915" s="52">
        <v>2015</v>
      </c>
      <c r="C915" s="52">
        <f t="shared" ref="C915:BN915" si="52">1+B915</f>
        <v>2016</v>
      </c>
      <c r="D915" s="52">
        <f t="shared" si="52"/>
        <v>2017</v>
      </c>
      <c r="E915" s="52">
        <f t="shared" si="52"/>
        <v>2018</v>
      </c>
      <c r="F915" s="52">
        <f t="shared" si="52"/>
        <v>2019</v>
      </c>
      <c r="G915" s="52">
        <f t="shared" si="52"/>
        <v>2020</v>
      </c>
      <c r="H915" s="52">
        <f t="shared" si="52"/>
        <v>2021</v>
      </c>
      <c r="I915" s="52">
        <f t="shared" si="52"/>
        <v>2022</v>
      </c>
      <c r="J915" s="52">
        <f t="shared" si="52"/>
        <v>2023</v>
      </c>
      <c r="K915" s="52">
        <f t="shared" si="52"/>
        <v>2024</v>
      </c>
      <c r="L915" s="52">
        <f t="shared" si="52"/>
        <v>2025</v>
      </c>
      <c r="M915" s="52">
        <f t="shared" si="52"/>
        <v>2026</v>
      </c>
      <c r="N915" s="52">
        <f t="shared" si="52"/>
        <v>2027</v>
      </c>
      <c r="O915" s="52">
        <f t="shared" si="52"/>
        <v>2028</v>
      </c>
      <c r="P915" s="52">
        <f t="shared" si="52"/>
        <v>2029</v>
      </c>
      <c r="Q915" s="52">
        <f t="shared" si="52"/>
        <v>2030</v>
      </c>
      <c r="R915" s="52">
        <f t="shared" si="52"/>
        <v>2031</v>
      </c>
      <c r="S915" s="52">
        <f t="shared" si="52"/>
        <v>2032</v>
      </c>
      <c r="T915" s="52">
        <f t="shared" si="52"/>
        <v>2033</v>
      </c>
      <c r="U915" s="52">
        <f t="shared" si="52"/>
        <v>2034</v>
      </c>
      <c r="V915" s="52">
        <f t="shared" si="52"/>
        <v>2035</v>
      </c>
      <c r="W915" s="52">
        <f t="shared" si="52"/>
        <v>2036</v>
      </c>
      <c r="X915" s="52">
        <f t="shared" si="52"/>
        <v>2037</v>
      </c>
      <c r="Y915" s="52">
        <f t="shared" si="52"/>
        <v>2038</v>
      </c>
      <c r="Z915" s="52">
        <f t="shared" si="52"/>
        <v>2039</v>
      </c>
      <c r="AA915" s="52">
        <f t="shared" si="52"/>
        <v>2040</v>
      </c>
      <c r="AB915" s="52">
        <f t="shared" si="52"/>
        <v>2041</v>
      </c>
      <c r="AC915" s="52">
        <f t="shared" si="52"/>
        <v>2042</v>
      </c>
      <c r="AD915" s="52">
        <f t="shared" si="52"/>
        <v>2043</v>
      </c>
      <c r="AE915" s="52">
        <f t="shared" si="52"/>
        <v>2044</v>
      </c>
      <c r="AF915" s="52">
        <f t="shared" si="52"/>
        <v>2045</v>
      </c>
      <c r="AG915" s="52">
        <f t="shared" si="52"/>
        <v>2046</v>
      </c>
      <c r="AH915" s="52">
        <f t="shared" si="52"/>
        <v>2047</v>
      </c>
      <c r="AI915" s="52">
        <f t="shared" si="52"/>
        <v>2048</v>
      </c>
      <c r="AJ915" s="52">
        <f t="shared" si="52"/>
        <v>2049</v>
      </c>
      <c r="AK915" s="52">
        <f t="shared" si="52"/>
        <v>2050</v>
      </c>
      <c r="AL915" s="52">
        <f t="shared" si="52"/>
        <v>2051</v>
      </c>
      <c r="AM915" s="52">
        <f t="shared" si="52"/>
        <v>2052</v>
      </c>
      <c r="AN915" s="52">
        <f t="shared" si="52"/>
        <v>2053</v>
      </c>
      <c r="AO915" s="52">
        <f t="shared" si="52"/>
        <v>2054</v>
      </c>
      <c r="AP915" s="52">
        <f t="shared" si="52"/>
        <v>2055</v>
      </c>
      <c r="AQ915" s="52">
        <f t="shared" si="52"/>
        <v>2056</v>
      </c>
      <c r="AR915" s="52">
        <f t="shared" si="52"/>
        <v>2057</v>
      </c>
      <c r="AS915" s="52">
        <f t="shared" si="52"/>
        <v>2058</v>
      </c>
      <c r="AT915" s="52">
        <f t="shared" si="52"/>
        <v>2059</v>
      </c>
      <c r="AU915" s="52">
        <f t="shared" si="52"/>
        <v>2060</v>
      </c>
      <c r="AV915" s="52">
        <f t="shared" si="52"/>
        <v>2061</v>
      </c>
      <c r="AW915" s="52">
        <f t="shared" si="52"/>
        <v>2062</v>
      </c>
      <c r="AX915" s="52">
        <f t="shared" si="52"/>
        <v>2063</v>
      </c>
      <c r="AY915" s="52">
        <f t="shared" si="52"/>
        <v>2064</v>
      </c>
      <c r="AZ915" s="52">
        <f t="shared" si="52"/>
        <v>2065</v>
      </c>
      <c r="BA915" s="52">
        <f t="shared" si="52"/>
        <v>2066</v>
      </c>
      <c r="BB915" s="52">
        <f t="shared" si="52"/>
        <v>2067</v>
      </c>
      <c r="BC915" s="52">
        <f t="shared" si="52"/>
        <v>2068</v>
      </c>
      <c r="BD915" s="52">
        <f t="shared" si="52"/>
        <v>2069</v>
      </c>
      <c r="BE915" s="52">
        <f t="shared" si="52"/>
        <v>2070</v>
      </c>
      <c r="BF915" s="52">
        <f t="shared" si="52"/>
        <v>2071</v>
      </c>
      <c r="BG915" s="52">
        <f t="shared" si="52"/>
        <v>2072</v>
      </c>
      <c r="BH915" s="52">
        <f t="shared" si="52"/>
        <v>2073</v>
      </c>
      <c r="BI915" s="52">
        <f t="shared" si="52"/>
        <v>2074</v>
      </c>
      <c r="BJ915" s="52">
        <f t="shared" si="52"/>
        <v>2075</v>
      </c>
      <c r="BK915" s="52">
        <f t="shared" si="52"/>
        <v>2076</v>
      </c>
      <c r="BL915" s="52">
        <f t="shared" si="52"/>
        <v>2077</v>
      </c>
      <c r="BM915" s="52">
        <f t="shared" si="52"/>
        <v>2078</v>
      </c>
      <c r="BN915" s="52">
        <f t="shared" si="52"/>
        <v>2079</v>
      </c>
      <c r="BO915" s="52">
        <f t="shared" ref="BO915:CI915" si="53">1+BN915</f>
        <v>2080</v>
      </c>
      <c r="BP915" s="52">
        <f t="shared" si="53"/>
        <v>2081</v>
      </c>
      <c r="BQ915" s="52">
        <f t="shared" si="53"/>
        <v>2082</v>
      </c>
      <c r="BR915" s="52">
        <f t="shared" si="53"/>
        <v>2083</v>
      </c>
      <c r="BS915" s="52">
        <f t="shared" si="53"/>
        <v>2084</v>
      </c>
      <c r="BT915" s="52">
        <f t="shared" si="53"/>
        <v>2085</v>
      </c>
      <c r="BU915" s="52">
        <f t="shared" si="53"/>
        <v>2086</v>
      </c>
      <c r="BV915" s="52">
        <f t="shared" si="53"/>
        <v>2087</v>
      </c>
      <c r="BW915" s="52">
        <f t="shared" si="53"/>
        <v>2088</v>
      </c>
      <c r="BX915" s="52">
        <f t="shared" si="53"/>
        <v>2089</v>
      </c>
      <c r="BY915" s="52">
        <f t="shared" si="53"/>
        <v>2090</v>
      </c>
      <c r="BZ915" s="52">
        <f t="shared" si="53"/>
        <v>2091</v>
      </c>
      <c r="CA915" s="52">
        <f t="shared" si="53"/>
        <v>2092</v>
      </c>
      <c r="CB915" s="52">
        <f t="shared" si="53"/>
        <v>2093</v>
      </c>
      <c r="CC915" s="52">
        <f t="shared" si="53"/>
        <v>2094</v>
      </c>
      <c r="CD915" s="52">
        <f t="shared" si="53"/>
        <v>2095</v>
      </c>
      <c r="CE915" s="52">
        <f t="shared" si="53"/>
        <v>2096</v>
      </c>
      <c r="CF915" s="52">
        <f t="shared" si="53"/>
        <v>2097</v>
      </c>
      <c r="CG915" s="52">
        <f t="shared" si="53"/>
        <v>2098</v>
      </c>
      <c r="CH915" s="52">
        <f t="shared" si="53"/>
        <v>2099</v>
      </c>
      <c r="CI915" s="52">
        <f t="shared" si="53"/>
        <v>2100</v>
      </c>
    </row>
    <row r="916" spans="1:87" ht="14.25" customHeight="1" x14ac:dyDescent="0.35">
      <c r="A916" s="42" t="s">
        <v>228</v>
      </c>
      <c r="B916" s="542">
        <v>0</v>
      </c>
      <c r="C916" s="542">
        <v>0</v>
      </c>
      <c r="D916" s="542">
        <v>0</v>
      </c>
      <c r="E916" s="542">
        <v>0</v>
      </c>
      <c r="F916" s="542">
        <v>0</v>
      </c>
      <c r="G916" s="542">
        <v>0</v>
      </c>
      <c r="H916" s="542">
        <v>0</v>
      </c>
      <c r="I916" s="542">
        <v>0</v>
      </c>
      <c r="J916" s="542">
        <v>0</v>
      </c>
      <c r="K916" s="542">
        <v>0</v>
      </c>
      <c r="L916" s="542">
        <v>0</v>
      </c>
      <c r="M916" s="542">
        <v>0</v>
      </c>
      <c r="N916" s="542">
        <v>45</v>
      </c>
      <c r="O916" s="542">
        <v>45</v>
      </c>
      <c r="P916" s="542">
        <v>45</v>
      </c>
      <c r="Q916" s="542">
        <v>45</v>
      </c>
      <c r="R916" s="542">
        <v>45</v>
      </c>
      <c r="S916" s="542">
        <v>45</v>
      </c>
      <c r="T916" s="542">
        <v>45</v>
      </c>
      <c r="U916" s="542">
        <v>45</v>
      </c>
      <c r="V916" s="542">
        <v>45</v>
      </c>
      <c r="W916" s="542">
        <v>45</v>
      </c>
      <c r="X916" s="542">
        <v>45</v>
      </c>
      <c r="Y916" s="542">
        <v>45</v>
      </c>
      <c r="Z916" s="542">
        <v>45</v>
      </c>
      <c r="AA916" s="542">
        <v>45</v>
      </c>
      <c r="AB916" s="542">
        <v>45</v>
      </c>
      <c r="AC916" s="542">
        <v>45</v>
      </c>
      <c r="AD916" s="542">
        <v>45</v>
      </c>
      <c r="AE916" s="542">
        <v>45</v>
      </c>
      <c r="AF916" s="542">
        <v>45</v>
      </c>
      <c r="AG916" s="542">
        <v>45</v>
      </c>
      <c r="AH916" s="542">
        <v>45</v>
      </c>
      <c r="AI916" s="542">
        <v>45</v>
      </c>
      <c r="AJ916" s="542">
        <v>45</v>
      </c>
      <c r="AK916" s="542">
        <v>45</v>
      </c>
      <c r="AL916" s="542">
        <v>45</v>
      </c>
      <c r="AM916" s="542">
        <v>45</v>
      </c>
      <c r="AN916" s="542">
        <v>45</v>
      </c>
      <c r="AO916" s="542">
        <v>45</v>
      </c>
      <c r="AP916" s="542">
        <v>45</v>
      </c>
      <c r="AQ916" s="542">
        <v>45</v>
      </c>
      <c r="AR916" s="542">
        <v>45</v>
      </c>
      <c r="AS916" s="542">
        <v>45</v>
      </c>
      <c r="AT916" s="542">
        <v>45</v>
      </c>
      <c r="AU916" s="542">
        <v>45</v>
      </c>
      <c r="AV916" s="542">
        <v>45</v>
      </c>
      <c r="AW916" s="542">
        <v>45</v>
      </c>
      <c r="AX916" s="542">
        <v>45</v>
      </c>
      <c r="AY916" s="542">
        <v>45</v>
      </c>
      <c r="AZ916" s="542">
        <v>45</v>
      </c>
      <c r="BA916" s="542">
        <v>45</v>
      </c>
      <c r="BB916" s="542">
        <v>45</v>
      </c>
      <c r="BC916" s="542">
        <v>45</v>
      </c>
      <c r="BD916" s="542">
        <v>45</v>
      </c>
      <c r="BE916" s="542">
        <v>45</v>
      </c>
      <c r="BF916" s="542">
        <v>45</v>
      </c>
      <c r="BG916" s="542">
        <v>45</v>
      </c>
      <c r="BH916" s="542">
        <v>45</v>
      </c>
      <c r="BI916" s="542">
        <v>45</v>
      </c>
      <c r="BJ916" s="542">
        <v>45</v>
      </c>
      <c r="BK916" s="542">
        <v>45</v>
      </c>
      <c r="BL916" s="542">
        <v>45</v>
      </c>
      <c r="BM916" s="542">
        <v>45</v>
      </c>
      <c r="BN916" s="542">
        <v>45</v>
      </c>
      <c r="BO916" s="542">
        <v>45</v>
      </c>
      <c r="BP916" s="542">
        <v>45</v>
      </c>
      <c r="BQ916" s="542">
        <v>45</v>
      </c>
      <c r="BR916" s="542">
        <v>45</v>
      </c>
      <c r="BS916" s="542">
        <v>45</v>
      </c>
      <c r="BT916" s="542">
        <v>45</v>
      </c>
      <c r="BU916" s="542">
        <v>45</v>
      </c>
      <c r="BV916" s="542">
        <v>45</v>
      </c>
      <c r="BW916" s="542">
        <v>45</v>
      </c>
      <c r="BX916" s="542">
        <v>45</v>
      </c>
      <c r="BY916" s="542">
        <v>45</v>
      </c>
      <c r="BZ916" s="542">
        <v>45</v>
      </c>
      <c r="CA916" s="542">
        <v>45</v>
      </c>
      <c r="CB916" s="542">
        <v>45</v>
      </c>
      <c r="CC916" s="542">
        <v>45</v>
      </c>
      <c r="CD916" s="542">
        <v>45</v>
      </c>
      <c r="CE916" s="542">
        <v>45</v>
      </c>
      <c r="CF916" s="542">
        <v>45</v>
      </c>
      <c r="CG916" s="542">
        <v>45</v>
      </c>
      <c r="CH916" s="542">
        <v>45</v>
      </c>
      <c r="CI916" s="542">
        <v>45</v>
      </c>
    </row>
    <row r="917" spans="1:87" ht="14.25" customHeight="1" x14ac:dyDescent="0.35">
      <c r="A917" s="42" t="s">
        <v>95</v>
      </c>
      <c r="B917" s="542">
        <v>0</v>
      </c>
      <c r="C917" s="542">
        <v>0</v>
      </c>
      <c r="D917" s="542">
        <v>0</v>
      </c>
      <c r="E917" s="542">
        <v>0</v>
      </c>
      <c r="F917" s="542">
        <v>0</v>
      </c>
      <c r="G917" s="542">
        <v>0</v>
      </c>
      <c r="H917" s="542">
        <v>0</v>
      </c>
      <c r="I917" s="542">
        <v>0</v>
      </c>
      <c r="J917" s="542">
        <v>0</v>
      </c>
      <c r="K917" s="542">
        <v>0</v>
      </c>
      <c r="L917" s="542">
        <v>0</v>
      </c>
      <c r="M917" s="542">
        <v>0</v>
      </c>
      <c r="N917" s="542">
        <v>45</v>
      </c>
      <c r="O917" s="542">
        <v>45</v>
      </c>
      <c r="P917" s="542">
        <v>45</v>
      </c>
      <c r="Q917" s="542">
        <v>45</v>
      </c>
      <c r="R917" s="542">
        <v>45</v>
      </c>
      <c r="S917" s="542">
        <v>45</v>
      </c>
      <c r="T917" s="542">
        <v>45</v>
      </c>
      <c r="U917" s="542">
        <v>45</v>
      </c>
      <c r="V917" s="542">
        <v>45</v>
      </c>
      <c r="W917" s="542">
        <v>45</v>
      </c>
      <c r="X917" s="542">
        <v>45</v>
      </c>
      <c r="Y917" s="542">
        <v>45</v>
      </c>
      <c r="Z917" s="542">
        <v>45</v>
      </c>
      <c r="AA917" s="542">
        <v>45</v>
      </c>
      <c r="AB917" s="542">
        <v>45</v>
      </c>
      <c r="AC917" s="542">
        <v>45</v>
      </c>
      <c r="AD917" s="542">
        <v>45</v>
      </c>
      <c r="AE917" s="542">
        <v>45</v>
      </c>
      <c r="AF917" s="542">
        <v>45</v>
      </c>
      <c r="AG917" s="542">
        <v>45</v>
      </c>
      <c r="AH917" s="542">
        <v>45</v>
      </c>
      <c r="AI917" s="542">
        <v>45</v>
      </c>
      <c r="AJ917" s="542">
        <v>45</v>
      </c>
      <c r="AK917" s="542">
        <v>45</v>
      </c>
      <c r="AL917" s="542">
        <v>45</v>
      </c>
      <c r="AM917" s="542">
        <v>45</v>
      </c>
      <c r="AN917" s="542">
        <v>45</v>
      </c>
      <c r="AO917" s="542">
        <v>45</v>
      </c>
      <c r="AP917" s="542">
        <v>45</v>
      </c>
      <c r="AQ917" s="542">
        <v>45</v>
      </c>
      <c r="AR917" s="542">
        <v>45</v>
      </c>
      <c r="AS917" s="542">
        <v>45</v>
      </c>
      <c r="AT917" s="542">
        <v>45</v>
      </c>
      <c r="AU917" s="542">
        <v>45</v>
      </c>
      <c r="AV917" s="542">
        <v>45</v>
      </c>
      <c r="AW917" s="542">
        <v>45</v>
      </c>
      <c r="AX917" s="542">
        <v>45</v>
      </c>
      <c r="AY917" s="542">
        <v>45</v>
      </c>
      <c r="AZ917" s="542">
        <v>45</v>
      </c>
      <c r="BA917" s="542">
        <v>45</v>
      </c>
      <c r="BB917" s="542">
        <v>45</v>
      </c>
      <c r="BC917" s="542">
        <v>45</v>
      </c>
      <c r="BD917" s="542">
        <v>45</v>
      </c>
      <c r="BE917" s="542">
        <v>45</v>
      </c>
      <c r="BF917" s="542">
        <v>45</v>
      </c>
      <c r="BG917" s="542">
        <v>45</v>
      </c>
      <c r="BH917" s="542">
        <v>45</v>
      </c>
      <c r="BI917" s="542">
        <v>45</v>
      </c>
      <c r="BJ917" s="542">
        <v>45</v>
      </c>
      <c r="BK917" s="542">
        <v>45</v>
      </c>
      <c r="BL917" s="542">
        <v>45</v>
      </c>
      <c r="BM917" s="542">
        <v>45</v>
      </c>
      <c r="BN917" s="542">
        <v>45</v>
      </c>
      <c r="BO917" s="542">
        <v>45</v>
      </c>
      <c r="BP917" s="542">
        <v>45</v>
      </c>
      <c r="BQ917" s="542">
        <v>45</v>
      </c>
      <c r="BR917" s="542">
        <v>45</v>
      </c>
      <c r="BS917" s="542">
        <v>45</v>
      </c>
      <c r="BT917" s="542">
        <v>45</v>
      </c>
      <c r="BU917" s="542">
        <v>45</v>
      </c>
      <c r="BV917" s="542">
        <v>45</v>
      </c>
      <c r="BW917" s="542">
        <v>45</v>
      </c>
      <c r="BX917" s="542">
        <v>45</v>
      </c>
      <c r="BY917" s="542">
        <v>45</v>
      </c>
      <c r="BZ917" s="542">
        <v>45</v>
      </c>
      <c r="CA917" s="542">
        <v>45</v>
      </c>
      <c r="CB917" s="542">
        <v>45</v>
      </c>
      <c r="CC917" s="542">
        <v>45</v>
      </c>
      <c r="CD917" s="542">
        <v>45</v>
      </c>
      <c r="CE917" s="542">
        <v>45</v>
      </c>
      <c r="CF917" s="542">
        <v>45</v>
      </c>
      <c r="CG917" s="542">
        <v>45</v>
      </c>
      <c r="CH917" s="542">
        <v>45</v>
      </c>
      <c r="CI917" s="542">
        <v>45</v>
      </c>
    </row>
    <row r="918" spans="1:87" ht="14.25" customHeight="1" x14ac:dyDescent="0.35">
      <c r="A918" s="42" t="s">
        <v>96</v>
      </c>
      <c r="B918" s="542">
        <v>0</v>
      </c>
      <c r="C918" s="542">
        <v>0</v>
      </c>
      <c r="D918" s="542">
        <v>0</v>
      </c>
      <c r="E918" s="542">
        <v>0</v>
      </c>
      <c r="F918" s="542">
        <v>0</v>
      </c>
      <c r="G918" s="542">
        <v>0</v>
      </c>
      <c r="H918" s="542">
        <v>0</v>
      </c>
      <c r="I918" s="542">
        <v>0</v>
      </c>
      <c r="J918" s="542">
        <v>0</v>
      </c>
      <c r="K918" s="542">
        <v>0</v>
      </c>
      <c r="L918" s="542">
        <v>0</v>
      </c>
      <c r="M918" s="542">
        <v>0</v>
      </c>
      <c r="N918" s="542">
        <v>45</v>
      </c>
      <c r="O918" s="542">
        <v>45</v>
      </c>
      <c r="P918" s="542">
        <v>45</v>
      </c>
      <c r="Q918" s="542">
        <v>45</v>
      </c>
      <c r="R918" s="542">
        <v>45</v>
      </c>
      <c r="S918" s="542">
        <v>45</v>
      </c>
      <c r="T918" s="542">
        <v>45</v>
      </c>
      <c r="U918" s="542">
        <v>45</v>
      </c>
      <c r="V918" s="542">
        <v>45</v>
      </c>
      <c r="W918" s="542">
        <v>45</v>
      </c>
      <c r="X918" s="542">
        <v>45</v>
      </c>
      <c r="Y918" s="542">
        <v>45</v>
      </c>
      <c r="Z918" s="542">
        <v>45</v>
      </c>
      <c r="AA918" s="542">
        <v>45</v>
      </c>
      <c r="AB918" s="542">
        <v>45</v>
      </c>
      <c r="AC918" s="542">
        <v>45</v>
      </c>
      <c r="AD918" s="542">
        <v>45</v>
      </c>
      <c r="AE918" s="542">
        <v>45</v>
      </c>
      <c r="AF918" s="542">
        <v>45</v>
      </c>
      <c r="AG918" s="542">
        <v>45</v>
      </c>
      <c r="AH918" s="542">
        <v>45</v>
      </c>
      <c r="AI918" s="542">
        <v>45</v>
      </c>
      <c r="AJ918" s="542">
        <v>45</v>
      </c>
      <c r="AK918" s="542">
        <v>45</v>
      </c>
      <c r="AL918" s="542">
        <v>45</v>
      </c>
      <c r="AM918" s="542">
        <v>45</v>
      </c>
      <c r="AN918" s="542">
        <v>45</v>
      </c>
      <c r="AO918" s="542">
        <v>45</v>
      </c>
      <c r="AP918" s="542">
        <v>45</v>
      </c>
      <c r="AQ918" s="542">
        <v>45</v>
      </c>
      <c r="AR918" s="542">
        <v>45</v>
      </c>
      <c r="AS918" s="542">
        <v>45</v>
      </c>
      <c r="AT918" s="542">
        <v>45</v>
      </c>
      <c r="AU918" s="542">
        <v>45</v>
      </c>
      <c r="AV918" s="542">
        <v>45</v>
      </c>
      <c r="AW918" s="542">
        <v>45</v>
      </c>
      <c r="AX918" s="542">
        <v>45</v>
      </c>
      <c r="AY918" s="542">
        <v>45</v>
      </c>
      <c r="AZ918" s="542">
        <v>45</v>
      </c>
      <c r="BA918" s="542">
        <v>45</v>
      </c>
      <c r="BB918" s="542">
        <v>45</v>
      </c>
      <c r="BC918" s="542">
        <v>45</v>
      </c>
      <c r="BD918" s="542">
        <v>45</v>
      </c>
      <c r="BE918" s="542">
        <v>45</v>
      </c>
      <c r="BF918" s="542">
        <v>45</v>
      </c>
      <c r="BG918" s="542">
        <v>45</v>
      </c>
      <c r="BH918" s="542">
        <v>45</v>
      </c>
      <c r="BI918" s="542">
        <v>45</v>
      </c>
      <c r="BJ918" s="542">
        <v>45</v>
      </c>
      <c r="BK918" s="542">
        <v>45</v>
      </c>
      <c r="BL918" s="542">
        <v>45</v>
      </c>
      <c r="BM918" s="542">
        <v>45</v>
      </c>
      <c r="BN918" s="542">
        <v>45</v>
      </c>
      <c r="BO918" s="542">
        <v>45</v>
      </c>
      <c r="BP918" s="542">
        <v>45</v>
      </c>
      <c r="BQ918" s="542">
        <v>45</v>
      </c>
      <c r="BR918" s="542">
        <v>45</v>
      </c>
      <c r="BS918" s="542">
        <v>45</v>
      </c>
      <c r="BT918" s="542">
        <v>45</v>
      </c>
      <c r="BU918" s="542">
        <v>45</v>
      </c>
      <c r="BV918" s="542">
        <v>45</v>
      </c>
      <c r="BW918" s="542">
        <v>45</v>
      </c>
      <c r="BX918" s="542">
        <v>45</v>
      </c>
      <c r="BY918" s="542">
        <v>45</v>
      </c>
      <c r="BZ918" s="542">
        <v>45</v>
      </c>
      <c r="CA918" s="542">
        <v>45</v>
      </c>
      <c r="CB918" s="542">
        <v>45</v>
      </c>
      <c r="CC918" s="542">
        <v>45</v>
      </c>
      <c r="CD918" s="542">
        <v>45</v>
      </c>
      <c r="CE918" s="542">
        <v>45</v>
      </c>
      <c r="CF918" s="542">
        <v>45</v>
      </c>
      <c r="CG918" s="542">
        <v>45</v>
      </c>
      <c r="CH918" s="542">
        <v>45</v>
      </c>
      <c r="CI918" s="542">
        <v>45</v>
      </c>
    </row>
    <row r="919" spans="1:87" ht="14.25" customHeight="1" x14ac:dyDescent="0.35">
      <c r="A919" s="42" t="s">
        <v>97</v>
      </c>
      <c r="B919" s="542">
        <v>0</v>
      </c>
      <c r="C919" s="542">
        <v>0</v>
      </c>
      <c r="D919" s="542">
        <v>0</v>
      </c>
      <c r="E919" s="542">
        <v>0</v>
      </c>
      <c r="F919" s="542">
        <v>0</v>
      </c>
      <c r="G919" s="542">
        <v>0</v>
      </c>
      <c r="H919" s="542">
        <v>0</v>
      </c>
      <c r="I919" s="542">
        <v>0</v>
      </c>
      <c r="J919" s="542">
        <v>0</v>
      </c>
      <c r="K919" s="542">
        <v>0</v>
      </c>
      <c r="L919" s="542">
        <v>0</v>
      </c>
      <c r="M919" s="542">
        <v>0</v>
      </c>
      <c r="N919" s="542">
        <v>45</v>
      </c>
      <c r="O919" s="542">
        <v>45</v>
      </c>
      <c r="P919" s="542">
        <v>45</v>
      </c>
      <c r="Q919" s="542">
        <v>45</v>
      </c>
      <c r="R919" s="542">
        <v>45</v>
      </c>
      <c r="S919" s="542">
        <v>45</v>
      </c>
      <c r="T919" s="542">
        <v>45</v>
      </c>
      <c r="U919" s="542">
        <v>45</v>
      </c>
      <c r="V919" s="542">
        <v>45</v>
      </c>
      <c r="W919" s="542">
        <v>45</v>
      </c>
      <c r="X919" s="542">
        <v>45</v>
      </c>
      <c r="Y919" s="542">
        <v>45</v>
      </c>
      <c r="Z919" s="542">
        <v>45</v>
      </c>
      <c r="AA919" s="542">
        <v>45</v>
      </c>
      <c r="AB919" s="542">
        <v>45</v>
      </c>
      <c r="AC919" s="542">
        <v>45</v>
      </c>
      <c r="AD919" s="542">
        <v>45</v>
      </c>
      <c r="AE919" s="542">
        <v>45</v>
      </c>
      <c r="AF919" s="542">
        <v>45</v>
      </c>
      <c r="AG919" s="542">
        <v>45</v>
      </c>
      <c r="AH919" s="542">
        <v>45</v>
      </c>
      <c r="AI919" s="542">
        <v>45</v>
      </c>
      <c r="AJ919" s="542">
        <v>45</v>
      </c>
      <c r="AK919" s="542">
        <v>45</v>
      </c>
      <c r="AL919" s="542">
        <v>45</v>
      </c>
      <c r="AM919" s="542">
        <v>45</v>
      </c>
      <c r="AN919" s="542">
        <v>45</v>
      </c>
      <c r="AO919" s="542">
        <v>45</v>
      </c>
      <c r="AP919" s="542">
        <v>45</v>
      </c>
      <c r="AQ919" s="542">
        <v>45</v>
      </c>
      <c r="AR919" s="542">
        <v>45</v>
      </c>
      <c r="AS919" s="542">
        <v>45</v>
      </c>
      <c r="AT919" s="542">
        <v>45</v>
      </c>
      <c r="AU919" s="542">
        <v>45</v>
      </c>
      <c r="AV919" s="542">
        <v>45</v>
      </c>
      <c r="AW919" s="542">
        <v>45</v>
      </c>
      <c r="AX919" s="542">
        <v>45</v>
      </c>
      <c r="AY919" s="542">
        <v>45</v>
      </c>
      <c r="AZ919" s="542">
        <v>45</v>
      </c>
      <c r="BA919" s="542">
        <v>45</v>
      </c>
      <c r="BB919" s="542">
        <v>45</v>
      </c>
      <c r="BC919" s="542">
        <v>45</v>
      </c>
      <c r="BD919" s="542">
        <v>45</v>
      </c>
      <c r="BE919" s="542">
        <v>45</v>
      </c>
      <c r="BF919" s="542">
        <v>45</v>
      </c>
      <c r="BG919" s="542">
        <v>45</v>
      </c>
      <c r="BH919" s="542">
        <v>45</v>
      </c>
      <c r="BI919" s="542">
        <v>45</v>
      </c>
      <c r="BJ919" s="542">
        <v>45</v>
      </c>
      <c r="BK919" s="542">
        <v>45</v>
      </c>
      <c r="BL919" s="542">
        <v>45</v>
      </c>
      <c r="BM919" s="542">
        <v>45</v>
      </c>
      <c r="BN919" s="542">
        <v>45</v>
      </c>
      <c r="BO919" s="542">
        <v>45</v>
      </c>
      <c r="BP919" s="542">
        <v>45</v>
      </c>
      <c r="BQ919" s="542">
        <v>45</v>
      </c>
      <c r="BR919" s="542">
        <v>45</v>
      </c>
      <c r="BS919" s="542">
        <v>45</v>
      </c>
      <c r="BT919" s="542">
        <v>45</v>
      </c>
      <c r="BU919" s="542">
        <v>45</v>
      </c>
      <c r="BV919" s="542">
        <v>45</v>
      </c>
      <c r="BW919" s="542">
        <v>45</v>
      </c>
      <c r="BX919" s="542">
        <v>45</v>
      </c>
      <c r="BY919" s="542">
        <v>45</v>
      </c>
      <c r="BZ919" s="542">
        <v>45</v>
      </c>
      <c r="CA919" s="542">
        <v>45</v>
      </c>
      <c r="CB919" s="542">
        <v>45</v>
      </c>
      <c r="CC919" s="542">
        <v>45</v>
      </c>
      <c r="CD919" s="542">
        <v>45</v>
      </c>
      <c r="CE919" s="542">
        <v>45</v>
      </c>
      <c r="CF919" s="542">
        <v>45</v>
      </c>
      <c r="CG919" s="542">
        <v>45</v>
      </c>
      <c r="CH919" s="542">
        <v>45</v>
      </c>
      <c r="CI919" s="542">
        <v>45</v>
      </c>
    </row>
    <row r="920" spans="1:87" ht="14.25" customHeight="1" x14ac:dyDescent="0.35">
      <c r="A920" s="42" t="s">
        <v>98</v>
      </c>
      <c r="B920" s="542">
        <v>0</v>
      </c>
      <c r="C920" s="542">
        <v>0</v>
      </c>
      <c r="D920" s="542">
        <v>0</v>
      </c>
      <c r="E920" s="542">
        <v>0</v>
      </c>
      <c r="F920" s="542">
        <v>0</v>
      </c>
      <c r="G920" s="542">
        <v>0</v>
      </c>
      <c r="H920" s="542">
        <v>0</v>
      </c>
      <c r="I920" s="542">
        <v>0</v>
      </c>
      <c r="J920" s="542">
        <v>0</v>
      </c>
      <c r="K920" s="542">
        <v>0</v>
      </c>
      <c r="L920" s="542">
        <v>0</v>
      </c>
      <c r="M920" s="542">
        <v>0</v>
      </c>
      <c r="N920" s="542">
        <v>45</v>
      </c>
      <c r="O920" s="542">
        <v>45</v>
      </c>
      <c r="P920" s="542">
        <v>45</v>
      </c>
      <c r="Q920" s="542">
        <v>45</v>
      </c>
      <c r="R920" s="542">
        <v>45</v>
      </c>
      <c r="S920" s="542">
        <v>45</v>
      </c>
      <c r="T920" s="542">
        <v>45</v>
      </c>
      <c r="U920" s="542">
        <v>45</v>
      </c>
      <c r="V920" s="542">
        <v>45</v>
      </c>
      <c r="W920" s="542">
        <v>45</v>
      </c>
      <c r="X920" s="542">
        <v>45</v>
      </c>
      <c r="Y920" s="542">
        <v>45</v>
      </c>
      <c r="Z920" s="542">
        <v>45</v>
      </c>
      <c r="AA920" s="542">
        <v>45</v>
      </c>
      <c r="AB920" s="542">
        <v>45</v>
      </c>
      <c r="AC920" s="542">
        <v>45</v>
      </c>
      <c r="AD920" s="542">
        <v>45</v>
      </c>
      <c r="AE920" s="542">
        <v>45</v>
      </c>
      <c r="AF920" s="542">
        <v>45</v>
      </c>
      <c r="AG920" s="542">
        <v>45</v>
      </c>
      <c r="AH920" s="542">
        <v>45</v>
      </c>
      <c r="AI920" s="542">
        <v>45</v>
      </c>
      <c r="AJ920" s="542">
        <v>45</v>
      </c>
      <c r="AK920" s="542">
        <v>45</v>
      </c>
      <c r="AL920" s="542">
        <v>45</v>
      </c>
      <c r="AM920" s="542">
        <v>45</v>
      </c>
      <c r="AN920" s="542">
        <v>45</v>
      </c>
      <c r="AO920" s="542">
        <v>45</v>
      </c>
      <c r="AP920" s="542">
        <v>45</v>
      </c>
      <c r="AQ920" s="542">
        <v>45</v>
      </c>
      <c r="AR920" s="542">
        <v>45</v>
      </c>
      <c r="AS920" s="542">
        <v>45</v>
      </c>
      <c r="AT920" s="542">
        <v>45</v>
      </c>
      <c r="AU920" s="542">
        <v>45</v>
      </c>
      <c r="AV920" s="542">
        <v>45</v>
      </c>
      <c r="AW920" s="542">
        <v>45</v>
      </c>
      <c r="AX920" s="542">
        <v>45</v>
      </c>
      <c r="AY920" s="542">
        <v>45</v>
      </c>
      <c r="AZ920" s="542">
        <v>45</v>
      </c>
      <c r="BA920" s="542">
        <v>45</v>
      </c>
      <c r="BB920" s="542">
        <v>45</v>
      </c>
      <c r="BC920" s="542">
        <v>45</v>
      </c>
      <c r="BD920" s="542">
        <v>45</v>
      </c>
      <c r="BE920" s="542">
        <v>45</v>
      </c>
      <c r="BF920" s="542">
        <v>45</v>
      </c>
      <c r="BG920" s="542">
        <v>45</v>
      </c>
      <c r="BH920" s="542">
        <v>45</v>
      </c>
      <c r="BI920" s="542">
        <v>45</v>
      </c>
      <c r="BJ920" s="542">
        <v>45</v>
      </c>
      <c r="BK920" s="542">
        <v>45</v>
      </c>
      <c r="BL920" s="542">
        <v>45</v>
      </c>
      <c r="BM920" s="542">
        <v>45</v>
      </c>
      <c r="BN920" s="542">
        <v>45</v>
      </c>
      <c r="BO920" s="542">
        <v>45</v>
      </c>
      <c r="BP920" s="542">
        <v>45</v>
      </c>
      <c r="BQ920" s="542">
        <v>45</v>
      </c>
      <c r="BR920" s="542">
        <v>45</v>
      </c>
      <c r="BS920" s="542">
        <v>45</v>
      </c>
      <c r="BT920" s="542">
        <v>45</v>
      </c>
      <c r="BU920" s="542">
        <v>45</v>
      </c>
      <c r="BV920" s="542">
        <v>45</v>
      </c>
      <c r="BW920" s="542">
        <v>45</v>
      </c>
      <c r="BX920" s="542">
        <v>45</v>
      </c>
      <c r="BY920" s="542">
        <v>45</v>
      </c>
      <c r="BZ920" s="542">
        <v>45</v>
      </c>
      <c r="CA920" s="542">
        <v>45</v>
      </c>
      <c r="CB920" s="542">
        <v>45</v>
      </c>
      <c r="CC920" s="542">
        <v>45</v>
      </c>
      <c r="CD920" s="542">
        <v>45</v>
      </c>
      <c r="CE920" s="542">
        <v>45</v>
      </c>
      <c r="CF920" s="542">
        <v>45</v>
      </c>
      <c r="CG920" s="542">
        <v>45</v>
      </c>
      <c r="CH920" s="542">
        <v>45</v>
      </c>
      <c r="CI920" s="542">
        <v>45</v>
      </c>
    </row>
    <row r="921" spans="1:87" ht="14.25" customHeight="1" x14ac:dyDescent="0.35">
      <c r="A921" s="42" t="s">
        <v>163</v>
      </c>
      <c r="B921" s="542">
        <v>0</v>
      </c>
      <c r="C921" s="542">
        <v>0</v>
      </c>
      <c r="D921" s="542">
        <v>0</v>
      </c>
      <c r="E921" s="542">
        <v>0</v>
      </c>
      <c r="F921" s="542">
        <v>0</v>
      </c>
      <c r="G921" s="542">
        <v>0</v>
      </c>
      <c r="H921" s="542">
        <v>0</v>
      </c>
      <c r="I921" s="542">
        <v>0</v>
      </c>
      <c r="J921" s="542">
        <v>0</v>
      </c>
      <c r="K921" s="542">
        <v>0</v>
      </c>
      <c r="L921" s="542">
        <v>0</v>
      </c>
      <c r="M921" s="542">
        <v>0</v>
      </c>
      <c r="N921" s="542">
        <v>45</v>
      </c>
      <c r="O921" s="542">
        <v>45</v>
      </c>
      <c r="P921" s="542">
        <v>45</v>
      </c>
      <c r="Q921" s="542">
        <v>45</v>
      </c>
      <c r="R921" s="542">
        <v>45</v>
      </c>
      <c r="S921" s="542">
        <v>45</v>
      </c>
      <c r="T921" s="542">
        <v>45</v>
      </c>
      <c r="U921" s="542">
        <v>45</v>
      </c>
      <c r="V921" s="542">
        <v>45</v>
      </c>
      <c r="W921" s="542">
        <v>45</v>
      </c>
      <c r="X921" s="542">
        <v>45</v>
      </c>
      <c r="Y921" s="542">
        <v>45</v>
      </c>
      <c r="Z921" s="542">
        <v>45</v>
      </c>
      <c r="AA921" s="542">
        <v>45</v>
      </c>
      <c r="AB921" s="542">
        <v>45</v>
      </c>
      <c r="AC921" s="542">
        <v>45</v>
      </c>
      <c r="AD921" s="542">
        <v>45</v>
      </c>
      <c r="AE921" s="542">
        <v>45</v>
      </c>
      <c r="AF921" s="542">
        <v>45</v>
      </c>
      <c r="AG921" s="542">
        <v>45</v>
      </c>
      <c r="AH921" s="542">
        <v>45</v>
      </c>
      <c r="AI921" s="542">
        <v>45</v>
      </c>
      <c r="AJ921" s="542">
        <v>45</v>
      </c>
      <c r="AK921" s="542">
        <v>45</v>
      </c>
      <c r="AL921" s="542">
        <v>45</v>
      </c>
      <c r="AM921" s="542">
        <v>45</v>
      </c>
      <c r="AN921" s="542">
        <v>45</v>
      </c>
      <c r="AO921" s="542">
        <v>45</v>
      </c>
      <c r="AP921" s="542">
        <v>45</v>
      </c>
      <c r="AQ921" s="542">
        <v>45</v>
      </c>
      <c r="AR921" s="542">
        <v>45</v>
      </c>
      <c r="AS921" s="542">
        <v>45</v>
      </c>
      <c r="AT921" s="542">
        <v>45</v>
      </c>
      <c r="AU921" s="542">
        <v>45</v>
      </c>
      <c r="AV921" s="542">
        <v>45</v>
      </c>
      <c r="AW921" s="542">
        <v>45</v>
      </c>
      <c r="AX921" s="542">
        <v>45</v>
      </c>
      <c r="AY921" s="542">
        <v>45</v>
      </c>
      <c r="AZ921" s="542">
        <v>45</v>
      </c>
      <c r="BA921" s="542">
        <v>45</v>
      </c>
      <c r="BB921" s="542">
        <v>45</v>
      </c>
      <c r="BC921" s="542">
        <v>45</v>
      </c>
      <c r="BD921" s="542">
        <v>45</v>
      </c>
      <c r="BE921" s="542">
        <v>45</v>
      </c>
      <c r="BF921" s="542">
        <v>45</v>
      </c>
      <c r="BG921" s="542">
        <v>45</v>
      </c>
      <c r="BH921" s="542">
        <v>45</v>
      </c>
      <c r="BI921" s="542">
        <v>45</v>
      </c>
      <c r="BJ921" s="542">
        <v>45</v>
      </c>
      <c r="BK921" s="542">
        <v>45</v>
      </c>
      <c r="BL921" s="542">
        <v>45</v>
      </c>
      <c r="BM921" s="542">
        <v>45</v>
      </c>
      <c r="BN921" s="542">
        <v>45</v>
      </c>
      <c r="BO921" s="542">
        <v>45</v>
      </c>
      <c r="BP921" s="542">
        <v>45</v>
      </c>
      <c r="BQ921" s="542">
        <v>45</v>
      </c>
      <c r="BR921" s="542">
        <v>45</v>
      </c>
      <c r="BS921" s="542">
        <v>45</v>
      </c>
      <c r="BT921" s="542">
        <v>45</v>
      </c>
      <c r="BU921" s="542">
        <v>45</v>
      </c>
      <c r="BV921" s="542">
        <v>45</v>
      </c>
      <c r="BW921" s="542">
        <v>45</v>
      </c>
      <c r="BX921" s="542">
        <v>45</v>
      </c>
      <c r="BY921" s="542">
        <v>45</v>
      </c>
      <c r="BZ921" s="542">
        <v>45</v>
      </c>
      <c r="CA921" s="542">
        <v>45</v>
      </c>
      <c r="CB921" s="542">
        <v>45</v>
      </c>
      <c r="CC921" s="542">
        <v>45</v>
      </c>
      <c r="CD921" s="542">
        <v>45</v>
      </c>
      <c r="CE921" s="542">
        <v>45</v>
      </c>
      <c r="CF921" s="542">
        <v>45</v>
      </c>
      <c r="CG921" s="542">
        <v>45</v>
      </c>
      <c r="CH921" s="542">
        <v>45</v>
      </c>
      <c r="CI921" s="542">
        <v>45</v>
      </c>
    </row>
    <row r="922" spans="1:87" ht="14.25" customHeight="1" x14ac:dyDescent="0.35">
      <c r="A922" s="42" t="s">
        <v>100</v>
      </c>
      <c r="B922" s="542">
        <v>0</v>
      </c>
      <c r="C922" s="542">
        <v>0</v>
      </c>
      <c r="D922" s="542">
        <v>0</v>
      </c>
      <c r="E922" s="542">
        <v>0</v>
      </c>
      <c r="F922" s="542">
        <v>0</v>
      </c>
      <c r="G922" s="542">
        <v>0</v>
      </c>
      <c r="H922" s="542">
        <v>0</v>
      </c>
      <c r="I922" s="542">
        <v>0</v>
      </c>
      <c r="J922" s="542">
        <v>0</v>
      </c>
      <c r="K922" s="542">
        <v>0</v>
      </c>
      <c r="L922" s="542">
        <v>0</v>
      </c>
      <c r="M922" s="542">
        <v>0</v>
      </c>
      <c r="N922" s="542">
        <v>45</v>
      </c>
      <c r="O922" s="542">
        <v>45</v>
      </c>
      <c r="P922" s="542">
        <v>45</v>
      </c>
      <c r="Q922" s="542">
        <v>45</v>
      </c>
      <c r="R922" s="542">
        <v>45</v>
      </c>
      <c r="S922" s="542">
        <v>45</v>
      </c>
      <c r="T922" s="542">
        <v>45</v>
      </c>
      <c r="U922" s="542">
        <v>45</v>
      </c>
      <c r="V922" s="542">
        <v>45</v>
      </c>
      <c r="W922" s="542">
        <v>45</v>
      </c>
      <c r="X922" s="542">
        <v>45</v>
      </c>
      <c r="Y922" s="542">
        <v>45</v>
      </c>
      <c r="Z922" s="542">
        <v>45</v>
      </c>
      <c r="AA922" s="542">
        <v>45</v>
      </c>
      <c r="AB922" s="542">
        <v>45</v>
      </c>
      <c r="AC922" s="542">
        <v>45</v>
      </c>
      <c r="AD922" s="542">
        <v>45</v>
      </c>
      <c r="AE922" s="542">
        <v>45</v>
      </c>
      <c r="AF922" s="542">
        <v>45</v>
      </c>
      <c r="AG922" s="542">
        <v>45</v>
      </c>
      <c r="AH922" s="542">
        <v>45</v>
      </c>
      <c r="AI922" s="542">
        <v>45</v>
      </c>
      <c r="AJ922" s="542">
        <v>45</v>
      </c>
      <c r="AK922" s="542">
        <v>45</v>
      </c>
      <c r="AL922" s="542">
        <v>45</v>
      </c>
      <c r="AM922" s="542">
        <v>45</v>
      </c>
      <c r="AN922" s="542">
        <v>45</v>
      </c>
      <c r="AO922" s="542">
        <v>45</v>
      </c>
      <c r="AP922" s="542">
        <v>45</v>
      </c>
      <c r="AQ922" s="542">
        <v>45</v>
      </c>
      <c r="AR922" s="542">
        <v>45</v>
      </c>
      <c r="AS922" s="542">
        <v>45</v>
      </c>
      <c r="AT922" s="542">
        <v>45</v>
      </c>
      <c r="AU922" s="542">
        <v>45</v>
      </c>
      <c r="AV922" s="542">
        <v>45</v>
      </c>
      <c r="AW922" s="542">
        <v>45</v>
      </c>
      <c r="AX922" s="542">
        <v>45</v>
      </c>
      <c r="AY922" s="542">
        <v>45</v>
      </c>
      <c r="AZ922" s="542">
        <v>45</v>
      </c>
      <c r="BA922" s="542">
        <v>45</v>
      </c>
      <c r="BB922" s="542">
        <v>45</v>
      </c>
      <c r="BC922" s="542">
        <v>45</v>
      </c>
      <c r="BD922" s="542">
        <v>45</v>
      </c>
      <c r="BE922" s="542">
        <v>45</v>
      </c>
      <c r="BF922" s="542">
        <v>45</v>
      </c>
      <c r="BG922" s="542">
        <v>45</v>
      </c>
      <c r="BH922" s="542">
        <v>45</v>
      </c>
      <c r="BI922" s="542">
        <v>45</v>
      </c>
      <c r="BJ922" s="542">
        <v>45</v>
      </c>
      <c r="BK922" s="542">
        <v>45</v>
      </c>
      <c r="BL922" s="542">
        <v>45</v>
      </c>
      <c r="BM922" s="542">
        <v>45</v>
      </c>
      <c r="BN922" s="542">
        <v>45</v>
      </c>
      <c r="BO922" s="542">
        <v>45</v>
      </c>
      <c r="BP922" s="542">
        <v>45</v>
      </c>
      <c r="BQ922" s="542">
        <v>45</v>
      </c>
      <c r="BR922" s="542">
        <v>45</v>
      </c>
      <c r="BS922" s="542">
        <v>45</v>
      </c>
      <c r="BT922" s="542">
        <v>45</v>
      </c>
      <c r="BU922" s="542">
        <v>45</v>
      </c>
      <c r="BV922" s="542">
        <v>45</v>
      </c>
      <c r="BW922" s="542">
        <v>45</v>
      </c>
      <c r="BX922" s="542">
        <v>45</v>
      </c>
      <c r="BY922" s="542">
        <v>45</v>
      </c>
      <c r="BZ922" s="542">
        <v>45</v>
      </c>
      <c r="CA922" s="542">
        <v>45</v>
      </c>
      <c r="CB922" s="542">
        <v>45</v>
      </c>
      <c r="CC922" s="542">
        <v>45</v>
      </c>
      <c r="CD922" s="542">
        <v>45</v>
      </c>
      <c r="CE922" s="542">
        <v>45</v>
      </c>
      <c r="CF922" s="542">
        <v>45</v>
      </c>
      <c r="CG922" s="542">
        <v>45</v>
      </c>
      <c r="CH922" s="542">
        <v>45</v>
      </c>
      <c r="CI922" s="542">
        <v>45</v>
      </c>
    </row>
    <row r="923" spans="1:87" ht="14.25" customHeight="1" x14ac:dyDescent="0.35">
      <c r="A923" s="42" t="s">
        <v>101</v>
      </c>
      <c r="B923" s="542">
        <v>0</v>
      </c>
      <c r="C923" s="542">
        <v>0</v>
      </c>
      <c r="D923" s="542">
        <v>0</v>
      </c>
      <c r="E923" s="542">
        <v>0</v>
      </c>
      <c r="F923" s="542">
        <v>0</v>
      </c>
      <c r="G923" s="542">
        <v>0</v>
      </c>
      <c r="H923" s="542">
        <v>0</v>
      </c>
      <c r="I923" s="542">
        <v>0</v>
      </c>
      <c r="J923" s="542">
        <v>0</v>
      </c>
      <c r="K923" s="542">
        <v>0</v>
      </c>
      <c r="L923" s="542">
        <v>0</v>
      </c>
      <c r="M923" s="542">
        <v>0</v>
      </c>
      <c r="N923" s="542">
        <v>45</v>
      </c>
      <c r="O923" s="542">
        <v>45</v>
      </c>
      <c r="P923" s="542">
        <v>45</v>
      </c>
      <c r="Q923" s="542">
        <v>45</v>
      </c>
      <c r="R923" s="542">
        <v>45</v>
      </c>
      <c r="S923" s="542">
        <v>45</v>
      </c>
      <c r="T923" s="542">
        <v>45</v>
      </c>
      <c r="U923" s="542">
        <v>45</v>
      </c>
      <c r="V923" s="542">
        <v>45</v>
      </c>
      <c r="W923" s="542">
        <v>45</v>
      </c>
      <c r="X923" s="542">
        <v>45</v>
      </c>
      <c r="Y923" s="542">
        <v>45</v>
      </c>
      <c r="Z923" s="542">
        <v>45</v>
      </c>
      <c r="AA923" s="542">
        <v>45</v>
      </c>
      <c r="AB923" s="542">
        <v>45</v>
      </c>
      <c r="AC923" s="542">
        <v>45</v>
      </c>
      <c r="AD923" s="542">
        <v>45</v>
      </c>
      <c r="AE923" s="542">
        <v>45</v>
      </c>
      <c r="AF923" s="542">
        <v>45</v>
      </c>
      <c r="AG923" s="542">
        <v>45</v>
      </c>
      <c r="AH923" s="542">
        <v>45</v>
      </c>
      <c r="AI923" s="542">
        <v>45</v>
      </c>
      <c r="AJ923" s="542">
        <v>45</v>
      </c>
      <c r="AK923" s="542">
        <v>45</v>
      </c>
      <c r="AL923" s="542">
        <v>45</v>
      </c>
      <c r="AM923" s="542">
        <v>45</v>
      </c>
      <c r="AN923" s="542">
        <v>45</v>
      </c>
      <c r="AO923" s="542">
        <v>45</v>
      </c>
      <c r="AP923" s="542">
        <v>45</v>
      </c>
      <c r="AQ923" s="542">
        <v>45</v>
      </c>
      <c r="AR923" s="542">
        <v>45</v>
      </c>
      <c r="AS923" s="542">
        <v>45</v>
      </c>
      <c r="AT923" s="542">
        <v>45</v>
      </c>
      <c r="AU923" s="542">
        <v>45</v>
      </c>
      <c r="AV923" s="542">
        <v>45</v>
      </c>
      <c r="AW923" s="542">
        <v>45</v>
      </c>
      <c r="AX923" s="542">
        <v>45</v>
      </c>
      <c r="AY923" s="542">
        <v>45</v>
      </c>
      <c r="AZ923" s="542">
        <v>45</v>
      </c>
      <c r="BA923" s="542">
        <v>45</v>
      </c>
      <c r="BB923" s="542">
        <v>45</v>
      </c>
      <c r="BC923" s="542">
        <v>45</v>
      </c>
      <c r="BD923" s="542">
        <v>45</v>
      </c>
      <c r="BE923" s="542">
        <v>45</v>
      </c>
      <c r="BF923" s="542">
        <v>45</v>
      </c>
      <c r="BG923" s="542">
        <v>45</v>
      </c>
      <c r="BH923" s="542">
        <v>45</v>
      </c>
      <c r="BI923" s="542">
        <v>45</v>
      </c>
      <c r="BJ923" s="542">
        <v>45</v>
      </c>
      <c r="BK923" s="542">
        <v>45</v>
      </c>
      <c r="BL923" s="542">
        <v>45</v>
      </c>
      <c r="BM923" s="542">
        <v>45</v>
      </c>
      <c r="BN923" s="542">
        <v>45</v>
      </c>
      <c r="BO923" s="542">
        <v>45</v>
      </c>
      <c r="BP923" s="542">
        <v>45</v>
      </c>
      <c r="BQ923" s="542">
        <v>45</v>
      </c>
      <c r="BR923" s="542">
        <v>45</v>
      </c>
      <c r="BS923" s="542">
        <v>45</v>
      </c>
      <c r="BT923" s="542">
        <v>45</v>
      </c>
      <c r="BU923" s="542">
        <v>45</v>
      </c>
      <c r="BV923" s="542">
        <v>45</v>
      </c>
      <c r="BW923" s="542">
        <v>45</v>
      </c>
      <c r="BX923" s="542">
        <v>45</v>
      </c>
      <c r="BY923" s="542">
        <v>45</v>
      </c>
      <c r="BZ923" s="542">
        <v>45</v>
      </c>
      <c r="CA923" s="542">
        <v>45</v>
      </c>
      <c r="CB923" s="542">
        <v>45</v>
      </c>
      <c r="CC923" s="542">
        <v>45</v>
      </c>
      <c r="CD923" s="542">
        <v>45</v>
      </c>
      <c r="CE923" s="542">
        <v>45</v>
      </c>
      <c r="CF923" s="542">
        <v>45</v>
      </c>
      <c r="CG923" s="542">
        <v>45</v>
      </c>
      <c r="CH923" s="542">
        <v>45</v>
      </c>
      <c r="CI923" s="542">
        <v>45</v>
      </c>
    </row>
    <row r="924" spans="1:87" ht="14.25" customHeight="1" x14ac:dyDescent="0.35">
      <c r="A924" s="42" t="s">
        <v>102</v>
      </c>
      <c r="B924" s="542">
        <v>0</v>
      </c>
      <c r="C924" s="542">
        <v>0</v>
      </c>
      <c r="D924" s="542">
        <v>0</v>
      </c>
      <c r="E924" s="542">
        <v>0</v>
      </c>
      <c r="F924" s="542">
        <v>0</v>
      </c>
      <c r="G924" s="542">
        <v>0</v>
      </c>
      <c r="H924" s="542">
        <v>0</v>
      </c>
      <c r="I924" s="542">
        <v>0</v>
      </c>
      <c r="J924" s="542">
        <v>0</v>
      </c>
      <c r="K924" s="542">
        <v>0</v>
      </c>
      <c r="L924" s="542">
        <v>0</v>
      </c>
      <c r="M924" s="542">
        <v>0</v>
      </c>
      <c r="N924" s="542">
        <v>45</v>
      </c>
      <c r="O924" s="542">
        <v>45</v>
      </c>
      <c r="P924" s="542">
        <v>45</v>
      </c>
      <c r="Q924" s="542">
        <v>45</v>
      </c>
      <c r="R924" s="542">
        <v>45</v>
      </c>
      <c r="S924" s="542">
        <v>45</v>
      </c>
      <c r="T924" s="542">
        <v>45</v>
      </c>
      <c r="U924" s="542">
        <v>45</v>
      </c>
      <c r="V924" s="542">
        <v>45</v>
      </c>
      <c r="W924" s="542">
        <v>45</v>
      </c>
      <c r="X924" s="542">
        <v>45</v>
      </c>
      <c r="Y924" s="542">
        <v>45</v>
      </c>
      <c r="Z924" s="542">
        <v>45</v>
      </c>
      <c r="AA924" s="542">
        <v>45</v>
      </c>
      <c r="AB924" s="542">
        <v>45</v>
      </c>
      <c r="AC924" s="542">
        <v>45</v>
      </c>
      <c r="AD924" s="542">
        <v>45</v>
      </c>
      <c r="AE924" s="542">
        <v>45</v>
      </c>
      <c r="AF924" s="542">
        <v>45</v>
      </c>
      <c r="AG924" s="542">
        <v>45</v>
      </c>
      <c r="AH924" s="542">
        <v>45</v>
      </c>
      <c r="AI924" s="542">
        <v>45</v>
      </c>
      <c r="AJ924" s="542">
        <v>45</v>
      </c>
      <c r="AK924" s="542">
        <v>45</v>
      </c>
      <c r="AL924" s="542">
        <v>45</v>
      </c>
      <c r="AM924" s="542">
        <v>45</v>
      </c>
      <c r="AN924" s="542">
        <v>45</v>
      </c>
      <c r="AO924" s="542">
        <v>45</v>
      </c>
      <c r="AP924" s="542">
        <v>45</v>
      </c>
      <c r="AQ924" s="542">
        <v>45</v>
      </c>
      <c r="AR924" s="542">
        <v>45</v>
      </c>
      <c r="AS924" s="542">
        <v>45</v>
      </c>
      <c r="AT924" s="542">
        <v>45</v>
      </c>
      <c r="AU924" s="542">
        <v>45</v>
      </c>
      <c r="AV924" s="542">
        <v>45</v>
      </c>
      <c r="AW924" s="542">
        <v>45</v>
      </c>
      <c r="AX924" s="542">
        <v>45</v>
      </c>
      <c r="AY924" s="542">
        <v>45</v>
      </c>
      <c r="AZ924" s="542">
        <v>45</v>
      </c>
      <c r="BA924" s="542">
        <v>45</v>
      </c>
      <c r="BB924" s="542">
        <v>45</v>
      </c>
      <c r="BC924" s="542">
        <v>45</v>
      </c>
      <c r="BD924" s="542">
        <v>45</v>
      </c>
      <c r="BE924" s="542">
        <v>45</v>
      </c>
      <c r="BF924" s="542">
        <v>45</v>
      </c>
      <c r="BG924" s="542">
        <v>45</v>
      </c>
      <c r="BH924" s="542">
        <v>45</v>
      </c>
      <c r="BI924" s="542">
        <v>45</v>
      </c>
      <c r="BJ924" s="542">
        <v>45</v>
      </c>
      <c r="BK924" s="542">
        <v>45</v>
      </c>
      <c r="BL924" s="542">
        <v>45</v>
      </c>
      <c r="BM924" s="542">
        <v>45</v>
      </c>
      <c r="BN924" s="542">
        <v>45</v>
      </c>
      <c r="BO924" s="542">
        <v>45</v>
      </c>
      <c r="BP924" s="542">
        <v>45</v>
      </c>
      <c r="BQ924" s="542">
        <v>45</v>
      </c>
      <c r="BR924" s="542">
        <v>45</v>
      </c>
      <c r="BS924" s="542">
        <v>45</v>
      </c>
      <c r="BT924" s="542">
        <v>45</v>
      </c>
      <c r="BU924" s="542">
        <v>45</v>
      </c>
      <c r="BV924" s="542">
        <v>45</v>
      </c>
      <c r="BW924" s="542">
        <v>45</v>
      </c>
      <c r="BX924" s="542">
        <v>45</v>
      </c>
      <c r="BY924" s="542">
        <v>45</v>
      </c>
      <c r="BZ924" s="542">
        <v>45</v>
      </c>
      <c r="CA924" s="542">
        <v>45</v>
      </c>
      <c r="CB924" s="542">
        <v>45</v>
      </c>
      <c r="CC924" s="542">
        <v>45</v>
      </c>
      <c r="CD924" s="542">
        <v>45</v>
      </c>
      <c r="CE924" s="542">
        <v>45</v>
      </c>
      <c r="CF924" s="542">
        <v>45</v>
      </c>
      <c r="CG924" s="542">
        <v>45</v>
      </c>
      <c r="CH924" s="542">
        <v>45</v>
      </c>
      <c r="CI924" s="542">
        <v>45</v>
      </c>
    </row>
    <row r="925" spans="1:87" ht="14.25" customHeight="1" x14ac:dyDescent="0.35">
      <c r="A925" s="42" t="s">
        <v>103</v>
      </c>
      <c r="B925" s="542">
        <v>0</v>
      </c>
      <c r="C925" s="542">
        <v>0</v>
      </c>
      <c r="D925" s="542">
        <v>0</v>
      </c>
      <c r="E925" s="542">
        <v>0</v>
      </c>
      <c r="F925" s="542">
        <v>0</v>
      </c>
      <c r="G925" s="542">
        <v>0</v>
      </c>
      <c r="H925" s="542">
        <v>0</v>
      </c>
      <c r="I925" s="542">
        <v>0</v>
      </c>
      <c r="J925" s="542">
        <v>0</v>
      </c>
      <c r="K925" s="542">
        <v>0</v>
      </c>
      <c r="L925" s="542">
        <v>0</v>
      </c>
      <c r="M925" s="542">
        <v>0</v>
      </c>
      <c r="N925" s="542">
        <v>45</v>
      </c>
      <c r="O925" s="542">
        <v>45</v>
      </c>
      <c r="P925" s="542">
        <v>45</v>
      </c>
      <c r="Q925" s="542">
        <v>45</v>
      </c>
      <c r="R925" s="542">
        <v>45</v>
      </c>
      <c r="S925" s="542">
        <v>45</v>
      </c>
      <c r="T925" s="542">
        <v>45</v>
      </c>
      <c r="U925" s="542">
        <v>45</v>
      </c>
      <c r="V925" s="542">
        <v>45</v>
      </c>
      <c r="W925" s="542">
        <v>45</v>
      </c>
      <c r="X925" s="542">
        <v>45</v>
      </c>
      <c r="Y925" s="542">
        <v>45</v>
      </c>
      <c r="Z925" s="542">
        <v>45</v>
      </c>
      <c r="AA925" s="542">
        <v>45</v>
      </c>
      <c r="AB925" s="542">
        <v>45</v>
      </c>
      <c r="AC925" s="542">
        <v>45</v>
      </c>
      <c r="AD925" s="542">
        <v>45</v>
      </c>
      <c r="AE925" s="542">
        <v>45</v>
      </c>
      <c r="AF925" s="542">
        <v>45</v>
      </c>
      <c r="AG925" s="542">
        <v>45</v>
      </c>
      <c r="AH925" s="542">
        <v>45</v>
      </c>
      <c r="AI925" s="542">
        <v>45</v>
      </c>
      <c r="AJ925" s="542">
        <v>45</v>
      </c>
      <c r="AK925" s="542">
        <v>45</v>
      </c>
      <c r="AL925" s="542">
        <v>45</v>
      </c>
      <c r="AM925" s="542">
        <v>45</v>
      </c>
      <c r="AN925" s="542">
        <v>45</v>
      </c>
      <c r="AO925" s="542">
        <v>45</v>
      </c>
      <c r="AP925" s="542">
        <v>45</v>
      </c>
      <c r="AQ925" s="542">
        <v>45</v>
      </c>
      <c r="AR925" s="542">
        <v>45</v>
      </c>
      <c r="AS925" s="542">
        <v>45</v>
      </c>
      <c r="AT925" s="542">
        <v>45</v>
      </c>
      <c r="AU925" s="542">
        <v>45</v>
      </c>
      <c r="AV925" s="542">
        <v>45</v>
      </c>
      <c r="AW925" s="542">
        <v>45</v>
      </c>
      <c r="AX925" s="542">
        <v>45</v>
      </c>
      <c r="AY925" s="542">
        <v>45</v>
      </c>
      <c r="AZ925" s="542">
        <v>45</v>
      </c>
      <c r="BA925" s="542">
        <v>45</v>
      </c>
      <c r="BB925" s="542">
        <v>45</v>
      </c>
      <c r="BC925" s="542">
        <v>45</v>
      </c>
      <c r="BD925" s="542">
        <v>45</v>
      </c>
      <c r="BE925" s="542">
        <v>45</v>
      </c>
      <c r="BF925" s="542">
        <v>45</v>
      </c>
      <c r="BG925" s="542">
        <v>45</v>
      </c>
      <c r="BH925" s="542">
        <v>45</v>
      </c>
      <c r="BI925" s="542">
        <v>45</v>
      </c>
      <c r="BJ925" s="542">
        <v>45</v>
      </c>
      <c r="BK925" s="542">
        <v>45</v>
      </c>
      <c r="BL925" s="542">
        <v>45</v>
      </c>
      <c r="BM925" s="542">
        <v>45</v>
      </c>
      <c r="BN925" s="542">
        <v>45</v>
      </c>
      <c r="BO925" s="542">
        <v>45</v>
      </c>
      <c r="BP925" s="542">
        <v>45</v>
      </c>
      <c r="BQ925" s="542">
        <v>45</v>
      </c>
      <c r="BR925" s="542">
        <v>45</v>
      </c>
      <c r="BS925" s="542">
        <v>45</v>
      </c>
      <c r="BT925" s="542">
        <v>45</v>
      </c>
      <c r="BU925" s="542">
        <v>45</v>
      </c>
      <c r="BV925" s="542">
        <v>45</v>
      </c>
      <c r="BW925" s="542">
        <v>45</v>
      </c>
      <c r="BX925" s="542">
        <v>45</v>
      </c>
      <c r="BY925" s="542">
        <v>45</v>
      </c>
      <c r="BZ925" s="542">
        <v>45</v>
      </c>
      <c r="CA925" s="542">
        <v>45</v>
      </c>
      <c r="CB925" s="542">
        <v>45</v>
      </c>
      <c r="CC925" s="542">
        <v>45</v>
      </c>
      <c r="CD925" s="542">
        <v>45</v>
      </c>
      <c r="CE925" s="542">
        <v>45</v>
      </c>
      <c r="CF925" s="542">
        <v>45</v>
      </c>
      <c r="CG925" s="542">
        <v>45</v>
      </c>
      <c r="CH925" s="542">
        <v>45</v>
      </c>
      <c r="CI925" s="542">
        <v>45</v>
      </c>
    </row>
    <row r="926" spans="1:87" ht="14.25" customHeight="1" x14ac:dyDescent="0.35">
      <c r="A926" s="42" t="s">
        <v>104</v>
      </c>
      <c r="B926" s="542">
        <v>0</v>
      </c>
      <c r="C926" s="542">
        <v>0</v>
      </c>
      <c r="D926" s="542">
        <v>0</v>
      </c>
      <c r="E926" s="542">
        <v>0</v>
      </c>
      <c r="F926" s="542">
        <v>0</v>
      </c>
      <c r="G926" s="542">
        <v>0</v>
      </c>
      <c r="H926" s="542">
        <v>0</v>
      </c>
      <c r="I926" s="542">
        <v>0</v>
      </c>
      <c r="J926" s="542">
        <v>0</v>
      </c>
      <c r="K926" s="542">
        <v>0</v>
      </c>
      <c r="L926" s="542">
        <v>0</v>
      </c>
      <c r="M926" s="542">
        <v>0</v>
      </c>
      <c r="N926" s="542">
        <v>45</v>
      </c>
      <c r="O926" s="542">
        <v>45</v>
      </c>
      <c r="P926" s="542">
        <v>45</v>
      </c>
      <c r="Q926" s="542">
        <v>45</v>
      </c>
      <c r="R926" s="542">
        <v>45</v>
      </c>
      <c r="S926" s="542">
        <v>45</v>
      </c>
      <c r="T926" s="542">
        <v>45</v>
      </c>
      <c r="U926" s="542">
        <v>45</v>
      </c>
      <c r="V926" s="542">
        <v>45</v>
      </c>
      <c r="W926" s="542">
        <v>45</v>
      </c>
      <c r="X926" s="542">
        <v>45</v>
      </c>
      <c r="Y926" s="542">
        <v>45</v>
      </c>
      <c r="Z926" s="542">
        <v>45</v>
      </c>
      <c r="AA926" s="542">
        <v>45</v>
      </c>
      <c r="AB926" s="542">
        <v>45</v>
      </c>
      <c r="AC926" s="542">
        <v>45</v>
      </c>
      <c r="AD926" s="542">
        <v>45</v>
      </c>
      <c r="AE926" s="542">
        <v>45</v>
      </c>
      <c r="AF926" s="542">
        <v>45</v>
      </c>
      <c r="AG926" s="542">
        <v>45</v>
      </c>
      <c r="AH926" s="542">
        <v>45</v>
      </c>
      <c r="AI926" s="542">
        <v>45</v>
      </c>
      <c r="AJ926" s="542">
        <v>45</v>
      </c>
      <c r="AK926" s="542">
        <v>45</v>
      </c>
      <c r="AL926" s="542">
        <v>45</v>
      </c>
      <c r="AM926" s="542">
        <v>45</v>
      </c>
      <c r="AN926" s="542">
        <v>45</v>
      </c>
      <c r="AO926" s="542">
        <v>45</v>
      </c>
      <c r="AP926" s="542">
        <v>45</v>
      </c>
      <c r="AQ926" s="542">
        <v>45</v>
      </c>
      <c r="AR926" s="542">
        <v>45</v>
      </c>
      <c r="AS926" s="542">
        <v>45</v>
      </c>
      <c r="AT926" s="542">
        <v>45</v>
      </c>
      <c r="AU926" s="542">
        <v>45</v>
      </c>
      <c r="AV926" s="542">
        <v>45</v>
      </c>
      <c r="AW926" s="542">
        <v>45</v>
      </c>
      <c r="AX926" s="542">
        <v>45</v>
      </c>
      <c r="AY926" s="542">
        <v>45</v>
      </c>
      <c r="AZ926" s="542">
        <v>45</v>
      </c>
      <c r="BA926" s="542">
        <v>45</v>
      </c>
      <c r="BB926" s="542">
        <v>45</v>
      </c>
      <c r="BC926" s="542">
        <v>45</v>
      </c>
      <c r="BD926" s="542">
        <v>45</v>
      </c>
      <c r="BE926" s="542">
        <v>45</v>
      </c>
      <c r="BF926" s="542">
        <v>45</v>
      </c>
      <c r="BG926" s="542">
        <v>45</v>
      </c>
      <c r="BH926" s="542">
        <v>45</v>
      </c>
      <c r="BI926" s="542">
        <v>45</v>
      </c>
      <c r="BJ926" s="542">
        <v>45</v>
      </c>
      <c r="BK926" s="542">
        <v>45</v>
      </c>
      <c r="BL926" s="542">
        <v>45</v>
      </c>
      <c r="BM926" s="542">
        <v>45</v>
      </c>
      <c r="BN926" s="542">
        <v>45</v>
      </c>
      <c r="BO926" s="542">
        <v>45</v>
      </c>
      <c r="BP926" s="542">
        <v>45</v>
      </c>
      <c r="BQ926" s="542">
        <v>45</v>
      </c>
      <c r="BR926" s="542">
        <v>45</v>
      </c>
      <c r="BS926" s="542">
        <v>45</v>
      </c>
      <c r="BT926" s="542">
        <v>45</v>
      </c>
      <c r="BU926" s="542">
        <v>45</v>
      </c>
      <c r="BV926" s="542">
        <v>45</v>
      </c>
      <c r="BW926" s="542">
        <v>45</v>
      </c>
      <c r="BX926" s="542">
        <v>45</v>
      </c>
      <c r="BY926" s="542">
        <v>45</v>
      </c>
      <c r="BZ926" s="542">
        <v>45</v>
      </c>
      <c r="CA926" s="542">
        <v>45</v>
      </c>
      <c r="CB926" s="542">
        <v>45</v>
      </c>
      <c r="CC926" s="542">
        <v>45</v>
      </c>
      <c r="CD926" s="542">
        <v>45</v>
      </c>
      <c r="CE926" s="542">
        <v>45</v>
      </c>
      <c r="CF926" s="542">
        <v>45</v>
      </c>
      <c r="CG926" s="542">
        <v>45</v>
      </c>
      <c r="CH926" s="542">
        <v>45</v>
      </c>
      <c r="CI926" s="542">
        <v>45</v>
      </c>
    </row>
    <row r="927" spans="1:87" ht="14.25" customHeight="1" x14ac:dyDescent="0.35">
      <c r="A927" s="42" t="s">
        <v>105</v>
      </c>
      <c r="B927" s="542">
        <v>0</v>
      </c>
      <c r="C927" s="542">
        <v>0</v>
      </c>
      <c r="D927" s="542">
        <v>0</v>
      </c>
      <c r="E927" s="542">
        <v>0</v>
      </c>
      <c r="F927" s="542">
        <v>0</v>
      </c>
      <c r="G927" s="542">
        <v>0</v>
      </c>
      <c r="H927" s="542">
        <v>0</v>
      </c>
      <c r="I927" s="542">
        <v>0</v>
      </c>
      <c r="J927" s="542">
        <v>0</v>
      </c>
      <c r="K927" s="542">
        <v>0</v>
      </c>
      <c r="L927" s="542">
        <v>0</v>
      </c>
      <c r="M927" s="542">
        <v>0</v>
      </c>
      <c r="N927" s="542">
        <v>45</v>
      </c>
      <c r="O927" s="542">
        <v>45</v>
      </c>
      <c r="P927" s="542">
        <v>45</v>
      </c>
      <c r="Q927" s="542">
        <v>45</v>
      </c>
      <c r="R927" s="542">
        <v>45</v>
      </c>
      <c r="S927" s="542">
        <v>45</v>
      </c>
      <c r="T927" s="542">
        <v>45</v>
      </c>
      <c r="U927" s="542">
        <v>45</v>
      </c>
      <c r="V927" s="542">
        <v>45</v>
      </c>
      <c r="W927" s="542">
        <v>45</v>
      </c>
      <c r="X927" s="542">
        <v>45</v>
      </c>
      <c r="Y927" s="542">
        <v>45</v>
      </c>
      <c r="Z927" s="542">
        <v>45</v>
      </c>
      <c r="AA927" s="542">
        <v>45</v>
      </c>
      <c r="AB927" s="542">
        <v>45</v>
      </c>
      <c r="AC927" s="542">
        <v>45</v>
      </c>
      <c r="AD927" s="542">
        <v>45</v>
      </c>
      <c r="AE927" s="542">
        <v>45</v>
      </c>
      <c r="AF927" s="542">
        <v>45</v>
      </c>
      <c r="AG927" s="542">
        <v>45</v>
      </c>
      <c r="AH927" s="542">
        <v>45</v>
      </c>
      <c r="AI927" s="542">
        <v>45</v>
      </c>
      <c r="AJ927" s="542">
        <v>45</v>
      </c>
      <c r="AK927" s="542">
        <v>45</v>
      </c>
      <c r="AL927" s="542">
        <v>45</v>
      </c>
      <c r="AM927" s="542">
        <v>45</v>
      </c>
      <c r="AN927" s="542">
        <v>45</v>
      </c>
      <c r="AO927" s="542">
        <v>45</v>
      </c>
      <c r="AP927" s="542">
        <v>45</v>
      </c>
      <c r="AQ927" s="542">
        <v>45</v>
      </c>
      <c r="AR927" s="542">
        <v>45</v>
      </c>
      <c r="AS927" s="542">
        <v>45</v>
      </c>
      <c r="AT927" s="542">
        <v>45</v>
      </c>
      <c r="AU927" s="542">
        <v>45</v>
      </c>
      <c r="AV927" s="542">
        <v>45</v>
      </c>
      <c r="AW927" s="542">
        <v>45</v>
      </c>
      <c r="AX927" s="542">
        <v>45</v>
      </c>
      <c r="AY927" s="542">
        <v>45</v>
      </c>
      <c r="AZ927" s="542">
        <v>45</v>
      </c>
      <c r="BA927" s="542">
        <v>45</v>
      </c>
      <c r="BB927" s="542">
        <v>45</v>
      </c>
      <c r="BC927" s="542">
        <v>45</v>
      </c>
      <c r="BD927" s="542">
        <v>45</v>
      </c>
      <c r="BE927" s="542">
        <v>45</v>
      </c>
      <c r="BF927" s="542">
        <v>45</v>
      </c>
      <c r="BG927" s="542">
        <v>45</v>
      </c>
      <c r="BH927" s="542">
        <v>45</v>
      </c>
      <c r="BI927" s="542">
        <v>45</v>
      </c>
      <c r="BJ927" s="542">
        <v>45</v>
      </c>
      <c r="BK927" s="542">
        <v>45</v>
      </c>
      <c r="BL927" s="542">
        <v>45</v>
      </c>
      <c r="BM927" s="542">
        <v>45</v>
      </c>
      <c r="BN927" s="542">
        <v>45</v>
      </c>
      <c r="BO927" s="542">
        <v>45</v>
      </c>
      <c r="BP927" s="542">
        <v>45</v>
      </c>
      <c r="BQ927" s="542">
        <v>45</v>
      </c>
      <c r="BR927" s="542">
        <v>45</v>
      </c>
      <c r="BS927" s="542">
        <v>45</v>
      </c>
      <c r="BT927" s="542">
        <v>45</v>
      </c>
      <c r="BU927" s="542">
        <v>45</v>
      </c>
      <c r="BV927" s="542">
        <v>45</v>
      </c>
      <c r="BW927" s="542">
        <v>45</v>
      </c>
      <c r="BX927" s="542">
        <v>45</v>
      </c>
      <c r="BY927" s="542">
        <v>45</v>
      </c>
      <c r="BZ927" s="542">
        <v>45</v>
      </c>
      <c r="CA927" s="542">
        <v>45</v>
      </c>
      <c r="CB927" s="542">
        <v>45</v>
      </c>
      <c r="CC927" s="542">
        <v>45</v>
      </c>
      <c r="CD927" s="542">
        <v>45</v>
      </c>
      <c r="CE927" s="542">
        <v>45</v>
      </c>
      <c r="CF927" s="542">
        <v>45</v>
      </c>
      <c r="CG927" s="542">
        <v>45</v>
      </c>
      <c r="CH927" s="542">
        <v>45</v>
      </c>
      <c r="CI927" s="542">
        <v>45</v>
      </c>
    </row>
    <row r="928" spans="1:87" ht="14.25" customHeight="1" x14ac:dyDescent="0.35">
      <c r="A928" s="42" t="s">
        <v>106</v>
      </c>
      <c r="B928" s="542">
        <v>0</v>
      </c>
      <c r="C928" s="542">
        <v>0</v>
      </c>
      <c r="D928" s="542">
        <v>0</v>
      </c>
      <c r="E928" s="542">
        <v>0</v>
      </c>
      <c r="F928" s="542">
        <v>0</v>
      </c>
      <c r="G928" s="542">
        <v>0</v>
      </c>
      <c r="H928" s="542">
        <v>0</v>
      </c>
      <c r="I928" s="542">
        <v>0</v>
      </c>
      <c r="J928" s="542">
        <v>0</v>
      </c>
      <c r="K928" s="542">
        <v>0</v>
      </c>
      <c r="L928" s="542">
        <v>0</v>
      </c>
      <c r="M928" s="542">
        <v>0</v>
      </c>
      <c r="N928" s="542">
        <v>45</v>
      </c>
      <c r="O928" s="542">
        <v>45</v>
      </c>
      <c r="P928" s="542">
        <v>45</v>
      </c>
      <c r="Q928" s="542">
        <v>45</v>
      </c>
      <c r="R928" s="542">
        <v>45</v>
      </c>
      <c r="S928" s="542">
        <v>45</v>
      </c>
      <c r="T928" s="542">
        <v>45</v>
      </c>
      <c r="U928" s="542">
        <v>45</v>
      </c>
      <c r="V928" s="542">
        <v>45</v>
      </c>
      <c r="W928" s="542">
        <v>45</v>
      </c>
      <c r="X928" s="542">
        <v>45</v>
      </c>
      <c r="Y928" s="542">
        <v>45</v>
      </c>
      <c r="Z928" s="542">
        <v>45</v>
      </c>
      <c r="AA928" s="542">
        <v>45</v>
      </c>
      <c r="AB928" s="542">
        <v>45</v>
      </c>
      <c r="AC928" s="542">
        <v>45</v>
      </c>
      <c r="AD928" s="542">
        <v>45</v>
      </c>
      <c r="AE928" s="542">
        <v>45</v>
      </c>
      <c r="AF928" s="542">
        <v>45</v>
      </c>
      <c r="AG928" s="542">
        <v>45</v>
      </c>
      <c r="AH928" s="542">
        <v>45</v>
      </c>
      <c r="AI928" s="542">
        <v>45</v>
      </c>
      <c r="AJ928" s="542">
        <v>45</v>
      </c>
      <c r="AK928" s="542">
        <v>45</v>
      </c>
      <c r="AL928" s="542">
        <v>45</v>
      </c>
      <c r="AM928" s="542">
        <v>45</v>
      </c>
      <c r="AN928" s="542">
        <v>45</v>
      </c>
      <c r="AO928" s="542">
        <v>45</v>
      </c>
      <c r="AP928" s="542">
        <v>45</v>
      </c>
      <c r="AQ928" s="542">
        <v>45</v>
      </c>
      <c r="AR928" s="542">
        <v>45</v>
      </c>
      <c r="AS928" s="542">
        <v>45</v>
      </c>
      <c r="AT928" s="542">
        <v>45</v>
      </c>
      <c r="AU928" s="542">
        <v>45</v>
      </c>
      <c r="AV928" s="542">
        <v>45</v>
      </c>
      <c r="AW928" s="542">
        <v>45</v>
      </c>
      <c r="AX928" s="542">
        <v>45</v>
      </c>
      <c r="AY928" s="542">
        <v>45</v>
      </c>
      <c r="AZ928" s="542">
        <v>45</v>
      </c>
      <c r="BA928" s="542">
        <v>45</v>
      </c>
      <c r="BB928" s="542">
        <v>45</v>
      </c>
      <c r="BC928" s="542">
        <v>45</v>
      </c>
      <c r="BD928" s="542">
        <v>45</v>
      </c>
      <c r="BE928" s="542">
        <v>45</v>
      </c>
      <c r="BF928" s="542">
        <v>45</v>
      </c>
      <c r="BG928" s="542">
        <v>45</v>
      </c>
      <c r="BH928" s="542">
        <v>45</v>
      </c>
      <c r="BI928" s="542">
        <v>45</v>
      </c>
      <c r="BJ928" s="542">
        <v>45</v>
      </c>
      <c r="BK928" s="542">
        <v>45</v>
      </c>
      <c r="BL928" s="542">
        <v>45</v>
      </c>
      <c r="BM928" s="542">
        <v>45</v>
      </c>
      <c r="BN928" s="542">
        <v>45</v>
      </c>
      <c r="BO928" s="542">
        <v>45</v>
      </c>
      <c r="BP928" s="542">
        <v>45</v>
      </c>
      <c r="BQ928" s="542">
        <v>45</v>
      </c>
      <c r="BR928" s="542">
        <v>45</v>
      </c>
      <c r="BS928" s="542">
        <v>45</v>
      </c>
      <c r="BT928" s="542">
        <v>45</v>
      </c>
      <c r="BU928" s="542">
        <v>45</v>
      </c>
      <c r="BV928" s="542">
        <v>45</v>
      </c>
      <c r="BW928" s="542">
        <v>45</v>
      </c>
      <c r="BX928" s="542">
        <v>45</v>
      </c>
      <c r="BY928" s="542">
        <v>45</v>
      </c>
      <c r="BZ928" s="542">
        <v>45</v>
      </c>
      <c r="CA928" s="542">
        <v>45</v>
      </c>
      <c r="CB928" s="542">
        <v>45</v>
      </c>
      <c r="CC928" s="542">
        <v>45</v>
      </c>
      <c r="CD928" s="542">
        <v>45</v>
      </c>
      <c r="CE928" s="542">
        <v>45</v>
      </c>
      <c r="CF928" s="542">
        <v>45</v>
      </c>
      <c r="CG928" s="542">
        <v>45</v>
      </c>
      <c r="CH928" s="542">
        <v>45</v>
      </c>
      <c r="CI928" s="542">
        <v>45</v>
      </c>
    </row>
    <row r="929" spans="1:87" ht="14.25" customHeight="1" x14ac:dyDescent="0.35">
      <c r="A929" s="42" t="s">
        <v>107</v>
      </c>
      <c r="B929" s="542">
        <v>0</v>
      </c>
      <c r="C929" s="542">
        <v>0</v>
      </c>
      <c r="D929" s="542">
        <v>0</v>
      </c>
      <c r="E929" s="542">
        <v>0</v>
      </c>
      <c r="F929" s="542">
        <v>0</v>
      </c>
      <c r="G929" s="542">
        <v>0</v>
      </c>
      <c r="H929" s="542">
        <v>0</v>
      </c>
      <c r="I929" s="542">
        <v>0</v>
      </c>
      <c r="J929" s="542">
        <v>0</v>
      </c>
      <c r="K929" s="542">
        <v>0</v>
      </c>
      <c r="L929" s="542">
        <v>0</v>
      </c>
      <c r="M929" s="542">
        <v>0</v>
      </c>
      <c r="N929" s="542">
        <v>45</v>
      </c>
      <c r="O929" s="542">
        <v>45</v>
      </c>
      <c r="P929" s="542">
        <v>45</v>
      </c>
      <c r="Q929" s="542">
        <v>45</v>
      </c>
      <c r="R929" s="542">
        <v>45</v>
      </c>
      <c r="S929" s="542">
        <v>45</v>
      </c>
      <c r="T929" s="542">
        <v>45</v>
      </c>
      <c r="U929" s="542">
        <v>45</v>
      </c>
      <c r="V929" s="542">
        <v>45</v>
      </c>
      <c r="W929" s="542">
        <v>45</v>
      </c>
      <c r="X929" s="542">
        <v>45</v>
      </c>
      <c r="Y929" s="542">
        <v>45</v>
      </c>
      <c r="Z929" s="542">
        <v>45</v>
      </c>
      <c r="AA929" s="542">
        <v>45</v>
      </c>
      <c r="AB929" s="542">
        <v>45</v>
      </c>
      <c r="AC929" s="542">
        <v>45</v>
      </c>
      <c r="AD929" s="542">
        <v>45</v>
      </c>
      <c r="AE929" s="542">
        <v>45</v>
      </c>
      <c r="AF929" s="542">
        <v>45</v>
      </c>
      <c r="AG929" s="542">
        <v>45</v>
      </c>
      <c r="AH929" s="542">
        <v>45</v>
      </c>
      <c r="AI929" s="542">
        <v>45</v>
      </c>
      <c r="AJ929" s="542">
        <v>45</v>
      </c>
      <c r="AK929" s="542">
        <v>45</v>
      </c>
      <c r="AL929" s="542">
        <v>45</v>
      </c>
      <c r="AM929" s="542">
        <v>45</v>
      </c>
      <c r="AN929" s="542">
        <v>45</v>
      </c>
      <c r="AO929" s="542">
        <v>45</v>
      </c>
      <c r="AP929" s="542">
        <v>45</v>
      </c>
      <c r="AQ929" s="542">
        <v>45</v>
      </c>
      <c r="AR929" s="542">
        <v>45</v>
      </c>
      <c r="AS929" s="542">
        <v>45</v>
      </c>
      <c r="AT929" s="542">
        <v>45</v>
      </c>
      <c r="AU929" s="542">
        <v>45</v>
      </c>
      <c r="AV929" s="542">
        <v>45</v>
      </c>
      <c r="AW929" s="542">
        <v>45</v>
      </c>
      <c r="AX929" s="542">
        <v>45</v>
      </c>
      <c r="AY929" s="542">
        <v>45</v>
      </c>
      <c r="AZ929" s="542">
        <v>45</v>
      </c>
      <c r="BA929" s="542">
        <v>45</v>
      </c>
      <c r="BB929" s="542">
        <v>45</v>
      </c>
      <c r="BC929" s="542">
        <v>45</v>
      </c>
      <c r="BD929" s="542">
        <v>45</v>
      </c>
      <c r="BE929" s="542">
        <v>45</v>
      </c>
      <c r="BF929" s="542">
        <v>45</v>
      </c>
      <c r="BG929" s="542">
        <v>45</v>
      </c>
      <c r="BH929" s="542">
        <v>45</v>
      </c>
      <c r="BI929" s="542">
        <v>45</v>
      </c>
      <c r="BJ929" s="542">
        <v>45</v>
      </c>
      <c r="BK929" s="542">
        <v>45</v>
      </c>
      <c r="BL929" s="542">
        <v>45</v>
      </c>
      <c r="BM929" s="542">
        <v>45</v>
      </c>
      <c r="BN929" s="542">
        <v>45</v>
      </c>
      <c r="BO929" s="542">
        <v>45</v>
      </c>
      <c r="BP929" s="542">
        <v>45</v>
      </c>
      <c r="BQ929" s="542">
        <v>45</v>
      </c>
      <c r="BR929" s="542">
        <v>45</v>
      </c>
      <c r="BS929" s="542">
        <v>45</v>
      </c>
      <c r="BT929" s="542">
        <v>45</v>
      </c>
      <c r="BU929" s="542">
        <v>45</v>
      </c>
      <c r="BV929" s="542">
        <v>45</v>
      </c>
      <c r="BW929" s="542">
        <v>45</v>
      </c>
      <c r="BX929" s="542">
        <v>45</v>
      </c>
      <c r="BY929" s="542">
        <v>45</v>
      </c>
      <c r="BZ929" s="542">
        <v>45</v>
      </c>
      <c r="CA929" s="542">
        <v>45</v>
      </c>
      <c r="CB929" s="542">
        <v>45</v>
      </c>
      <c r="CC929" s="542">
        <v>45</v>
      </c>
      <c r="CD929" s="542">
        <v>45</v>
      </c>
      <c r="CE929" s="542">
        <v>45</v>
      </c>
      <c r="CF929" s="542">
        <v>45</v>
      </c>
      <c r="CG929" s="542">
        <v>45</v>
      </c>
      <c r="CH929" s="542">
        <v>45</v>
      </c>
      <c r="CI929" s="542">
        <v>45</v>
      </c>
    </row>
    <row r="930" spans="1:87" ht="14.25" customHeight="1" x14ac:dyDescent="0.35">
      <c r="A930" s="42" t="s">
        <v>108</v>
      </c>
      <c r="B930" s="542">
        <v>0</v>
      </c>
      <c r="C930" s="542">
        <v>0</v>
      </c>
      <c r="D930" s="542">
        <v>0</v>
      </c>
      <c r="E930" s="542">
        <v>0</v>
      </c>
      <c r="F930" s="542">
        <v>0</v>
      </c>
      <c r="G930" s="542">
        <v>0</v>
      </c>
      <c r="H930" s="542">
        <v>0</v>
      </c>
      <c r="I930" s="542">
        <v>0</v>
      </c>
      <c r="J930" s="542">
        <v>0</v>
      </c>
      <c r="K930" s="542">
        <v>0</v>
      </c>
      <c r="L930" s="542">
        <v>0</v>
      </c>
      <c r="M930" s="542">
        <v>0</v>
      </c>
      <c r="N930" s="542">
        <v>45</v>
      </c>
      <c r="O930" s="542">
        <v>45</v>
      </c>
      <c r="P930" s="542">
        <v>45</v>
      </c>
      <c r="Q930" s="542">
        <v>45</v>
      </c>
      <c r="R930" s="542">
        <v>45</v>
      </c>
      <c r="S930" s="542">
        <v>45</v>
      </c>
      <c r="T930" s="542">
        <v>45</v>
      </c>
      <c r="U930" s="542">
        <v>45</v>
      </c>
      <c r="V930" s="542">
        <v>45</v>
      </c>
      <c r="W930" s="542">
        <v>45</v>
      </c>
      <c r="X930" s="542">
        <v>45</v>
      </c>
      <c r="Y930" s="542">
        <v>45</v>
      </c>
      <c r="Z930" s="542">
        <v>45</v>
      </c>
      <c r="AA930" s="542">
        <v>45</v>
      </c>
      <c r="AB930" s="542">
        <v>45</v>
      </c>
      <c r="AC930" s="542">
        <v>45</v>
      </c>
      <c r="AD930" s="542">
        <v>45</v>
      </c>
      <c r="AE930" s="542">
        <v>45</v>
      </c>
      <c r="AF930" s="542">
        <v>45</v>
      </c>
      <c r="AG930" s="542">
        <v>45</v>
      </c>
      <c r="AH930" s="542">
        <v>45</v>
      </c>
      <c r="AI930" s="542">
        <v>45</v>
      </c>
      <c r="AJ930" s="542">
        <v>45</v>
      </c>
      <c r="AK930" s="542">
        <v>45</v>
      </c>
      <c r="AL930" s="542">
        <v>45</v>
      </c>
      <c r="AM930" s="542">
        <v>45</v>
      </c>
      <c r="AN930" s="542">
        <v>45</v>
      </c>
      <c r="AO930" s="542">
        <v>45</v>
      </c>
      <c r="AP930" s="542">
        <v>45</v>
      </c>
      <c r="AQ930" s="542">
        <v>45</v>
      </c>
      <c r="AR930" s="542">
        <v>45</v>
      </c>
      <c r="AS930" s="542">
        <v>45</v>
      </c>
      <c r="AT930" s="542">
        <v>45</v>
      </c>
      <c r="AU930" s="542">
        <v>45</v>
      </c>
      <c r="AV930" s="542">
        <v>45</v>
      </c>
      <c r="AW930" s="542">
        <v>45</v>
      </c>
      <c r="AX930" s="542">
        <v>45</v>
      </c>
      <c r="AY930" s="542">
        <v>45</v>
      </c>
      <c r="AZ930" s="542">
        <v>45</v>
      </c>
      <c r="BA930" s="542">
        <v>45</v>
      </c>
      <c r="BB930" s="542">
        <v>45</v>
      </c>
      <c r="BC930" s="542">
        <v>45</v>
      </c>
      <c r="BD930" s="542">
        <v>45</v>
      </c>
      <c r="BE930" s="542">
        <v>45</v>
      </c>
      <c r="BF930" s="542">
        <v>45</v>
      </c>
      <c r="BG930" s="542">
        <v>45</v>
      </c>
      <c r="BH930" s="542">
        <v>45</v>
      </c>
      <c r="BI930" s="542">
        <v>45</v>
      </c>
      <c r="BJ930" s="542">
        <v>45</v>
      </c>
      <c r="BK930" s="542">
        <v>45</v>
      </c>
      <c r="BL930" s="542">
        <v>45</v>
      </c>
      <c r="BM930" s="542">
        <v>45</v>
      </c>
      <c r="BN930" s="542">
        <v>45</v>
      </c>
      <c r="BO930" s="542">
        <v>45</v>
      </c>
      <c r="BP930" s="542">
        <v>45</v>
      </c>
      <c r="BQ930" s="542">
        <v>45</v>
      </c>
      <c r="BR930" s="542">
        <v>45</v>
      </c>
      <c r="BS930" s="542">
        <v>45</v>
      </c>
      <c r="BT930" s="542">
        <v>45</v>
      </c>
      <c r="BU930" s="542">
        <v>45</v>
      </c>
      <c r="BV930" s="542">
        <v>45</v>
      </c>
      <c r="BW930" s="542">
        <v>45</v>
      </c>
      <c r="BX930" s="542">
        <v>45</v>
      </c>
      <c r="BY930" s="542">
        <v>45</v>
      </c>
      <c r="BZ930" s="542">
        <v>45</v>
      </c>
      <c r="CA930" s="542">
        <v>45</v>
      </c>
      <c r="CB930" s="542">
        <v>45</v>
      </c>
      <c r="CC930" s="542">
        <v>45</v>
      </c>
      <c r="CD930" s="542">
        <v>45</v>
      </c>
      <c r="CE930" s="542">
        <v>45</v>
      </c>
      <c r="CF930" s="542">
        <v>45</v>
      </c>
      <c r="CG930" s="542">
        <v>45</v>
      </c>
      <c r="CH930" s="542">
        <v>45</v>
      </c>
      <c r="CI930" s="542">
        <v>45</v>
      </c>
    </row>
    <row r="931" spans="1:87" ht="14.25" customHeight="1" x14ac:dyDescent="0.35">
      <c r="A931" s="42" t="s">
        <v>109</v>
      </c>
      <c r="B931" s="542">
        <v>0</v>
      </c>
      <c r="C931" s="542">
        <v>0</v>
      </c>
      <c r="D931" s="542">
        <v>0</v>
      </c>
      <c r="E931" s="542">
        <v>0</v>
      </c>
      <c r="F931" s="542">
        <v>0</v>
      </c>
      <c r="G931" s="542">
        <v>0</v>
      </c>
      <c r="H931" s="542">
        <v>0</v>
      </c>
      <c r="I931" s="542">
        <v>0</v>
      </c>
      <c r="J931" s="542">
        <v>0</v>
      </c>
      <c r="K931" s="542">
        <v>0</v>
      </c>
      <c r="L931" s="542">
        <v>0</v>
      </c>
      <c r="M931" s="542">
        <v>0</v>
      </c>
      <c r="N931" s="542">
        <v>45</v>
      </c>
      <c r="O931" s="542">
        <v>45</v>
      </c>
      <c r="P931" s="542">
        <v>45</v>
      </c>
      <c r="Q931" s="542">
        <v>45</v>
      </c>
      <c r="R931" s="542">
        <v>45</v>
      </c>
      <c r="S931" s="542">
        <v>45</v>
      </c>
      <c r="T931" s="542">
        <v>45</v>
      </c>
      <c r="U931" s="542">
        <v>45</v>
      </c>
      <c r="V931" s="542">
        <v>45</v>
      </c>
      <c r="W931" s="542">
        <v>45</v>
      </c>
      <c r="X931" s="542">
        <v>45</v>
      </c>
      <c r="Y931" s="542">
        <v>45</v>
      </c>
      <c r="Z931" s="542">
        <v>45</v>
      </c>
      <c r="AA931" s="542">
        <v>45</v>
      </c>
      <c r="AB931" s="542">
        <v>45</v>
      </c>
      <c r="AC931" s="542">
        <v>45</v>
      </c>
      <c r="AD931" s="542">
        <v>45</v>
      </c>
      <c r="AE931" s="542">
        <v>45</v>
      </c>
      <c r="AF931" s="542">
        <v>45</v>
      </c>
      <c r="AG931" s="542">
        <v>45</v>
      </c>
      <c r="AH931" s="542">
        <v>45</v>
      </c>
      <c r="AI931" s="542">
        <v>45</v>
      </c>
      <c r="AJ931" s="542">
        <v>45</v>
      </c>
      <c r="AK931" s="542">
        <v>45</v>
      </c>
      <c r="AL931" s="542">
        <v>45</v>
      </c>
      <c r="AM931" s="542">
        <v>45</v>
      </c>
      <c r="AN931" s="542">
        <v>45</v>
      </c>
      <c r="AO931" s="542">
        <v>45</v>
      </c>
      <c r="AP931" s="542">
        <v>45</v>
      </c>
      <c r="AQ931" s="542">
        <v>45</v>
      </c>
      <c r="AR931" s="542">
        <v>45</v>
      </c>
      <c r="AS931" s="542">
        <v>45</v>
      </c>
      <c r="AT931" s="542">
        <v>45</v>
      </c>
      <c r="AU931" s="542">
        <v>45</v>
      </c>
      <c r="AV931" s="542">
        <v>45</v>
      </c>
      <c r="AW931" s="542">
        <v>45</v>
      </c>
      <c r="AX931" s="542">
        <v>45</v>
      </c>
      <c r="AY931" s="542">
        <v>45</v>
      </c>
      <c r="AZ931" s="542">
        <v>45</v>
      </c>
      <c r="BA931" s="542">
        <v>45</v>
      </c>
      <c r="BB931" s="542">
        <v>45</v>
      </c>
      <c r="BC931" s="542">
        <v>45</v>
      </c>
      <c r="BD931" s="542">
        <v>45</v>
      </c>
      <c r="BE931" s="542">
        <v>45</v>
      </c>
      <c r="BF931" s="542">
        <v>45</v>
      </c>
      <c r="BG931" s="542">
        <v>45</v>
      </c>
      <c r="BH931" s="542">
        <v>45</v>
      </c>
      <c r="BI931" s="542">
        <v>45</v>
      </c>
      <c r="BJ931" s="542">
        <v>45</v>
      </c>
      <c r="BK931" s="542">
        <v>45</v>
      </c>
      <c r="BL931" s="542">
        <v>45</v>
      </c>
      <c r="BM931" s="542">
        <v>45</v>
      </c>
      <c r="BN931" s="542">
        <v>45</v>
      </c>
      <c r="BO931" s="542">
        <v>45</v>
      </c>
      <c r="BP931" s="542">
        <v>45</v>
      </c>
      <c r="BQ931" s="542">
        <v>45</v>
      </c>
      <c r="BR931" s="542">
        <v>45</v>
      </c>
      <c r="BS931" s="542">
        <v>45</v>
      </c>
      <c r="BT931" s="542">
        <v>45</v>
      </c>
      <c r="BU931" s="542">
        <v>45</v>
      </c>
      <c r="BV931" s="542">
        <v>45</v>
      </c>
      <c r="BW931" s="542">
        <v>45</v>
      </c>
      <c r="BX931" s="542">
        <v>45</v>
      </c>
      <c r="BY931" s="542">
        <v>45</v>
      </c>
      <c r="BZ931" s="542">
        <v>45</v>
      </c>
      <c r="CA931" s="542">
        <v>45</v>
      </c>
      <c r="CB931" s="542">
        <v>45</v>
      </c>
      <c r="CC931" s="542">
        <v>45</v>
      </c>
      <c r="CD931" s="542">
        <v>45</v>
      </c>
      <c r="CE931" s="542">
        <v>45</v>
      </c>
      <c r="CF931" s="542">
        <v>45</v>
      </c>
      <c r="CG931" s="542">
        <v>45</v>
      </c>
      <c r="CH931" s="542">
        <v>45</v>
      </c>
      <c r="CI931" s="542">
        <v>45</v>
      </c>
    </row>
    <row r="932" spans="1:87" ht="14.25" customHeight="1" x14ac:dyDescent="0.35">
      <c r="A932" s="42" t="s">
        <v>229</v>
      </c>
      <c r="B932" s="542">
        <v>0</v>
      </c>
      <c r="C932" s="542">
        <v>0</v>
      </c>
      <c r="D932" s="542">
        <v>0</v>
      </c>
      <c r="E932" s="542">
        <v>0</v>
      </c>
      <c r="F932" s="542">
        <v>0</v>
      </c>
      <c r="G932" s="542">
        <v>0</v>
      </c>
      <c r="H932" s="542">
        <v>0</v>
      </c>
      <c r="I932" s="542">
        <v>0</v>
      </c>
      <c r="J932" s="542">
        <v>0</v>
      </c>
      <c r="K932" s="542">
        <v>0</v>
      </c>
      <c r="L932" s="542">
        <v>0</v>
      </c>
      <c r="M932" s="542">
        <v>0</v>
      </c>
      <c r="N932" s="542">
        <v>45</v>
      </c>
      <c r="O932" s="542">
        <v>45</v>
      </c>
      <c r="P932" s="542">
        <v>45</v>
      </c>
      <c r="Q932" s="542">
        <v>45</v>
      </c>
      <c r="R932" s="542">
        <v>45</v>
      </c>
      <c r="S932" s="542">
        <v>45</v>
      </c>
      <c r="T932" s="542">
        <v>45</v>
      </c>
      <c r="U932" s="542">
        <v>45</v>
      </c>
      <c r="V932" s="542">
        <v>45</v>
      </c>
      <c r="W932" s="542">
        <v>45</v>
      </c>
      <c r="X932" s="542">
        <v>45</v>
      </c>
      <c r="Y932" s="542">
        <v>45</v>
      </c>
      <c r="Z932" s="542">
        <v>45</v>
      </c>
      <c r="AA932" s="542">
        <v>45</v>
      </c>
      <c r="AB932" s="542">
        <v>45</v>
      </c>
      <c r="AC932" s="542">
        <v>45</v>
      </c>
      <c r="AD932" s="542">
        <v>45</v>
      </c>
      <c r="AE932" s="542">
        <v>45</v>
      </c>
      <c r="AF932" s="542">
        <v>45</v>
      </c>
      <c r="AG932" s="542">
        <v>45</v>
      </c>
      <c r="AH932" s="542">
        <v>45</v>
      </c>
      <c r="AI932" s="542">
        <v>45</v>
      </c>
      <c r="AJ932" s="542">
        <v>45</v>
      </c>
      <c r="AK932" s="542">
        <v>45</v>
      </c>
      <c r="AL932" s="542">
        <v>45</v>
      </c>
      <c r="AM932" s="542">
        <v>45</v>
      </c>
      <c r="AN932" s="542">
        <v>45</v>
      </c>
      <c r="AO932" s="542">
        <v>45</v>
      </c>
      <c r="AP932" s="542">
        <v>45</v>
      </c>
      <c r="AQ932" s="542">
        <v>45</v>
      </c>
      <c r="AR932" s="542">
        <v>45</v>
      </c>
      <c r="AS932" s="542">
        <v>45</v>
      </c>
      <c r="AT932" s="542">
        <v>45</v>
      </c>
      <c r="AU932" s="542">
        <v>45</v>
      </c>
      <c r="AV932" s="542">
        <v>45</v>
      </c>
      <c r="AW932" s="542">
        <v>45</v>
      </c>
      <c r="AX932" s="542">
        <v>45</v>
      </c>
      <c r="AY932" s="542">
        <v>45</v>
      </c>
      <c r="AZ932" s="542">
        <v>45</v>
      </c>
      <c r="BA932" s="542">
        <v>45</v>
      </c>
      <c r="BB932" s="542">
        <v>45</v>
      </c>
      <c r="BC932" s="542">
        <v>45</v>
      </c>
      <c r="BD932" s="542">
        <v>45</v>
      </c>
      <c r="BE932" s="542">
        <v>45</v>
      </c>
      <c r="BF932" s="542">
        <v>45</v>
      </c>
      <c r="BG932" s="542">
        <v>45</v>
      </c>
      <c r="BH932" s="542">
        <v>45</v>
      </c>
      <c r="BI932" s="542">
        <v>45</v>
      </c>
      <c r="BJ932" s="542">
        <v>45</v>
      </c>
      <c r="BK932" s="542">
        <v>45</v>
      </c>
      <c r="BL932" s="542">
        <v>45</v>
      </c>
      <c r="BM932" s="542">
        <v>45</v>
      </c>
      <c r="BN932" s="542">
        <v>45</v>
      </c>
      <c r="BO932" s="542">
        <v>45</v>
      </c>
      <c r="BP932" s="542">
        <v>45</v>
      </c>
      <c r="BQ932" s="542">
        <v>45</v>
      </c>
      <c r="BR932" s="542">
        <v>45</v>
      </c>
      <c r="BS932" s="542">
        <v>45</v>
      </c>
      <c r="BT932" s="542">
        <v>45</v>
      </c>
      <c r="BU932" s="542">
        <v>45</v>
      </c>
      <c r="BV932" s="542">
        <v>45</v>
      </c>
      <c r="BW932" s="542">
        <v>45</v>
      </c>
      <c r="BX932" s="542">
        <v>45</v>
      </c>
      <c r="BY932" s="542">
        <v>45</v>
      </c>
      <c r="BZ932" s="542">
        <v>45</v>
      </c>
      <c r="CA932" s="542">
        <v>45</v>
      </c>
      <c r="CB932" s="542">
        <v>45</v>
      </c>
      <c r="CC932" s="542">
        <v>45</v>
      </c>
      <c r="CD932" s="542">
        <v>45</v>
      </c>
      <c r="CE932" s="542">
        <v>45</v>
      </c>
      <c r="CF932" s="542">
        <v>45</v>
      </c>
      <c r="CG932" s="542">
        <v>45</v>
      </c>
      <c r="CH932" s="542">
        <v>45</v>
      </c>
      <c r="CI932" s="542">
        <v>45</v>
      </c>
    </row>
    <row r="933" spans="1:87" ht="14.25" customHeight="1" x14ac:dyDescent="0.35">
      <c r="A933" s="42" t="s">
        <v>111</v>
      </c>
      <c r="B933" s="542">
        <v>0</v>
      </c>
      <c r="C933" s="542">
        <v>0</v>
      </c>
      <c r="D933" s="542">
        <v>0</v>
      </c>
      <c r="E933" s="542">
        <v>0</v>
      </c>
      <c r="F933" s="542">
        <v>0</v>
      </c>
      <c r="G933" s="542">
        <v>0</v>
      </c>
      <c r="H933" s="542">
        <v>0</v>
      </c>
      <c r="I933" s="542">
        <v>0</v>
      </c>
      <c r="J933" s="542">
        <v>0</v>
      </c>
      <c r="K933" s="542">
        <v>0</v>
      </c>
      <c r="L933" s="542">
        <v>0</v>
      </c>
      <c r="M933" s="542">
        <v>0</v>
      </c>
      <c r="N933" s="542">
        <v>45</v>
      </c>
      <c r="O933" s="542">
        <v>45</v>
      </c>
      <c r="P933" s="542">
        <v>45</v>
      </c>
      <c r="Q933" s="542">
        <v>45</v>
      </c>
      <c r="R933" s="542">
        <v>45</v>
      </c>
      <c r="S933" s="542">
        <v>45</v>
      </c>
      <c r="T933" s="542">
        <v>45</v>
      </c>
      <c r="U933" s="542">
        <v>45</v>
      </c>
      <c r="V933" s="542">
        <v>45</v>
      </c>
      <c r="W933" s="542">
        <v>45</v>
      </c>
      <c r="X933" s="542">
        <v>45</v>
      </c>
      <c r="Y933" s="542">
        <v>45</v>
      </c>
      <c r="Z933" s="542">
        <v>45</v>
      </c>
      <c r="AA933" s="542">
        <v>45</v>
      </c>
      <c r="AB933" s="542">
        <v>45</v>
      </c>
      <c r="AC933" s="542">
        <v>45</v>
      </c>
      <c r="AD933" s="542">
        <v>45</v>
      </c>
      <c r="AE933" s="542">
        <v>45</v>
      </c>
      <c r="AF933" s="542">
        <v>45</v>
      </c>
      <c r="AG933" s="542">
        <v>45</v>
      </c>
      <c r="AH933" s="542">
        <v>45</v>
      </c>
      <c r="AI933" s="542">
        <v>45</v>
      </c>
      <c r="AJ933" s="542">
        <v>45</v>
      </c>
      <c r="AK933" s="542">
        <v>45</v>
      </c>
      <c r="AL933" s="542">
        <v>45</v>
      </c>
      <c r="AM933" s="542">
        <v>45</v>
      </c>
      <c r="AN933" s="542">
        <v>45</v>
      </c>
      <c r="AO933" s="542">
        <v>45</v>
      </c>
      <c r="AP933" s="542">
        <v>45</v>
      </c>
      <c r="AQ933" s="542">
        <v>45</v>
      </c>
      <c r="AR933" s="542">
        <v>45</v>
      </c>
      <c r="AS933" s="542">
        <v>45</v>
      </c>
      <c r="AT933" s="542">
        <v>45</v>
      </c>
      <c r="AU933" s="542">
        <v>45</v>
      </c>
      <c r="AV933" s="542">
        <v>45</v>
      </c>
      <c r="AW933" s="542">
        <v>45</v>
      </c>
      <c r="AX933" s="542">
        <v>45</v>
      </c>
      <c r="AY933" s="542">
        <v>45</v>
      </c>
      <c r="AZ933" s="542">
        <v>45</v>
      </c>
      <c r="BA933" s="542">
        <v>45</v>
      </c>
      <c r="BB933" s="542">
        <v>45</v>
      </c>
      <c r="BC933" s="542">
        <v>45</v>
      </c>
      <c r="BD933" s="542">
        <v>45</v>
      </c>
      <c r="BE933" s="542">
        <v>45</v>
      </c>
      <c r="BF933" s="542">
        <v>45</v>
      </c>
      <c r="BG933" s="542">
        <v>45</v>
      </c>
      <c r="BH933" s="542">
        <v>45</v>
      </c>
      <c r="BI933" s="542">
        <v>45</v>
      </c>
      <c r="BJ933" s="542">
        <v>45</v>
      </c>
      <c r="BK933" s="542">
        <v>45</v>
      </c>
      <c r="BL933" s="542">
        <v>45</v>
      </c>
      <c r="BM933" s="542">
        <v>45</v>
      </c>
      <c r="BN933" s="542">
        <v>45</v>
      </c>
      <c r="BO933" s="542">
        <v>45</v>
      </c>
      <c r="BP933" s="542">
        <v>45</v>
      </c>
      <c r="BQ933" s="542">
        <v>45</v>
      </c>
      <c r="BR933" s="542">
        <v>45</v>
      </c>
      <c r="BS933" s="542">
        <v>45</v>
      </c>
      <c r="BT933" s="542">
        <v>45</v>
      </c>
      <c r="BU933" s="542">
        <v>45</v>
      </c>
      <c r="BV933" s="542">
        <v>45</v>
      </c>
      <c r="BW933" s="542">
        <v>45</v>
      </c>
      <c r="BX933" s="542">
        <v>45</v>
      </c>
      <c r="BY933" s="542">
        <v>45</v>
      </c>
      <c r="BZ933" s="542">
        <v>45</v>
      </c>
      <c r="CA933" s="542">
        <v>45</v>
      </c>
      <c r="CB933" s="542">
        <v>45</v>
      </c>
      <c r="CC933" s="542">
        <v>45</v>
      </c>
      <c r="CD933" s="542">
        <v>45</v>
      </c>
      <c r="CE933" s="542">
        <v>45</v>
      </c>
      <c r="CF933" s="542">
        <v>45</v>
      </c>
      <c r="CG933" s="542">
        <v>45</v>
      </c>
      <c r="CH933" s="542">
        <v>45</v>
      </c>
      <c r="CI933" s="542">
        <v>45</v>
      </c>
    </row>
    <row r="934" spans="1:87" ht="14.25" customHeight="1" x14ac:dyDescent="0.35">
      <c r="A934" s="42" t="s">
        <v>112</v>
      </c>
      <c r="B934" s="542">
        <v>0</v>
      </c>
      <c r="C934" s="542">
        <v>0</v>
      </c>
      <c r="D934" s="542">
        <v>0</v>
      </c>
      <c r="E934" s="542">
        <v>0</v>
      </c>
      <c r="F934" s="542">
        <v>0</v>
      </c>
      <c r="G934" s="542">
        <v>0</v>
      </c>
      <c r="H934" s="542">
        <v>0</v>
      </c>
      <c r="I934" s="542">
        <v>0</v>
      </c>
      <c r="J934" s="542">
        <v>0</v>
      </c>
      <c r="K934" s="542">
        <v>0</v>
      </c>
      <c r="L934" s="542">
        <v>0</v>
      </c>
      <c r="M934" s="542">
        <v>0</v>
      </c>
      <c r="N934" s="542">
        <v>45</v>
      </c>
      <c r="O934" s="542">
        <v>45</v>
      </c>
      <c r="P934" s="542">
        <v>45</v>
      </c>
      <c r="Q934" s="542">
        <v>45</v>
      </c>
      <c r="R934" s="542">
        <v>45</v>
      </c>
      <c r="S934" s="542">
        <v>45</v>
      </c>
      <c r="T934" s="542">
        <v>45</v>
      </c>
      <c r="U934" s="542">
        <v>45</v>
      </c>
      <c r="V934" s="542">
        <v>45</v>
      </c>
      <c r="W934" s="542">
        <v>45</v>
      </c>
      <c r="X934" s="542">
        <v>45</v>
      </c>
      <c r="Y934" s="542">
        <v>45</v>
      </c>
      <c r="Z934" s="542">
        <v>45</v>
      </c>
      <c r="AA934" s="542">
        <v>45</v>
      </c>
      <c r="AB934" s="542">
        <v>45</v>
      </c>
      <c r="AC934" s="542">
        <v>45</v>
      </c>
      <c r="AD934" s="542">
        <v>45</v>
      </c>
      <c r="AE934" s="542">
        <v>45</v>
      </c>
      <c r="AF934" s="542">
        <v>45</v>
      </c>
      <c r="AG934" s="542">
        <v>45</v>
      </c>
      <c r="AH934" s="542">
        <v>45</v>
      </c>
      <c r="AI934" s="542">
        <v>45</v>
      </c>
      <c r="AJ934" s="542">
        <v>45</v>
      </c>
      <c r="AK934" s="542">
        <v>45</v>
      </c>
      <c r="AL934" s="542">
        <v>45</v>
      </c>
      <c r="AM934" s="542">
        <v>45</v>
      </c>
      <c r="AN934" s="542">
        <v>45</v>
      </c>
      <c r="AO934" s="542">
        <v>45</v>
      </c>
      <c r="AP934" s="542">
        <v>45</v>
      </c>
      <c r="AQ934" s="542">
        <v>45</v>
      </c>
      <c r="AR934" s="542">
        <v>45</v>
      </c>
      <c r="AS934" s="542">
        <v>45</v>
      </c>
      <c r="AT934" s="542">
        <v>45</v>
      </c>
      <c r="AU934" s="542">
        <v>45</v>
      </c>
      <c r="AV934" s="542">
        <v>45</v>
      </c>
      <c r="AW934" s="542">
        <v>45</v>
      </c>
      <c r="AX934" s="542">
        <v>45</v>
      </c>
      <c r="AY934" s="542">
        <v>45</v>
      </c>
      <c r="AZ934" s="542">
        <v>45</v>
      </c>
      <c r="BA934" s="542">
        <v>45</v>
      </c>
      <c r="BB934" s="542">
        <v>45</v>
      </c>
      <c r="BC934" s="542">
        <v>45</v>
      </c>
      <c r="BD934" s="542">
        <v>45</v>
      </c>
      <c r="BE934" s="542">
        <v>45</v>
      </c>
      <c r="BF934" s="542">
        <v>45</v>
      </c>
      <c r="BG934" s="542">
        <v>45</v>
      </c>
      <c r="BH934" s="542">
        <v>45</v>
      </c>
      <c r="BI934" s="542">
        <v>45</v>
      </c>
      <c r="BJ934" s="542">
        <v>45</v>
      </c>
      <c r="BK934" s="542">
        <v>45</v>
      </c>
      <c r="BL934" s="542">
        <v>45</v>
      </c>
      <c r="BM934" s="542">
        <v>45</v>
      </c>
      <c r="BN934" s="542">
        <v>45</v>
      </c>
      <c r="BO934" s="542">
        <v>45</v>
      </c>
      <c r="BP934" s="542">
        <v>45</v>
      </c>
      <c r="BQ934" s="542">
        <v>45</v>
      </c>
      <c r="BR934" s="542">
        <v>45</v>
      </c>
      <c r="BS934" s="542">
        <v>45</v>
      </c>
      <c r="BT934" s="542">
        <v>45</v>
      </c>
      <c r="BU934" s="542">
        <v>45</v>
      </c>
      <c r="BV934" s="542">
        <v>45</v>
      </c>
      <c r="BW934" s="542">
        <v>45</v>
      </c>
      <c r="BX934" s="542">
        <v>45</v>
      </c>
      <c r="BY934" s="542">
        <v>45</v>
      </c>
      <c r="BZ934" s="542">
        <v>45</v>
      </c>
      <c r="CA934" s="542">
        <v>45</v>
      </c>
      <c r="CB934" s="542">
        <v>45</v>
      </c>
      <c r="CC934" s="542">
        <v>45</v>
      </c>
      <c r="CD934" s="542">
        <v>45</v>
      </c>
      <c r="CE934" s="542">
        <v>45</v>
      </c>
      <c r="CF934" s="542">
        <v>45</v>
      </c>
      <c r="CG934" s="542">
        <v>45</v>
      </c>
      <c r="CH934" s="542">
        <v>45</v>
      </c>
      <c r="CI934" s="542">
        <v>45</v>
      </c>
    </row>
    <row r="935" spans="1:87" ht="14.25" customHeight="1" x14ac:dyDescent="0.35">
      <c r="A935" s="42" t="s">
        <v>113</v>
      </c>
      <c r="B935" s="542">
        <v>0</v>
      </c>
      <c r="C935" s="542">
        <v>0</v>
      </c>
      <c r="D935" s="542">
        <v>0</v>
      </c>
      <c r="E935" s="542">
        <v>0</v>
      </c>
      <c r="F935" s="542">
        <v>0</v>
      </c>
      <c r="G935" s="542">
        <v>0</v>
      </c>
      <c r="H935" s="542">
        <v>0</v>
      </c>
      <c r="I935" s="542">
        <v>0</v>
      </c>
      <c r="J935" s="542">
        <v>0</v>
      </c>
      <c r="K935" s="542">
        <v>0</v>
      </c>
      <c r="L935" s="542">
        <v>0</v>
      </c>
      <c r="M935" s="542">
        <v>0</v>
      </c>
      <c r="N935" s="542">
        <v>45</v>
      </c>
      <c r="O935" s="542">
        <v>45</v>
      </c>
      <c r="P935" s="542">
        <v>45</v>
      </c>
      <c r="Q935" s="542">
        <v>45</v>
      </c>
      <c r="R935" s="542">
        <v>45</v>
      </c>
      <c r="S935" s="542">
        <v>45</v>
      </c>
      <c r="T935" s="542">
        <v>45</v>
      </c>
      <c r="U935" s="542">
        <v>45</v>
      </c>
      <c r="V935" s="542">
        <v>45</v>
      </c>
      <c r="W935" s="542">
        <v>45</v>
      </c>
      <c r="X935" s="542">
        <v>45</v>
      </c>
      <c r="Y935" s="542">
        <v>45</v>
      </c>
      <c r="Z935" s="542">
        <v>45</v>
      </c>
      <c r="AA935" s="542">
        <v>45</v>
      </c>
      <c r="AB935" s="542">
        <v>45</v>
      </c>
      <c r="AC935" s="542">
        <v>45</v>
      </c>
      <c r="AD935" s="542">
        <v>45</v>
      </c>
      <c r="AE935" s="542">
        <v>45</v>
      </c>
      <c r="AF935" s="542">
        <v>45</v>
      </c>
      <c r="AG935" s="542">
        <v>45</v>
      </c>
      <c r="AH935" s="542">
        <v>45</v>
      </c>
      <c r="AI935" s="542">
        <v>45</v>
      </c>
      <c r="AJ935" s="542">
        <v>45</v>
      </c>
      <c r="AK935" s="542">
        <v>45</v>
      </c>
      <c r="AL935" s="542">
        <v>45</v>
      </c>
      <c r="AM935" s="542">
        <v>45</v>
      </c>
      <c r="AN935" s="542">
        <v>45</v>
      </c>
      <c r="AO935" s="542">
        <v>45</v>
      </c>
      <c r="AP935" s="542">
        <v>45</v>
      </c>
      <c r="AQ935" s="542">
        <v>45</v>
      </c>
      <c r="AR935" s="542">
        <v>45</v>
      </c>
      <c r="AS935" s="542">
        <v>45</v>
      </c>
      <c r="AT935" s="542">
        <v>45</v>
      </c>
      <c r="AU935" s="542">
        <v>45</v>
      </c>
      <c r="AV935" s="542">
        <v>45</v>
      </c>
      <c r="AW935" s="542">
        <v>45</v>
      </c>
      <c r="AX935" s="542">
        <v>45</v>
      </c>
      <c r="AY935" s="542">
        <v>45</v>
      </c>
      <c r="AZ935" s="542">
        <v>45</v>
      </c>
      <c r="BA935" s="542">
        <v>45</v>
      </c>
      <c r="BB935" s="542">
        <v>45</v>
      </c>
      <c r="BC935" s="542">
        <v>45</v>
      </c>
      <c r="BD935" s="542">
        <v>45</v>
      </c>
      <c r="BE935" s="542">
        <v>45</v>
      </c>
      <c r="BF935" s="542">
        <v>45</v>
      </c>
      <c r="BG935" s="542">
        <v>45</v>
      </c>
      <c r="BH935" s="542">
        <v>45</v>
      </c>
      <c r="BI935" s="542">
        <v>45</v>
      </c>
      <c r="BJ935" s="542">
        <v>45</v>
      </c>
      <c r="BK935" s="542">
        <v>45</v>
      </c>
      <c r="BL935" s="542">
        <v>45</v>
      </c>
      <c r="BM935" s="542">
        <v>45</v>
      </c>
      <c r="BN935" s="542">
        <v>45</v>
      </c>
      <c r="BO935" s="542">
        <v>45</v>
      </c>
      <c r="BP935" s="542">
        <v>45</v>
      </c>
      <c r="BQ935" s="542">
        <v>45</v>
      </c>
      <c r="BR935" s="542">
        <v>45</v>
      </c>
      <c r="BS935" s="542">
        <v>45</v>
      </c>
      <c r="BT935" s="542">
        <v>45</v>
      </c>
      <c r="BU935" s="542">
        <v>45</v>
      </c>
      <c r="BV935" s="542">
        <v>45</v>
      </c>
      <c r="BW935" s="542">
        <v>45</v>
      </c>
      <c r="BX935" s="542">
        <v>45</v>
      </c>
      <c r="BY935" s="542">
        <v>45</v>
      </c>
      <c r="BZ935" s="542">
        <v>45</v>
      </c>
      <c r="CA935" s="542">
        <v>45</v>
      </c>
      <c r="CB935" s="542">
        <v>45</v>
      </c>
      <c r="CC935" s="542">
        <v>45</v>
      </c>
      <c r="CD935" s="542">
        <v>45</v>
      </c>
      <c r="CE935" s="542">
        <v>45</v>
      </c>
      <c r="CF935" s="542">
        <v>45</v>
      </c>
      <c r="CG935" s="542">
        <v>45</v>
      </c>
      <c r="CH935" s="542">
        <v>45</v>
      </c>
      <c r="CI935" s="542">
        <v>45</v>
      </c>
    </row>
    <row r="936" spans="1:87" ht="14.25" customHeight="1" x14ac:dyDescent="0.35">
      <c r="A936" s="42" t="s">
        <v>114</v>
      </c>
      <c r="B936" s="542">
        <v>0</v>
      </c>
      <c r="C936" s="542">
        <v>0</v>
      </c>
      <c r="D936" s="542">
        <v>0</v>
      </c>
      <c r="E936" s="542">
        <v>0</v>
      </c>
      <c r="F936" s="542">
        <v>0</v>
      </c>
      <c r="G936" s="542">
        <v>0</v>
      </c>
      <c r="H936" s="542">
        <v>0</v>
      </c>
      <c r="I936" s="542">
        <v>0</v>
      </c>
      <c r="J936" s="542">
        <v>0</v>
      </c>
      <c r="K936" s="542">
        <v>0</v>
      </c>
      <c r="L936" s="542">
        <v>0</v>
      </c>
      <c r="M936" s="542">
        <v>0</v>
      </c>
      <c r="N936" s="542">
        <v>45</v>
      </c>
      <c r="O936" s="542">
        <v>45</v>
      </c>
      <c r="P936" s="542">
        <v>45</v>
      </c>
      <c r="Q936" s="542">
        <v>45</v>
      </c>
      <c r="R936" s="542">
        <v>45</v>
      </c>
      <c r="S936" s="542">
        <v>45</v>
      </c>
      <c r="T936" s="542">
        <v>45</v>
      </c>
      <c r="U936" s="542">
        <v>45</v>
      </c>
      <c r="V936" s="542">
        <v>45</v>
      </c>
      <c r="W936" s="542">
        <v>45</v>
      </c>
      <c r="X936" s="542">
        <v>45</v>
      </c>
      <c r="Y936" s="542">
        <v>45</v>
      </c>
      <c r="Z936" s="542">
        <v>45</v>
      </c>
      <c r="AA936" s="542">
        <v>45</v>
      </c>
      <c r="AB936" s="542">
        <v>45</v>
      </c>
      <c r="AC936" s="542">
        <v>45</v>
      </c>
      <c r="AD936" s="542">
        <v>45</v>
      </c>
      <c r="AE936" s="542">
        <v>45</v>
      </c>
      <c r="AF936" s="542">
        <v>45</v>
      </c>
      <c r="AG936" s="542">
        <v>45</v>
      </c>
      <c r="AH936" s="542">
        <v>45</v>
      </c>
      <c r="AI936" s="542">
        <v>45</v>
      </c>
      <c r="AJ936" s="542">
        <v>45</v>
      </c>
      <c r="AK936" s="542">
        <v>45</v>
      </c>
      <c r="AL936" s="542">
        <v>45</v>
      </c>
      <c r="AM936" s="542">
        <v>45</v>
      </c>
      <c r="AN936" s="542">
        <v>45</v>
      </c>
      <c r="AO936" s="542">
        <v>45</v>
      </c>
      <c r="AP936" s="542">
        <v>45</v>
      </c>
      <c r="AQ936" s="542">
        <v>45</v>
      </c>
      <c r="AR936" s="542">
        <v>45</v>
      </c>
      <c r="AS936" s="542">
        <v>45</v>
      </c>
      <c r="AT936" s="542">
        <v>45</v>
      </c>
      <c r="AU936" s="542">
        <v>45</v>
      </c>
      <c r="AV936" s="542">
        <v>45</v>
      </c>
      <c r="AW936" s="542">
        <v>45</v>
      </c>
      <c r="AX936" s="542">
        <v>45</v>
      </c>
      <c r="AY936" s="542">
        <v>45</v>
      </c>
      <c r="AZ936" s="542">
        <v>45</v>
      </c>
      <c r="BA936" s="542">
        <v>45</v>
      </c>
      <c r="BB936" s="542">
        <v>45</v>
      </c>
      <c r="BC936" s="542">
        <v>45</v>
      </c>
      <c r="BD936" s="542">
        <v>45</v>
      </c>
      <c r="BE936" s="542">
        <v>45</v>
      </c>
      <c r="BF936" s="542">
        <v>45</v>
      </c>
      <c r="BG936" s="542">
        <v>45</v>
      </c>
      <c r="BH936" s="542">
        <v>45</v>
      </c>
      <c r="BI936" s="542">
        <v>45</v>
      </c>
      <c r="BJ936" s="542">
        <v>45</v>
      </c>
      <c r="BK936" s="542">
        <v>45</v>
      </c>
      <c r="BL936" s="542">
        <v>45</v>
      </c>
      <c r="BM936" s="542">
        <v>45</v>
      </c>
      <c r="BN936" s="542">
        <v>45</v>
      </c>
      <c r="BO936" s="542">
        <v>45</v>
      </c>
      <c r="BP936" s="542">
        <v>45</v>
      </c>
      <c r="BQ936" s="542">
        <v>45</v>
      </c>
      <c r="BR936" s="542">
        <v>45</v>
      </c>
      <c r="BS936" s="542">
        <v>45</v>
      </c>
      <c r="BT936" s="542">
        <v>45</v>
      </c>
      <c r="BU936" s="542">
        <v>45</v>
      </c>
      <c r="BV936" s="542">
        <v>45</v>
      </c>
      <c r="BW936" s="542">
        <v>45</v>
      </c>
      <c r="BX936" s="542">
        <v>45</v>
      </c>
      <c r="BY936" s="542">
        <v>45</v>
      </c>
      <c r="BZ936" s="542">
        <v>45</v>
      </c>
      <c r="CA936" s="542">
        <v>45</v>
      </c>
      <c r="CB936" s="542">
        <v>45</v>
      </c>
      <c r="CC936" s="542">
        <v>45</v>
      </c>
      <c r="CD936" s="542">
        <v>45</v>
      </c>
      <c r="CE936" s="542">
        <v>45</v>
      </c>
      <c r="CF936" s="542">
        <v>45</v>
      </c>
      <c r="CG936" s="542">
        <v>45</v>
      </c>
      <c r="CH936" s="542">
        <v>45</v>
      </c>
      <c r="CI936" s="542">
        <v>45</v>
      </c>
    </row>
    <row r="937" spans="1:87" ht="14.25" customHeight="1" x14ac:dyDescent="0.35">
      <c r="A937" s="42" t="s">
        <v>115</v>
      </c>
      <c r="B937" s="542">
        <v>0</v>
      </c>
      <c r="C937" s="542">
        <v>0</v>
      </c>
      <c r="D937" s="542">
        <v>0</v>
      </c>
      <c r="E937" s="542">
        <v>0</v>
      </c>
      <c r="F937" s="542">
        <v>0</v>
      </c>
      <c r="G937" s="542">
        <v>0</v>
      </c>
      <c r="H937" s="542">
        <v>0</v>
      </c>
      <c r="I937" s="542">
        <v>0</v>
      </c>
      <c r="J937" s="542">
        <v>0</v>
      </c>
      <c r="K937" s="542">
        <v>0</v>
      </c>
      <c r="L937" s="542">
        <v>0</v>
      </c>
      <c r="M937" s="542">
        <v>0</v>
      </c>
      <c r="N937" s="542">
        <v>45</v>
      </c>
      <c r="O937" s="542">
        <v>45</v>
      </c>
      <c r="P937" s="542">
        <v>45</v>
      </c>
      <c r="Q937" s="542">
        <v>45</v>
      </c>
      <c r="R937" s="542">
        <v>45</v>
      </c>
      <c r="S937" s="542">
        <v>45</v>
      </c>
      <c r="T937" s="542">
        <v>45</v>
      </c>
      <c r="U937" s="542">
        <v>45</v>
      </c>
      <c r="V937" s="542">
        <v>45</v>
      </c>
      <c r="W937" s="542">
        <v>45</v>
      </c>
      <c r="X937" s="542">
        <v>45</v>
      </c>
      <c r="Y937" s="542">
        <v>45</v>
      </c>
      <c r="Z937" s="542">
        <v>45</v>
      </c>
      <c r="AA937" s="542">
        <v>45</v>
      </c>
      <c r="AB937" s="542">
        <v>45</v>
      </c>
      <c r="AC937" s="542">
        <v>45</v>
      </c>
      <c r="AD937" s="542">
        <v>45</v>
      </c>
      <c r="AE937" s="542">
        <v>45</v>
      </c>
      <c r="AF937" s="542">
        <v>45</v>
      </c>
      <c r="AG937" s="542">
        <v>45</v>
      </c>
      <c r="AH937" s="542">
        <v>45</v>
      </c>
      <c r="AI937" s="542">
        <v>45</v>
      </c>
      <c r="AJ937" s="542">
        <v>45</v>
      </c>
      <c r="AK937" s="542">
        <v>45</v>
      </c>
      <c r="AL937" s="542">
        <v>45</v>
      </c>
      <c r="AM937" s="542">
        <v>45</v>
      </c>
      <c r="AN937" s="542">
        <v>45</v>
      </c>
      <c r="AO937" s="542">
        <v>45</v>
      </c>
      <c r="AP937" s="542">
        <v>45</v>
      </c>
      <c r="AQ937" s="542">
        <v>45</v>
      </c>
      <c r="AR937" s="542">
        <v>45</v>
      </c>
      <c r="AS937" s="542">
        <v>45</v>
      </c>
      <c r="AT937" s="542">
        <v>45</v>
      </c>
      <c r="AU937" s="542">
        <v>45</v>
      </c>
      <c r="AV937" s="542">
        <v>45</v>
      </c>
      <c r="AW937" s="542">
        <v>45</v>
      </c>
      <c r="AX937" s="542">
        <v>45</v>
      </c>
      <c r="AY937" s="542">
        <v>45</v>
      </c>
      <c r="AZ937" s="542">
        <v>45</v>
      </c>
      <c r="BA937" s="542">
        <v>45</v>
      </c>
      <c r="BB937" s="542">
        <v>45</v>
      </c>
      <c r="BC937" s="542">
        <v>45</v>
      </c>
      <c r="BD937" s="542">
        <v>45</v>
      </c>
      <c r="BE937" s="542">
        <v>45</v>
      </c>
      <c r="BF937" s="542">
        <v>45</v>
      </c>
      <c r="BG937" s="542">
        <v>45</v>
      </c>
      <c r="BH937" s="542">
        <v>45</v>
      </c>
      <c r="BI937" s="542">
        <v>45</v>
      </c>
      <c r="BJ937" s="542">
        <v>45</v>
      </c>
      <c r="BK937" s="542">
        <v>45</v>
      </c>
      <c r="BL937" s="542">
        <v>45</v>
      </c>
      <c r="BM937" s="542">
        <v>45</v>
      </c>
      <c r="BN937" s="542">
        <v>45</v>
      </c>
      <c r="BO937" s="542">
        <v>45</v>
      </c>
      <c r="BP937" s="542">
        <v>45</v>
      </c>
      <c r="BQ937" s="542">
        <v>45</v>
      </c>
      <c r="BR937" s="542">
        <v>45</v>
      </c>
      <c r="BS937" s="542">
        <v>45</v>
      </c>
      <c r="BT937" s="542">
        <v>45</v>
      </c>
      <c r="BU937" s="542">
        <v>45</v>
      </c>
      <c r="BV937" s="542">
        <v>45</v>
      </c>
      <c r="BW937" s="542">
        <v>45</v>
      </c>
      <c r="BX937" s="542">
        <v>45</v>
      </c>
      <c r="BY937" s="542">
        <v>45</v>
      </c>
      <c r="BZ937" s="542">
        <v>45</v>
      </c>
      <c r="CA937" s="542">
        <v>45</v>
      </c>
      <c r="CB937" s="542">
        <v>45</v>
      </c>
      <c r="CC937" s="542">
        <v>45</v>
      </c>
      <c r="CD937" s="542">
        <v>45</v>
      </c>
      <c r="CE937" s="542">
        <v>45</v>
      </c>
      <c r="CF937" s="542">
        <v>45</v>
      </c>
      <c r="CG937" s="542">
        <v>45</v>
      </c>
      <c r="CH937" s="542">
        <v>45</v>
      </c>
      <c r="CI937" s="542">
        <v>45</v>
      </c>
    </row>
    <row r="938" spans="1:87" ht="14.25" customHeight="1" x14ac:dyDescent="0.35">
      <c r="A938" s="42" t="s">
        <v>116</v>
      </c>
      <c r="B938" s="542">
        <v>0</v>
      </c>
      <c r="C938" s="542">
        <v>0</v>
      </c>
      <c r="D938" s="542">
        <v>0</v>
      </c>
      <c r="E938" s="542">
        <v>0</v>
      </c>
      <c r="F938" s="542">
        <v>0</v>
      </c>
      <c r="G938" s="542">
        <v>0</v>
      </c>
      <c r="H938" s="542">
        <v>0</v>
      </c>
      <c r="I938" s="542">
        <v>0</v>
      </c>
      <c r="J938" s="542">
        <v>0</v>
      </c>
      <c r="K938" s="542">
        <v>0</v>
      </c>
      <c r="L938" s="542">
        <v>0</v>
      </c>
      <c r="M938" s="542">
        <v>0</v>
      </c>
      <c r="N938" s="542">
        <v>45</v>
      </c>
      <c r="O938" s="542">
        <v>45</v>
      </c>
      <c r="P938" s="542">
        <v>45</v>
      </c>
      <c r="Q938" s="542">
        <v>45</v>
      </c>
      <c r="R938" s="542">
        <v>45</v>
      </c>
      <c r="S938" s="542">
        <v>45</v>
      </c>
      <c r="T938" s="542">
        <v>45</v>
      </c>
      <c r="U938" s="542">
        <v>45</v>
      </c>
      <c r="V938" s="542">
        <v>45</v>
      </c>
      <c r="W938" s="542">
        <v>45</v>
      </c>
      <c r="X938" s="542">
        <v>45</v>
      </c>
      <c r="Y938" s="542">
        <v>45</v>
      </c>
      <c r="Z938" s="542">
        <v>45</v>
      </c>
      <c r="AA938" s="542">
        <v>45</v>
      </c>
      <c r="AB938" s="542">
        <v>45</v>
      </c>
      <c r="AC938" s="542">
        <v>45</v>
      </c>
      <c r="AD938" s="542">
        <v>45</v>
      </c>
      <c r="AE938" s="542">
        <v>45</v>
      </c>
      <c r="AF938" s="542">
        <v>45</v>
      </c>
      <c r="AG938" s="542">
        <v>45</v>
      </c>
      <c r="AH938" s="542">
        <v>45</v>
      </c>
      <c r="AI938" s="542">
        <v>45</v>
      </c>
      <c r="AJ938" s="542">
        <v>45</v>
      </c>
      <c r="AK938" s="542">
        <v>45</v>
      </c>
      <c r="AL938" s="542">
        <v>45</v>
      </c>
      <c r="AM938" s="542">
        <v>45</v>
      </c>
      <c r="AN938" s="542">
        <v>45</v>
      </c>
      <c r="AO938" s="542">
        <v>45</v>
      </c>
      <c r="AP938" s="542">
        <v>45</v>
      </c>
      <c r="AQ938" s="542">
        <v>45</v>
      </c>
      <c r="AR938" s="542">
        <v>45</v>
      </c>
      <c r="AS938" s="542">
        <v>45</v>
      </c>
      <c r="AT938" s="542">
        <v>45</v>
      </c>
      <c r="AU938" s="542">
        <v>45</v>
      </c>
      <c r="AV938" s="542">
        <v>45</v>
      </c>
      <c r="AW938" s="542">
        <v>45</v>
      </c>
      <c r="AX938" s="542">
        <v>45</v>
      </c>
      <c r="AY938" s="542">
        <v>45</v>
      </c>
      <c r="AZ938" s="542">
        <v>45</v>
      </c>
      <c r="BA938" s="542">
        <v>45</v>
      </c>
      <c r="BB938" s="542">
        <v>45</v>
      </c>
      <c r="BC938" s="542">
        <v>45</v>
      </c>
      <c r="BD938" s="542">
        <v>45</v>
      </c>
      <c r="BE938" s="542">
        <v>45</v>
      </c>
      <c r="BF938" s="542">
        <v>45</v>
      </c>
      <c r="BG938" s="542">
        <v>45</v>
      </c>
      <c r="BH938" s="542">
        <v>45</v>
      </c>
      <c r="BI938" s="542">
        <v>45</v>
      </c>
      <c r="BJ938" s="542">
        <v>45</v>
      </c>
      <c r="BK938" s="542">
        <v>45</v>
      </c>
      <c r="BL938" s="542">
        <v>45</v>
      </c>
      <c r="BM938" s="542">
        <v>45</v>
      </c>
      <c r="BN938" s="542">
        <v>45</v>
      </c>
      <c r="BO938" s="542">
        <v>45</v>
      </c>
      <c r="BP938" s="542">
        <v>45</v>
      </c>
      <c r="BQ938" s="542">
        <v>45</v>
      </c>
      <c r="BR938" s="542">
        <v>45</v>
      </c>
      <c r="BS938" s="542">
        <v>45</v>
      </c>
      <c r="BT938" s="542">
        <v>45</v>
      </c>
      <c r="BU938" s="542">
        <v>45</v>
      </c>
      <c r="BV938" s="542">
        <v>45</v>
      </c>
      <c r="BW938" s="542">
        <v>45</v>
      </c>
      <c r="BX938" s="542">
        <v>45</v>
      </c>
      <c r="BY938" s="542">
        <v>45</v>
      </c>
      <c r="BZ938" s="542">
        <v>45</v>
      </c>
      <c r="CA938" s="542">
        <v>45</v>
      </c>
      <c r="CB938" s="542">
        <v>45</v>
      </c>
      <c r="CC938" s="542">
        <v>45</v>
      </c>
      <c r="CD938" s="542">
        <v>45</v>
      </c>
      <c r="CE938" s="542">
        <v>45</v>
      </c>
      <c r="CF938" s="542">
        <v>45</v>
      </c>
      <c r="CG938" s="542">
        <v>45</v>
      </c>
      <c r="CH938" s="542">
        <v>45</v>
      </c>
      <c r="CI938" s="542">
        <v>45</v>
      </c>
    </row>
    <row r="939" spans="1:87" ht="14.25" customHeight="1" x14ac:dyDescent="0.35">
      <c r="A939" s="42" t="s">
        <v>117</v>
      </c>
      <c r="B939" s="542">
        <v>0</v>
      </c>
      <c r="C939" s="542">
        <v>0</v>
      </c>
      <c r="D939" s="542">
        <v>0</v>
      </c>
      <c r="E939" s="542">
        <v>0</v>
      </c>
      <c r="F939" s="542">
        <v>0</v>
      </c>
      <c r="G939" s="542">
        <v>0</v>
      </c>
      <c r="H939" s="542">
        <v>0</v>
      </c>
      <c r="I939" s="542">
        <v>0</v>
      </c>
      <c r="J939" s="542">
        <v>0</v>
      </c>
      <c r="K939" s="542">
        <v>0</v>
      </c>
      <c r="L939" s="542">
        <v>0</v>
      </c>
      <c r="M939" s="542">
        <v>0</v>
      </c>
      <c r="N939" s="542">
        <v>45</v>
      </c>
      <c r="O939" s="542">
        <v>45</v>
      </c>
      <c r="P939" s="542">
        <v>45</v>
      </c>
      <c r="Q939" s="542">
        <v>45</v>
      </c>
      <c r="R939" s="542">
        <v>45</v>
      </c>
      <c r="S939" s="542">
        <v>45</v>
      </c>
      <c r="T939" s="542">
        <v>45</v>
      </c>
      <c r="U939" s="542">
        <v>45</v>
      </c>
      <c r="V939" s="542">
        <v>45</v>
      </c>
      <c r="W939" s="542">
        <v>45</v>
      </c>
      <c r="X939" s="542">
        <v>45</v>
      </c>
      <c r="Y939" s="542">
        <v>45</v>
      </c>
      <c r="Z939" s="542">
        <v>45</v>
      </c>
      <c r="AA939" s="542">
        <v>45</v>
      </c>
      <c r="AB939" s="542">
        <v>45</v>
      </c>
      <c r="AC939" s="542">
        <v>45</v>
      </c>
      <c r="AD939" s="542">
        <v>45</v>
      </c>
      <c r="AE939" s="542">
        <v>45</v>
      </c>
      <c r="AF939" s="542">
        <v>45</v>
      </c>
      <c r="AG939" s="542">
        <v>45</v>
      </c>
      <c r="AH939" s="542">
        <v>45</v>
      </c>
      <c r="AI939" s="542">
        <v>45</v>
      </c>
      <c r="AJ939" s="542">
        <v>45</v>
      </c>
      <c r="AK939" s="542">
        <v>45</v>
      </c>
      <c r="AL939" s="542">
        <v>45</v>
      </c>
      <c r="AM939" s="542">
        <v>45</v>
      </c>
      <c r="AN939" s="542">
        <v>45</v>
      </c>
      <c r="AO939" s="542">
        <v>45</v>
      </c>
      <c r="AP939" s="542">
        <v>45</v>
      </c>
      <c r="AQ939" s="542">
        <v>45</v>
      </c>
      <c r="AR939" s="542">
        <v>45</v>
      </c>
      <c r="AS939" s="542">
        <v>45</v>
      </c>
      <c r="AT939" s="542">
        <v>45</v>
      </c>
      <c r="AU939" s="542">
        <v>45</v>
      </c>
      <c r="AV939" s="542">
        <v>45</v>
      </c>
      <c r="AW939" s="542">
        <v>45</v>
      </c>
      <c r="AX939" s="542">
        <v>45</v>
      </c>
      <c r="AY939" s="542">
        <v>45</v>
      </c>
      <c r="AZ939" s="542">
        <v>45</v>
      </c>
      <c r="BA939" s="542">
        <v>45</v>
      </c>
      <c r="BB939" s="542">
        <v>45</v>
      </c>
      <c r="BC939" s="542">
        <v>45</v>
      </c>
      <c r="BD939" s="542">
        <v>45</v>
      </c>
      <c r="BE939" s="542">
        <v>45</v>
      </c>
      <c r="BF939" s="542">
        <v>45</v>
      </c>
      <c r="BG939" s="542">
        <v>45</v>
      </c>
      <c r="BH939" s="542">
        <v>45</v>
      </c>
      <c r="BI939" s="542">
        <v>45</v>
      </c>
      <c r="BJ939" s="542">
        <v>45</v>
      </c>
      <c r="BK939" s="542">
        <v>45</v>
      </c>
      <c r="BL939" s="542">
        <v>45</v>
      </c>
      <c r="BM939" s="542">
        <v>45</v>
      </c>
      <c r="BN939" s="542">
        <v>45</v>
      </c>
      <c r="BO939" s="542">
        <v>45</v>
      </c>
      <c r="BP939" s="542">
        <v>45</v>
      </c>
      <c r="BQ939" s="542">
        <v>45</v>
      </c>
      <c r="BR939" s="542">
        <v>45</v>
      </c>
      <c r="BS939" s="542">
        <v>45</v>
      </c>
      <c r="BT939" s="542">
        <v>45</v>
      </c>
      <c r="BU939" s="542">
        <v>45</v>
      </c>
      <c r="BV939" s="542">
        <v>45</v>
      </c>
      <c r="BW939" s="542">
        <v>45</v>
      </c>
      <c r="BX939" s="542">
        <v>45</v>
      </c>
      <c r="BY939" s="542">
        <v>45</v>
      </c>
      <c r="BZ939" s="542">
        <v>45</v>
      </c>
      <c r="CA939" s="542">
        <v>45</v>
      </c>
      <c r="CB939" s="542">
        <v>45</v>
      </c>
      <c r="CC939" s="542">
        <v>45</v>
      </c>
      <c r="CD939" s="542">
        <v>45</v>
      </c>
      <c r="CE939" s="542">
        <v>45</v>
      </c>
      <c r="CF939" s="542">
        <v>45</v>
      </c>
      <c r="CG939" s="542">
        <v>45</v>
      </c>
      <c r="CH939" s="542">
        <v>45</v>
      </c>
      <c r="CI939" s="542">
        <v>45</v>
      </c>
    </row>
    <row r="940" spans="1:87" ht="14.25" customHeight="1" x14ac:dyDescent="0.35">
      <c r="A940" s="42" t="s">
        <v>118</v>
      </c>
      <c r="B940" s="542">
        <v>0</v>
      </c>
      <c r="C940" s="542">
        <v>0</v>
      </c>
      <c r="D940" s="542">
        <v>0</v>
      </c>
      <c r="E940" s="542">
        <v>0</v>
      </c>
      <c r="F940" s="542">
        <v>0</v>
      </c>
      <c r="G940" s="542">
        <v>0</v>
      </c>
      <c r="H940" s="542">
        <v>0</v>
      </c>
      <c r="I940" s="542">
        <v>0</v>
      </c>
      <c r="J940" s="542">
        <v>0</v>
      </c>
      <c r="K940" s="542">
        <v>0</v>
      </c>
      <c r="L940" s="542">
        <v>0</v>
      </c>
      <c r="M940" s="542">
        <v>0</v>
      </c>
      <c r="N940" s="542">
        <v>45</v>
      </c>
      <c r="O940" s="542">
        <v>45</v>
      </c>
      <c r="P940" s="542">
        <v>45</v>
      </c>
      <c r="Q940" s="542">
        <v>45</v>
      </c>
      <c r="R940" s="542">
        <v>45</v>
      </c>
      <c r="S940" s="542">
        <v>45</v>
      </c>
      <c r="T940" s="542">
        <v>45</v>
      </c>
      <c r="U940" s="542">
        <v>45</v>
      </c>
      <c r="V940" s="542">
        <v>45</v>
      </c>
      <c r="W940" s="542">
        <v>45</v>
      </c>
      <c r="X940" s="542">
        <v>45</v>
      </c>
      <c r="Y940" s="542">
        <v>45</v>
      </c>
      <c r="Z940" s="542">
        <v>45</v>
      </c>
      <c r="AA940" s="542">
        <v>45</v>
      </c>
      <c r="AB940" s="542">
        <v>45</v>
      </c>
      <c r="AC940" s="542">
        <v>45</v>
      </c>
      <c r="AD940" s="542">
        <v>45</v>
      </c>
      <c r="AE940" s="542">
        <v>45</v>
      </c>
      <c r="AF940" s="542">
        <v>45</v>
      </c>
      <c r="AG940" s="542">
        <v>45</v>
      </c>
      <c r="AH940" s="542">
        <v>45</v>
      </c>
      <c r="AI940" s="542">
        <v>45</v>
      </c>
      <c r="AJ940" s="542">
        <v>45</v>
      </c>
      <c r="AK940" s="542">
        <v>45</v>
      </c>
      <c r="AL940" s="542">
        <v>45</v>
      </c>
      <c r="AM940" s="542">
        <v>45</v>
      </c>
      <c r="AN940" s="542">
        <v>45</v>
      </c>
      <c r="AO940" s="542">
        <v>45</v>
      </c>
      <c r="AP940" s="542">
        <v>45</v>
      </c>
      <c r="AQ940" s="542">
        <v>45</v>
      </c>
      <c r="AR940" s="542">
        <v>45</v>
      </c>
      <c r="AS940" s="542">
        <v>45</v>
      </c>
      <c r="AT940" s="542">
        <v>45</v>
      </c>
      <c r="AU940" s="542">
        <v>45</v>
      </c>
      <c r="AV940" s="542">
        <v>45</v>
      </c>
      <c r="AW940" s="542">
        <v>45</v>
      </c>
      <c r="AX940" s="542">
        <v>45</v>
      </c>
      <c r="AY940" s="542">
        <v>45</v>
      </c>
      <c r="AZ940" s="542">
        <v>45</v>
      </c>
      <c r="BA940" s="542">
        <v>45</v>
      </c>
      <c r="BB940" s="542">
        <v>45</v>
      </c>
      <c r="BC940" s="542">
        <v>45</v>
      </c>
      <c r="BD940" s="542">
        <v>45</v>
      </c>
      <c r="BE940" s="542">
        <v>45</v>
      </c>
      <c r="BF940" s="542">
        <v>45</v>
      </c>
      <c r="BG940" s="542">
        <v>45</v>
      </c>
      <c r="BH940" s="542">
        <v>45</v>
      </c>
      <c r="BI940" s="542">
        <v>45</v>
      </c>
      <c r="BJ940" s="542">
        <v>45</v>
      </c>
      <c r="BK940" s="542">
        <v>45</v>
      </c>
      <c r="BL940" s="542">
        <v>45</v>
      </c>
      <c r="BM940" s="542">
        <v>45</v>
      </c>
      <c r="BN940" s="542">
        <v>45</v>
      </c>
      <c r="BO940" s="542">
        <v>45</v>
      </c>
      <c r="BP940" s="542">
        <v>45</v>
      </c>
      <c r="BQ940" s="542">
        <v>45</v>
      </c>
      <c r="BR940" s="542">
        <v>45</v>
      </c>
      <c r="BS940" s="542">
        <v>45</v>
      </c>
      <c r="BT940" s="542">
        <v>45</v>
      </c>
      <c r="BU940" s="542">
        <v>45</v>
      </c>
      <c r="BV940" s="542">
        <v>45</v>
      </c>
      <c r="BW940" s="542">
        <v>45</v>
      </c>
      <c r="BX940" s="542">
        <v>45</v>
      </c>
      <c r="BY940" s="542">
        <v>45</v>
      </c>
      <c r="BZ940" s="542">
        <v>45</v>
      </c>
      <c r="CA940" s="542">
        <v>45</v>
      </c>
      <c r="CB940" s="542">
        <v>45</v>
      </c>
      <c r="CC940" s="542">
        <v>45</v>
      </c>
      <c r="CD940" s="542">
        <v>45</v>
      </c>
      <c r="CE940" s="542">
        <v>45</v>
      </c>
      <c r="CF940" s="542">
        <v>45</v>
      </c>
      <c r="CG940" s="542">
        <v>45</v>
      </c>
      <c r="CH940" s="542">
        <v>45</v>
      </c>
      <c r="CI940" s="542">
        <v>45</v>
      </c>
    </row>
    <row r="941" spans="1:87" ht="14.25" customHeight="1" x14ac:dyDescent="0.35">
      <c r="A941" s="42" t="s">
        <v>119</v>
      </c>
      <c r="B941" s="542">
        <v>0</v>
      </c>
      <c r="C941" s="542">
        <v>0</v>
      </c>
      <c r="D941" s="542">
        <v>0</v>
      </c>
      <c r="E941" s="542">
        <v>0</v>
      </c>
      <c r="F941" s="542">
        <v>0</v>
      </c>
      <c r="G941" s="542">
        <v>0</v>
      </c>
      <c r="H941" s="542">
        <v>0</v>
      </c>
      <c r="I941" s="542">
        <v>0</v>
      </c>
      <c r="J941" s="542">
        <v>0</v>
      </c>
      <c r="K941" s="542">
        <v>0</v>
      </c>
      <c r="L941" s="542">
        <v>0</v>
      </c>
      <c r="M941" s="542">
        <v>0</v>
      </c>
      <c r="N941" s="542">
        <v>45</v>
      </c>
      <c r="O941" s="542">
        <v>45</v>
      </c>
      <c r="P941" s="542">
        <v>45</v>
      </c>
      <c r="Q941" s="542">
        <v>45</v>
      </c>
      <c r="R941" s="542">
        <v>45</v>
      </c>
      <c r="S941" s="542">
        <v>45</v>
      </c>
      <c r="T941" s="542">
        <v>45</v>
      </c>
      <c r="U941" s="542">
        <v>45</v>
      </c>
      <c r="V941" s="542">
        <v>45</v>
      </c>
      <c r="W941" s="542">
        <v>45</v>
      </c>
      <c r="X941" s="542">
        <v>45</v>
      </c>
      <c r="Y941" s="542">
        <v>45</v>
      </c>
      <c r="Z941" s="542">
        <v>45</v>
      </c>
      <c r="AA941" s="542">
        <v>45</v>
      </c>
      <c r="AB941" s="542">
        <v>45</v>
      </c>
      <c r="AC941" s="542">
        <v>45</v>
      </c>
      <c r="AD941" s="542">
        <v>45</v>
      </c>
      <c r="AE941" s="542">
        <v>45</v>
      </c>
      <c r="AF941" s="542">
        <v>45</v>
      </c>
      <c r="AG941" s="542">
        <v>45</v>
      </c>
      <c r="AH941" s="542">
        <v>45</v>
      </c>
      <c r="AI941" s="542">
        <v>45</v>
      </c>
      <c r="AJ941" s="542">
        <v>45</v>
      </c>
      <c r="AK941" s="542">
        <v>45</v>
      </c>
      <c r="AL941" s="542">
        <v>45</v>
      </c>
      <c r="AM941" s="542">
        <v>45</v>
      </c>
      <c r="AN941" s="542">
        <v>45</v>
      </c>
      <c r="AO941" s="542">
        <v>45</v>
      </c>
      <c r="AP941" s="542">
        <v>45</v>
      </c>
      <c r="AQ941" s="542">
        <v>45</v>
      </c>
      <c r="AR941" s="542">
        <v>45</v>
      </c>
      <c r="AS941" s="542">
        <v>45</v>
      </c>
      <c r="AT941" s="542">
        <v>45</v>
      </c>
      <c r="AU941" s="542">
        <v>45</v>
      </c>
      <c r="AV941" s="542">
        <v>45</v>
      </c>
      <c r="AW941" s="542">
        <v>45</v>
      </c>
      <c r="AX941" s="542">
        <v>45</v>
      </c>
      <c r="AY941" s="542">
        <v>45</v>
      </c>
      <c r="AZ941" s="542">
        <v>45</v>
      </c>
      <c r="BA941" s="542">
        <v>45</v>
      </c>
      <c r="BB941" s="542">
        <v>45</v>
      </c>
      <c r="BC941" s="542">
        <v>45</v>
      </c>
      <c r="BD941" s="542">
        <v>45</v>
      </c>
      <c r="BE941" s="542">
        <v>45</v>
      </c>
      <c r="BF941" s="542">
        <v>45</v>
      </c>
      <c r="BG941" s="542">
        <v>45</v>
      </c>
      <c r="BH941" s="542">
        <v>45</v>
      </c>
      <c r="BI941" s="542">
        <v>45</v>
      </c>
      <c r="BJ941" s="542">
        <v>45</v>
      </c>
      <c r="BK941" s="542">
        <v>45</v>
      </c>
      <c r="BL941" s="542">
        <v>45</v>
      </c>
      <c r="BM941" s="542">
        <v>45</v>
      </c>
      <c r="BN941" s="542">
        <v>45</v>
      </c>
      <c r="BO941" s="542">
        <v>45</v>
      </c>
      <c r="BP941" s="542">
        <v>45</v>
      </c>
      <c r="BQ941" s="542">
        <v>45</v>
      </c>
      <c r="BR941" s="542">
        <v>45</v>
      </c>
      <c r="BS941" s="542">
        <v>45</v>
      </c>
      <c r="BT941" s="542">
        <v>45</v>
      </c>
      <c r="BU941" s="542">
        <v>45</v>
      </c>
      <c r="BV941" s="542">
        <v>45</v>
      </c>
      <c r="BW941" s="542">
        <v>45</v>
      </c>
      <c r="BX941" s="542">
        <v>45</v>
      </c>
      <c r="BY941" s="542">
        <v>45</v>
      </c>
      <c r="BZ941" s="542">
        <v>45</v>
      </c>
      <c r="CA941" s="542">
        <v>45</v>
      </c>
      <c r="CB941" s="542">
        <v>45</v>
      </c>
      <c r="CC941" s="542">
        <v>45</v>
      </c>
      <c r="CD941" s="542">
        <v>45</v>
      </c>
      <c r="CE941" s="542">
        <v>45</v>
      </c>
      <c r="CF941" s="542">
        <v>45</v>
      </c>
      <c r="CG941" s="542">
        <v>45</v>
      </c>
      <c r="CH941" s="542">
        <v>45</v>
      </c>
      <c r="CI941" s="542">
        <v>45</v>
      </c>
    </row>
    <row r="942" spans="1:87" ht="14.25" customHeight="1" x14ac:dyDescent="0.35">
      <c r="A942" s="42" t="s">
        <v>120</v>
      </c>
      <c r="B942" s="542">
        <v>0</v>
      </c>
      <c r="C942" s="542">
        <v>0</v>
      </c>
      <c r="D942" s="542">
        <v>0</v>
      </c>
      <c r="E942" s="542">
        <v>0</v>
      </c>
      <c r="F942" s="542">
        <v>0</v>
      </c>
      <c r="G942" s="542">
        <v>0</v>
      </c>
      <c r="H942" s="542">
        <v>0</v>
      </c>
      <c r="I942" s="542">
        <v>0</v>
      </c>
      <c r="J942" s="542">
        <v>0</v>
      </c>
      <c r="K942" s="542">
        <v>0</v>
      </c>
      <c r="L942" s="542">
        <v>0</v>
      </c>
      <c r="M942" s="542">
        <v>0</v>
      </c>
      <c r="N942" s="542">
        <v>45</v>
      </c>
      <c r="O942" s="542">
        <v>45</v>
      </c>
      <c r="P942" s="542">
        <v>45</v>
      </c>
      <c r="Q942" s="542">
        <v>45</v>
      </c>
      <c r="R942" s="542">
        <v>45</v>
      </c>
      <c r="S942" s="542">
        <v>45</v>
      </c>
      <c r="T942" s="542">
        <v>45</v>
      </c>
      <c r="U942" s="542">
        <v>45</v>
      </c>
      <c r="V942" s="542">
        <v>45</v>
      </c>
      <c r="W942" s="542">
        <v>45</v>
      </c>
      <c r="X942" s="542">
        <v>45</v>
      </c>
      <c r="Y942" s="542">
        <v>45</v>
      </c>
      <c r="Z942" s="542">
        <v>45</v>
      </c>
      <c r="AA942" s="542">
        <v>45</v>
      </c>
      <c r="AB942" s="542">
        <v>45</v>
      </c>
      <c r="AC942" s="542">
        <v>45</v>
      </c>
      <c r="AD942" s="542">
        <v>45</v>
      </c>
      <c r="AE942" s="542">
        <v>45</v>
      </c>
      <c r="AF942" s="542">
        <v>45</v>
      </c>
      <c r="AG942" s="542">
        <v>45</v>
      </c>
      <c r="AH942" s="542">
        <v>45</v>
      </c>
      <c r="AI942" s="542">
        <v>45</v>
      </c>
      <c r="AJ942" s="542">
        <v>45</v>
      </c>
      <c r="AK942" s="542">
        <v>45</v>
      </c>
      <c r="AL942" s="542">
        <v>45</v>
      </c>
      <c r="AM942" s="542">
        <v>45</v>
      </c>
      <c r="AN942" s="542">
        <v>45</v>
      </c>
      <c r="AO942" s="542">
        <v>45</v>
      </c>
      <c r="AP942" s="542">
        <v>45</v>
      </c>
      <c r="AQ942" s="542">
        <v>45</v>
      </c>
      <c r="AR942" s="542">
        <v>45</v>
      </c>
      <c r="AS942" s="542">
        <v>45</v>
      </c>
      <c r="AT942" s="542">
        <v>45</v>
      </c>
      <c r="AU942" s="542">
        <v>45</v>
      </c>
      <c r="AV942" s="542">
        <v>45</v>
      </c>
      <c r="AW942" s="542">
        <v>45</v>
      </c>
      <c r="AX942" s="542">
        <v>45</v>
      </c>
      <c r="AY942" s="542">
        <v>45</v>
      </c>
      <c r="AZ942" s="542">
        <v>45</v>
      </c>
      <c r="BA942" s="542">
        <v>45</v>
      </c>
      <c r="BB942" s="542">
        <v>45</v>
      </c>
      <c r="BC942" s="542">
        <v>45</v>
      </c>
      <c r="BD942" s="542">
        <v>45</v>
      </c>
      <c r="BE942" s="542">
        <v>45</v>
      </c>
      <c r="BF942" s="542">
        <v>45</v>
      </c>
      <c r="BG942" s="542">
        <v>45</v>
      </c>
      <c r="BH942" s="542">
        <v>45</v>
      </c>
      <c r="BI942" s="542">
        <v>45</v>
      </c>
      <c r="BJ942" s="542">
        <v>45</v>
      </c>
      <c r="BK942" s="542">
        <v>45</v>
      </c>
      <c r="BL942" s="542">
        <v>45</v>
      </c>
      <c r="BM942" s="542">
        <v>45</v>
      </c>
      <c r="BN942" s="542">
        <v>45</v>
      </c>
      <c r="BO942" s="542">
        <v>45</v>
      </c>
      <c r="BP942" s="542">
        <v>45</v>
      </c>
      <c r="BQ942" s="542">
        <v>45</v>
      </c>
      <c r="BR942" s="542">
        <v>45</v>
      </c>
      <c r="BS942" s="542">
        <v>45</v>
      </c>
      <c r="BT942" s="542">
        <v>45</v>
      </c>
      <c r="BU942" s="542">
        <v>45</v>
      </c>
      <c r="BV942" s="542">
        <v>45</v>
      </c>
      <c r="BW942" s="542">
        <v>45</v>
      </c>
      <c r="BX942" s="542">
        <v>45</v>
      </c>
      <c r="BY942" s="542">
        <v>45</v>
      </c>
      <c r="BZ942" s="542">
        <v>45</v>
      </c>
      <c r="CA942" s="542">
        <v>45</v>
      </c>
      <c r="CB942" s="542">
        <v>45</v>
      </c>
      <c r="CC942" s="542">
        <v>45</v>
      </c>
      <c r="CD942" s="542">
        <v>45</v>
      </c>
      <c r="CE942" s="542">
        <v>45</v>
      </c>
      <c r="CF942" s="542">
        <v>45</v>
      </c>
      <c r="CG942" s="542">
        <v>45</v>
      </c>
      <c r="CH942" s="542">
        <v>45</v>
      </c>
      <c r="CI942" s="542">
        <v>45</v>
      </c>
    </row>
    <row r="943" spans="1:87" ht="14.25" customHeight="1" x14ac:dyDescent="0.35">
      <c r="A943" s="42" t="s">
        <v>143</v>
      </c>
      <c r="B943" s="542">
        <v>0</v>
      </c>
      <c r="C943" s="542">
        <v>0</v>
      </c>
      <c r="D943" s="542">
        <v>0</v>
      </c>
      <c r="E943" s="542">
        <v>0</v>
      </c>
      <c r="F943" s="542">
        <v>0</v>
      </c>
      <c r="G943" s="542">
        <v>0</v>
      </c>
      <c r="H943" s="542">
        <v>0</v>
      </c>
      <c r="I943" s="542">
        <v>0</v>
      </c>
      <c r="J943" s="542">
        <v>0</v>
      </c>
      <c r="K943" s="542">
        <v>0</v>
      </c>
      <c r="L943" s="542">
        <v>0</v>
      </c>
      <c r="M943" s="542">
        <v>0</v>
      </c>
      <c r="N943" s="542">
        <v>45</v>
      </c>
      <c r="O943" s="542">
        <v>45</v>
      </c>
      <c r="P943" s="542">
        <v>45</v>
      </c>
      <c r="Q943" s="542">
        <v>45</v>
      </c>
      <c r="R943" s="542">
        <v>45</v>
      </c>
      <c r="S943" s="542">
        <v>45</v>
      </c>
      <c r="T943" s="542">
        <v>45</v>
      </c>
      <c r="U943" s="542">
        <v>45</v>
      </c>
      <c r="V943" s="542">
        <v>45</v>
      </c>
      <c r="W943" s="542">
        <v>45</v>
      </c>
      <c r="X943" s="542">
        <v>45</v>
      </c>
      <c r="Y943" s="542">
        <v>45</v>
      </c>
      <c r="Z943" s="542">
        <v>45</v>
      </c>
      <c r="AA943" s="542">
        <v>45</v>
      </c>
      <c r="AB943" s="542">
        <v>45</v>
      </c>
      <c r="AC943" s="542">
        <v>45</v>
      </c>
      <c r="AD943" s="542">
        <v>45</v>
      </c>
      <c r="AE943" s="542">
        <v>45</v>
      </c>
      <c r="AF943" s="542">
        <v>45</v>
      </c>
      <c r="AG943" s="542">
        <v>45</v>
      </c>
      <c r="AH943" s="542">
        <v>45</v>
      </c>
      <c r="AI943" s="542">
        <v>45</v>
      </c>
      <c r="AJ943" s="542">
        <v>45</v>
      </c>
      <c r="AK943" s="542">
        <v>45</v>
      </c>
      <c r="AL943" s="542">
        <v>45</v>
      </c>
      <c r="AM943" s="542">
        <v>45</v>
      </c>
      <c r="AN943" s="542">
        <v>45</v>
      </c>
      <c r="AO943" s="542">
        <v>45</v>
      </c>
      <c r="AP943" s="542">
        <v>45</v>
      </c>
      <c r="AQ943" s="542">
        <v>45</v>
      </c>
      <c r="AR943" s="542">
        <v>45</v>
      </c>
      <c r="AS943" s="542">
        <v>45</v>
      </c>
      <c r="AT943" s="542">
        <v>45</v>
      </c>
      <c r="AU943" s="542">
        <v>45</v>
      </c>
      <c r="AV943" s="542">
        <v>45</v>
      </c>
      <c r="AW943" s="542">
        <v>45</v>
      </c>
      <c r="AX943" s="542">
        <v>45</v>
      </c>
      <c r="AY943" s="542">
        <v>45</v>
      </c>
      <c r="AZ943" s="542">
        <v>45</v>
      </c>
      <c r="BA943" s="542">
        <v>45</v>
      </c>
      <c r="BB943" s="542">
        <v>45</v>
      </c>
      <c r="BC943" s="542">
        <v>45</v>
      </c>
      <c r="BD943" s="542">
        <v>45</v>
      </c>
      <c r="BE943" s="542">
        <v>45</v>
      </c>
      <c r="BF943" s="542">
        <v>45</v>
      </c>
      <c r="BG943" s="542">
        <v>45</v>
      </c>
      <c r="BH943" s="542">
        <v>45</v>
      </c>
      <c r="BI943" s="542">
        <v>45</v>
      </c>
      <c r="BJ943" s="542">
        <v>45</v>
      </c>
      <c r="BK943" s="542">
        <v>45</v>
      </c>
      <c r="BL943" s="542">
        <v>45</v>
      </c>
      <c r="BM943" s="542">
        <v>45</v>
      </c>
      <c r="BN943" s="542">
        <v>45</v>
      </c>
      <c r="BO943" s="542">
        <v>45</v>
      </c>
      <c r="BP943" s="542">
        <v>45</v>
      </c>
      <c r="BQ943" s="542">
        <v>45</v>
      </c>
      <c r="BR943" s="542">
        <v>45</v>
      </c>
      <c r="BS943" s="542">
        <v>45</v>
      </c>
      <c r="BT943" s="542">
        <v>45</v>
      </c>
      <c r="BU943" s="542">
        <v>45</v>
      </c>
      <c r="BV943" s="542">
        <v>45</v>
      </c>
      <c r="BW943" s="542">
        <v>45</v>
      </c>
      <c r="BX943" s="542">
        <v>45</v>
      </c>
      <c r="BY943" s="542">
        <v>45</v>
      </c>
      <c r="BZ943" s="542">
        <v>45</v>
      </c>
      <c r="CA943" s="542">
        <v>45</v>
      </c>
      <c r="CB943" s="542">
        <v>45</v>
      </c>
      <c r="CC943" s="542">
        <v>45</v>
      </c>
      <c r="CD943" s="542">
        <v>45</v>
      </c>
      <c r="CE943" s="542">
        <v>45</v>
      </c>
      <c r="CF943" s="542">
        <v>45</v>
      </c>
      <c r="CG943" s="542">
        <v>45</v>
      </c>
      <c r="CH943" s="542">
        <v>45</v>
      </c>
      <c r="CI943" s="542">
        <v>45</v>
      </c>
    </row>
    <row r="944" spans="1:87" ht="14.25" customHeight="1" x14ac:dyDescent="0.35">
      <c r="A944" s="42" t="s">
        <v>83</v>
      </c>
      <c r="B944" s="542">
        <v>0</v>
      </c>
      <c r="C944" s="542">
        <v>0</v>
      </c>
      <c r="D944" s="542">
        <v>0</v>
      </c>
      <c r="E944" s="542">
        <v>0</v>
      </c>
      <c r="F944" s="542">
        <v>0</v>
      </c>
      <c r="G944" s="542">
        <v>0</v>
      </c>
      <c r="H944" s="542">
        <v>0</v>
      </c>
      <c r="I944" s="542">
        <v>0</v>
      </c>
      <c r="J944" s="542">
        <v>0</v>
      </c>
      <c r="K944" s="542">
        <v>0</v>
      </c>
      <c r="L944" s="542">
        <v>0</v>
      </c>
      <c r="M944" s="542">
        <v>0</v>
      </c>
      <c r="N944" s="542">
        <v>45</v>
      </c>
      <c r="O944" s="542">
        <v>45</v>
      </c>
      <c r="P944" s="542">
        <v>45</v>
      </c>
      <c r="Q944" s="542">
        <v>45</v>
      </c>
      <c r="R944" s="542">
        <v>45</v>
      </c>
      <c r="S944" s="542">
        <v>45</v>
      </c>
      <c r="T944" s="542">
        <v>45</v>
      </c>
      <c r="U944" s="542">
        <v>45</v>
      </c>
      <c r="V944" s="542">
        <v>45</v>
      </c>
      <c r="W944" s="542">
        <v>45</v>
      </c>
      <c r="X944" s="542">
        <v>45</v>
      </c>
      <c r="Y944" s="542">
        <v>45</v>
      </c>
      <c r="Z944" s="542">
        <v>45</v>
      </c>
      <c r="AA944" s="542">
        <v>45</v>
      </c>
      <c r="AB944" s="542">
        <v>45</v>
      </c>
      <c r="AC944" s="542">
        <v>45</v>
      </c>
      <c r="AD944" s="542">
        <v>45</v>
      </c>
      <c r="AE944" s="542">
        <v>45</v>
      </c>
      <c r="AF944" s="542">
        <v>45</v>
      </c>
      <c r="AG944" s="542">
        <v>45</v>
      </c>
      <c r="AH944" s="542">
        <v>45</v>
      </c>
      <c r="AI944" s="542">
        <v>45</v>
      </c>
      <c r="AJ944" s="542">
        <v>45</v>
      </c>
      <c r="AK944" s="542">
        <v>45</v>
      </c>
      <c r="AL944" s="542">
        <v>45</v>
      </c>
      <c r="AM944" s="542">
        <v>45</v>
      </c>
      <c r="AN944" s="542">
        <v>45</v>
      </c>
      <c r="AO944" s="542">
        <v>45</v>
      </c>
      <c r="AP944" s="542">
        <v>45</v>
      </c>
      <c r="AQ944" s="542">
        <v>45</v>
      </c>
      <c r="AR944" s="542">
        <v>45</v>
      </c>
      <c r="AS944" s="542">
        <v>45</v>
      </c>
      <c r="AT944" s="542">
        <v>45</v>
      </c>
      <c r="AU944" s="542">
        <v>45</v>
      </c>
      <c r="AV944" s="542">
        <v>45</v>
      </c>
      <c r="AW944" s="542">
        <v>45</v>
      </c>
      <c r="AX944" s="542">
        <v>45</v>
      </c>
      <c r="AY944" s="542">
        <v>45</v>
      </c>
      <c r="AZ944" s="542">
        <v>45</v>
      </c>
      <c r="BA944" s="542">
        <v>45</v>
      </c>
      <c r="BB944" s="542">
        <v>45</v>
      </c>
      <c r="BC944" s="542">
        <v>45</v>
      </c>
      <c r="BD944" s="542">
        <v>45</v>
      </c>
      <c r="BE944" s="542">
        <v>45</v>
      </c>
      <c r="BF944" s="542">
        <v>45</v>
      </c>
      <c r="BG944" s="542">
        <v>45</v>
      </c>
      <c r="BH944" s="542">
        <v>45</v>
      </c>
      <c r="BI944" s="542">
        <v>45</v>
      </c>
      <c r="BJ944" s="542">
        <v>45</v>
      </c>
      <c r="BK944" s="542">
        <v>45</v>
      </c>
      <c r="BL944" s="542">
        <v>45</v>
      </c>
      <c r="BM944" s="542">
        <v>45</v>
      </c>
      <c r="BN944" s="542">
        <v>45</v>
      </c>
      <c r="BO944" s="542">
        <v>45</v>
      </c>
      <c r="BP944" s="542">
        <v>45</v>
      </c>
      <c r="BQ944" s="542">
        <v>45</v>
      </c>
      <c r="BR944" s="542">
        <v>45</v>
      </c>
      <c r="BS944" s="542">
        <v>45</v>
      </c>
      <c r="BT944" s="542">
        <v>45</v>
      </c>
      <c r="BU944" s="542">
        <v>45</v>
      </c>
      <c r="BV944" s="542">
        <v>45</v>
      </c>
      <c r="BW944" s="542">
        <v>45</v>
      </c>
      <c r="BX944" s="542">
        <v>45</v>
      </c>
      <c r="BY944" s="542">
        <v>45</v>
      </c>
      <c r="BZ944" s="542">
        <v>45</v>
      </c>
      <c r="CA944" s="542">
        <v>45</v>
      </c>
      <c r="CB944" s="542">
        <v>45</v>
      </c>
      <c r="CC944" s="542">
        <v>45</v>
      </c>
      <c r="CD944" s="542">
        <v>45</v>
      </c>
      <c r="CE944" s="542">
        <v>45</v>
      </c>
      <c r="CF944" s="542">
        <v>45</v>
      </c>
      <c r="CG944" s="542">
        <v>45</v>
      </c>
      <c r="CH944" s="542">
        <v>45</v>
      </c>
      <c r="CI944" s="542">
        <v>45</v>
      </c>
    </row>
    <row r="945" spans="1:97" ht="14.25" customHeight="1" x14ac:dyDescent="0.35">
      <c r="A945" s="42" t="s">
        <v>144</v>
      </c>
      <c r="B945" s="542">
        <v>0</v>
      </c>
      <c r="C945" s="542">
        <v>0</v>
      </c>
      <c r="D945" s="542">
        <v>0</v>
      </c>
      <c r="E945" s="542">
        <v>0</v>
      </c>
      <c r="F945" s="542">
        <v>0</v>
      </c>
      <c r="G945" s="542">
        <v>0</v>
      </c>
      <c r="H945" s="542">
        <v>0</v>
      </c>
      <c r="I945" s="542">
        <v>0</v>
      </c>
      <c r="J945" s="542">
        <v>0</v>
      </c>
      <c r="K945" s="542">
        <v>0</v>
      </c>
      <c r="L945" s="542">
        <v>0</v>
      </c>
      <c r="M945" s="542">
        <v>0</v>
      </c>
      <c r="N945" s="542">
        <f t="shared" ref="N945:BY949" si="54">+N889</f>
        <v>0</v>
      </c>
      <c r="O945" s="542">
        <f t="shared" si="54"/>
        <v>0</v>
      </c>
      <c r="P945" s="542">
        <f t="shared" si="54"/>
        <v>0</v>
      </c>
      <c r="Q945" s="542">
        <f t="shared" si="54"/>
        <v>0</v>
      </c>
      <c r="R945" s="542">
        <f t="shared" si="54"/>
        <v>0</v>
      </c>
      <c r="S945" s="542">
        <f t="shared" si="54"/>
        <v>0</v>
      </c>
      <c r="T945" s="542">
        <f t="shared" si="54"/>
        <v>0</v>
      </c>
      <c r="U945" s="542">
        <f t="shared" si="54"/>
        <v>0</v>
      </c>
      <c r="V945" s="542">
        <f t="shared" si="54"/>
        <v>0</v>
      </c>
      <c r="W945" s="542">
        <f t="shared" si="54"/>
        <v>0</v>
      </c>
      <c r="X945" s="542">
        <f t="shared" si="54"/>
        <v>0</v>
      </c>
      <c r="Y945" s="542">
        <f t="shared" si="54"/>
        <v>0</v>
      </c>
      <c r="Z945" s="542">
        <f t="shared" si="54"/>
        <v>0</v>
      </c>
      <c r="AA945" s="542">
        <f t="shared" si="54"/>
        <v>0</v>
      </c>
      <c r="AB945" s="542">
        <f t="shared" si="54"/>
        <v>0</v>
      </c>
      <c r="AC945" s="542">
        <f t="shared" si="54"/>
        <v>0</v>
      </c>
      <c r="AD945" s="542">
        <f t="shared" si="54"/>
        <v>0</v>
      </c>
      <c r="AE945" s="542">
        <f t="shared" si="54"/>
        <v>0</v>
      </c>
      <c r="AF945" s="542">
        <f t="shared" si="54"/>
        <v>0</v>
      </c>
      <c r="AG945" s="542">
        <f t="shared" si="54"/>
        <v>0</v>
      </c>
      <c r="AH945" s="542">
        <f t="shared" si="54"/>
        <v>0</v>
      </c>
      <c r="AI945" s="542">
        <f t="shared" si="54"/>
        <v>0</v>
      </c>
      <c r="AJ945" s="542">
        <f t="shared" si="54"/>
        <v>0</v>
      </c>
      <c r="AK945" s="542">
        <f t="shared" si="54"/>
        <v>0</v>
      </c>
      <c r="AL945" s="542">
        <f t="shared" si="54"/>
        <v>0</v>
      </c>
      <c r="AM945" s="542">
        <f t="shared" si="54"/>
        <v>0</v>
      </c>
      <c r="AN945" s="542">
        <f t="shared" si="54"/>
        <v>0</v>
      </c>
      <c r="AO945" s="542">
        <f t="shared" si="54"/>
        <v>0</v>
      </c>
      <c r="AP945" s="542">
        <f t="shared" si="54"/>
        <v>0</v>
      </c>
      <c r="AQ945" s="542">
        <f t="shared" si="54"/>
        <v>0</v>
      </c>
      <c r="AR945" s="542">
        <f t="shared" si="54"/>
        <v>0</v>
      </c>
      <c r="AS945" s="542">
        <f t="shared" si="54"/>
        <v>0</v>
      </c>
      <c r="AT945" s="542">
        <f t="shared" si="54"/>
        <v>0</v>
      </c>
      <c r="AU945" s="542">
        <f t="shared" si="54"/>
        <v>0</v>
      </c>
      <c r="AV945" s="542">
        <f t="shared" si="54"/>
        <v>0</v>
      </c>
      <c r="AW945" s="542">
        <f t="shared" si="54"/>
        <v>0</v>
      </c>
      <c r="AX945" s="542">
        <f t="shared" si="54"/>
        <v>0</v>
      </c>
      <c r="AY945" s="542">
        <f t="shared" si="54"/>
        <v>0</v>
      </c>
      <c r="AZ945" s="542">
        <f t="shared" si="54"/>
        <v>0</v>
      </c>
      <c r="BA945" s="542">
        <f t="shared" si="54"/>
        <v>0</v>
      </c>
      <c r="BB945" s="542">
        <f t="shared" si="54"/>
        <v>0</v>
      </c>
      <c r="BC945" s="542">
        <f t="shared" si="54"/>
        <v>0</v>
      </c>
      <c r="BD945" s="542">
        <f t="shared" si="54"/>
        <v>0</v>
      </c>
      <c r="BE945" s="542">
        <f t="shared" si="54"/>
        <v>0</v>
      </c>
      <c r="BF945" s="542">
        <f t="shared" si="54"/>
        <v>0</v>
      </c>
      <c r="BG945" s="542">
        <f t="shared" si="54"/>
        <v>0</v>
      </c>
      <c r="BH945" s="542">
        <f t="shared" si="54"/>
        <v>0</v>
      </c>
      <c r="BI945" s="542">
        <f t="shared" si="54"/>
        <v>0</v>
      </c>
      <c r="BJ945" s="542">
        <f t="shared" si="54"/>
        <v>0</v>
      </c>
      <c r="BK945" s="542">
        <f t="shared" si="54"/>
        <v>0</v>
      </c>
      <c r="BL945" s="542">
        <f t="shared" si="54"/>
        <v>0</v>
      </c>
      <c r="BM945" s="542">
        <f t="shared" si="54"/>
        <v>0</v>
      </c>
      <c r="BN945" s="542">
        <f t="shared" si="54"/>
        <v>0</v>
      </c>
      <c r="BO945" s="542">
        <f t="shared" si="54"/>
        <v>0</v>
      </c>
      <c r="BP945" s="542">
        <f t="shared" si="54"/>
        <v>0</v>
      </c>
      <c r="BQ945" s="542">
        <f t="shared" si="54"/>
        <v>0</v>
      </c>
      <c r="BR945" s="542">
        <f t="shared" si="54"/>
        <v>0</v>
      </c>
      <c r="BS945" s="542">
        <f t="shared" si="54"/>
        <v>0</v>
      </c>
      <c r="BT945" s="542">
        <f t="shared" si="54"/>
        <v>0</v>
      </c>
      <c r="BU945" s="542">
        <f t="shared" si="54"/>
        <v>0</v>
      </c>
      <c r="BV945" s="542">
        <f t="shared" si="54"/>
        <v>0</v>
      </c>
      <c r="BW945" s="542">
        <f t="shared" si="54"/>
        <v>0</v>
      </c>
      <c r="BX945" s="542">
        <f t="shared" si="54"/>
        <v>0</v>
      </c>
      <c r="BY945" s="542">
        <f t="shared" si="54"/>
        <v>0</v>
      </c>
      <c r="BZ945" s="542">
        <f t="shared" ref="BX945:CI951" si="55">+BZ889</f>
        <v>0</v>
      </c>
      <c r="CA945" s="542">
        <f t="shared" si="55"/>
        <v>0</v>
      </c>
      <c r="CB945" s="542">
        <f t="shared" si="55"/>
        <v>0</v>
      </c>
      <c r="CC945" s="542">
        <f t="shared" si="55"/>
        <v>0</v>
      </c>
      <c r="CD945" s="542">
        <f t="shared" si="55"/>
        <v>0</v>
      </c>
      <c r="CE945" s="542">
        <f t="shared" si="55"/>
        <v>0</v>
      </c>
      <c r="CF945" s="542">
        <f t="shared" si="55"/>
        <v>0</v>
      </c>
      <c r="CG945" s="542">
        <f t="shared" si="55"/>
        <v>0</v>
      </c>
      <c r="CH945" s="542">
        <f t="shared" si="55"/>
        <v>0</v>
      </c>
      <c r="CI945" s="542">
        <f t="shared" si="55"/>
        <v>0</v>
      </c>
    </row>
    <row r="946" spans="1:97" ht="14.25" customHeight="1" x14ac:dyDescent="0.35">
      <c r="A946" s="42" t="s">
        <v>164</v>
      </c>
      <c r="B946" s="542">
        <v>0</v>
      </c>
      <c r="C946" s="542">
        <v>0</v>
      </c>
      <c r="D946" s="542">
        <v>0</v>
      </c>
      <c r="E946" s="542">
        <v>0</v>
      </c>
      <c r="F946" s="542">
        <v>0</v>
      </c>
      <c r="G946" s="542">
        <v>0</v>
      </c>
      <c r="H946" s="542">
        <v>0</v>
      </c>
      <c r="I946" s="542">
        <v>0</v>
      </c>
      <c r="J946" s="542">
        <v>0</v>
      </c>
      <c r="K946" s="542">
        <v>0</v>
      </c>
      <c r="L946" s="542">
        <v>0</v>
      </c>
      <c r="M946" s="542">
        <v>0</v>
      </c>
      <c r="N946" s="542">
        <f t="shared" si="54"/>
        <v>0</v>
      </c>
      <c r="O946" s="542">
        <f t="shared" si="54"/>
        <v>0</v>
      </c>
      <c r="P946" s="542">
        <f t="shared" si="54"/>
        <v>0</v>
      </c>
      <c r="Q946" s="542">
        <f t="shared" si="54"/>
        <v>0</v>
      </c>
      <c r="R946" s="542">
        <f t="shared" si="54"/>
        <v>0</v>
      </c>
      <c r="S946" s="542">
        <f t="shared" si="54"/>
        <v>0</v>
      </c>
      <c r="T946" s="542">
        <f t="shared" si="54"/>
        <v>0</v>
      </c>
      <c r="U946" s="542">
        <f t="shared" si="54"/>
        <v>0</v>
      </c>
      <c r="V946" s="542">
        <f t="shared" si="54"/>
        <v>0</v>
      </c>
      <c r="W946" s="542">
        <f t="shared" si="54"/>
        <v>0</v>
      </c>
      <c r="X946" s="542">
        <f t="shared" si="54"/>
        <v>0</v>
      </c>
      <c r="Y946" s="542">
        <f t="shared" si="54"/>
        <v>0</v>
      </c>
      <c r="Z946" s="542">
        <f t="shared" si="54"/>
        <v>0</v>
      </c>
      <c r="AA946" s="542">
        <f t="shared" si="54"/>
        <v>0</v>
      </c>
      <c r="AB946" s="542">
        <f t="shared" si="54"/>
        <v>0</v>
      </c>
      <c r="AC946" s="542">
        <f t="shared" si="54"/>
        <v>0</v>
      </c>
      <c r="AD946" s="542">
        <f t="shared" si="54"/>
        <v>0</v>
      </c>
      <c r="AE946" s="542">
        <f t="shared" si="54"/>
        <v>0</v>
      </c>
      <c r="AF946" s="542">
        <f t="shared" si="54"/>
        <v>0</v>
      </c>
      <c r="AG946" s="542">
        <f t="shared" si="54"/>
        <v>0</v>
      </c>
      <c r="AH946" s="542">
        <f t="shared" si="54"/>
        <v>0</v>
      </c>
      <c r="AI946" s="542">
        <f t="shared" si="54"/>
        <v>0</v>
      </c>
      <c r="AJ946" s="542">
        <f t="shared" si="54"/>
        <v>0</v>
      </c>
      <c r="AK946" s="542">
        <f t="shared" si="54"/>
        <v>0</v>
      </c>
      <c r="AL946" s="542">
        <f t="shared" si="54"/>
        <v>0</v>
      </c>
      <c r="AM946" s="542">
        <f t="shared" si="54"/>
        <v>0</v>
      </c>
      <c r="AN946" s="542">
        <f t="shared" si="54"/>
        <v>0</v>
      </c>
      <c r="AO946" s="542">
        <f t="shared" si="54"/>
        <v>0</v>
      </c>
      <c r="AP946" s="542">
        <f t="shared" si="54"/>
        <v>0</v>
      </c>
      <c r="AQ946" s="542">
        <f t="shared" si="54"/>
        <v>0</v>
      </c>
      <c r="AR946" s="542">
        <f t="shared" si="54"/>
        <v>0</v>
      </c>
      <c r="AS946" s="542">
        <f t="shared" si="54"/>
        <v>0</v>
      </c>
      <c r="AT946" s="542">
        <f t="shared" si="54"/>
        <v>0</v>
      </c>
      <c r="AU946" s="542">
        <f t="shared" si="54"/>
        <v>0</v>
      </c>
      <c r="AV946" s="542">
        <f t="shared" si="54"/>
        <v>0</v>
      </c>
      <c r="AW946" s="542">
        <f t="shared" si="54"/>
        <v>0</v>
      </c>
      <c r="AX946" s="542">
        <f t="shared" si="54"/>
        <v>0</v>
      </c>
      <c r="AY946" s="542">
        <f t="shared" si="54"/>
        <v>0</v>
      </c>
      <c r="AZ946" s="542">
        <f t="shared" si="54"/>
        <v>0</v>
      </c>
      <c r="BA946" s="542">
        <f t="shared" si="54"/>
        <v>0</v>
      </c>
      <c r="BB946" s="542">
        <f t="shared" si="54"/>
        <v>0</v>
      </c>
      <c r="BC946" s="542">
        <f t="shared" si="54"/>
        <v>0</v>
      </c>
      <c r="BD946" s="542">
        <f t="shared" si="54"/>
        <v>0</v>
      </c>
      <c r="BE946" s="542">
        <f t="shared" si="54"/>
        <v>0</v>
      </c>
      <c r="BF946" s="542">
        <f t="shared" si="54"/>
        <v>0</v>
      </c>
      <c r="BG946" s="542">
        <f t="shared" si="54"/>
        <v>0</v>
      </c>
      <c r="BH946" s="542">
        <f t="shared" si="54"/>
        <v>0</v>
      </c>
      <c r="BI946" s="542">
        <f t="shared" si="54"/>
        <v>0</v>
      </c>
      <c r="BJ946" s="542">
        <f t="shared" si="54"/>
        <v>0</v>
      </c>
      <c r="BK946" s="542">
        <f t="shared" si="54"/>
        <v>0</v>
      </c>
      <c r="BL946" s="542">
        <f t="shared" si="54"/>
        <v>0</v>
      </c>
      <c r="BM946" s="542">
        <f t="shared" si="54"/>
        <v>0</v>
      </c>
      <c r="BN946" s="542">
        <f t="shared" si="54"/>
        <v>0</v>
      </c>
      <c r="BO946" s="542">
        <f t="shared" si="54"/>
        <v>0</v>
      </c>
      <c r="BP946" s="542">
        <f t="shared" si="54"/>
        <v>0</v>
      </c>
      <c r="BQ946" s="542">
        <f t="shared" si="54"/>
        <v>0</v>
      </c>
      <c r="BR946" s="542">
        <f t="shared" si="54"/>
        <v>0</v>
      </c>
      <c r="BS946" s="542">
        <f t="shared" si="54"/>
        <v>0</v>
      </c>
      <c r="BT946" s="542">
        <f t="shared" si="54"/>
        <v>0</v>
      </c>
      <c r="BU946" s="542">
        <f t="shared" si="54"/>
        <v>0</v>
      </c>
      <c r="BV946" s="542">
        <f t="shared" si="54"/>
        <v>0</v>
      </c>
      <c r="BW946" s="542">
        <f t="shared" si="54"/>
        <v>0</v>
      </c>
      <c r="BX946" s="542">
        <f t="shared" si="55"/>
        <v>0</v>
      </c>
      <c r="BY946" s="542">
        <f t="shared" si="55"/>
        <v>0</v>
      </c>
      <c r="BZ946" s="542">
        <f t="shared" si="55"/>
        <v>0</v>
      </c>
      <c r="CA946" s="542">
        <f t="shared" si="55"/>
        <v>0</v>
      </c>
      <c r="CB946" s="542">
        <f t="shared" si="55"/>
        <v>0</v>
      </c>
      <c r="CC946" s="542">
        <f t="shared" si="55"/>
        <v>0</v>
      </c>
      <c r="CD946" s="542">
        <f t="shared" si="55"/>
        <v>0</v>
      </c>
      <c r="CE946" s="542">
        <f t="shared" si="55"/>
        <v>0</v>
      </c>
      <c r="CF946" s="542">
        <f t="shared" si="55"/>
        <v>0</v>
      </c>
      <c r="CG946" s="542">
        <f t="shared" si="55"/>
        <v>0</v>
      </c>
      <c r="CH946" s="542">
        <f t="shared" si="55"/>
        <v>0</v>
      </c>
      <c r="CI946" s="542">
        <f t="shared" si="55"/>
        <v>0</v>
      </c>
    </row>
    <row r="947" spans="1:97" ht="14.25" customHeight="1" x14ac:dyDescent="0.35">
      <c r="A947" s="42" t="s">
        <v>145</v>
      </c>
      <c r="B947" s="542">
        <v>0</v>
      </c>
      <c r="C947" s="542">
        <v>0</v>
      </c>
      <c r="D947" s="542">
        <v>0</v>
      </c>
      <c r="E947" s="542">
        <v>0</v>
      </c>
      <c r="F947" s="542">
        <v>0</v>
      </c>
      <c r="G947" s="542">
        <v>0</v>
      </c>
      <c r="H947" s="542">
        <v>0</v>
      </c>
      <c r="I947" s="542">
        <v>0</v>
      </c>
      <c r="J947" s="542">
        <v>0</v>
      </c>
      <c r="K947" s="542">
        <v>0</v>
      </c>
      <c r="L947" s="542">
        <v>0</v>
      </c>
      <c r="M947" s="542">
        <v>0</v>
      </c>
      <c r="N947" s="542">
        <f t="shared" si="54"/>
        <v>0</v>
      </c>
      <c r="O947" s="542">
        <f t="shared" si="54"/>
        <v>0</v>
      </c>
      <c r="P947" s="542">
        <f t="shared" si="54"/>
        <v>0</v>
      </c>
      <c r="Q947" s="542">
        <f t="shared" si="54"/>
        <v>0</v>
      </c>
      <c r="R947" s="542">
        <f t="shared" si="54"/>
        <v>0</v>
      </c>
      <c r="S947" s="542">
        <f t="shared" si="54"/>
        <v>0</v>
      </c>
      <c r="T947" s="542">
        <f t="shared" si="54"/>
        <v>0</v>
      </c>
      <c r="U947" s="542">
        <f t="shared" si="54"/>
        <v>0</v>
      </c>
      <c r="V947" s="542">
        <f t="shared" si="54"/>
        <v>0</v>
      </c>
      <c r="W947" s="542">
        <f t="shared" si="54"/>
        <v>0</v>
      </c>
      <c r="X947" s="542">
        <f t="shared" si="54"/>
        <v>0</v>
      </c>
      <c r="Y947" s="542">
        <f t="shared" si="54"/>
        <v>0</v>
      </c>
      <c r="Z947" s="542">
        <f t="shared" si="54"/>
        <v>0</v>
      </c>
      <c r="AA947" s="542">
        <f t="shared" si="54"/>
        <v>0</v>
      </c>
      <c r="AB947" s="542">
        <f t="shared" si="54"/>
        <v>0</v>
      </c>
      <c r="AC947" s="542">
        <f t="shared" si="54"/>
        <v>0</v>
      </c>
      <c r="AD947" s="542">
        <f t="shared" si="54"/>
        <v>0</v>
      </c>
      <c r="AE947" s="542">
        <f t="shared" si="54"/>
        <v>0</v>
      </c>
      <c r="AF947" s="542">
        <f t="shared" si="54"/>
        <v>0</v>
      </c>
      <c r="AG947" s="542">
        <f t="shared" si="54"/>
        <v>0</v>
      </c>
      <c r="AH947" s="542">
        <f t="shared" si="54"/>
        <v>0</v>
      </c>
      <c r="AI947" s="542">
        <f t="shared" si="54"/>
        <v>0</v>
      </c>
      <c r="AJ947" s="542">
        <f t="shared" si="54"/>
        <v>0</v>
      </c>
      <c r="AK947" s="542">
        <f t="shared" si="54"/>
        <v>0</v>
      </c>
      <c r="AL947" s="542">
        <f t="shared" si="54"/>
        <v>0</v>
      </c>
      <c r="AM947" s="542">
        <f t="shared" si="54"/>
        <v>0</v>
      </c>
      <c r="AN947" s="542">
        <f t="shared" si="54"/>
        <v>0</v>
      </c>
      <c r="AO947" s="542">
        <f t="shared" si="54"/>
        <v>0</v>
      </c>
      <c r="AP947" s="542">
        <f t="shared" si="54"/>
        <v>0</v>
      </c>
      <c r="AQ947" s="542">
        <f t="shared" si="54"/>
        <v>0</v>
      </c>
      <c r="AR947" s="542">
        <f t="shared" si="54"/>
        <v>0</v>
      </c>
      <c r="AS947" s="542">
        <f t="shared" si="54"/>
        <v>0</v>
      </c>
      <c r="AT947" s="542">
        <f t="shared" si="54"/>
        <v>0</v>
      </c>
      <c r="AU947" s="542">
        <f t="shared" si="54"/>
        <v>0</v>
      </c>
      <c r="AV947" s="542">
        <f t="shared" si="54"/>
        <v>0</v>
      </c>
      <c r="AW947" s="542">
        <f t="shared" si="54"/>
        <v>0</v>
      </c>
      <c r="AX947" s="542">
        <f t="shared" si="54"/>
        <v>0</v>
      </c>
      <c r="AY947" s="542">
        <f t="shared" si="54"/>
        <v>0</v>
      </c>
      <c r="AZ947" s="542">
        <f t="shared" si="54"/>
        <v>0</v>
      </c>
      <c r="BA947" s="542">
        <f t="shared" si="54"/>
        <v>0</v>
      </c>
      <c r="BB947" s="542">
        <f t="shared" si="54"/>
        <v>0</v>
      </c>
      <c r="BC947" s="542">
        <f t="shared" si="54"/>
        <v>0</v>
      </c>
      <c r="BD947" s="542">
        <f t="shared" si="54"/>
        <v>0</v>
      </c>
      <c r="BE947" s="542">
        <f t="shared" si="54"/>
        <v>0</v>
      </c>
      <c r="BF947" s="542">
        <f t="shared" si="54"/>
        <v>0</v>
      </c>
      <c r="BG947" s="542">
        <f t="shared" si="54"/>
        <v>0</v>
      </c>
      <c r="BH947" s="542">
        <f t="shared" si="54"/>
        <v>0</v>
      </c>
      <c r="BI947" s="542">
        <f t="shared" si="54"/>
        <v>0</v>
      </c>
      <c r="BJ947" s="542">
        <f t="shared" si="54"/>
        <v>0</v>
      </c>
      <c r="BK947" s="542">
        <f t="shared" si="54"/>
        <v>0</v>
      </c>
      <c r="BL947" s="542">
        <f t="shared" si="54"/>
        <v>0</v>
      </c>
      <c r="BM947" s="542">
        <f t="shared" si="54"/>
        <v>0</v>
      </c>
      <c r="BN947" s="542">
        <f t="shared" si="54"/>
        <v>0</v>
      </c>
      <c r="BO947" s="542">
        <f t="shared" si="54"/>
        <v>0</v>
      </c>
      <c r="BP947" s="542">
        <f t="shared" si="54"/>
        <v>0</v>
      </c>
      <c r="BQ947" s="542">
        <f t="shared" si="54"/>
        <v>0</v>
      </c>
      <c r="BR947" s="542">
        <f t="shared" si="54"/>
        <v>0</v>
      </c>
      <c r="BS947" s="542">
        <f t="shared" si="54"/>
        <v>0</v>
      </c>
      <c r="BT947" s="542">
        <f t="shared" si="54"/>
        <v>0</v>
      </c>
      <c r="BU947" s="542">
        <f t="shared" si="54"/>
        <v>0</v>
      </c>
      <c r="BV947" s="542">
        <f t="shared" si="54"/>
        <v>0</v>
      </c>
      <c r="BW947" s="542">
        <f t="shared" si="54"/>
        <v>0</v>
      </c>
      <c r="BX947" s="542">
        <f t="shared" si="55"/>
        <v>0</v>
      </c>
      <c r="BY947" s="542">
        <f t="shared" si="55"/>
        <v>0</v>
      </c>
      <c r="BZ947" s="542">
        <f t="shared" si="55"/>
        <v>0</v>
      </c>
      <c r="CA947" s="542">
        <f t="shared" si="55"/>
        <v>0</v>
      </c>
      <c r="CB947" s="542">
        <f t="shared" si="55"/>
        <v>0</v>
      </c>
      <c r="CC947" s="542">
        <f t="shared" si="55"/>
        <v>0</v>
      </c>
      <c r="CD947" s="542">
        <f t="shared" si="55"/>
        <v>0</v>
      </c>
      <c r="CE947" s="542">
        <f t="shared" si="55"/>
        <v>0</v>
      </c>
      <c r="CF947" s="542">
        <f t="shared" si="55"/>
        <v>0</v>
      </c>
      <c r="CG947" s="542">
        <f t="shared" si="55"/>
        <v>0</v>
      </c>
      <c r="CH947" s="542">
        <f t="shared" si="55"/>
        <v>0</v>
      </c>
      <c r="CI947" s="542">
        <f t="shared" si="55"/>
        <v>0</v>
      </c>
    </row>
    <row r="948" spans="1:97" ht="14.25" customHeight="1" x14ac:dyDescent="0.35">
      <c r="A948" s="42" t="s">
        <v>87</v>
      </c>
      <c r="B948" s="542">
        <v>0</v>
      </c>
      <c r="C948" s="542">
        <v>0</v>
      </c>
      <c r="D948" s="542">
        <v>0</v>
      </c>
      <c r="E948" s="542">
        <v>0</v>
      </c>
      <c r="F948" s="542">
        <v>0</v>
      </c>
      <c r="G948" s="542">
        <v>0</v>
      </c>
      <c r="H948" s="542">
        <v>0</v>
      </c>
      <c r="I948" s="542">
        <v>0</v>
      </c>
      <c r="J948" s="542">
        <v>0</v>
      </c>
      <c r="K948" s="542">
        <v>0</v>
      </c>
      <c r="L948" s="542">
        <v>0</v>
      </c>
      <c r="M948" s="542">
        <v>0</v>
      </c>
      <c r="N948" s="542">
        <f t="shared" si="54"/>
        <v>0</v>
      </c>
      <c r="O948" s="542">
        <f t="shared" si="54"/>
        <v>0</v>
      </c>
      <c r="P948" s="542">
        <f t="shared" si="54"/>
        <v>0</v>
      </c>
      <c r="Q948" s="542">
        <f t="shared" si="54"/>
        <v>0</v>
      </c>
      <c r="R948" s="542">
        <f t="shared" si="54"/>
        <v>0</v>
      </c>
      <c r="S948" s="542">
        <f t="shared" si="54"/>
        <v>0</v>
      </c>
      <c r="T948" s="542">
        <f t="shared" si="54"/>
        <v>0</v>
      </c>
      <c r="U948" s="542">
        <f t="shared" si="54"/>
        <v>0</v>
      </c>
      <c r="V948" s="542">
        <f t="shared" si="54"/>
        <v>0</v>
      </c>
      <c r="W948" s="542">
        <f t="shared" si="54"/>
        <v>0</v>
      </c>
      <c r="X948" s="542">
        <f t="shared" si="54"/>
        <v>0</v>
      </c>
      <c r="Y948" s="542">
        <f t="shared" si="54"/>
        <v>0</v>
      </c>
      <c r="Z948" s="542">
        <f t="shared" si="54"/>
        <v>0</v>
      </c>
      <c r="AA948" s="542">
        <f t="shared" si="54"/>
        <v>0</v>
      </c>
      <c r="AB948" s="542">
        <f t="shared" si="54"/>
        <v>0</v>
      </c>
      <c r="AC948" s="542">
        <f t="shared" si="54"/>
        <v>0</v>
      </c>
      <c r="AD948" s="542">
        <f t="shared" si="54"/>
        <v>0</v>
      </c>
      <c r="AE948" s="542">
        <f t="shared" si="54"/>
        <v>0</v>
      </c>
      <c r="AF948" s="542">
        <f t="shared" si="54"/>
        <v>0</v>
      </c>
      <c r="AG948" s="542">
        <f t="shared" si="54"/>
        <v>0</v>
      </c>
      <c r="AH948" s="542">
        <f t="shared" si="54"/>
        <v>0</v>
      </c>
      <c r="AI948" s="542">
        <f t="shared" si="54"/>
        <v>0</v>
      </c>
      <c r="AJ948" s="542">
        <f t="shared" si="54"/>
        <v>0</v>
      </c>
      <c r="AK948" s="542">
        <f t="shared" si="54"/>
        <v>0</v>
      </c>
      <c r="AL948" s="542">
        <f t="shared" si="54"/>
        <v>0</v>
      </c>
      <c r="AM948" s="542">
        <f t="shared" si="54"/>
        <v>0</v>
      </c>
      <c r="AN948" s="542">
        <f t="shared" si="54"/>
        <v>0</v>
      </c>
      <c r="AO948" s="542">
        <f t="shared" si="54"/>
        <v>0</v>
      </c>
      <c r="AP948" s="542">
        <f t="shared" si="54"/>
        <v>0</v>
      </c>
      <c r="AQ948" s="542">
        <f t="shared" si="54"/>
        <v>0</v>
      </c>
      <c r="AR948" s="542">
        <f t="shared" si="54"/>
        <v>0</v>
      </c>
      <c r="AS948" s="542">
        <f t="shared" si="54"/>
        <v>0</v>
      </c>
      <c r="AT948" s="542">
        <f t="shared" si="54"/>
        <v>0</v>
      </c>
      <c r="AU948" s="542">
        <f t="shared" si="54"/>
        <v>0</v>
      </c>
      <c r="AV948" s="542">
        <f t="shared" si="54"/>
        <v>0</v>
      </c>
      <c r="AW948" s="542">
        <f t="shared" si="54"/>
        <v>0</v>
      </c>
      <c r="AX948" s="542">
        <f t="shared" si="54"/>
        <v>0</v>
      </c>
      <c r="AY948" s="542">
        <f t="shared" si="54"/>
        <v>0</v>
      </c>
      <c r="AZ948" s="542">
        <f t="shared" si="54"/>
        <v>0</v>
      </c>
      <c r="BA948" s="542">
        <f t="shared" si="54"/>
        <v>0</v>
      </c>
      <c r="BB948" s="542">
        <f t="shared" si="54"/>
        <v>0</v>
      </c>
      <c r="BC948" s="542">
        <f t="shared" si="54"/>
        <v>0</v>
      </c>
      <c r="BD948" s="542">
        <f t="shared" si="54"/>
        <v>0</v>
      </c>
      <c r="BE948" s="542">
        <f t="shared" si="54"/>
        <v>0</v>
      </c>
      <c r="BF948" s="542">
        <f t="shared" si="54"/>
        <v>0</v>
      </c>
      <c r="BG948" s="542">
        <f t="shared" si="54"/>
        <v>0</v>
      </c>
      <c r="BH948" s="542">
        <f t="shared" si="54"/>
        <v>0</v>
      </c>
      <c r="BI948" s="542">
        <f t="shared" si="54"/>
        <v>0</v>
      </c>
      <c r="BJ948" s="542">
        <f t="shared" si="54"/>
        <v>0</v>
      </c>
      <c r="BK948" s="542">
        <f t="shared" si="54"/>
        <v>0</v>
      </c>
      <c r="BL948" s="542">
        <f t="shared" si="54"/>
        <v>0</v>
      </c>
      <c r="BM948" s="542">
        <f t="shared" si="54"/>
        <v>0</v>
      </c>
      <c r="BN948" s="542">
        <f t="shared" si="54"/>
        <v>0</v>
      </c>
      <c r="BO948" s="542">
        <f t="shared" si="54"/>
        <v>0</v>
      </c>
      <c r="BP948" s="542">
        <f t="shared" si="54"/>
        <v>0</v>
      </c>
      <c r="BQ948" s="542">
        <f t="shared" si="54"/>
        <v>0</v>
      </c>
      <c r="BR948" s="542">
        <f t="shared" si="54"/>
        <v>0</v>
      </c>
      <c r="BS948" s="542">
        <f t="shared" si="54"/>
        <v>0</v>
      </c>
      <c r="BT948" s="542">
        <f t="shared" si="54"/>
        <v>0</v>
      </c>
      <c r="BU948" s="542">
        <f t="shared" si="54"/>
        <v>0</v>
      </c>
      <c r="BV948" s="542">
        <f t="shared" si="54"/>
        <v>0</v>
      </c>
      <c r="BW948" s="542">
        <f t="shared" si="54"/>
        <v>0</v>
      </c>
      <c r="BX948" s="542">
        <f t="shared" si="54"/>
        <v>0</v>
      </c>
      <c r="BY948" s="542">
        <f t="shared" si="54"/>
        <v>0</v>
      </c>
      <c r="BZ948" s="542">
        <f t="shared" si="55"/>
        <v>0</v>
      </c>
      <c r="CA948" s="542">
        <f t="shared" si="55"/>
        <v>0</v>
      </c>
      <c r="CB948" s="542">
        <f t="shared" si="55"/>
        <v>0</v>
      </c>
      <c r="CC948" s="542">
        <f t="shared" si="55"/>
        <v>0</v>
      </c>
      <c r="CD948" s="542">
        <f t="shared" si="55"/>
        <v>0</v>
      </c>
      <c r="CE948" s="542">
        <f t="shared" si="55"/>
        <v>0</v>
      </c>
      <c r="CF948" s="542">
        <f t="shared" si="55"/>
        <v>0</v>
      </c>
      <c r="CG948" s="542">
        <f t="shared" si="55"/>
        <v>0</v>
      </c>
      <c r="CH948" s="542">
        <f t="shared" si="55"/>
        <v>0</v>
      </c>
      <c r="CI948" s="542">
        <f t="shared" si="55"/>
        <v>0</v>
      </c>
    </row>
    <row r="949" spans="1:97" ht="14.25" customHeight="1" x14ac:dyDescent="0.35">
      <c r="A949" s="42" t="s">
        <v>146</v>
      </c>
      <c r="B949" s="542">
        <v>0</v>
      </c>
      <c r="C949" s="542">
        <v>0</v>
      </c>
      <c r="D949" s="542">
        <v>0</v>
      </c>
      <c r="E949" s="542">
        <v>0</v>
      </c>
      <c r="F949" s="542">
        <v>0</v>
      </c>
      <c r="G949" s="542">
        <v>0</v>
      </c>
      <c r="H949" s="542">
        <v>0</v>
      </c>
      <c r="I949" s="542">
        <v>0</v>
      </c>
      <c r="J949" s="542">
        <v>0</v>
      </c>
      <c r="K949" s="542">
        <v>0</v>
      </c>
      <c r="L949" s="542">
        <v>0</v>
      </c>
      <c r="M949" s="542">
        <v>0</v>
      </c>
      <c r="N949" s="542">
        <f t="shared" si="54"/>
        <v>0</v>
      </c>
      <c r="O949" s="542">
        <f t="shared" si="54"/>
        <v>0</v>
      </c>
      <c r="P949" s="542">
        <f t="shared" si="54"/>
        <v>0</v>
      </c>
      <c r="Q949" s="542">
        <f t="shared" ref="Q949:BW949" si="56">+Q893</f>
        <v>0</v>
      </c>
      <c r="R949" s="542">
        <f t="shared" si="56"/>
        <v>0</v>
      </c>
      <c r="S949" s="542">
        <f t="shared" si="56"/>
        <v>0</v>
      </c>
      <c r="T949" s="542">
        <f t="shared" si="56"/>
        <v>0</v>
      </c>
      <c r="U949" s="542">
        <f t="shared" si="56"/>
        <v>0</v>
      </c>
      <c r="V949" s="542">
        <f t="shared" si="56"/>
        <v>0</v>
      </c>
      <c r="W949" s="542">
        <f t="shared" si="56"/>
        <v>0</v>
      </c>
      <c r="X949" s="542">
        <f t="shared" si="56"/>
        <v>0</v>
      </c>
      <c r="Y949" s="542">
        <f t="shared" si="56"/>
        <v>0</v>
      </c>
      <c r="Z949" s="542">
        <f t="shared" si="56"/>
        <v>0</v>
      </c>
      <c r="AA949" s="542">
        <f t="shared" si="56"/>
        <v>0</v>
      </c>
      <c r="AB949" s="542">
        <f t="shared" si="56"/>
        <v>0</v>
      </c>
      <c r="AC949" s="542">
        <f t="shared" si="56"/>
        <v>0</v>
      </c>
      <c r="AD949" s="542">
        <f t="shared" si="56"/>
        <v>0</v>
      </c>
      <c r="AE949" s="542">
        <f t="shared" si="56"/>
        <v>0</v>
      </c>
      <c r="AF949" s="542">
        <f t="shared" si="56"/>
        <v>0</v>
      </c>
      <c r="AG949" s="542">
        <f t="shared" si="56"/>
        <v>0</v>
      </c>
      <c r="AH949" s="542">
        <f t="shared" si="56"/>
        <v>0</v>
      </c>
      <c r="AI949" s="542">
        <f t="shared" si="56"/>
        <v>0</v>
      </c>
      <c r="AJ949" s="542">
        <f t="shared" si="56"/>
        <v>0</v>
      </c>
      <c r="AK949" s="542">
        <f t="shared" si="56"/>
        <v>0</v>
      </c>
      <c r="AL949" s="542">
        <f t="shared" si="56"/>
        <v>0</v>
      </c>
      <c r="AM949" s="542">
        <f t="shared" si="56"/>
        <v>0</v>
      </c>
      <c r="AN949" s="542">
        <f t="shared" si="56"/>
        <v>0</v>
      </c>
      <c r="AO949" s="542">
        <f t="shared" si="56"/>
        <v>0</v>
      </c>
      <c r="AP949" s="542">
        <f t="shared" si="56"/>
        <v>0</v>
      </c>
      <c r="AQ949" s="542">
        <f t="shared" si="56"/>
        <v>0</v>
      </c>
      <c r="AR949" s="542">
        <f t="shared" si="56"/>
        <v>0</v>
      </c>
      <c r="AS949" s="542">
        <f t="shared" si="56"/>
        <v>0</v>
      </c>
      <c r="AT949" s="542">
        <f t="shared" si="56"/>
        <v>0</v>
      </c>
      <c r="AU949" s="542">
        <f t="shared" si="56"/>
        <v>0</v>
      </c>
      <c r="AV949" s="542">
        <f t="shared" si="56"/>
        <v>0</v>
      </c>
      <c r="AW949" s="542">
        <f t="shared" si="56"/>
        <v>0</v>
      </c>
      <c r="AX949" s="542">
        <f t="shared" si="56"/>
        <v>0</v>
      </c>
      <c r="AY949" s="542">
        <f t="shared" si="56"/>
        <v>0</v>
      </c>
      <c r="AZ949" s="542">
        <f t="shared" si="56"/>
        <v>0</v>
      </c>
      <c r="BA949" s="542">
        <f t="shared" si="56"/>
        <v>0</v>
      </c>
      <c r="BB949" s="542">
        <f t="shared" si="56"/>
        <v>0</v>
      </c>
      <c r="BC949" s="542">
        <f t="shared" si="56"/>
        <v>0</v>
      </c>
      <c r="BD949" s="542">
        <f t="shared" si="56"/>
        <v>0</v>
      </c>
      <c r="BE949" s="542">
        <f t="shared" si="56"/>
        <v>0</v>
      </c>
      <c r="BF949" s="542">
        <f t="shared" si="56"/>
        <v>0</v>
      </c>
      <c r="BG949" s="542">
        <f t="shared" si="56"/>
        <v>0</v>
      </c>
      <c r="BH949" s="542">
        <f t="shared" si="56"/>
        <v>0</v>
      </c>
      <c r="BI949" s="542">
        <f t="shared" si="56"/>
        <v>0</v>
      </c>
      <c r="BJ949" s="542">
        <f t="shared" si="56"/>
        <v>0</v>
      </c>
      <c r="BK949" s="542">
        <f t="shared" si="56"/>
        <v>0</v>
      </c>
      <c r="BL949" s="542">
        <f t="shared" si="56"/>
        <v>0</v>
      </c>
      <c r="BM949" s="542">
        <f t="shared" si="56"/>
        <v>0</v>
      </c>
      <c r="BN949" s="542">
        <f t="shared" si="56"/>
        <v>0</v>
      </c>
      <c r="BO949" s="542">
        <f t="shared" si="56"/>
        <v>0</v>
      </c>
      <c r="BP949" s="542">
        <f t="shared" si="56"/>
        <v>0</v>
      </c>
      <c r="BQ949" s="542">
        <f t="shared" si="56"/>
        <v>0</v>
      </c>
      <c r="BR949" s="542">
        <f t="shared" si="56"/>
        <v>0</v>
      </c>
      <c r="BS949" s="542">
        <f t="shared" si="56"/>
        <v>0</v>
      </c>
      <c r="BT949" s="542">
        <f t="shared" si="56"/>
        <v>0</v>
      </c>
      <c r="BU949" s="542">
        <f t="shared" si="56"/>
        <v>0</v>
      </c>
      <c r="BV949" s="542">
        <f t="shared" si="56"/>
        <v>0</v>
      </c>
      <c r="BW949" s="542">
        <f t="shared" si="56"/>
        <v>0</v>
      </c>
      <c r="BX949" s="542">
        <f t="shared" si="55"/>
        <v>0</v>
      </c>
      <c r="BY949" s="542">
        <f t="shared" si="55"/>
        <v>0</v>
      </c>
      <c r="BZ949" s="542">
        <f t="shared" si="55"/>
        <v>0</v>
      </c>
      <c r="CA949" s="542">
        <f t="shared" si="55"/>
        <v>0</v>
      </c>
      <c r="CB949" s="542">
        <f t="shared" si="55"/>
        <v>0</v>
      </c>
      <c r="CC949" s="542">
        <f t="shared" si="55"/>
        <v>0</v>
      </c>
      <c r="CD949" s="542">
        <f t="shared" si="55"/>
        <v>0</v>
      </c>
      <c r="CE949" s="542">
        <f t="shared" si="55"/>
        <v>0</v>
      </c>
      <c r="CF949" s="542">
        <f t="shared" si="55"/>
        <v>0</v>
      </c>
      <c r="CG949" s="542">
        <f t="shared" si="55"/>
        <v>0</v>
      </c>
      <c r="CH949" s="542">
        <f t="shared" si="55"/>
        <v>0</v>
      </c>
      <c r="CI949" s="542">
        <f t="shared" si="55"/>
        <v>0</v>
      </c>
    </row>
    <row r="950" spans="1:97" ht="14.25" customHeight="1" x14ac:dyDescent="0.35">
      <c r="A950" s="42" t="s">
        <v>89</v>
      </c>
      <c r="B950" s="542">
        <v>0</v>
      </c>
      <c r="C950" s="542">
        <v>0</v>
      </c>
      <c r="D950" s="542">
        <v>0</v>
      </c>
      <c r="E950" s="542">
        <v>0</v>
      </c>
      <c r="F950" s="542">
        <v>0</v>
      </c>
      <c r="G950" s="542">
        <v>0</v>
      </c>
      <c r="H950" s="542">
        <v>0</v>
      </c>
      <c r="I950" s="542">
        <v>0</v>
      </c>
      <c r="J950" s="542">
        <v>0</v>
      </c>
      <c r="K950" s="542">
        <v>0</v>
      </c>
      <c r="L950" s="542">
        <v>0</v>
      </c>
      <c r="M950" s="542">
        <v>0</v>
      </c>
      <c r="N950" s="542">
        <f t="shared" ref="N950:BW951" si="57">+N894</f>
        <v>0</v>
      </c>
      <c r="O950" s="542">
        <f t="shared" si="57"/>
        <v>0</v>
      </c>
      <c r="P950" s="542">
        <f t="shared" si="57"/>
        <v>0</v>
      </c>
      <c r="Q950" s="542">
        <f t="shared" si="57"/>
        <v>0</v>
      </c>
      <c r="R950" s="542">
        <f t="shared" si="57"/>
        <v>0</v>
      </c>
      <c r="S950" s="542">
        <f t="shared" si="57"/>
        <v>0</v>
      </c>
      <c r="T950" s="542">
        <f t="shared" si="57"/>
        <v>0</v>
      </c>
      <c r="U950" s="542">
        <f t="shared" si="57"/>
        <v>0</v>
      </c>
      <c r="V950" s="542">
        <f t="shared" si="57"/>
        <v>0</v>
      </c>
      <c r="W950" s="542">
        <f t="shared" si="57"/>
        <v>0</v>
      </c>
      <c r="X950" s="542">
        <f t="shared" si="57"/>
        <v>0</v>
      </c>
      <c r="Y950" s="542">
        <f t="shared" si="57"/>
        <v>0</v>
      </c>
      <c r="Z950" s="542">
        <f t="shared" si="57"/>
        <v>0</v>
      </c>
      <c r="AA950" s="542">
        <f t="shared" si="57"/>
        <v>0</v>
      </c>
      <c r="AB950" s="542">
        <f t="shared" si="57"/>
        <v>0</v>
      </c>
      <c r="AC950" s="542">
        <f t="shared" si="57"/>
        <v>0</v>
      </c>
      <c r="AD950" s="542">
        <f t="shared" si="57"/>
        <v>0</v>
      </c>
      <c r="AE950" s="542">
        <f t="shared" si="57"/>
        <v>0</v>
      </c>
      <c r="AF950" s="542">
        <f t="shared" si="57"/>
        <v>0</v>
      </c>
      <c r="AG950" s="542">
        <f t="shared" si="57"/>
        <v>0</v>
      </c>
      <c r="AH950" s="542">
        <f t="shared" si="57"/>
        <v>0</v>
      </c>
      <c r="AI950" s="542">
        <f t="shared" si="57"/>
        <v>0</v>
      </c>
      <c r="AJ950" s="542">
        <f t="shared" si="57"/>
        <v>0</v>
      </c>
      <c r="AK950" s="542">
        <f t="shared" si="57"/>
        <v>0</v>
      </c>
      <c r="AL950" s="542">
        <f t="shared" si="57"/>
        <v>0</v>
      </c>
      <c r="AM950" s="542">
        <f t="shared" si="57"/>
        <v>0</v>
      </c>
      <c r="AN950" s="542">
        <f t="shared" si="57"/>
        <v>0</v>
      </c>
      <c r="AO950" s="542">
        <f t="shared" si="57"/>
        <v>0</v>
      </c>
      <c r="AP950" s="542">
        <f t="shared" si="57"/>
        <v>0</v>
      </c>
      <c r="AQ950" s="542">
        <f t="shared" si="57"/>
        <v>0</v>
      </c>
      <c r="AR950" s="542">
        <f t="shared" si="57"/>
        <v>0</v>
      </c>
      <c r="AS950" s="542">
        <f t="shared" si="57"/>
        <v>0</v>
      </c>
      <c r="AT950" s="542">
        <f t="shared" si="57"/>
        <v>0</v>
      </c>
      <c r="AU950" s="542">
        <f t="shared" si="57"/>
        <v>0</v>
      </c>
      <c r="AV950" s="542">
        <f t="shared" si="57"/>
        <v>0</v>
      </c>
      <c r="AW950" s="542">
        <f t="shared" si="57"/>
        <v>0</v>
      </c>
      <c r="AX950" s="542">
        <f t="shared" si="57"/>
        <v>0</v>
      </c>
      <c r="AY950" s="542">
        <f t="shared" si="57"/>
        <v>0</v>
      </c>
      <c r="AZ950" s="542">
        <f t="shared" si="57"/>
        <v>0</v>
      </c>
      <c r="BA950" s="542">
        <f t="shared" si="57"/>
        <v>0</v>
      </c>
      <c r="BB950" s="542">
        <f t="shared" si="57"/>
        <v>0</v>
      </c>
      <c r="BC950" s="542">
        <f t="shared" si="57"/>
        <v>0</v>
      </c>
      <c r="BD950" s="542">
        <f t="shared" si="57"/>
        <v>0</v>
      </c>
      <c r="BE950" s="542">
        <f t="shared" si="57"/>
        <v>0</v>
      </c>
      <c r="BF950" s="542">
        <f t="shared" si="57"/>
        <v>0</v>
      </c>
      <c r="BG950" s="542">
        <f t="shared" si="57"/>
        <v>0</v>
      </c>
      <c r="BH950" s="542">
        <f t="shared" si="57"/>
        <v>0</v>
      </c>
      <c r="BI950" s="542">
        <f t="shared" si="57"/>
        <v>0</v>
      </c>
      <c r="BJ950" s="542">
        <f t="shared" si="57"/>
        <v>0</v>
      </c>
      <c r="BK950" s="542">
        <f t="shared" si="57"/>
        <v>0</v>
      </c>
      <c r="BL950" s="542">
        <f t="shared" si="57"/>
        <v>0</v>
      </c>
      <c r="BM950" s="542">
        <f t="shared" si="57"/>
        <v>0</v>
      </c>
      <c r="BN950" s="542">
        <f t="shared" si="57"/>
        <v>0</v>
      </c>
      <c r="BO950" s="542">
        <f t="shared" si="57"/>
        <v>0</v>
      </c>
      <c r="BP950" s="542">
        <f t="shared" si="57"/>
        <v>0</v>
      </c>
      <c r="BQ950" s="542">
        <f t="shared" si="57"/>
        <v>0</v>
      </c>
      <c r="BR950" s="542">
        <f t="shared" si="57"/>
        <v>0</v>
      </c>
      <c r="BS950" s="542">
        <f t="shared" si="57"/>
        <v>0</v>
      </c>
      <c r="BT950" s="542">
        <f t="shared" si="57"/>
        <v>0</v>
      </c>
      <c r="BU950" s="542">
        <f t="shared" si="57"/>
        <v>0</v>
      </c>
      <c r="BV950" s="542">
        <f t="shared" si="57"/>
        <v>0</v>
      </c>
      <c r="BW950" s="542">
        <f t="shared" si="57"/>
        <v>0</v>
      </c>
      <c r="BX950" s="542">
        <f t="shared" si="55"/>
        <v>0</v>
      </c>
      <c r="BY950" s="542">
        <f t="shared" si="55"/>
        <v>0</v>
      </c>
      <c r="BZ950" s="542">
        <f t="shared" si="55"/>
        <v>0</v>
      </c>
      <c r="CA950" s="542">
        <f t="shared" si="55"/>
        <v>0</v>
      </c>
      <c r="CB950" s="542">
        <f t="shared" si="55"/>
        <v>0</v>
      </c>
      <c r="CC950" s="542">
        <f t="shared" si="55"/>
        <v>0</v>
      </c>
      <c r="CD950" s="542">
        <f t="shared" si="55"/>
        <v>0</v>
      </c>
      <c r="CE950" s="542">
        <f t="shared" si="55"/>
        <v>0</v>
      </c>
      <c r="CF950" s="542">
        <f t="shared" si="55"/>
        <v>0</v>
      </c>
      <c r="CG950" s="542">
        <f t="shared" si="55"/>
        <v>0</v>
      </c>
      <c r="CH950" s="542">
        <f t="shared" si="55"/>
        <v>0</v>
      </c>
      <c r="CI950" s="542">
        <f t="shared" si="55"/>
        <v>0</v>
      </c>
    </row>
    <row r="951" spans="1:97" ht="14.25" customHeight="1" x14ac:dyDescent="0.35">
      <c r="A951" s="42" t="s">
        <v>90</v>
      </c>
      <c r="B951" s="542">
        <v>0</v>
      </c>
      <c r="C951" s="542">
        <v>0</v>
      </c>
      <c r="D951" s="542">
        <v>0</v>
      </c>
      <c r="E951" s="542">
        <v>0</v>
      </c>
      <c r="F951" s="542">
        <v>0</v>
      </c>
      <c r="G951" s="542">
        <v>0</v>
      </c>
      <c r="H951" s="542">
        <v>0</v>
      </c>
      <c r="I951" s="542">
        <v>0</v>
      </c>
      <c r="J951" s="542">
        <v>0</v>
      </c>
      <c r="K951" s="542">
        <v>0</v>
      </c>
      <c r="L951" s="542">
        <v>0</v>
      </c>
      <c r="M951" s="542">
        <v>0</v>
      </c>
      <c r="N951" s="542">
        <f t="shared" si="57"/>
        <v>0</v>
      </c>
      <c r="O951" s="542">
        <f t="shared" si="57"/>
        <v>0</v>
      </c>
      <c r="P951" s="542">
        <f t="shared" si="57"/>
        <v>0</v>
      </c>
      <c r="Q951" s="542">
        <f t="shared" si="57"/>
        <v>0</v>
      </c>
      <c r="R951" s="542">
        <f t="shared" si="57"/>
        <v>0</v>
      </c>
      <c r="S951" s="542">
        <f t="shared" si="57"/>
        <v>0</v>
      </c>
      <c r="T951" s="542">
        <f t="shared" si="57"/>
        <v>0</v>
      </c>
      <c r="U951" s="542">
        <f t="shared" si="57"/>
        <v>0</v>
      </c>
      <c r="V951" s="542">
        <f t="shared" si="57"/>
        <v>0</v>
      </c>
      <c r="W951" s="542">
        <f t="shared" si="57"/>
        <v>0</v>
      </c>
      <c r="X951" s="542">
        <f t="shared" si="57"/>
        <v>0</v>
      </c>
      <c r="Y951" s="542">
        <f t="shared" si="57"/>
        <v>0</v>
      </c>
      <c r="Z951" s="542">
        <f t="shared" si="57"/>
        <v>0</v>
      </c>
      <c r="AA951" s="542">
        <f t="shared" si="57"/>
        <v>0</v>
      </c>
      <c r="AB951" s="542">
        <f t="shared" si="57"/>
        <v>0</v>
      </c>
      <c r="AC951" s="542">
        <f t="shared" si="57"/>
        <v>0</v>
      </c>
      <c r="AD951" s="542">
        <f t="shared" si="57"/>
        <v>0</v>
      </c>
      <c r="AE951" s="542">
        <f t="shared" si="57"/>
        <v>0</v>
      </c>
      <c r="AF951" s="542">
        <f t="shared" si="57"/>
        <v>0</v>
      </c>
      <c r="AG951" s="542">
        <f t="shared" si="57"/>
        <v>0</v>
      </c>
      <c r="AH951" s="542">
        <f t="shared" si="57"/>
        <v>0</v>
      </c>
      <c r="AI951" s="542">
        <f t="shared" si="57"/>
        <v>0</v>
      </c>
      <c r="AJ951" s="542">
        <f t="shared" si="57"/>
        <v>0</v>
      </c>
      <c r="AK951" s="542">
        <f t="shared" si="57"/>
        <v>0</v>
      </c>
      <c r="AL951" s="542">
        <f t="shared" si="57"/>
        <v>0</v>
      </c>
      <c r="AM951" s="542">
        <f t="shared" si="57"/>
        <v>0</v>
      </c>
      <c r="AN951" s="542">
        <f t="shared" si="57"/>
        <v>0</v>
      </c>
      <c r="AO951" s="542">
        <f t="shared" si="57"/>
        <v>0</v>
      </c>
      <c r="AP951" s="542">
        <f t="shared" si="57"/>
        <v>0</v>
      </c>
      <c r="AQ951" s="542">
        <f t="shared" si="57"/>
        <v>0</v>
      </c>
      <c r="AR951" s="542">
        <f t="shared" si="57"/>
        <v>0</v>
      </c>
      <c r="AS951" s="542">
        <f t="shared" si="57"/>
        <v>0</v>
      </c>
      <c r="AT951" s="542">
        <f t="shared" si="57"/>
        <v>0</v>
      </c>
      <c r="AU951" s="542">
        <f t="shared" si="57"/>
        <v>0</v>
      </c>
      <c r="AV951" s="542">
        <f t="shared" si="57"/>
        <v>0</v>
      </c>
      <c r="AW951" s="542">
        <f t="shared" si="57"/>
        <v>0</v>
      </c>
      <c r="AX951" s="542">
        <f t="shared" si="57"/>
        <v>0</v>
      </c>
      <c r="AY951" s="542">
        <f t="shared" si="57"/>
        <v>0</v>
      </c>
      <c r="AZ951" s="542">
        <f t="shared" si="57"/>
        <v>0</v>
      </c>
      <c r="BA951" s="542">
        <f t="shared" si="57"/>
        <v>0</v>
      </c>
      <c r="BB951" s="542">
        <f t="shared" si="57"/>
        <v>0</v>
      </c>
      <c r="BC951" s="542">
        <f t="shared" si="57"/>
        <v>0</v>
      </c>
      <c r="BD951" s="542">
        <f t="shared" si="57"/>
        <v>0</v>
      </c>
      <c r="BE951" s="542">
        <f t="shared" si="57"/>
        <v>0</v>
      </c>
      <c r="BF951" s="542">
        <f t="shared" si="57"/>
        <v>0</v>
      </c>
      <c r="BG951" s="542">
        <f t="shared" si="57"/>
        <v>0</v>
      </c>
      <c r="BH951" s="542">
        <f t="shared" si="57"/>
        <v>0</v>
      </c>
      <c r="BI951" s="542">
        <f t="shared" si="57"/>
        <v>0</v>
      </c>
      <c r="BJ951" s="542">
        <f t="shared" si="57"/>
        <v>0</v>
      </c>
      <c r="BK951" s="542">
        <f t="shared" si="57"/>
        <v>0</v>
      </c>
      <c r="BL951" s="542">
        <f t="shared" si="57"/>
        <v>0</v>
      </c>
      <c r="BM951" s="542">
        <f t="shared" si="57"/>
        <v>0</v>
      </c>
      <c r="BN951" s="542">
        <f t="shared" si="57"/>
        <v>0</v>
      </c>
      <c r="BO951" s="542">
        <f t="shared" si="57"/>
        <v>0</v>
      </c>
      <c r="BP951" s="542">
        <f t="shared" si="57"/>
        <v>0</v>
      </c>
      <c r="BQ951" s="542">
        <f t="shared" si="57"/>
        <v>0</v>
      </c>
      <c r="BR951" s="542">
        <f t="shared" si="57"/>
        <v>0</v>
      </c>
      <c r="BS951" s="542">
        <f t="shared" si="57"/>
        <v>0</v>
      </c>
      <c r="BT951" s="542">
        <f t="shared" si="57"/>
        <v>0</v>
      </c>
      <c r="BU951" s="542">
        <f t="shared" si="57"/>
        <v>0</v>
      </c>
      <c r="BV951" s="542">
        <f t="shared" si="57"/>
        <v>0</v>
      </c>
      <c r="BW951" s="542">
        <f t="shared" si="57"/>
        <v>0</v>
      </c>
      <c r="BX951" s="542">
        <f t="shared" si="55"/>
        <v>0</v>
      </c>
      <c r="BY951" s="542">
        <f t="shared" si="55"/>
        <v>0</v>
      </c>
      <c r="BZ951" s="542">
        <f t="shared" si="55"/>
        <v>0</v>
      </c>
      <c r="CA951" s="542">
        <f t="shared" si="55"/>
        <v>0</v>
      </c>
      <c r="CB951" s="542">
        <f t="shared" si="55"/>
        <v>0</v>
      </c>
      <c r="CC951" s="542">
        <f t="shared" si="55"/>
        <v>0</v>
      </c>
      <c r="CD951" s="542">
        <f t="shared" si="55"/>
        <v>0</v>
      </c>
      <c r="CE951" s="542">
        <f t="shared" si="55"/>
        <v>0</v>
      </c>
      <c r="CF951" s="542">
        <f t="shared" si="55"/>
        <v>0</v>
      </c>
      <c r="CG951" s="542">
        <f t="shared" si="55"/>
        <v>0</v>
      </c>
      <c r="CH951" s="542">
        <f t="shared" si="55"/>
        <v>0</v>
      </c>
      <c r="CI951" s="542">
        <f t="shared" si="55"/>
        <v>0</v>
      </c>
    </row>
    <row r="952" spans="1:97" ht="14.25" customHeight="1" x14ac:dyDescent="0.35">
      <c r="A952" s="98"/>
      <c r="B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c r="BS952" s="51"/>
      <c r="BT952" s="51"/>
      <c r="BU952" s="51"/>
      <c r="BV952" s="51"/>
      <c r="BW952" s="51"/>
      <c r="BX952" s="51"/>
      <c r="BY952" s="51"/>
      <c r="BZ952" s="51"/>
      <c r="CA952" s="51"/>
      <c r="CB952" s="51"/>
      <c r="CC952" s="51"/>
      <c r="CD952" s="51"/>
      <c r="CE952" s="51"/>
      <c r="CF952" s="51"/>
      <c r="CG952" s="51"/>
      <c r="CH952" s="51"/>
      <c r="CI952" s="51"/>
      <c r="CJ952" s="51"/>
      <c r="CK952" s="51"/>
      <c r="CL952" s="51"/>
      <c r="CM952" s="51"/>
      <c r="CN952" s="51"/>
      <c r="CO952" s="51"/>
      <c r="CP952" s="51"/>
      <c r="CQ952" s="51"/>
      <c r="CR952" s="51"/>
      <c r="CS952" s="51"/>
    </row>
    <row r="956" spans="1:97" ht="14.25" customHeight="1" x14ac:dyDescent="0.35">
      <c r="A956" s="143" t="s">
        <v>1487</v>
      </c>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row>
    <row r="957" spans="1:97" ht="14.25" customHeight="1" x14ac:dyDescent="0.35">
      <c r="A957" s="52" t="s">
        <v>1685</v>
      </c>
      <c r="J957" s="52" t="s">
        <v>1686</v>
      </c>
    </row>
    <row r="958" spans="1:97" ht="14.25" customHeight="1" x14ac:dyDescent="0.35">
      <c r="A958" s="39" t="s">
        <v>1363</v>
      </c>
      <c r="B958" s="34" t="s">
        <v>1687</v>
      </c>
      <c r="C958" s="34" t="s">
        <v>1688</v>
      </c>
      <c r="D958" s="34" t="s">
        <v>1689</v>
      </c>
      <c r="E958" s="34" t="s">
        <v>1690</v>
      </c>
      <c r="F958" s="34" t="s">
        <v>1691</v>
      </c>
      <c r="G958" s="34" t="s">
        <v>1692</v>
      </c>
      <c r="H958" s="43"/>
      <c r="I958" s="43"/>
      <c r="J958" s="39" t="s">
        <v>1363</v>
      </c>
      <c r="K958" s="34" t="s">
        <v>1693</v>
      </c>
      <c r="L958" s="34" t="s">
        <v>1694</v>
      </c>
      <c r="M958" s="34" t="s">
        <v>1695</v>
      </c>
      <c r="N958" s="34" t="s">
        <v>1696</v>
      </c>
      <c r="O958" s="34" t="s">
        <v>1697</v>
      </c>
      <c r="P958" s="34" t="s">
        <v>1698</v>
      </c>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row>
    <row r="959" spans="1:97" ht="14.25" customHeight="1" x14ac:dyDescent="0.35">
      <c r="A959" s="275" t="s">
        <v>228</v>
      </c>
      <c r="B959" s="276">
        <v>0.5</v>
      </c>
      <c r="C959" s="276">
        <v>0.25</v>
      </c>
      <c r="D959" s="276">
        <v>0.25</v>
      </c>
      <c r="E959" s="286">
        <v>0</v>
      </c>
      <c r="F959" s="276">
        <v>0</v>
      </c>
      <c r="G959" s="276">
        <v>0</v>
      </c>
      <c r="H959" s="43"/>
      <c r="I959" s="43"/>
      <c r="J959" s="275" t="s">
        <v>228</v>
      </c>
      <c r="K959" s="276">
        <v>0.5</v>
      </c>
      <c r="L959" s="276">
        <v>0.25</v>
      </c>
      <c r="M959" s="276">
        <v>0.25</v>
      </c>
      <c r="N959" s="286">
        <v>0</v>
      </c>
      <c r="O959" s="276">
        <v>0</v>
      </c>
      <c r="P959" s="276">
        <v>0</v>
      </c>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row>
    <row r="960" spans="1:97" ht="14.25" customHeight="1" x14ac:dyDescent="0.35">
      <c r="A960" s="277" t="s">
        <v>95</v>
      </c>
      <c r="B960" s="276">
        <v>0.5</v>
      </c>
      <c r="C960" s="276">
        <v>0.25</v>
      </c>
      <c r="D960" s="276">
        <v>0.25</v>
      </c>
      <c r="E960" s="281">
        <v>0</v>
      </c>
      <c r="F960" s="276">
        <v>0</v>
      </c>
      <c r="G960" s="276">
        <v>0</v>
      </c>
      <c r="H960" s="43"/>
      <c r="I960" s="43"/>
      <c r="J960" s="277" t="s">
        <v>95</v>
      </c>
      <c r="K960" s="276">
        <v>0.5</v>
      </c>
      <c r="L960" s="276">
        <v>0.25</v>
      </c>
      <c r="M960" s="276">
        <v>0.25</v>
      </c>
      <c r="N960" s="281">
        <v>0</v>
      </c>
      <c r="O960" s="276">
        <v>0</v>
      </c>
      <c r="P960" s="276">
        <v>0</v>
      </c>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row>
    <row r="961" spans="1:63" ht="14.25" customHeight="1" x14ac:dyDescent="0.35">
      <c r="A961" s="277" t="s">
        <v>96</v>
      </c>
      <c r="B961" s="276">
        <v>0.5</v>
      </c>
      <c r="C961" s="276">
        <v>0.25</v>
      </c>
      <c r="D961" s="276">
        <v>0.25</v>
      </c>
      <c r="E961" s="281">
        <v>0</v>
      </c>
      <c r="F961" s="276">
        <v>0</v>
      </c>
      <c r="G961" s="276">
        <v>0</v>
      </c>
      <c r="H961" s="43"/>
      <c r="I961" s="43"/>
      <c r="J961" s="277" t="s">
        <v>96</v>
      </c>
      <c r="K961" s="276">
        <v>0.5</v>
      </c>
      <c r="L961" s="276">
        <v>0.25</v>
      </c>
      <c r="M961" s="276">
        <v>0.25</v>
      </c>
      <c r="N961" s="281">
        <v>0</v>
      </c>
      <c r="O961" s="276">
        <v>0</v>
      </c>
      <c r="P961" s="276">
        <v>0</v>
      </c>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row>
    <row r="962" spans="1:63" ht="14.25" customHeight="1" x14ac:dyDescent="0.35">
      <c r="A962" s="277" t="s">
        <v>97</v>
      </c>
      <c r="B962" s="276">
        <v>0.5</v>
      </c>
      <c r="C962" s="276">
        <v>0.25</v>
      </c>
      <c r="D962" s="276">
        <v>0.25</v>
      </c>
      <c r="E962" s="281">
        <v>0</v>
      </c>
      <c r="F962" s="276">
        <v>0</v>
      </c>
      <c r="G962" s="276">
        <v>0</v>
      </c>
      <c r="H962" s="43"/>
      <c r="I962" s="43"/>
      <c r="J962" s="277" t="s">
        <v>97</v>
      </c>
      <c r="K962" s="276">
        <v>0.5</v>
      </c>
      <c r="L962" s="276">
        <v>0.25</v>
      </c>
      <c r="M962" s="276">
        <v>0.25</v>
      </c>
      <c r="N962" s="281">
        <v>0</v>
      </c>
      <c r="O962" s="276">
        <v>0</v>
      </c>
      <c r="P962" s="276">
        <v>0</v>
      </c>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row>
    <row r="963" spans="1:63" ht="14.25" customHeight="1" x14ac:dyDescent="0.35">
      <c r="A963" s="277" t="s">
        <v>98</v>
      </c>
      <c r="B963" s="276">
        <v>0.5</v>
      </c>
      <c r="C963" s="276">
        <v>0.25</v>
      </c>
      <c r="D963" s="276">
        <v>0.25</v>
      </c>
      <c r="E963" s="281">
        <v>0</v>
      </c>
      <c r="F963" s="276">
        <v>0</v>
      </c>
      <c r="G963" s="276">
        <v>0</v>
      </c>
      <c r="H963" s="43"/>
      <c r="I963" s="43"/>
      <c r="J963" s="277" t="s">
        <v>98</v>
      </c>
      <c r="K963" s="276">
        <v>0.5</v>
      </c>
      <c r="L963" s="276">
        <v>0.25</v>
      </c>
      <c r="M963" s="276">
        <v>0.25</v>
      </c>
      <c r="N963" s="281">
        <v>0</v>
      </c>
      <c r="O963" s="276">
        <v>0</v>
      </c>
      <c r="P963" s="276">
        <v>0</v>
      </c>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row>
    <row r="964" spans="1:63" ht="14.25" customHeight="1" x14ac:dyDescent="0.35">
      <c r="A964" s="277" t="s">
        <v>163</v>
      </c>
      <c r="B964" s="276">
        <v>0.5</v>
      </c>
      <c r="C964" s="276">
        <v>0.25</v>
      </c>
      <c r="D964" s="276">
        <v>0.25</v>
      </c>
      <c r="E964" s="281">
        <v>0</v>
      </c>
      <c r="F964" s="276">
        <v>0</v>
      </c>
      <c r="G964" s="276">
        <v>0</v>
      </c>
      <c r="H964" s="43"/>
      <c r="I964" s="43"/>
      <c r="J964" s="277" t="s">
        <v>163</v>
      </c>
      <c r="K964" s="276">
        <v>0.5</v>
      </c>
      <c r="L964" s="276">
        <v>0.25</v>
      </c>
      <c r="M964" s="276">
        <v>0.25</v>
      </c>
      <c r="N964" s="281">
        <v>0</v>
      </c>
      <c r="O964" s="276">
        <v>0</v>
      </c>
      <c r="P964" s="276">
        <v>0</v>
      </c>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row>
    <row r="965" spans="1:63" ht="14.25" customHeight="1" x14ac:dyDescent="0.35">
      <c r="A965" s="277" t="s">
        <v>100</v>
      </c>
      <c r="B965" s="276">
        <v>0.5</v>
      </c>
      <c r="C965" s="276">
        <v>0.25</v>
      </c>
      <c r="D965" s="276">
        <v>0.25</v>
      </c>
      <c r="E965" s="281">
        <v>0</v>
      </c>
      <c r="F965" s="276">
        <v>0</v>
      </c>
      <c r="G965" s="276">
        <v>0</v>
      </c>
      <c r="H965" s="43"/>
      <c r="I965" s="43"/>
      <c r="J965" s="277" t="s">
        <v>100</v>
      </c>
      <c r="K965" s="276">
        <v>0.5</v>
      </c>
      <c r="L965" s="276">
        <v>0.25</v>
      </c>
      <c r="M965" s="276">
        <v>0.25</v>
      </c>
      <c r="N965" s="281">
        <v>0</v>
      </c>
      <c r="O965" s="276">
        <v>0</v>
      </c>
      <c r="P965" s="276">
        <v>0</v>
      </c>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row>
    <row r="966" spans="1:63" ht="14.25" customHeight="1" x14ac:dyDescent="0.35">
      <c r="A966" s="277" t="s">
        <v>101</v>
      </c>
      <c r="B966" s="276">
        <v>0.5</v>
      </c>
      <c r="C966" s="276">
        <v>0.25</v>
      </c>
      <c r="D966" s="276">
        <v>0.25</v>
      </c>
      <c r="E966" s="281">
        <v>0</v>
      </c>
      <c r="F966" s="276">
        <v>0</v>
      </c>
      <c r="G966" s="276">
        <v>0</v>
      </c>
      <c r="H966" s="43"/>
      <c r="I966" s="43"/>
      <c r="J966" s="277" t="s">
        <v>101</v>
      </c>
      <c r="K966" s="276">
        <v>0.5</v>
      </c>
      <c r="L966" s="276">
        <v>0.25</v>
      </c>
      <c r="M966" s="276">
        <v>0.25</v>
      </c>
      <c r="N966" s="281">
        <v>0</v>
      </c>
      <c r="O966" s="276">
        <v>0</v>
      </c>
      <c r="P966" s="276">
        <v>0</v>
      </c>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row>
    <row r="967" spans="1:63" ht="14.25" customHeight="1" x14ac:dyDescent="0.35">
      <c r="A967" s="277" t="s">
        <v>102</v>
      </c>
      <c r="B967" s="276">
        <v>0.5</v>
      </c>
      <c r="C967" s="276">
        <v>0.25</v>
      </c>
      <c r="D967" s="276">
        <v>0.25</v>
      </c>
      <c r="E967" s="281">
        <v>0</v>
      </c>
      <c r="F967" s="276">
        <v>0</v>
      </c>
      <c r="G967" s="276">
        <v>0</v>
      </c>
      <c r="H967" s="43"/>
      <c r="I967" s="43"/>
      <c r="J967" s="277" t="s">
        <v>102</v>
      </c>
      <c r="K967" s="276">
        <v>0.5</v>
      </c>
      <c r="L967" s="276">
        <v>0.25</v>
      </c>
      <c r="M967" s="276">
        <v>0.25</v>
      </c>
      <c r="N967" s="281">
        <v>0</v>
      </c>
      <c r="O967" s="276">
        <v>0</v>
      </c>
      <c r="P967" s="276">
        <v>0</v>
      </c>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row>
    <row r="968" spans="1:63" ht="14.25" customHeight="1" x14ac:dyDescent="0.35">
      <c r="A968" s="277" t="s">
        <v>103</v>
      </c>
      <c r="B968" s="276">
        <v>0.5</v>
      </c>
      <c r="C968" s="276">
        <v>0.25</v>
      </c>
      <c r="D968" s="276">
        <v>0.25</v>
      </c>
      <c r="E968" s="281">
        <v>0</v>
      </c>
      <c r="F968" s="276">
        <v>0</v>
      </c>
      <c r="G968" s="276">
        <v>0</v>
      </c>
      <c r="H968" s="43"/>
      <c r="I968" s="43"/>
      <c r="J968" s="277" t="s">
        <v>103</v>
      </c>
      <c r="K968" s="276">
        <v>0.5</v>
      </c>
      <c r="L968" s="276">
        <v>0.25</v>
      </c>
      <c r="M968" s="276">
        <v>0.25</v>
      </c>
      <c r="N968" s="281">
        <v>0</v>
      </c>
      <c r="O968" s="276">
        <v>0</v>
      </c>
      <c r="P968" s="276">
        <v>0</v>
      </c>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row>
    <row r="969" spans="1:63" ht="14.25" customHeight="1" x14ac:dyDescent="0.35">
      <c r="A969" s="277" t="s">
        <v>104</v>
      </c>
      <c r="B969" s="276">
        <v>0.5</v>
      </c>
      <c r="C969" s="276">
        <v>0.25</v>
      </c>
      <c r="D969" s="276">
        <v>0.25</v>
      </c>
      <c r="E969" s="281">
        <v>0</v>
      </c>
      <c r="F969" s="276">
        <v>0</v>
      </c>
      <c r="G969" s="276">
        <v>0</v>
      </c>
      <c r="H969" s="43"/>
      <c r="I969" s="43"/>
      <c r="J969" s="277" t="s">
        <v>104</v>
      </c>
      <c r="K969" s="276">
        <v>0.5</v>
      </c>
      <c r="L969" s="276">
        <v>0.25</v>
      </c>
      <c r="M969" s="276">
        <v>0.25</v>
      </c>
      <c r="N969" s="281">
        <v>0</v>
      </c>
      <c r="O969" s="276">
        <v>0</v>
      </c>
      <c r="P969" s="276">
        <v>0</v>
      </c>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row>
    <row r="970" spans="1:63" ht="14.25" customHeight="1" x14ac:dyDescent="0.35">
      <c r="A970" s="277" t="s">
        <v>105</v>
      </c>
      <c r="B970" s="276">
        <v>0.5</v>
      </c>
      <c r="C970" s="276">
        <v>0.25</v>
      </c>
      <c r="D970" s="276">
        <v>0.25</v>
      </c>
      <c r="E970" s="281">
        <v>0</v>
      </c>
      <c r="F970" s="276">
        <v>0</v>
      </c>
      <c r="G970" s="276">
        <v>0</v>
      </c>
      <c r="H970" s="43"/>
      <c r="I970" s="43"/>
      <c r="J970" s="277" t="s">
        <v>105</v>
      </c>
      <c r="K970" s="276">
        <v>0.5</v>
      </c>
      <c r="L970" s="276">
        <v>0.25</v>
      </c>
      <c r="M970" s="276">
        <v>0.25</v>
      </c>
      <c r="N970" s="281">
        <v>0</v>
      </c>
      <c r="O970" s="276">
        <v>0</v>
      </c>
      <c r="P970" s="276">
        <v>0</v>
      </c>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row>
    <row r="971" spans="1:63" ht="14.25" customHeight="1" x14ac:dyDescent="0.35">
      <c r="A971" s="277" t="s">
        <v>106</v>
      </c>
      <c r="B971" s="276">
        <v>0.5</v>
      </c>
      <c r="C971" s="276">
        <v>0.25</v>
      </c>
      <c r="D971" s="276">
        <v>0.25</v>
      </c>
      <c r="E971" s="281">
        <v>0</v>
      </c>
      <c r="F971" s="276">
        <v>0</v>
      </c>
      <c r="G971" s="276">
        <v>0</v>
      </c>
      <c r="H971" s="43"/>
      <c r="I971" s="43"/>
      <c r="J971" s="277" t="s">
        <v>106</v>
      </c>
      <c r="K971" s="276">
        <v>0.5</v>
      </c>
      <c r="L971" s="276">
        <v>0.25</v>
      </c>
      <c r="M971" s="276">
        <v>0.25</v>
      </c>
      <c r="N971" s="281">
        <v>0</v>
      </c>
      <c r="O971" s="276">
        <v>0</v>
      </c>
      <c r="P971" s="276">
        <v>0</v>
      </c>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row>
    <row r="972" spans="1:63" ht="14.25" customHeight="1" x14ac:dyDescent="0.35">
      <c r="A972" s="277" t="s">
        <v>107</v>
      </c>
      <c r="B972" s="276">
        <v>0.5</v>
      </c>
      <c r="C972" s="276">
        <v>0.25</v>
      </c>
      <c r="D972" s="276">
        <v>0.25</v>
      </c>
      <c r="E972" s="281">
        <v>0</v>
      </c>
      <c r="F972" s="276">
        <v>0</v>
      </c>
      <c r="G972" s="276">
        <v>0</v>
      </c>
      <c r="H972" s="43"/>
      <c r="I972" s="43"/>
      <c r="J972" s="277" t="s">
        <v>107</v>
      </c>
      <c r="K972" s="276">
        <v>0.5</v>
      </c>
      <c r="L972" s="276">
        <v>0.25</v>
      </c>
      <c r="M972" s="276">
        <v>0.25</v>
      </c>
      <c r="N972" s="281">
        <v>0</v>
      </c>
      <c r="O972" s="276">
        <v>0</v>
      </c>
      <c r="P972" s="276">
        <v>0</v>
      </c>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row>
    <row r="973" spans="1:63" ht="14.25" customHeight="1" x14ac:dyDescent="0.35">
      <c r="A973" s="277" t="s">
        <v>108</v>
      </c>
      <c r="B973" s="276">
        <v>0.5</v>
      </c>
      <c r="C973" s="276">
        <v>0.25</v>
      </c>
      <c r="D973" s="276">
        <v>0.25</v>
      </c>
      <c r="E973" s="286">
        <v>0</v>
      </c>
      <c r="F973" s="276">
        <v>0</v>
      </c>
      <c r="G973" s="276">
        <v>0</v>
      </c>
      <c r="H973" s="43"/>
      <c r="I973" s="43"/>
      <c r="J973" s="277" t="s">
        <v>108</v>
      </c>
      <c r="K973" s="276">
        <v>0.5</v>
      </c>
      <c r="L973" s="276">
        <v>0.25</v>
      </c>
      <c r="M973" s="276">
        <v>0.25</v>
      </c>
      <c r="N973" s="286">
        <v>0</v>
      </c>
      <c r="O973" s="276">
        <v>0</v>
      </c>
      <c r="P973" s="276">
        <v>0</v>
      </c>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row>
    <row r="974" spans="1:63" ht="14.25" customHeight="1" x14ac:dyDescent="0.35">
      <c r="A974" s="277" t="s">
        <v>109</v>
      </c>
      <c r="B974" s="276">
        <v>0.5</v>
      </c>
      <c r="C974" s="276">
        <v>0.25</v>
      </c>
      <c r="D974" s="276">
        <v>0.25</v>
      </c>
      <c r="E974" s="281">
        <v>0</v>
      </c>
      <c r="F974" s="276">
        <v>0</v>
      </c>
      <c r="G974" s="276">
        <v>0</v>
      </c>
      <c r="H974" s="43"/>
      <c r="I974" s="43"/>
      <c r="J974" s="277" t="s">
        <v>109</v>
      </c>
      <c r="K974" s="276">
        <v>0.5</v>
      </c>
      <c r="L974" s="276">
        <v>0.25</v>
      </c>
      <c r="M974" s="276">
        <v>0.25</v>
      </c>
      <c r="N974" s="281">
        <v>0</v>
      </c>
      <c r="O974" s="276">
        <v>0</v>
      </c>
      <c r="P974" s="276">
        <v>0</v>
      </c>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row>
    <row r="975" spans="1:63" ht="14.25" customHeight="1" x14ac:dyDescent="0.35">
      <c r="A975" s="277" t="s">
        <v>229</v>
      </c>
      <c r="B975" s="276">
        <v>0.5</v>
      </c>
      <c r="C975" s="276">
        <v>0.25</v>
      </c>
      <c r="D975" s="276">
        <v>0.25</v>
      </c>
      <c r="E975" s="281">
        <v>0</v>
      </c>
      <c r="F975" s="276">
        <v>0</v>
      </c>
      <c r="G975" s="276">
        <v>0</v>
      </c>
      <c r="H975" s="43"/>
      <c r="I975" s="43"/>
      <c r="J975" s="277" t="s">
        <v>229</v>
      </c>
      <c r="K975" s="276">
        <v>0.5</v>
      </c>
      <c r="L975" s="276">
        <v>0.25</v>
      </c>
      <c r="M975" s="276">
        <v>0.25</v>
      </c>
      <c r="N975" s="281">
        <v>0</v>
      </c>
      <c r="O975" s="276">
        <v>0</v>
      </c>
      <c r="P975" s="276">
        <v>0</v>
      </c>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row>
    <row r="976" spans="1:63" ht="14.25" customHeight="1" x14ac:dyDescent="0.35">
      <c r="A976" s="277" t="s">
        <v>111</v>
      </c>
      <c r="B976" s="276">
        <v>0.5</v>
      </c>
      <c r="C976" s="276">
        <v>0.25</v>
      </c>
      <c r="D976" s="276">
        <v>0.25</v>
      </c>
      <c r="E976" s="281">
        <v>0</v>
      </c>
      <c r="F976" s="276">
        <v>0</v>
      </c>
      <c r="G976" s="276">
        <v>0</v>
      </c>
      <c r="H976" s="43"/>
      <c r="I976" s="43"/>
      <c r="J976" s="277" t="s">
        <v>111</v>
      </c>
      <c r="K976" s="276">
        <v>0.5</v>
      </c>
      <c r="L976" s="276">
        <v>0.25</v>
      </c>
      <c r="M976" s="276">
        <v>0.25</v>
      </c>
      <c r="N976" s="281">
        <v>0</v>
      </c>
      <c r="O976" s="276">
        <v>0</v>
      </c>
      <c r="P976" s="276">
        <v>0</v>
      </c>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row>
    <row r="977" spans="1:63" ht="14.25" customHeight="1" x14ac:dyDescent="0.35">
      <c r="A977" s="277" t="s">
        <v>112</v>
      </c>
      <c r="B977" s="276">
        <v>0.5</v>
      </c>
      <c r="C977" s="276">
        <v>0.25</v>
      </c>
      <c r="D977" s="276">
        <v>0.25</v>
      </c>
      <c r="E977" s="286">
        <v>0</v>
      </c>
      <c r="F977" s="276">
        <v>0</v>
      </c>
      <c r="G977" s="276">
        <v>0</v>
      </c>
      <c r="H977" s="43"/>
      <c r="I977" s="43"/>
      <c r="J977" s="277" t="s">
        <v>112</v>
      </c>
      <c r="K977" s="276">
        <v>0.5</v>
      </c>
      <c r="L977" s="276">
        <v>0.25</v>
      </c>
      <c r="M977" s="276">
        <v>0.25</v>
      </c>
      <c r="N977" s="286">
        <v>0</v>
      </c>
      <c r="O977" s="276">
        <v>0</v>
      </c>
      <c r="P977" s="276">
        <v>0</v>
      </c>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row>
    <row r="978" spans="1:63" ht="14.25" customHeight="1" x14ac:dyDescent="0.35">
      <c r="A978" s="277" t="s">
        <v>113</v>
      </c>
      <c r="B978" s="276">
        <v>0.5</v>
      </c>
      <c r="C978" s="276">
        <v>0.25</v>
      </c>
      <c r="D978" s="276">
        <v>0.25</v>
      </c>
      <c r="E978" s="286">
        <v>0</v>
      </c>
      <c r="F978" s="276">
        <v>0</v>
      </c>
      <c r="G978" s="276">
        <v>0</v>
      </c>
      <c r="H978" s="43"/>
      <c r="I978" s="43"/>
      <c r="J978" s="277" t="s">
        <v>113</v>
      </c>
      <c r="K978" s="276">
        <v>0.5</v>
      </c>
      <c r="L978" s="276">
        <v>0.25</v>
      </c>
      <c r="M978" s="276">
        <v>0.25</v>
      </c>
      <c r="N978" s="286">
        <v>0</v>
      </c>
      <c r="O978" s="276">
        <v>0</v>
      </c>
      <c r="P978" s="276">
        <v>0</v>
      </c>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row>
    <row r="979" spans="1:63" ht="14.25" customHeight="1" x14ac:dyDescent="0.35">
      <c r="A979" s="277" t="s">
        <v>114</v>
      </c>
      <c r="B979" s="276">
        <v>0.5</v>
      </c>
      <c r="C979" s="276">
        <v>0.25</v>
      </c>
      <c r="D979" s="276">
        <v>0.25</v>
      </c>
      <c r="E979" s="281">
        <v>0</v>
      </c>
      <c r="F979" s="276">
        <v>0</v>
      </c>
      <c r="G979" s="276">
        <v>0</v>
      </c>
      <c r="H979" s="43"/>
      <c r="I979" s="43"/>
      <c r="J979" s="277" t="s">
        <v>114</v>
      </c>
      <c r="K979" s="276">
        <v>0.5</v>
      </c>
      <c r="L979" s="276">
        <v>0.25</v>
      </c>
      <c r="M979" s="276">
        <v>0.25</v>
      </c>
      <c r="N979" s="281">
        <v>0</v>
      </c>
      <c r="O979" s="276">
        <v>0</v>
      </c>
      <c r="P979" s="276">
        <v>0</v>
      </c>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row>
    <row r="980" spans="1:63" ht="14.25" customHeight="1" x14ac:dyDescent="0.35">
      <c r="A980" s="277" t="s">
        <v>115</v>
      </c>
      <c r="B980" s="276">
        <v>0.5</v>
      </c>
      <c r="C980" s="276">
        <v>0.25</v>
      </c>
      <c r="D980" s="276">
        <v>0.25</v>
      </c>
      <c r="E980" s="281">
        <v>0</v>
      </c>
      <c r="F980" s="276">
        <v>0</v>
      </c>
      <c r="G980" s="276">
        <v>0</v>
      </c>
      <c r="H980" s="43"/>
      <c r="I980" s="43"/>
      <c r="J980" s="277" t="s">
        <v>115</v>
      </c>
      <c r="K980" s="276">
        <v>0.5</v>
      </c>
      <c r="L980" s="276">
        <v>0.25</v>
      </c>
      <c r="M980" s="276">
        <v>0.25</v>
      </c>
      <c r="N980" s="281">
        <v>0</v>
      </c>
      <c r="O980" s="276">
        <v>0</v>
      </c>
      <c r="P980" s="276">
        <v>0</v>
      </c>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row>
    <row r="981" spans="1:63" ht="14.25" customHeight="1" x14ac:dyDescent="0.35">
      <c r="A981" s="277" t="s">
        <v>116</v>
      </c>
      <c r="B981" s="276">
        <v>0.5</v>
      </c>
      <c r="C981" s="276">
        <v>0.25</v>
      </c>
      <c r="D981" s="276">
        <v>0.25</v>
      </c>
      <c r="E981" s="286">
        <v>0</v>
      </c>
      <c r="F981" s="276">
        <v>0</v>
      </c>
      <c r="G981" s="276">
        <v>0</v>
      </c>
      <c r="H981" s="43"/>
      <c r="I981" s="43"/>
      <c r="J981" s="277" t="s">
        <v>116</v>
      </c>
      <c r="K981" s="276">
        <v>0.5</v>
      </c>
      <c r="L981" s="276">
        <v>0.25</v>
      </c>
      <c r="M981" s="276">
        <v>0.25</v>
      </c>
      <c r="N981" s="286">
        <v>0</v>
      </c>
      <c r="O981" s="276">
        <v>0</v>
      </c>
      <c r="P981" s="276">
        <v>0</v>
      </c>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row>
    <row r="982" spans="1:63" ht="14.25" customHeight="1" x14ac:dyDescent="0.35">
      <c r="A982" s="277" t="s">
        <v>117</v>
      </c>
      <c r="B982" s="276">
        <v>0.5</v>
      </c>
      <c r="C982" s="276">
        <v>0.25</v>
      </c>
      <c r="D982" s="276">
        <v>0.25</v>
      </c>
      <c r="E982" s="281">
        <v>0</v>
      </c>
      <c r="F982" s="276">
        <v>0</v>
      </c>
      <c r="G982" s="276">
        <v>0</v>
      </c>
      <c r="H982" s="43"/>
      <c r="I982" s="43"/>
      <c r="J982" s="277" t="s">
        <v>117</v>
      </c>
      <c r="K982" s="276">
        <v>0.5</v>
      </c>
      <c r="L982" s="276">
        <v>0.25</v>
      </c>
      <c r="M982" s="276">
        <v>0.25</v>
      </c>
      <c r="N982" s="281">
        <v>0</v>
      </c>
      <c r="O982" s="276">
        <v>0</v>
      </c>
      <c r="P982" s="276">
        <v>0</v>
      </c>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row>
    <row r="983" spans="1:63" ht="14.25" customHeight="1" x14ac:dyDescent="0.35">
      <c r="A983" s="277" t="s">
        <v>118</v>
      </c>
      <c r="B983" s="276">
        <v>0.5</v>
      </c>
      <c r="C983" s="276">
        <v>0.25</v>
      </c>
      <c r="D983" s="276">
        <v>0.25</v>
      </c>
      <c r="E983" s="286">
        <v>0</v>
      </c>
      <c r="F983" s="276">
        <v>0</v>
      </c>
      <c r="G983" s="276">
        <v>0</v>
      </c>
      <c r="H983" s="43"/>
      <c r="I983" s="43"/>
      <c r="J983" s="277" t="s">
        <v>118</v>
      </c>
      <c r="K983" s="276">
        <v>0.5</v>
      </c>
      <c r="L983" s="276">
        <v>0.25</v>
      </c>
      <c r="M983" s="276">
        <v>0.25</v>
      </c>
      <c r="N983" s="286">
        <v>0</v>
      </c>
      <c r="O983" s="276">
        <v>0</v>
      </c>
      <c r="P983" s="276">
        <v>0</v>
      </c>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row>
    <row r="984" spans="1:63" ht="14.25" customHeight="1" x14ac:dyDescent="0.35">
      <c r="A984" s="277" t="s">
        <v>119</v>
      </c>
      <c r="B984" s="276">
        <v>0.5</v>
      </c>
      <c r="C984" s="276">
        <v>0.25</v>
      </c>
      <c r="D984" s="276">
        <v>0.25</v>
      </c>
      <c r="E984" s="281">
        <v>0</v>
      </c>
      <c r="F984" s="276">
        <v>0</v>
      </c>
      <c r="G984" s="276">
        <v>0</v>
      </c>
      <c r="H984" s="43"/>
      <c r="I984" s="43"/>
      <c r="J984" s="277" t="s">
        <v>119</v>
      </c>
      <c r="K984" s="276">
        <v>0.5</v>
      </c>
      <c r="L984" s="276">
        <v>0.25</v>
      </c>
      <c r="M984" s="276">
        <v>0.25</v>
      </c>
      <c r="N984" s="281">
        <v>0</v>
      </c>
      <c r="O984" s="276">
        <v>0</v>
      </c>
      <c r="P984" s="276">
        <v>0</v>
      </c>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row>
    <row r="985" spans="1:63" ht="14.25" customHeight="1" x14ac:dyDescent="0.35">
      <c r="A985" s="277" t="s">
        <v>120</v>
      </c>
      <c r="B985" s="276">
        <v>0.5</v>
      </c>
      <c r="C985" s="276">
        <v>0.25</v>
      </c>
      <c r="D985" s="276">
        <v>0.25</v>
      </c>
      <c r="E985" s="281">
        <v>0</v>
      </c>
      <c r="F985" s="276">
        <v>0</v>
      </c>
      <c r="G985" s="276">
        <v>0</v>
      </c>
      <c r="H985" s="43"/>
      <c r="I985" s="43"/>
      <c r="J985" s="277" t="s">
        <v>120</v>
      </c>
      <c r="K985" s="276">
        <v>0.5</v>
      </c>
      <c r="L985" s="276">
        <v>0.25</v>
      </c>
      <c r="M985" s="276">
        <v>0.25</v>
      </c>
      <c r="N985" s="281">
        <v>0</v>
      </c>
      <c r="O985" s="276">
        <v>0</v>
      </c>
      <c r="P985" s="276">
        <v>0</v>
      </c>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row>
    <row r="986" spans="1:63" ht="14.25" customHeight="1" x14ac:dyDescent="0.35">
      <c r="A986" s="278" t="s">
        <v>83</v>
      </c>
      <c r="B986" s="276">
        <v>0.5</v>
      </c>
      <c r="C986" s="276">
        <v>0.25</v>
      </c>
      <c r="D986" s="276">
        <v>0.25</v>
      </c>
      <c r="E986" s="286">
        <v>0</v>
      </c>
      <c r="F986" s="276">
        <v>0</v>
      </c>
      <c r="G986" s="276">
        <v>0</v>
      </c>
      <c r="H986" s="43"/>
      <c r="I986" s="43"/>
      <c r="J986" s="278" t="s">
        <v>83</v>
      </c>
      <c r="K986" s="276">
        <v>0.5</v>
      </c>
      <c r="L986" s="276">
        <v>0.25</v>
      </c>
      <c r="M986" s="276">
        <v>0.25</v>
      </c>
      <c r="N986" s="286">
        <v>0</v>
      </c>
      <c r="O986" s="276">
        <v>0</v>
      </c>
      <c r="P986" s="276">
        <v>0</v>
      </c>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row>
    <row r="987" spans="1:63" ht="14.25" customHeight="1" x14ac:dyDescent="0.35">
      <c r="A987" s="278" t="s">
        <v>144</v>
      </c>
      <c r="B987" s="276">
        <v>0.5</v>
      </c>
      <c r="C987" s="276">
        <v>0.25</v>
      </c>
      <c r="D987" s="276">
        <v>0.25</v>
      </c>
      <c r="E987" s="286">
        <v>0</v>
      </c>
      <c r="F987" s="286">
        <v>0</v>
      </c>
      <c r="G987" s="286">
        <v>0</v>
      </c>
      <c r="H987" s="43"/>
      <c r="I987" s="43"/>
      <c r="J987" s="278" t="s">
        <v>144</v>
      </c>
      <c r="K987" s="276">
        <v>0.5</v>
      </c>
      <c r="L987" s="276">
        <v>0.25</v>
      </c>
      <c r="M987" s="276">
        <v>0.25</v>
      </c>
      <c r="N987" s="286">
        <v>0</v>
      </c>
      <c r="O987" s="286">
        <v>0</v>
      </c>
      <c r="P987" s="286">
        <v>0</v>
      </c>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row>
    <row r="988" spans="1:63" ht="14.25" customHeight="1" x14ac:dyDescent="0.35">
      <c r="A988" s="278" t="s">
        <v>164</v>
      </c>
      <c r="B988" s="276">
        <v>0.5</v>
      </c>
      <c r="C988" s="276">
        <v>0.25</v>
      </c>
      <c r="D988" s="276">
        <v>0.25</v>
      </c>
      <c r="E988" s="286">
        <v>0</v>
      </c>
      <c r="F988" s="286">
        <v>0</v>
      </c>
      <c r="G988" s="286">
        <v>0</v>
      </c>
      <c r="H988" s="43"/>
      <c r="I988" s="43"/>
      <c r="J988" s="278" t="s">
        <v>164</v>
      </c>
      <c r="K988" s="276">
        <v>0.5</v>
      </c>
      <c r="L988" s="276">
        <v>0.25</v>
      </c>
      <c r="M988" s="276">
        <v>0.25</v>
      </c>
      <c r="N988" s="286">
        <v>0</v>
      </c>
      <c r="O988" s="286">
        <v>0</v>
      </c>
      <c r="P988" s="286">
        <v>0</v>
      </c>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row>
    <row r="989" spans="1:63" ht="14.25" customHeight="1" x14ac:dyDescent="0.35">
      <c r="A989" s="278" t="s">
        <v>145</v>
      </c>
      <c r="B989" s="276">
        <v>0.5</v>
      </c>
      <c r="C989" s="276">
        <v>0.25</v>
      </c>
      <c r="D989" s="276">
        <v>0.25</v>
      </c>
      <c r="E989" s="286">
        <v>0</v>
      </c>
      <c r="F989" s="286">
        <v>0</v>
      </c>
      <c r="G989" s="286">
        <v>0</v>
      </c>
      <c r="H989" s="43"/>
      <c r="I989" s="43"/>
      <c r="J989" s="278" t="s">
        <v>145</v>
      </c>
      <c r="K989" s="276">
        <v>0.5</v>
      </c>
      <c r="L989" s="276">
        <v>0.25</v>
      </c>
      <c r="M989" s="276">
        <v>0.25</v>
      </c>
      <c r="N989" s="286">
        <v>0</v>
      </c>
      <c r="O989" s="286">
        <v>0</v>
      </c>
      <c r="P989" s="286">
        <v>0</v>
      </c>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row>
    <row r="990" spans="1:63" ht="14.25" customHeight="1" x14ac:dyDescent="0.35">
      <c r="A990" s="278" t="s">
        <v>87</v>
      </c>
      <c r="B990" s="276">
        <v>0.5</v>
      </c>
      <c r="C990" s="276">
        <v>0.25</v>
      </c>
      <c r="D990" s="276">
        <v>0.25</v>
      </c>
      <c r="E990" s="286">
        <v>0</v>
      </c>
      <c r="F990" s="286">
        <v>0</v>
      </c>
      <c r="G990" s="286">
        <v>0</v>
      </c>
      <c r="H990" s="43"/>
      <c r="I990" s="43"/>
      <c r="J990" s="278" t="s">
        <v>87</v>
      </c>
      <c r="K990" s="276">
        <v>0.5</v>
      </c>
      <c r="L990" s="276">
        <v>0.25</v>
      </c>
      <c r="M990" s="276">
        <v>0.25</v>
      </c>
      <c r="N990" s="286">
        <v>0</v>
      </c>
      <c r="O990" s="286">
        <v>0</v>
      </c>
      <c r="P990" s="286">
        <v>0</v>
      </c>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row>
    <row r="991" spans="1:63" ht="14.25" customHeight="1" x14ac:dyDescent="0.35">
      <c r="A991" s="278" t="s">
        <v>146</v>
      </c>
      <c r="B991" s="276">
        <v>0.5</v>
      </c>
      <c r="C991" s="276">
        <v>0.25</v>
      </c>
      <c r="D991" s="276">
        <v>0.25</v>
      </c>
      <c r="E991" s="286">
        <v>0</v>
      </c>
      <c r="F991" s="286">
        <v>0</v>
      </c>
      <c r="G991" s="286">
        <v>0</v>
      </c>
      <c r="H991" s="43"/>
      <c r="I991" s="43"/>
      <c r="J991" s="278" t="s">
        <v>146</v>
      </c>
      <c r="K991" s="276">
        <v>0.5</v>
      </c>
      <c r="L991" s="276">
        <v>0.25</v>
      </c>
      <c r="M991" s="276">
        <v>0.25</v>
      </c>
      <c r="N991" s="286">
        <v>0</v>
      </c>
      <c r="O991" s="286">
        <v>0</v>
      </c>
      <c r="P991" s="286">
        <v>0</v>
      </c>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row>
    <row r="992" spans="1:63" ht="14.25" customHeight="1" x14ac:dyDescent="0.35">
      <c r="A992" s="278" t="s">
        <v>89</v>
      </c>
      <c r="B992" s="276">
        <v>0.5</v>
      </c>
      <c r="C992" s="276">
        <v>0.25</v>
      </c>
      <c r="D992" s="276">
        <v>0.25</v>
      </c>
      <c r="E992" s="286">
        <v>0</v>
      </c>
      <c r="F992" s="286">
        <v>0</v>
      </c>
      <c r="G992" s="286">
        <v>0</v>
      </c>
      <c r="H992" s="43"/>
      <c r="I992" s="43"/>
      <c r="J992" s="278" t="s">
        <v>89</v>
      </c>
      <c r="K992" s="276">
        <v>0.5</v>
      </c>
      <c r="L992" s="276">
        <v>0.25</v>
      </c>
      <c r="M992" s="276">
        <v>0.25</v>
      </c>
      <c r="N992" s="286">
        <v>0</v>
      </c>
      <c r="O992" s="286">
        <v>0</v>
      </c>
      <c r="P992" s="286">
        <v>0</v>
      </c>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row>
    <row r="993" spans="1:63" ht="14.25" customHeight="1" x14ac:dyDescent="0.35">
      <c r="A993" s="278" t="s">
        <v>90</v>
      </c>
      <c r="B993" s="276">
        <v>0.5</v>
      </c>
      <c r="C993" s="276">
        <v>0.25</v>
      </c>
      <c r="D993" s="276">
        <v>0.25</v>
      </c>
      <c r="E993" s="286">
        <v>0</v>
      </c>
      <c r="F993" s="286">
        <v>0</v>
      </c>
      <c r="G993" s="286">
        <v>0</v>
      </c>
      <c r="H993" s="43"/>
      <c r="I993" s="43"/>
      <c r="J993" s="278" t="s">
        <v>90</v>
      </c>
      <c r="K993" s="276">
        <v>0.5</v>
      </c>
      <c r="L993" s="276">
        <v>0.25</v>
      </c>
      <c r="M993" s="276">
        <v>0.25</v>
      </c>
      <c r="N993" s="286">
        <v>0</v>
      </c>
      <c r="O993" s="286">
        <v>0</v>
      </c>
      <c r="P993" s="286">
        <v>0</v>
      </c>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row>
    <row r="995" spans="1:63" ht="14.25" customHeight="1" x14ac:dyDescent="0.35">
      <c r="A995" s="143" t="s">
        <v>870</v>
      </c>
    </row>
    <row r="996" spans="1:63" ht="14.25" customHeight="1" x14ac:dyDescent="0.35">
      <c r="B996" s="52" t="s">
        <v>1282</v>
      </c>
      <c r="C996" s="52" t="s">
        <v>871</v>
      </c>
      <c r="D996" s="52" t="s">
        <v>872</v>
      </c>
    </row>
    <row r="997" spans="1:63" ht="14.25" customHeight="1" x14ac:dyDescent="0.35">
      <c r="A997" s="5" t="s">
        <v>671</v>
      </c>
      <c r="B997" s="66" t="s">
        <v>128</v>
      </c>
      <c r="C997" s="66" t="s">
        <v>322</v>
      </c>
      <c r="D997" s="66" t="s">
        <v>13</v>
      </c>
    </row>
    <row r="998" spans="1:63" ht="14.25" customHeight="1" x14ac:dyDescent="0.35">
      <c r="A998" s="363" t="s">
        <v>95</v>
      </c>
      <c r="B998" s="40">
        <v>0</v>
      </c>
      <c r="C998" s="54">
        <v>2025</v>
      </c>
      <c r="D998" s="283">
        <v>0.1</v>
      </c>
    </row>
    <row r="999" spans="1:63" ht="14.25" customHeight="1" x14ac:dyDescent="0.35">
      <c r="A999" s="363" t="s">
        <v>96</v>
      </c>
      <c r="B999" s="40">
        <v>0</v>
      </c>
      <c r="C999" s="54">
        <v>2025</v>
      </c>
      <c r="D999" s="283">
        <v>0.1</v>
      </c>
    </row>
    <row r="1000" spans="1:63" ht="14.25" customHeight="1" x14ac:dyDescent="0.35">
      <c r="A1000" s="363" t="s">
        <v>97</v>
      </c>
      <c r="B1000" s="40">
        <v>0</v>
      </c>
      <c r="C1000" s="54">
        <v>2025</v>
      </c>
      <c r="D1000" s="283">
        <v>0.1</v>
      </c>
    </row>
    <row r="1001" spans="1:63" ht="14.25" customHeight="1" x14ac:dyDescent="0.35">
      <c r="A1001" s="363" t="s">
        <v>98</v>
      </c>
      <c r="B1001" s="40">
        <v>0</v>
      </c>
      <c r="C1001" s="54">
        <v>2025</v>
      </c>
      <c r="D1001" s="283">
        <v>0.1</v>
      </c>
    </row>
    <row r="1002" spans="1:63" ht="14.25" customHeight="1" x14ac:dyDescent="0.35">
      <c r="A1002" s="363" t="s">
        <v>163</v>
      </c>
      <c r="B1002" s="40">
        <v>0</v>
      </c>
      <c r="C1002" s="54">
        <v>2025</v>
      </c>
      <c r="D1002" s="283">
        <v>0.1</v>
      </c>
    </row>
    <row r="1003" spans="1:63" ht="14.25" customHeight="1" x14ac:dyDescent="0.35">
      <c r="A1003" s="363" t="s">
        <v>100</v>
      </c>
      <c r="B1003" s="40">
        <v>0</v>
      </c>
      <c r="C1003" s="54">
        <v>2025</v>
      </c>
      <c r="D1003" s="283">
        <v>0.1</v>
      </c>
    </row>
    <row r="1004" spans="1:63" ht="14.25" customHeight="1" x14ac:dyDescent="0.35">
      <c r="A1004" s="363" t="s">
        <v>101</v>
      </c>
      <c r="B1004" s="40">
        <v>0</v>
      </c>
      <c r="C1004" s="54">
        <v>2025</v>
      </c>
      <c r="D1004" s="283">
        <v>0.1</v>
      </c>
    </row>
    <row r="1005" spans="1:63" ht="14.25" customHeight="1" x14ac:dyDescent="0.35">
      <c r="A1005" s="363" t="s">
        <v>102</v>
      </c>
      <c r="B1005" s="40">
        <v>0</v>
      </c>
      <c r="C1005" s="54">
        <v>2025</v>
      </c>
      <c r="D1005" s="283">
        <v>0.1</v>
      </c>
    </row>
    <row r="1006" spans="1:63" ht="14.25" customHeight="1" x14ac:dyDescent="0.35">
      <c r="A1006" s="363" t="s">
        <v>103</v>
      </c>
      <c r="B1006" s="40">
        <v>0</v>
      </c>
      <c r="C1006" s="54">
        <v>2025</v>
      </c>
      <c r="D1006" s="283">
        <v>0.1</v>
      </c>
    </row>
    <row r="1007" spans="1:63" ht="14.25" customHeight="1" x14ac:dyDescent="0.35">
      <c r="A1007" s="363" t="s">
        <v>104</v>
      </c>
      <c r="B1007" s="40">
        <v>0</v>
      </c>
      <c r="C1007" s="54">
        <v>2025</v>
      </c>
      <c r="D1007" s="283">
        <v>0.1</v>
      </c>
    </row>
    <row r="1008" spans="1:63" ht="14.25" customHeight="1" x14ac:dyDescent="0.35">
      <c r="A1008" s="363" t="s">
        <v>105</v>
      </c>
      <c r="B1008" s="40">
        <v>0</v>
      </c>
      <c r="C1008" s="54">
        <v>2025</v>
      </c>
      <c r="D1008" s="283">
        <v>0.1</v>
      </c>
    </row>
    <row r="1009" spans="1:4" ht="14.25" customHeight="1" x14ac:dyDescent="0.35">
      <c r="A1009" s="363" t="s">
        <v>106</v>
      </c>
      <c r="B1009" s="40">
        <v>0</v>
      </c>
      <c r="C1009" s="54">
        <v>2025</v>
      </c>
      <c r="D1009" s="283">
        <v>0.1</v>
      </c>
    </row>
    <row r="1010" spans="1:4" ht="14.25" customHeight="1" x14ac:dyDescent="0.35">
      <c r="A1010" s="363" t="s">
        <v>107</v>
      </c>
      <c r="B1010" s="40">
        <v>0</v>
      </c>
      <c r="C1010" s="54">
        <v>2025</v>
      </c>
      <c r="D1010" s="283">
        <v>0.1</v>
      </c>
    </row>
    <row r="1011" spans="1:4" ht="14.25" customHeight="1" x14ac:dyDescent="0.35">
      <c r="A1011" s="363" t="s">
        <v>109</v>
      </c>
      <c r="B1011" s="40">
        <v>0</v>
      </c>
      <c r="C1011" s="54">
        <v>2025</v>
      </c>
      <c r="D1011" s="283">
        <v>0.1</v>
      </c>
    </row>
    <row r="1012" spans="1:4" ht="14.25" customHeight="1" x14ac:dyDescent="0.35">
      <c r="A1012" s="363" t="s">
        <v>229</v>
      </c>
      <c r="B1012" s="40">
        <v>0</v>
      </c>
      <c r="C1012" s="54">
        <v>2025</v>
      </c>
      <c r="D1012" s="283">
        <v>0.1</v>
      </c>
    </row>
    <row r="1013" spans="1:4" ht="14.25" customHeight="1" x14ac:dyDescent="0.35">
      <c r="A1013" s="363" t="s">
        <v>111</v>
      </c>
      <c r="B1013" s="40">
        <v>0</v>
      </c>
      <c r="C1013" s="54">
        <v>2025</v>
      </c>
      <c r="D1013" s="283">
        <v>0.1</v>
      </c>
    </row>
    <row r="1014" spans="1:4" ht="14.25" customHeight="1" x14ac:dyDescent="0.35">
      <c r="A1014" s="363" t="s">
        <v>114</v>
      </c>
      <c r="B1014" s="40">
        <v>0</v>
      </c>
      <c r="C1014" s="54">
        <v>2025</v>
      </c>
      <c r="D1014" s="283">
        <v>0.1</v>
      </c>
    </row>
    <row r="1015" spans="1:4" ht="14.25" customHeight="1" x14ac:dyDescent="0.35">
      <c r="A1015" s="363" t="s">
        <v>115</v>
      </c>
      <c r="B1015" s="40">
        <v>0</v>
      </c>
      <c r="C1015" s="54">
        <v>2025</v>
      </c>
      <c r="D1015" s="283">
        <v>0.1</v>
      </c>
    </row>
    <row r="1016" spans="1:4" ht="14.25" customHeight="1" x14ac:dyDescent="0.35">
      <c r="A1016" s="363" t="s">
        <v>117</v>
      </c>
      <c r="B1016" s="40">
        <v>0</v>
      </c>
      <c r="C1016" s="54">
        <v>2025</v>
      </c>
      <c r="D1016" s="283">
        <v>0.1</v>
      </c>
    </row>
    <row r="1017" spans="1:4" ht="14.25" customHeight="1" x14ac:dyDescent="0.35">
      <c r="A1017" s="363" t="s">
        <v>119</v>
      </c>
      <c r="B1017" s="40">
        <v>0</v>
      </c>
      <c r="C1017" s="54">
        <v>2025</v>
      </c>
      <c r="D1017" s="283">
        <v>0.1</v>
      </c>
    </row>
    <row r="1018" spans="1:4" ht="14.25" customHeight="1" x14ac:dyDescent="0.35">
      <c r="A1018" s="363" t="s">
        <v>120</v>
      </c>
      <c r="B1018" s="40">
        <v>0</v>
      </c>
      <c r="C1018" s="54">
        <v>2025</v>
      </c>
      <c r="D1018" s="283">
        <v>0.1</v>
      </c>
    </row>
    <row r="1020" spans="1:4" ht="14.25" customHeight="1" x14ac:dyDescent="0.35">
      <c r="A1020" s="52" t="s">
        <v>1005</v>
      </c>
    </row>
    <row r="1021" spans="1:4" ht="14.25" customHeight="1" x14ac:dyDescent="0.35">
      <c r="A1021" s="38" t="s">
        <v>168</v>
      </c>
      <c r="B1021" s="9" t="s">
        <v>169</v>
      </c>
    </row>
    <row r="1022" spans="1:4" ht="14.25" customHeight="1" x14ac:dyDescent="0.35">
      <c r="A1022" s="271">
        <v>0</v>
      </c>
      <c r="B1022" s="272" t="s">
        <v>1006</v>
      </c>
    </row>
    <row r="1023" spans="1:4" ht="14.25" customHeight="1" x14ac:dyDescent="0.35">
      <c r="A1023" s="271">
        <v>1</v>
      </c>
      <c r="B1023" s="272" t="s">
        <v>1080</v>
      </c>
    </row>
    <row r="1024" spans="1:4" ht="14.25" customHeight="1" x14ac:dyDescent="0.35">
      <c r="A1024" s="271">
        <v>2</v>
      </c>
      <c r="B1024" s="272" t="s">
        <v>1364</v>
      </c>
    </row>
    <row r="1025" spans="1:2" ht="14.25" customHeight="1" x14ac:dyDescent="0.35">
      <c r="A1025" s="39" t="s">
        <v>170</v>
      </c>
      <c r="B1025" s="40">
        <v>0</v>
      </c>
    </row>
    <row r="1026" spans="1:2" ht="14.25" customHeight="1" x14ac:dyDescent="0.35">
      <c r="B1026" t="s">
        <v>1081</v>
      </c>
    </row>
    <row r="1027" spans="1:2" ht="14.25" customHeight="1" x14ac:dyDescent="0.35">
      <c r="A1027" s="210" t="s">
        <v>1274</v>
      </c>
    </row>
    <row r="1028" spans="1:2" ht="14.25" customHeight="1" x14ac:dyDescent="0.35">
      <c r="A1028" s="5" t="s">
        <v>1275</v>
      </c>
      <c r="B1028" s="66" t="s">
        <v>128</v>
      </c>
    </row>
    <row r="1029" spans="1:2" ht="14.25" customHeight="1" x14ac:dyDescent="0.35">
      <c r="A1029" s="361" t="s">
        <v>927</v>
      </c>
      <c r="B1029" s="40">
        <v>0</v>
      </c>
    </row>
    <row r="1030" spans="1:2" ht="14.25" customHeight="1" x14ac:dyDescent="0.35">
      <c r="A1030" s="361" t="s">
        <v>928</v>
      </c>
      <c r="B1030" s="40">
        <v>0</v>
      </c>
    </row>
    <row r="1031" spans="1:2" ht="14.25" customHeight="1" x14ac:dyDescent="0.35">
      <c r="A1031" s="361" t="s">
        <v>929</v>
      </c>
      <c r="B1031" s="40">
        <v>0</v>
      </c>
    </row>
    <row r="1032" spans="1:2" ht="14.25" customHeight="1" x14ac:dyDescent="0.35">
      <c r="A1032" s="361" t="s">
        <v>930</v>
      </c>
      <c r="B1032" s="40">
        <v>0</v>
      </c>
    </row>
    <row r="1033" spans="1:2" ht="14.25" customHeight="1" x14ac:dyDescent="0.35">
      <c r="A1033" s="361" t="s">
        <v>931</v>
      </c>
      <c r="B1033" s="40">
        <v>0</v>
      </c>
    </row>
    <row r="1034" spans="1:2" ht="14.25" customHeight="1" x14ac:dyDescent="0.35">
      <c r="A1034" s="361" t="s">
        <v>932</v>
      </c>
      <c r="B1034" s="40">
        <v>0</v>
      </c>
    </row>
    <row r="1035" spans="1:2" ht="14.25" customHeight="1" x14ac:dyDescent="0.35">
      <c r="A1035" s="361" t="s">
        <v>933</v>
      </c>
      <c r="B1035" s="40">
        <v>0</v>
      </c>
    </row>
    <row r="1036" spans="1:2" ht="14.25" customHeight="1" x14ac:dyDescent="0.35">
      <c r="A1036" s="361" t="s">
        <v>934</v>
      </c>
      <c r="B1036" s="40">
        <v>0</v>
      </c>
    </row>
    <row r="1037" spans="1:2" ht="14.25" customHeight="1" x14ac:dyDescent="0.35">
      <c r="A1037" s="361" t="s">
        <v>935</v>
      </c>
      <c r="B1037" s="40">
        <v>0</v>
      </c>
    </row>
    <row r="1038" spans="1:2" ht="14.25" customHeight="1" x14ac:dyDescent="0.35">
      <c r="A1038" s="361" t="s">
        <v>936</v>
      </c>
      <c r="B1038" s="40">
        <v>0</v>
      </c>
    </row>
    <row r="1039" spans="1:2" ht="14.25" customHeight="1" x14ac:dyDescent="0.35">
      <c r="A1039" s="361" t="s">
        <v>937</v>
      </c>
      <c r="B1039" s="40">
        <v>0</v>
      </c>
    </row>
    <row r="1040" spans="1:2" ht="14.25" customHeight="1" x14ac:dyDescent="0.35">
      <c r="A1040" s="361" t="s">
        <v>938</v>
      </c>
      <c r="B1040" s="40">
        <v>0</v>
      </c>
    </row>
    <row r="1041" spans="1:2" ht="14.25" customHeight="1" x14ac:dyDescent="0.35">
      <c r="A1041" s="361" t="s">
        <v>939</v>
      </c>
      <c r="B1041" s="40">
        <v>0</v>
      </c>
    </row>
    <row r="1042" spans="1:2" ht="14.25" customHeight="1" x14ac:dyDescent="0.35">
      <c r="A1042" s="361" t="s">
        <v>940</v>
      </c>
      <c r="B1042" s="40">
        <v>0</v>
      </c>
    </row>
    <row r="1043" spans="1:2" ht="14.25" customHeight="1" x14ac:dyDescent="0.35">
      <c r="A1043" s="361" t="s">
        <v>941</v>
      </c>
      <c r="B1043" s="40">
        <v>0</v>
      </c>
    </row>
    <row r="1044" spans="1:2" ht="14.25" customHeight="1" x14ac:dyDescent="0.35">
      <c r="A1044" s="361" t="s">
        <v>942</v>
      </c>
      <c r="B1044" s="40">
        <v>0</v>
      </c>
    </row>
    <row r="1045" spans="1:2" ht="14.25" customHeight="1" x14ac:dyDescent="0.35">
      <c r="A1045" s="361" t="s">
        <v>943</v>
      </c>
      <c r="B1045" s="40">
        <v>0</v>
      </c>
    </row>
    <row r="1046" spans="1:2" ht="14.25" customHeight="1" x14ac:dyDescent="0.35">
      <c r="A1046" s="361" t="s">
        <v>944</v>
      </c>
      <c r="B1046" s="40">
        <v>0</v>
      </c>
    </row>
    <row r="1047" spans="1:2" ht="14.25" customHeight="1" x14ac:dyDescent="0.35">
      <c r="A1047" s="361" t="s">
        <v>945</v>
      </c>
      <c r="B1047" s="40">
        <v>0</v>
      </c>
    </row>
    <row r="1048" spans="1:2" ht="14.25" customHeight="1" x14ac:dyDescent="0.35">
      <c r="A1048" s="361" t="s">
        <v>946</v>
      </c>
      <c r="B1048" s="40">
        <v>0</v>
      </c>
    </row>
    <row r="1049" spans="1:2" ht="14.25" customHeight="1" x14ac:dyDescent="0.35">
      <c r="A1049" s="361" t="s">
        <v>947</v>
      </c>
      <c r="B1049" s="40">
        <v>0</v>
      </c>
    </row>
    <row r="1050" spans="1:2" ht="14.25" customHeight="1" x14ac:dyDescent="0.35">
      <c r="A1050" s="361" t="s">
        <v>948</v>
      </c>
      <c r="B1050" s="40">
        <v>0</v>
      </c>
    </row>
    <row r="1051" spans="1:2" ht="14.25" customHeight="1" x14ac:dyDescent="0.35">
      <c r="A1051" s="361" t="s">
        <v>949</v>
      </c>
      <c r="B1051" s="40">
        <v>0</v>
      </c>
    </row>
    <row r="1052" spans="1:2" ht="14.25" customHeight="1" x14ac:dyDescent="0.35">
      <c r="A1052" s="361" t="s">
        <v>950</v>
      </c>
      <c r="B1052" s="40">
        <v>0</v>
      </c>
    </row>
    <row r="1053" spans="1:2" ht="14.25" customHeight="1" x14ac:dyDescent="0.35">
      <c r="A1053" s="361" t="s">
        <v>951</v>
      </c>
      <c r="B1053" s="40">
        <v>0</v>
      </c>
    </row>
    <row r="1054" spans="1:2" ht="14.25" customHeight="1" x14ac:dyDescent="0.35">
      <c r="A1054" s="361" t="s">
        <v>952</v>
      </c>
      <c r="B1054" s="40">
        <v>0</v>
      </c>
    </row>
    <row r="1055" spans="1:2" ht="14.25" customHeight="1" x14ac:dyDescent="0.35">
      <c r="A1055" s="361" t="s">
        <v>953</v>
      </c>
      <c r="B1055" s="40">
        <v>0</v>
      </c>
    </row>
    <row r="1056" spans="1:2" ht="14.25" customHeight="1" x14ac:dyDescent="0.35">
      <c r="A1056" s="361" t="s">
        <v>954</v>
      </c>
      <c r="B1056" s="40">
        <v>0</v>
      </c>
    </row>
    <row r="1057" spans="1:2" ht="14.25" customHeight="1" x14ac:dyDescent="0.35">
      <c r="A1057" s="361" t="s">
        <v>955</v>
      </c>
      <c r="B1057" s="40">
        <v>0</v>
      </c>
    </row>
    <row r="1058" spans="1:2" ht="14.25" customHeight="1" x14ac:dyDescent="0.35">
      <c r="A1058" s="361" t="s">
        <v>956</v>
      </c>
      <c r="B1058" s="40">
        <v>0</v>
      </c>
    </row>
    <row r="1059" spans="1:2" ht="14.25" customHeight="1" x14ac:dyDescent="0.35">
      <c r="A1059" s="361" t="s">
        <v>957</v>
      </c>
      <c r="B1059" s="40">
        <v>0</v>
      </c>
    </row>
    <row r="1060" spans="1:2" ht="14.25" customHeight="1" x14ac:dyDescent="0.35">
      <c r="A1060" s="361" t="s">
        <v>958</v>
      </c>
      <c r="B1060" s="40">
        <v>0</v>
      </c>
    </row>
    <row r="1061" spans="1:2" ht="14.25" customHeight="1" x14ac:dyDescent="0.35">
      <c r="A1061" s="361" t="s">
        <v>959</v>
      </c>
      <c r="B1061" s="40">
        <v>0</v>
      </c>
    </row>
    <row r="1062" spans="1:2" ht="14.25" customHeight="1" x14ac:dyDescent="0.35">
      <c r="A1062" s="361" t="s">
        <v>960</v>
      </c>
      <c r="B1062" s="40">
        <v>0</v>
      </c>
    </row>
    <row r="1063" spans="1:2" ht="14.25" customHeight="1" x14ac:dyDescent="0.35">
      <c r="A1063" s="361" t="s">
        <v>961</v>
      </c>
      <c r="B1063" s="40">
        <v>0</v>
      </c>
    </row>
    <row r="1064" spans="1:2" ht="14.25" customHeight="1" x14ac:dyDescent="0.35">
      <c r="A1064" s="361" t="s">
        <v>962</v>
      </c>
      <c r="B1064" s="40">
        <v>0</v>
      </c>
    </row>
    <row r="1065" spans="1:2" ht="14.25" customHeight="1" x14ac:dyDescent="0.35">
      <c r="A1065" s="361" t="s">
        <v>963</v>
      </c>
      <c r="B1065" s="40">
        <v>1</v>
      </c>
    </row>
    <row r="1066" spans="1:2" ht="14.25" customHeight="1" x14ac:dyDescent="0.35">
      <c r="A1066" s="361" t="s">
        <v>964</v>
      </c>
      <c r="B1066" s="40">
        <v>1</v>
      </c>
    </row>
    <row r="1067" spans="1:2" ht="14.25" customHeight="1" x14ac:dyDescent="0.35">
      <c r="A1067" s="361" t="s">
        <v>965</v>
      </c>
      <c r="B1067" s="40">
        <v>1</v>
      </c>
    </row>
    <row r="1068" spans="1:2" ht="14.25" customHeight="1" x14ac:dyDescent="0.35">
      <c r="A1068" s="361" t="s">
        <v>966</v>
      </c>
      <c r="B1068" s="40">
        <v>1</v>
      </c>
    </row>
    <row r="1069" spans="1:2" ht="14.25" customHeight="1" x14ac:dyDescent="0.35">
      <c r="A1069" s="361" t="s">
        <v>967</v>
      </c>
      <c r="B1069" s="40">
        <v>1</v>
      </c>
    </row>
    <row r="1070" spans="1:2" ht="14.25" customHeight="1" x14ac:dyDescent="0.35">
      <c r="A1070" s="361" t="s">
        <v>968</v>
      </c>
      <c r="B1070" s="40">
        <v>1</v>
      </c>
    </row>
    <row r="1071" spans="1:2" ht="14.25" customHeight="1" x14ac:dyDescent="0.35">
      <c r="A1071" s="361" t="s">
        <v>969</v>
      </c>
      <c r="B1071" s="40">
        <v>1</v>
      </c>
    </row>
    <row r="1072" spans="1:2" ht="14.25" customHeight="1" x14ac:dyDescent="0.35">
      <c r="A1072" s="361" t="s">
        <v>970</v>
      </c>
      <c r="B1072" s="40">
        <v>1</v>
      </c>
    </row>
    <row r="1073" spans="1:2" ht="14.25" customHeight="1" x14ac:dyDescent="0.35">
      <c r="A1073" s="361" t="s">
        <v>971</v>
      </c>
      <c r="B1073" s="40">
        <v>1</v>
      </c>
    </row>
    <row r="1074" spans="1:2" ht="14.25" customHeight="1" x14ac:dyDescent="0.35">
      <c r="A1074" s="361" t="s">
        <v>972</v>
      </c>
      <c r="B1074" s="40">
        <v>1</v>
      </c>
    </row>
    <row r="1075" spans="1:2" ht="14.25" customHeight="1" x14ac:dyDescent="0.35">
      <c r="A1075" s="361" t="s">
        <v>973</v>
      </c>
      <c r="B1075" s="40">
        <v>1</v>
      </c>
    </row>
    <row r="1076" spans="1:2" ht="14.25" customHeight="1" x14ac:dyDescent="0.35">
      <c r="A1076" s="361" t="s">
        <v>974</v>
      </c>
      <c r="B1076" s="40">
        <v>1</v>
      </c>
    </row>
    <row r="1077" spans="1:2" ht="14.25" customHeight="1" x14ac:dyDescent="0.35">
      <c r="A1077" s="361" t="s">
        <v>975</v>
      </c>
      <c r="B1077" s="40">
        <v>1</v>
      </c>
    </row>
    <row r="1078" spans="1:2" ht="14.25" customHeight="1" x14ac:dyDescent="0.35">
      <c r="A1078" s="361" t="s">
        <v>976</v>
      </c>
      <c r="B1078" s="40">
        <v>1</v>
      </c>
    </row>
    <row r="1079" spans="1:2" ht="14.25" customHeight="1" x14ac:dyDescent="0.35">
      <c r="A1079" s="361" t="s">
        <v>977</v>
      </c>
      <c r="B1079" s="40">
        <v>1</v>
      </c>
    </row>
    <row r="1080" spans="1:2" ht="14.25" customHeight="1" x14ac:dyDescent="0.35">
      <c r="A1080" s="361" t="s">
        <v>978</v>
      </c>
      <c r="B1080" s="40">
        <v>1</v>
      </c>
    </row>
    <row r="1081" spans="1:2" ht="14.25" customHeight="1" x14ac:dyDescent="0.35">
      <c r="A1081" s="361" t="s">
        <v>979</v>
      </c>
      <c r="B1081" s="40">
        <v>1</v>
      </c>
    </row>
    <row r="1082" spans="1:2" ht="14.25" customHeight="1" x14ac:dyDescent="0.35">
      <c r="A1082" s="361" t="s">
        <v>980</v>
      </c>
      <c r="B1082" s="40">
        <v>1</v>
      </c>
    </row>
    <row r="1083" spans="1:2" ht="14.25" customHeight="1" x14ac:dyDescent="0.35">
      <c r="A1083" s="361" t="s">
        <v>981</v>
      </c>
      <c r="B1083" s="40">
        <v>1</v>
      </c>
    </row>
    <row r="1084" spans="1:2" ht="14.25" customHeight="1" x14ac:dyDescent="0.35">
      <c r="A1084" s="361" t="s">
        <v>982</v>
      </c>
      <c r="B1084" s="40">
        <v>1</v>
      </c>
    </row>
    <row r="1085" spans="1:2" ht="14.25" customHeight="1" x14ac:dyDescent="0.35">
      <c r="A1085" s="361" t="s">
        <v>983</v>
      </c>
      <c r="B1085" s="40">
        <v>1</v>
      </c>
    </row>
    <row r="1086" spans="1:2" ht="14.25" customHeight="1" x14ac:dyDescent="0.35">
      <c r="A1086" s="361" t="s">
        <v>984</v>
      </c>
      <c r="B1086" s="40">
        <v>1</v>
      </c>
    </row>
    <row r="1087" spans="1:2" ht="14.25" customHeight="1" x14ac:dyDescent="0.35">
      <c r="A1087" s="361" t="s">
        <v>985</v>
      </c>
      <c r="B1087" s="40">
        <v>1</v>
      </c>
    </row>
    <row r="1088" spans="1:2" ht="14.25" customHeight="1" x14ac:dyDescent="0.35">
      <c r="A1088" s="361" t="s">
        <v>986</v>
      </c>
      <c r="B1088" s="40">
        <v>1</v>
      </c>
    </row>
    <row r="1090" spans="1:3" ht="14.25" customHeight="1" x14ac:dyDescent="0.35">
      <c r="A1090" s="143" t="s">
        <v>1195</v>
      </c>
      <c r="B1090" s="2"/>
    </row>
    <row r="1091" spans="1:3" ht="14.25" customHeight="1" x14ac:dyDescent="0.35">
      <c r="A1091" s="52" t="s">
        <v>1276</v>
      </c>
      <c r="B1091" s="2"/>
    </row>
    <row r="1092" spans="1:3" ht="14.25" customHeight="1" x14ac:dyDescent="0.35">
      <c r="A1092" s="38" t="s">
        <v>168</v>
      </c>
      <c r="B1092" s="9" t="s">
        <v>169</v>
      </c>
    </row>
    <row r="1093" spans="1:3" ht="14.25" customHeight="1" x14ac:dyDescent="0.35">
      <c r="A1093" s="271">
        <v>0</v>
      </c>
      <c r="B1093" s="272" t="s">
        <v>1277</v>
      </c>
    </row>
    <row r="1094" spans="1:3" ht="14.25" customHeight="1" x14ac:dyDescent="0.35">
      <c r="A1094" s="271">
        <v>1</v>
      </c>
      <c r="B1094" s="272" t="s">
        <v>1066</v>
      </c>
    </row>
    <row r="1095" spans="1:3" ht="14.25" customHeight="1" x14ac:dyDescent="0.35">
      <c r="A1095" s="39" t="s">
        <v>170</v>
      </c>
      <c r="B1095" s="40">
        <v>0</v>
      </c>
    </row>
    <row r="1096" spans="1:3" ht="14.25" customHeight="1" x14ac:dyDescent="0.35">
      <c r="A1096" s="121"/>
    </row>
    <row r="1097" spans="1:3" ht="14.25" customHeight="1" x14ac:dyDescent="0.35">
      <c r="A1097" s="14" t="s">
        <v>649</v>
      </c>
      <c r="B1097" s="34" t="s">
        <v>1278</v>
      </c>
    </row>
    <row r="1098" spans="1:3" ht="14.25" customHeight="1" x14ac:dyDescent="0.35">
      <c r="A1098" s="74" t="s">
        <v>380</v>
      </c>
      <c r="B1098" s="273" t="s">
        <v>12</v>
      </c>
    </row>
    <row r="1099" spans="1:3" ht="14.25" customHeight="1" x14ac:dyDescent="0.35">
      <c r="A1099" s="74" t="s">
        <v>127</v>
      </c>
      <c r="B1099" s="93">
        <v>2035</v>
      </c>
      <c r="C1099" t="s">
        <v>1294</v>
      </c>
    </row>
    <row r="1101" spans="1:3" ht="14.25" customHeight="1" x14ac:dyDescent="0.35">
      <c r="A1101" s="14" t="s">
        <v>649</v>
      </c>
      <c r="B1101" s="14" t="s">
        <v>1290</v>
      </c>
    </row>
    <row r="1102" spans="1:3" ht="14.25" customHeight="1" x14ac:dyDescent="0.35">
      <c r="A1102" s="74" t="s">
        <v>380</v>
      </c>
      <c r="B1102" s="38" t="s">
        <v>1279</v>
      </c>
    </row>
    <row r="1103" spans="1:3" ht="14.25" customHeight="1" x14ac:dyDescent="0.35">
      <c r="A1103" s="74" t="s">
        <v>127</v>
      </c>
      <c r="B1103" s="92">
        <v>-0.3</v>
      </c>
      <c r="C1103" t="s">
        <v>1295</v>
      </c>
    </row>
    <row r="1104" spans="1:3" ht="14.25" customHeight="1" x14ac:dyDescent="0.35">
      <c r="A1104" s="74"/>
    </row>
    <row r="1105" spans="1:2" ht="14.25" customHeight="1" x14ac:dyDescent="0.35">
      <c r="A1105" s="143" t="s">
        <v>1197</v>
      </c>
    </row>
    <row r="1106" spans="1:2" ht="14.25" customHeight="1" x14ac:dyDescent="0.35">
      <c r="A1106" s="14" t="s">
        <v>1280</v>
      </c>
      <c r="B1106" s="2"/>
    </row>
    <row r="1107" spans="1:2" ht="14.25" customHeight="1" x14ac:dyDescent="0.35">
      <c r="A1107" s="38" t="s">
        <v>168</v>
      </c>
      <c r="B1107" s="9" t="s">
        <v>169</v>
      </c>
    </row>
    <row r="1108" spans="1:2" ht="14.25" customHeight="1" x14ac:dyDescent="0.35">
      <c r="A1108" s="271">
        <v>0</v>
      </c>
      <c r="B1108" s="272" t="s">
        <v>1067</v>
      </c>
    </row>
    <row r="1109" spans="1:2" ht="14.25" customHeight="1" x14ac:dyDescent="0.35">
      <c r="A1109" s="271">
        <v>1</v>
      </c>
      <c r="B1109" s="272" t="s">
        <v>1068</v>
      </c>
    </row>
    <row r="1110" spans="1:2" ht="14.25" customHeight="1" x14ac:dyDescent="0.35">
      <c r="A1110" s="39" t="s">
        <v>170</v>
      </c>
      <c r="B1110" s="40">
        <v>1</v>
      </c>
    </row>
    <row r="1112" spans="1:2" ht="14.25" customHeight="1" x14ac:dyDescent="0.35">
      <c r="A1112" s="14" t="s">
        <v>649</v>
      </c>
      <c r="B1112" s="14" t="s">
        <v>1197</v>
      </c>
    </row>
    <row r="1113" spans="1:2" ht="14.25" customHeight="1" x14ac:dyDescent="0.35">
      <c r="A1113" s="74" t="s">
        <v>380</v>
      </c>
      <c r="B1113" s="38" t="s">
        <v>168</v>
      </c>
    </row>
    <row r="1114" spans="1:2" ht="14.25" customHeight="1" x14ac:dyDescent="0.35">
      <c r="A1114" s="74" t="s">
        <v>127</v>
      </c>
      <c r="B1114" s="92">
        <v>0.4</v>
      </c>
    </row>
    <row r="1115" spans="1:2" ht="14.25" customHeight="1" x14ac:dyDescent="0.35">
      <c r="A1115" s="74"/>
    </row>
    <row r="1116" spans="1:2" ht="14.25" customHeight="1" x14ac:dyDescent="0.35">
      <c r="A1116" s="143" t="s">
        <v>1699</v>
      </c>
    </row>
    <row r="1117" spans="1:2" ht="14.25" customHeight="1" x14ac:dyDescent="0.35">
      <c r="A1117" s="14" t="s">
        <v>1700</v>
      </c>
      <c r="B1117" s="2"/>
    </row>
    <row r="1118" spans="1:2" ht="14.25" customHeight="1" x14ac:dyDescent="0.35">
      <c r="A1118" s="38" t="s">
        <v>168</v>
      </c>
      <c r="B1118" s="9" t="s">
        <v>169</v>
      </c>
    </row>
    <row r="1119" spans="1:2" ht="14.25" customHeight="1" x14ac:dyDescent="0.35">
      <c r="A1119" s="271">
        <v>0</v>
      </c>
      <c r="B1119" s="272" t="s">
        <v>1067</v>
      </c>
    </row>
    <row r="1120" spans="1:2" ht="14.25" customHeight="1" x14ac:dyDescent="0.35">
      <c r="A1120" s="271">
        <v>1</v>
      </c>
      <c r="B1120" s="272" t="s">
        <v>1068</v>
      </c>
    </row>
    <row r="1121" spans="1:2" ht="14.25" customHeight="1" x14ac:dyDescent="0.35">
      <c r="A1121" s="39" t="s">
        <v>170</v>
      </c>
      <c r="B1121" s="40">
        <v>1</v>
      </c>
    </row>
    <row r="1123" spans="1:2" ht="14.25" customHeight="1" x14ac:dyDescent="0.35">
      <c r="A1123" s="14" t="s">
        <v>649</v>
      </c>
      <c r="B1123" s="14" t="s">
        <v>1701</v>
      </c>
    </row>
    <row r="1124" spans="1:2" ht="14.25" customHeight="1" x14ac:dyDescent="0.35">
      <c r="A1124" s="74" t="s">
        <v>380</v>
      </c>
      <c r="B1124" s="38" t="s">
        <v>168</v>
      </c>
    </row>
    <row r="1125" spans="1:2" ht="14.25" customHeight="1" x14ac:dyDescent="0.35">
      <c r="A1125" s="74" t="s">
        <v>127</v>
      </c>
      <c r="B1125" s="92">
        <v>0.4</v>
      </c>
    </row>
    <row r="1126" spans="1:2" ht="14.25" customHeight="1" x14ac:dyDescent="0.35">
      <c r="A1126" s="143" t="s">
        <v>1699</v>
      </c>
    </row>
    <row r="1127" spans="1:2" ht="14.25" customHeight="1" x14ac:dyDescent="0.35">
      <c r="A1127" s="14" t="s">
        <v>1702</v>
      </c>
      <c r="B1127" s="2"/>
    </row>
    <row r="1128" spans="1:2" ht="14.25" customHeight="1" x14ac:dyDescent="0.35">
      <c r="A1128" s="38" t="s">
        <v>168</v>
      </c>
      <c r="B1128" s="9" t="s">
        <v>169</v>
      </c>
    </row>
    <row r="1129" spans="1:2" ht="14.25" customHeight="1" x14ac:dyDescent="0.35">
      <c r="A1129" s="271">
        <v>0</v>
      </c>
      <c r="B1129" s="272" t="s">
        <v>1067</v>
      </c>
    </row>
    <row r="1130" spans="1:2" ht="14.25" customHeight="1" x14ac:dyDescent="0.35">
      <c r="A1130" s="271">
        <v>1</v>
      </c>
      <c r="B1130" s="272" t="s">
        <v>1068</v>
      </c>
    </row>
    <row r="1131" spans="1:2" ht="14.25" customHeight="1" x14ac:dyDescent="0.35">
      <c r="A1131" s="39" t="s">
        <v>170</v>
      </c>
      <c r="B1131" s="40">
        <v>1</v>
      </c>
    </row>
    <row r="1133" spans="1:2" ht="14.25" customHeight="1" x14ac:dyDescent="0.35">
      <c r="A1133" s="14" t="s">
        <v>649</v>
      </c>
      <c r="B1133" s="14" t="s">
        <v>1703</v>
      </c>
    </row>
    <row r="1134" spans="1:2" ht="14.25" customHeight="1" x14ac:dyDescent="0.35">
      <c r="A1134" s="74" t="s">
        <v>380</v>
      </c>
      <c r="B1134" s="38" t="s">
        <v>168</v>
      </c>
    </row>
    <row r="1135" spans="1:2" ht="14.25" customHeight="1" x14ac:dyDescent="0.35">
      <c r="A1135" s="74" t="s">
        <v>127</v>
      </c>
      <c r="B1135" s="92">
        <v>0.4</v>
      </c>
    </row>
    <row r="1137" spans="1:4" ht="14.25" customHeight="1" x14ac:dyDescent="0.35">
      <c r="A1137" s="143" t="s">
        <v>1467</v>
      </c>
      <c r="B1137" s="2"/>
    </row>
    <row r="1138" spans="1:4" ht="14.25" customHeight="1" x14ac:dyDescent="0.35">
      <c r="A1138" s="34" t="s">
        <v>1468</v>
      </c>
      <c r="B1138" s="2"/>
    </row>
    <row r="1139" spans="1:4" ht="14.25" customHeight="1" x14ac:dyDescent="0.35">
      <c r="B1139" s="34" t="s">
        <v>1468</v>
      </c>
      <c r="C1139" s="52" t="s">
        <v>1469</v>
      </c>
      <c r="D1139" s="52" t="s">
        <v>1467</v>
      </c>
    </row>
    <row r="1140" spans="1:4" ht="14.25" customHeight="1" x14ac:dyDescent="0.35">
      <c r="A1140" s="5" t="s">
        <v>671</v>
      </c>
      <c r="B1140" s="66" t="s">
        <v>128</v>
      </c>
      <c r="C1140" s="66" t="s">
        <v>322</v>
      </c>
      <c r="D1140" s="66" t="s">
        <v>13</v>
      </c>
    </row>
    <row r="1141" spans="1:4" ht="14.25" customHeight="1" x14ac:dyDescent="0.35">
      <c r="A1141" s="42" t="s">
        <v>228</v>
      </c>
      <c r="B1141" s="40">
        <v>1</v>
      </c>
      <c r="C1141" s="54">
        <v>2015</v>
      </c>
      <c r="D1141" s="283">
        <v>0.04</v>
      </c>
    </row>
    <row r="1142" spans="1:4" ht="14.25" customHeight="1" x14ac:dyDescent="0.35">
      <c r="A1142" s="42" t="s">
        <v>95</v>
      </c>
      <c r="B1142" s="40">
        <v>1</v>
      </c>
      <c r="C1142" s="54">
        <v>2015</v>
      </c>
      <c r="D1142" s="283">
        <v>0.04</v>
      </c>
    </row>
    <row r="1143" spans="1:4" ht="14.25" customHeight="1" x14ac:dyDescent="0.35">
      <c r="A1143" s="42" t="s">
        <v>96</v>
      </c>
      <c r="B1143" s="40">
        <v>1</v>
      </c>
      <c r="C1143" s="54">
        <v>2015</v>
      </c>
      <c r="D1143" s="283">
        <v>0.04</v>
      </c>
    </row>
    <row r="1144" spans="1:4" ht="14.25" customHeight="1" x14ac:dyDescent="0.35">
      <c r="A1144" s="42" t="s">
        <v>97</v>
      </c>
      <c r="B1144" s="40">
        <v>1</v>
      </c>
      <c r="C1144" s="54">
        <v>2015</v>
      </c>
      <c r="D1144" s="283">
        <v>0.04</v>
      </c>
    </row>
    <row r="1145" spans="1:4" ht="14.25" customHeight="1" x14ac:dyDescent="0.35">
      <c r="A1145" s="42" t="s">
        <v>98</v>
      </c>
      <c r="B1145" s="40">
        <v>1</v>
      </c>
      <c r="C1145" s="54">
        <v>2015</v>
      </c>
      <c r="D1145" s="283">
        <v>0.04</v>
      </c>
    </row>
    <row r="1146" spans="1:4" ht="14.25" customHeight="1" x14ac:dyDescent="0.35">
      <c r="A1146" s="42" t="s">
        <v>163</v>
      </c>
      <c r="B1146" s="40">
        <v>1</v>
      </c>
      <c r="C1146" s="54">
        <v>2015</v>
      </c>
      <c r="D1146" s="283">
        <v>0.04</v>
      </c>
    </row>
    <row r="1147" spans="1:4" ht="14.25" customHeight="1" x14ac:dyDescent="0.35">
      <c r="A1147" s="42" t="s">
        <v>100</v>
      </c>
      <c r="B1147" s="40">
        <v>1</v>
      </c>
      <c r="C1147" s="54">
        <v>2015</v>
      </c>
      <c r="D1147" s="283">
        <v>0.04</v>
      </c>
    </row>
    <row r="1148" spans="1:4" ht="14.25" customHeight="1" x14ac:dyDescent="0.35">
      <c r="A1148" s="42" t="s">
        <v>101</v>
      </c>
      <c r="B1148" s="40">
        <v>1</v>
      </c>
      <c r="C1148" s="54">
        <v>2015</v>
      </c>
      <c r="D1148" s="283">
        <v>0.04</v>
      </c>
    </row>
    <row r="1149" spans="1:4" ht="14.25" customHeight="1" x14ac:dyDescent="0.35">
      <c r="A1149" s="42" t="s">
        <v>102</v>
      </c>
      <c r="B1149" s="40">
        <v>1</v>
      </c>
      <c r="C1149" s="54">
        <v>2015</v>
      </c>
      <c r="D1149" s="283">
        <v>0.04</v>
      </c>
    </row>
    <row r="1150" spans="1:4" ht="14.25" customHeight="1" x14ac:dyDescent="0.35">
      <c r="A1150" s="42" t="s">
        <v>103</v>
      </c>
      <c r="B1150" s="40">
        <v>1</v>
      </c>
      <c r="C1150" s="54">
        <v>2015</v>
      </c>
      <c r="D1150" s="283">
        <v>0.04</v>
      </c>
    </row>
    <row r="1151" spans="1:4" ht="14.25" customHeight="1" x14ac:dyDescent="0.35">
      <c r="A1151" s="42" t="s">
        <v>104</v>
      </c>
      <c r="B1151" s="40">
        <v>1</v>
      </c>
      <c r="C1151" s="54">
        <v>2015</v>
      </c>
      <c r="D1151" s="283">
        <v>0.04</v>
      </c>
    </row>
    <row r="1152" spans="1:4" ht="14.25" customHeight="1" x14ac:dyDescent="0.35">
      <c r="A1152" s="42" t="s">
        <v>105</v>
      </c>
      <c r="B1152" s="40">
        <v>1</v>
      </c>
      <c r="C1152" s="54">
        <v>2015</v>
      </c>
      <c r="D1152" s="283">
        <v>0.04</v>
      </c>
    </row>
    <row r="1153" spans="1:4" ht="14.25" customHeight="1" x14ac:dyDescent="0.35">
      <c r="A1153" s="42" t="s">
        <v>106</v>
      </c>
      <c r="B1153" s="40">
        <v>1</v>
      </c>
      <c r="C1153" s="54">
        <v>2015</v>
      </c>
      <c r="D1153" s="283">
        <v>0.04</v>
      </c>
    </row>
    <row r="1154" spans="1:4" ht="14.25" customHeight="1" x14ac:dyDescent="0.35">
      <c r="A1154" s="42" t="s">
        <v>107</v>
      </c>
      <c r="B1154" s="40">
        <v>1</v>
      </c>
      <c r="C1154" s="54">
        <v>2015</v>
      </c>
      <c r="D1154" s="283">
        <v>0.04</v>
      </c>
    </row>
    <row r="1155" spans="1:4" ht="14.25" customHeight="1" x14ac:dyDescent="0.35">
      <c r="A1155" s="42" t="s">
        <v>108</v>
      </c>
      <c r="B1155" s="40">
        <v>1</v>
      </c>
      <c r="C1155" s="54">
        <v>2015</v>
      </c>
      <c r="D1155" s="283">
        <v>0.04</v>
      </c>
    </row>
    <row r="1156" spans="1:4" ht="14.25" customHeight="1" x14ac:dyDescent="0.35">
      <c r="A1156" s="42" t="s">
        <v>109</v>
      </c>
      <c r="B1156" s="40">
        <v>1</v>
      </c>
      <c r="C1156" s="54">
        <v>2015</v>
      </c>
      <c r="D1156" s="283">
        <v>0.04</v>
      </c>
    </row>
    <row r="1157" spans="1:4" ht="14.25" customHeight="1" x14ac:dyDescent="0.35">
      <c r="A1157" s="42" t="s">
        <v>229</v>
      </c>
      <c r="B1157" s="40">
        <v>1</v>
      </c>
      <c r="C1157" s="54">
        <v>2015</v>
      </c>
      <c r="D1157" s="283">
        <v>0.04</v>
      </c>
    </row>
    <row r="1158" spans="1:4" ht="14.25" customHeight="1" x14ac:dyDescent="0.35">
      <c r="A1158" s="42" t="s">
        <v>111</v>
      </c>
      <c r="B1158" s="40">
        <v>1</v>
      </c>
      <c r="C1158" s="54">
        <v>2015</v>
      </c>
      <c r="D1158" s="283">
        <v>0.04</v>
      </c>
    </row>
    <row r="1159" spans="1:4" ht="14.25" customHeight="1" x14ac:dyDescent="0.35">
      <c r="A1159" s="42" t="s">
        <v>112</v>
      </c>
      <c r="B1159" s="40">
        <v>1</v>
      </c>
      <c r="C1159" s="54">
        <v>2015</v>
      </c>
      <c r="D1159" s="283">
        <v>0.04</v>
      </c>
    </row>
    <row r="1160" spans="1:4" ht="14.25" customHeight="1" x14ac:dyDescent="0.35">
      <c r="A1160" s="42" t="s">
        <v>113</v>
      </c>
      <c r="B1160" s="40">
        <v>1</v>
      </c>
      <c r="C1160" s="54">
        <v>2015</v>
      </c>
      <c r="D1160" s="283">
        <v>0.04</v>
      </c>
    </row>
    <row r="1161" spans="1:4" ht="14.25" customHeight="1" x14ac:dyDescent="0.35">
      <c r="A1161" s="42" t="s">
        <v>114</v>
      </c>
      <c r="B1161" s="40">
        <v>1</v>
      </c>
      <c r="C1161" s="54">
        <v>2015</v>
      </c>
      <c r="D1161" s="283">
        <v>0.04</v>
      </c>
    </row>
    <row r="1162" spans="1:4" ht="14.25" customHeight="1" x14ac:dyDescent="0.35">
      <c r="A1162" s="42" t="s">
        <v>115</v>
      </c>
      <c r="B1162" s="40">
        <v>1</v>
      </c>
      <c r="C1162" s="54">
        <v>2015</v>
      </c>
      <c r="D1162" s="283">
        <v>0.04</v>
      </c>
    </row>
    <row r="1163" spans="1:4" ht="14.25" customHeight="1" x14ac:dyDescent="0.35">
      <c r="A1163" s="42" t="s">
        <v>116</v>
      </c>
      <c r="B1163" s="40">
        <v>1</v>
      </c>
      <c r="C1163" s="54">
        <v>2015</v>
      </c>
      <c r="D1163" s="283">
        <v>0.04</v>
      </c>
    </row>
    <row r="1164" spans="1:4" ht="14.25" customHeight="1" x14ac:dyDescent="0.35">
      <c r="A1164" s="42" t="s">
        <v>117</v>
      </c>
      <c r="B1164" s="40">
        <v>1</v>
      </c>
      <c r="C1164" s="54">
        <v>2015</v>
      </c>
      <c r="D1164" s="283">
        <v>0.04</v>
      </c>
    </row>
    <row r="1165" spans="1:4" ht="14.25" customHeight="1" x14ac:dyDescent="0.35">
      <c r="A1165" s="42" t="s">
        <v>118</v>
      </c>
      <c r="B1165" s="40">
        <v>1</v>
      </c>
      <c r="C1165" s="54">
        <v>2015</v>
      </c>
      <c r="D1165" s="283">
        <v>0.04</v>
      </c>
    </row>
    <row r="1166" spans="1:4" ht="14.25" customHeight="1" x14ac:dyDescent="0.35">
      <c r="A1166" s="42" t="s">
        <v>119</v>
      </c>
      <c r="B1166" s="40">
        <v>1</v>
      </c>
      <c r="C1166" s="54">
        <v>2015</v>
      </c>
      <c r="D1166" s="283">
        <v>0.04</v>
      </c>
    </row>
    <row r="1167" spans="1:4" ht="14.25" customHeight="1" x14ac:dyDescent="0.35">
      <c r="A1167" s="42" t="s">
        <v>120</v>
      </c>
      <c r="B1167" s="40">
        <v>1</v>
      </c>
      <c r="C1167" s="54">
        <v>2015</v>
      </c>
      <c r="D1167" s="283">
        <v>0.04</v>
      </c>
    </row>
    <row r="1168" spans="1:4" ht="14.25" customHeight="1" x14ac:dyDescent="0.35">
      <c r="A1168" s="42" t="s">
        <v>83</v>
      </c>
      <c r="B1168" s="40">
        <v>1</v>
      </c>
      <c r="C1168" s="54">
        <v>2015</v>
      </c>
      <c r="D1168" s="283">
        <v>0.04</v>
      </c>
    </row>
    <row r="1169" spans="1:4" ht="14.25" customHeight="1" x14ac:dyDescent="0.35">
      <c r="A1169" s="42" t="s">
        <v>144</v>
      </c>
      <c r="B1169" s="40">
        <v>1</v>
      </c>
      <c r="C1169" s="54">
        <v>2015</v>
      </c>
      <c r="D1169" s="283">
        <v>0.04</v>
      </c>
    </row>
    <row r="1170" spans="1:4" ht="14.25" customHeight="1" x14ac:dyDescent="0.35">
      <c r="A1170" s="42" t="s">
        <v>164</v>
      </c>
      <c r="B1170" s="40">
        <v>1</v>
      </c>
      <c r="C1170" s="54">
        <v>2015</v>
      </c>
      <c r="D1170" s="283">
        <v>0.04</v>
      </c>
    </row>
    <row r="1171" spans="1:4" ht="14.25" customHeight="1" x14ac:dyDescent="0.35">
      <c r="A1171" s="42" t="s">
        <v>145</v>
      </c>
      <c r="B1171" s="40">
        <v>1</v>
      </c>
      <c r="C1171" s="54">
        <v>2015</v>
      </c>
      <c r="D1171" s="283">
        <v>0.04</v>
      </c>
    </row>
    <row r="1172" spans="1:4" ht="14.25" customHeight="1" x14ac:dyDescent="0.35">
      <c r="A1172" s="42" t="s">
        <v>87</v>
      </c>
      <c r="B1172" s="40">
        <v>1</v>
      </c>
      <c r="C1172" s="54">
        <v>2015</v>
      </c>
      <c r="D1172" s="283">
        <v>0.04</v>
      </c>
    </row>
    <row r="1173" spans="1:4" ht="14.25" customHeight="1" x14ac:dyDescent="0.35">
      <c r="A1173" s="42" t="s">
        <v>146</v>
      </c>
      <c r="B1173" s="40">
        <v>1</v>
      </c>
      <c r="C1173" s="54">
        <v>2015</v>
      </c>
      <c r="D1173" s="283">
        <v>0.04</v>
      </c>
    </row>
    <row r="1174" spans="1:4" ht="14.25" customHeight="1" x14ac:dyDescent="0.35">
      <c r="A1174" s="42" t="s">
        <v>89</v>
      </c>
      <c r="B1174" s="40">
        <v>1</v>
      </c>
      <c r="C1174" s="54">
        <v>2015</v>
      </c>
      <c r="D1174" s="283">
        <v>0.04</v>
      </c>
    </row>
    <row r="1175" spans="1:4" ht="14.25" customHeight="1" x14ac:dyDescent="0.35">
      <c r="A1175" s="42" t="s">
        <v>90</v>
      </c>
      <c r="B1175" s="40">
        <v>1</v>
      </c>
      <c r="C1175" s="54">
        <v>2015</v>
      </c>
      <c r="D1175" s="283">
        <v>0.04</v>
      </c>
    </row>
    <row r="1177" spans="1:4" ht="14.25" customHeight="1" x14ac:dyDescent="0.35">
      <c r="A1177" s="143" t="s">
        <v>1470</v>
      </c>
      <c r="B1177" s="2"/>
    </row>
    <row r="1178" spans="1:4" ht="14.25" customHeight="1" x14ac:dyDescent="0.35">
      <c r="A1178" s="34" t="s">
        <v>1471</v>
      </c>
      <c r="B1178" s="2"/>
    </row>
    <row r="1179" spans="1:4" ht="14.25" customHeight="1" x14ac:dyDescent="0.35">
      <c r="B1179" s="34" t="s">
        <v>1471</v>
      </c>
      <c r="C1179" s="52" t="s">
        <v>1472</v>
      </c>
      <c r="D1179" s="52" t="s">
        <v>1470</v>
      </c>
    </row>
    <row r="1180" spans="1:4" ht="14.25" customHeight="1" x14ac:dyDescent="0.35">
      <c r="A1180" s="5" t="s">
        <v>671</v>
      </c>
      <c r="B1180" s="66" t="s">
        <v>128</v>
      </c>
      <c r="C1180" s="66" t="s">
        <v>322</v>
      </c>
      <c r="D1180" s="66" t="s">
        <v>13</v>
      </c>
    </row>
    <row r="1181" spans="1:4" ht="14.25" customHeight="1" x14ac:dyDescent="0.35">
      <c r="A1181" s="42" t="s">
        <v>228</v>
      </c>
      <c r="B1181" s="40">
        <v>0</v>
      </c>
      <c r="C1181" s="54">
        <v>2015</v>
      </c>
      <c r="D1181" s="283">
        <v>0.04</v>
      </c>
    </row>
    <row r="1182" spans="1:4" ht="14.25" customHeight="1" x14ac:dyDescent="0.35">
      <c r="A1182" s="42" t="s">
        <v>95</v>
      </c>
      <c r="B1182" s="40">
        <v>0</v>
      </c>
      <c r="C1182" s="54">
        <v>2015</v>
      </c>
      <c r="D1182" s="283">
        <v>0.04</v>
      </c>
    </row>
    <row r="1183" spans="1:4" ht="14.25" customHeight="1" x14ac:dyDescent="0.35">
      <c r="A1183" s="42" t="s">
        <v>96</v>
      </c>
      <c r="B1183" s="40">
        <v>0</v>
      </c>
      <c r="C1183" s="54">
        <v>2015</v>
      </c>
      <c r="D1183" s="283">
        <v>0.04</v>
      </c>
    </row>
    <row r="1184" spans="1:4" ht="14.25" customHeight="1" x14ac:dyDescent="0.35">
      <c r="A1184" s="42" t="s">
        <v>97</v>
      </c>
      <c r="B1184" s="40">
        <v>0</v>
      </c>
      <c r="C1184" s="54">
        <v>2015</v>
      </c>
      <c r="D1184" s="283">
        <v>0.04</v>
      </c>
    </row>
    <row r="1185" spans="1:4" ht="14.25" customHeight="1" x14ac:dyDescent="0.35">
      <c r="A1185" s="42" t="s">
        <v>98</v>
      </c>
      <c r="B1185" s="40">
        <v>0</v>
      </c>
      <c r="C1185" s="54">
        <v>2015</v>
      </c>
      <c r="D1185" s="283">
        <v>0.04</v>
      </c>
    </row>
    <row r="1186" spans="1:4" ht="14.25" customHeight="1" x14ac:dyDescent="0.35">
      <c r="A1186" s="42" t="s">
        <v>163</v>
      </c>
      <c r="B1186" s="40">
        <v>0</v>
      </c>
      <c r="C1186" s="54">
        <v>2015</v>
      </c>
      <c r="D1186" s="283">
        <v>0.04</v>
      </c>
    </row>
    <row r="1187" spans="1:4" ht="14.25" customHeight="1" x14ac:dyDescent="0.35">
      <c r="A1187" s="42" t="s">
        <v>100</v>
      </c>
      <c r="B1187" s="40">
        <v>0</v>
      </c>
      <c r="C1187" s="54">
        <v>2015</v>
      </c>
      <c r="D1187" s="283">
        <v>0.04</v>
      </c>
    </row>
    <row r="1188" spans="1:4" ht="14.25" customHeight="1" x14ac:dyDescent="0.35">
      <c r="A1188" s="42" t="s">
        <v>101</v>
      </c>
      <c r="B1188" s="40">
        <v>0</v>
      </c>
      <c r="C1188" s="54">
        <v>2015</v>
      </c>
      <c r="D1188" s="283">
        <v>0.04</v>
      </c>
    </row>
    <row r="1189" spans="1:4" ht="14.25" customHeight="1" x14ac:dyDescent="0.35">
      <c r="A1189" s="42" t="s">
        <v>102</v>
      </c>
      <c r="B1189" s="40">
        <v>0</v>
      </c>
      <c r="C1189" s="54">
        <v>2015</v>
      </c>
      <c r="D1189" s="283">
        <v>0.04</v>
      </c>
    </row>
    <row r="1190" spans="1:4" ht="14.25" customHeight="1" x14ac:dyDescent="0.35">
      <c r="A1190" s="42" t="s">
        <v>103</v>
      </c>
      <c r="B1190" s="40">
        <v>0</v>
      </c>
      <c r="C1190" s="54">
        <v>2015</v>
      </c>
      <c r="D1190" s="283">
        <v>0.04</v>
      </c>
    </row>
    <row r="1191" spans="1:4" ht="14.25" customHeight="1" x14ac:dyDescent="0.35">
      <c r="A1191" s="42" t="s">
        <v>104</v>
      </c>
      <c r="B1191" s="40">
        <v>0</v>
      </c>
      <c r="C1191" s="54">
        <v>2015</v>
      </c>
      <c r="D1191" s="283">
        <v>0.04</v>
      </c>
    </row>
    <row r="1192" spans="1:4" ht="14.25" customHeight="1" x14ac:dyDescent="0.35">
      <c r="A1192" s="42" t="s">
        <v>105</v>
      </c>
      <c r="B1192" s="40">
        <v>0</v>
      </c>
      <c r="C1192" s="54">
        <v>2015</v>
      </c>
      <c r="D1192" s="283">
        <v>0.04</v>
      </c>
    </row>
    <row r="1193" spans="1:4" ht="14.25" customHeight="1" x14ac:dyDescent="0.35">
      <c r="A1193" s="42" t="s">
        <v>106</v>
      </c>
      <c r="B1193" s="40">
        <v>0</v>
      </c>
      <c r="C1193" s="54">
        <v>2015</v>
      </c>
      <c r="D1193" s="283">
        <v>0.04</v>
      </c>
    </row>
    <row r="1194" spans="1:4" ht="14.25" customHeight="1" x14ac:dyDescent="0.35">
      <c r="A1194" s="42" t="s">
        <v>107</v>
      </c>
      <c r="B1194" s="40">
        <v>0</v>
      </c>
      <c r="C1194" s="54">
        <v>2015</v>
      </c>
      <c r="D1194" s="283">
        <v>0.04</v>
      </c>
    </row>
    <row r="1195" spans="1:4" ht="14.25" customHeight="1" x14ac:dyDescent="0.35">
      <c r="A1195" s="42" t="s">
        <v>108</v>
      </c>
      <c r="B1195" s="40">
        <v>0</v>
      </c>
      <c r="C1195" s="54">
        <v>2015</v>
      </c>
      <c r="D1195" s="283">
        <v>0.04</v>
      </c>
    </row>
    <row r="1196" spans="1:4" ht="14.25" customHeight="1" x14ac:dyDescent="0.35">
      <c r="A1196" s="42" t="s">
        <v>109</v>
      </c>
      <c r="B1196" s="40">
        <v>0</v>
      </c>
      <c r="C1196" s="54">
        <v>2015</v>
      </c>
      <c r="D1196" s="283">
        <v>0.04</v>
      </c>
    </row>
    <row r="1197" spans="1:4" ht="14.25" customHeight="1" x14ac:dyDescent="0.35">
      <c r="A1197" s="42" t="s">
        <v>229</v>
      </c>
      <c r="B1197" s="40">
        <v>0</v>
      </c>
      <c r="C1197" s="54">
        <v>2015</v>
      </c>
      <c r="D1197" s="283">
        <v>0.04</v>
      </c>
    </row>
    <row r="1198" spans="1:4" ht="14.25" customHeight="1" x14ac:dyDescent="0.35">
      <c r="A1198" s="42" t="s">
        <v>111</v>
      </c>
      <c r="B1198" s="40">
        <v>0</v>
      </c>
      <c r="C1198" s="54">
        <v>2015</v>
      </c>
      <c r="D1198" s="283">
        <v>0.04</v>
      </c>
    </row>
    <row r="1199" spans="1:4" ht="14.25" customHeight="1" x14ac:dyDescent="0.35">
      <c r="A1199" s="42" t="s">
        <v>112</v>
      </c>
      <c r="B1199" s="40">
        <v>0</v>
      </c>
      <c r="C1199" s="54">
        <v>2015</v>
      </c>
      <c r="D1199" s="283">
        <v>0.04</v>
      </c>
    </row>
    <row r="1200" spans="1:4" ht="14.25" customHeight="1" x14ac:dyDescent="0.35">
      <c r="A1200" s="42" t="s">
        <v>113</v>
      </c>
      <c r="B1200" s="40">
        <v>0</v>
      </c>
      <c r="C1200" s="54">
        <v>2015</v>
      </c>
      <c r="D1200" s="283">
        <v>0.04</v>
      </c>
    </row>
    <row r="1201" spans="1:4" ht="14.25" customHeight="1" x14ac:dyDescent="0.35">
      <c r="A1201" s="42" t="s">
        <v>114</v>
      </c>
      <c r="B1201" s="40">
        <v>0</v>
      </c>
      <c r="C1201" s="54">
        <v>2015</v>
      </c>
      <c r="D1201" s="283">
        <v>0.04</v>
      </c>
    </row>
    <row r="1202" spans="1:4" ht="14.25" customHeight="1" x14ac:dyDescent="0.35">
      <c r="A1202" s="42" t="s">
        <v>115</v>
      </c>
      <c r="B1202" s="40">
        <v>0</v>
      </c>
      <c r="C1202" s="54">
        <v>2015</v>
      </c>
      <c r="D1202" s="283">
        <v>0.04</v>
      </c>
    </row>
    <row r="1203" spans="1:4" ht="14.25" customHeight="1" x14ac:dyDescent="0.35">
      <c r="A1203" s="42" t="s">
        <v>116</v>
      </c>
      <c r="B1203" s="40">
        <v>0</v>
      </c>
      <c r="C1203" s="54">
        <v>2015</v>
      </c>
      <c r="D1203" s="283">
        <v>0.04</v>
      </c>
    </row>
    <row r="1204" spans="1:4" ht="14.25" customHeight="1" x14ac:dyDescent="0.35">
      <c r="A1204" s="42" t="s">
        <v>117</v>
      </c>
      <c r="B1204" s="40">
        <v>0</v>
      </c>
      <c r="C1204" s="54">
        <v>2015</v>
      </c>
      <c r="D1204" s="283">
        <v>0.04</v>
      </c>
    </row>
    <row r="1205" spans="1:4" ht="14.25" customHeight="1" x14ac:dyDescent="0.35">
      <c r="A1205" s="42" t="s">
        <v>118</v>
      </c>
      <c r="B1205" s="40">
        <v>0</v>
      </c>
      <c r="C1205" s="54">
        <v>2015</v>
      </c>
      <c r="D1205" s="283">
        <v>0.04</v>
      </c>
    </row>
    <row r="1206" spans="1:4" ht="14.25" customHeight="1" x14ac:dyDescent="0.35">
      <c r="A1206" s="42" t="s">
        <v>119</v>
      </c>
      <c r="B1206" s="40">
        <v>0</v>
      </c>
      <c r="C1206" s="54">
        <v>2015</v>
      </c>
      <c r="D1206" s="283">
        <v>0.04</v>
      </c>
    </row>
    <row r="1207" spans="1:4" ht="14.25" customHeight="1" x14ac:dyDescent="0.35">
      <c r="A1207" s="42" t="s">
        <v>120</v>
      </c>
      <c r="B1207" s="40">
        <v>0</v>
      </c>
      <c r="C1207" s="54">
        <v>2015</v>
      </c>
      <c r="D1207" s="283">
        <v>0.04</v>
      </c>
    </row>
    <row r="1208" spans="1:4" ht="14.25" customHeight="1" x14ac:dyDescent="0.35">
      <c r="A1208" s="42" t="s">
        <v>83</v>
      </c>
      <c r="B1208" s="40">
        <v>0</v>
      </c>
      <c r="C1208" s="54">
        <v>2015</v>
      </c>
      <c r="D1208" s="283">
        <v>0.04</v>
      </c>
    </row>
    <row r="1209" spans="1:4" ht="14.25" customHeight="1" x14ac:dyDescent="0.35">
      <c r="A1209" s="42" t="s">
        <v>144</v>
      </c>
      <c r="B1209" s="40">
        <v>0</v>
      </c>
      <c r="C1209" s="54">
        <v>2015</v>
      </c>
      <c r="D1209" s="283">
        <v>0.04</v>
      </c>
    </row>
    <row r="1210" spans="1:4" ht="14.25" customHeight="1" x14ac:dyDescent="0.35">
      <c r="A1210" s="42" t="s">
        <v>164</v>
      </c>
      <c r="B1210" s="40">
        <v>0</v>
      </c>
      <c r="C1210" s="54">
        <v>2015</v>
      </c>
      <c r="D1210" s="283">
        <v>0.04</v>
      </c>
    </row>
    <row r="1211" spans="1:4" ht="14.25" customHeight="1" x14ac:dyDescent="0.35">
      <c r="A1211" s="42" t="s">
        <v>145</v>
      </c>
      <c r="B1211" s="40">
        <v>0</v>
      </c>
      <c r="C1211" s="54">
        <v>2015</v>
      </c>
      <c r="D1211" s="283">
        <v>0.04</v>
      </c>
    </row>
    <row r="1212" spans="1:4" ht="14.25" customHeight="1" x14ac:dyDescent="0.35">
      <c r="A1212" s="42" t="s">
        <v>87</v>
      </c>
      <c r="B1212" s="40">
        <v>0</v>
      </c>
      <c r="C1212" s="54">
        <v>2015</v>
      </c>
      <c r="D1212" s="283">
        <v>0.04</v>
      </c>
    </row>
    <row r="1213" spans="1:4" ht="14.25" customHeight="1" x14ac:dyDescent="0.35">
      <c r="A1213" s="42" t="s">
        <v>146</v>
      </c>
      <c r="B1213" s="40">
        <v>0</v>
      </c>
      <c r="C1213" s="54">
        <v>2015</v>
      </c>
      <c r="D1213" s="283">
        <v>0.04</v>
      </c>
    </row>
    <row r="1214" spans="1:4" ht="14.25" customHeight="1" x14ac:dyDescent="0.35">
      <c r="A1214" s="42" t="s">
        <v>89</v>
      </c>
      <c r="B1214" s="40">
        <v>0</v>
      </c>
      <c r="C1214" s="54">
        <v>2015</v>
      </c>
      <c r="D1214" s="283">
        <v>0.04</v>
      </c>
    </row>
    <row r="1215" spans="1:4" ht="14.25" customHeight="1" x14ac:dyDescent="0.35">
      <c r="A1215" s="42" t="s">
        <v>90</v>
      </c>
      <c r="B1215" s="40">
        <v>0</v>
      </c>
      <c r="C1215" s="54">
        <v>2015</v>
      </c>
      <c r="D1215" s="283">
        <v>0.04</v>
      </c>
    </row>
    <row r="1216" spans="1:4" ht="14.25" customHeight="1" x14ac:dyDescent="0.35">
      <c r="A1216" s="72"/>
    </row>
    <row r="1217" spans="1:6" ht="14.25" customHeight="1" x14ac:dyDescent="0.35">
      <c r="A1217" s="143" t="s">
        <v>469</v>
      </c>
      <c r="B1217" s="2"/>
    </row>
    <row r="1218" spans="1:6" ht="14.25" customHeight="1" x14ac:dyDescent="0.35">
      <c r="A1218" s="38" t="s">
        <v>168</v>
      </c>
      <c r="B1218" s="9" t="s">
        <v>169</v>
      </c>
    </row>
    <row r="1219" spans="1:6" ht="14.25" customHeight="1" x14ac:dyDescent="0.35">
      <c r="A1219" s="271">
        <v>0</v>
      </c>
      <c r="B1219" s="272" t="s">
        <v>409</v>
      </c>
    </row>
    <row r="1220" spans="1:6" ht="14.25" customHeight="1" x14ac:dyDescent="0.35">
      <c r="A1220" s="271">
        <v>1</v>
      </c>
      <c r="B1220" s="272" t="s">
        <v>410</v>
      </c>
    </row>
    <row r="1221" spans="1:6" ht="14.25" customHeight="1" x14ac:dyDescent="0.35">
      <c r="A1221" s="271">
        <v>2</v>
      </c>
      <c r="B1221" s="272" t="s">
        <v>411</v>
      </c>
    </row>
    <row r="1222" spans="1:6" ht="14.25" customHeight="1" x14ac:dyDescent="0.35">
      <c r="A1222" s="271">
        <v>3</v>
      </c>
      <c r="B1222" s="272" t="s">
        <v>412</v>
      </c>
    </row>
    <row r="1223" spans="1:6" ht="14.25" customHeight="1" x14ac:dyDescent="0.35">
      <c r="A1223" s="39" t="s">
        <v>170</v>
      </c>
      <c r="B1223" s="40">
        <v>0</v>
      </c>
    </row>
    <row r="1225" spans="1:6" ht="14.25" customHeight="1" x14ac:dyDescent="0.35">
      <c r="A1225" s="143" t="s">
        <v>417</v>
      </c>
      <c r="B1225" s="2"/>
    </row>
    <row r="1226" spans="1:6" ht="14.25" customHeight="1" x14ac:dyDescent="0.35">
      <c r="A1226" s="38" t="s">
        <v>168</v>
      </c>
      <c r="B1226" s="9" t="s">
        <v>169</v>
      </c>
    </row>
    <row r="1227" spans="1:6" ht="14.25" customHeight="1" x14ac:dyDescent="0.35">
      <c r="A1227" s="271">
        <v>0</v>
      </c>
      <c r="B1227" s="272" t="s">
        <v>413</v>
      </c>
    </row>
    <row r="1228" spans="1:6" ht="14.25" customHeight="1" x14ac:dyDescent="0.35">
      <c r="A1228" s="271">
        <v>1</v>
      </c>
      <c r="B1228" s="272" t="s">
        <v>414</v>
      </c>
      <c r="F1228" s="68"/>
    </row>
    <row r="1229" spans="1:6" ht="14.25" customHeight="1" x14ac:dyDescent="0.35">
      <c r="A1229" s="271">
        <v>2</v>
      </c>
      <c r="B1229" s="272" t="s">
        <v>415</v>
      </c>
      <c r="F1229" s="68"/>
    </row>
    <row r="1230" spans="1:6" ht="14.25" customHeight="1" x14ac:dyDescent="0.35">
      <c r="A1230" s="271">
        <v>3</v>
      </c>
      <c r="B1230" s="272" t="s">
        <v>416</v>
      </c>
      <c r="C1230" s="56"/>
    </row>
    <row r="1231" spans="1:6" ht="14.25" customHeight="1" x14ac:dyDescent="0.35">
      <c r="A1231" s="39" t="s">
        <v>170</v>
      </c>
      <c r="B1231" s="40">
        <v>2</v>
      </c>
    </row>
    <row r="1232" spans="1:6" ht="14.25" customHeight="1" x14ac:dyDescent="0.35">
      <c r="A1232" s="121"/>
    </row>
    <row r="1233" spans="1:2" ht="14.25" customHeight="1" x14ac:dyDescent="0.35">
      <c r="A1233" s="143" t="s">
        <v>1007</v>
      </c>
      <c r="B1233" s="2"/>
    </row>
    <row r="1234" spans="1:2" ht="14.25" customHeight="1" x14ac:dyDescent="0.35">
      <c r="A1234" s="38" t="s">
        <v>168</v>
      </c>
      <c r="B1234" s="9" t="s">
        <v>169</v>
      </c>
    </row>
    <row r="1235" spans="1:2" ht="14.25" customHeight="1" x14ac:dyDescent="0.35">
      <c r="A1235" s="271">
        <v>0</v>
      </c>
      <c r="B1235" s="272" t="s">
        <v>1008</v>
      </c>
    </row>
    <row r="1236" spans="1:2" ht="14.25" customHeight="1" x14ac:dyDescent="0.35">
      <c r="A1236" s="271">
        <v>1</v>
      </c>
      <c r="B1236" s="272" t="s">
        <v>1009</v>
      </c>
    </row>
    <row r="1237" spans="1:2" ht="14.25" customHeight="1" x14ac:dyDescent="0.35">
      <c r="A1237" s="39" t="s">
        <v>170</v>
      </c>
      <c r="B1237" s="40">
        <v>0</v>
      </c>
    </row>
    <row r="1238" spans="1:2" ht="14.25" customHeight="1" x14ac:dyDescent="0.35">
      <c r="A1238" s="121"/>
    </row>
    <row r="1239" spans="1:2" ht="14.25" customHeight="1" x14ac:dyDescent="0.35">
      <c r="A1239" s="143" t="s">
        <v>1010</v>
      </c>
      <c r="B1239" s="2"/>
    </row>
    <row r="1240" spans="1:2" ht="14.25" customHeight="1" x14ac:dyDescent="0.35">
      <c r="A1240" s="38" t="s">
        <v>168</v>
      </c>
      <c r="B1240" s="9" t="s">
        <v>169</v>
      </c>
    </row>
    <row r="1241" spans="1:2" ht="14.25" customHeight="1" x14ac:dyDescent="0.35">
      <c r="A1241" s="271">
        <v>0</v>
      </c>
      <c r="B1241" s="272" t="s">
        <v>1008</v>
      </c>
    </row>
    <row r="1242" spans="1:2" ht="14.25" customHeight="1" x14ac:dyDescent="0.35">
      <c r="A1242" s="271">
        <v>1</v>
      </c>
      <c r="B1242" s="272" t="s">
        <v>1009</v>
      </c>
    </row>
    <row r="1243" spans="1:2" ht="14.25" customHeight="1" x14ac:dyDescent="0.35">
      <c r="A1243" s="39" t="s">
        <v>170</v>
      </c>
      <c r="B1243" s="40">
        <v>0</v>
      </c>
    </row>
    <row r="1245" spans="1:2" ht="14.25" customHeight="1" x14ac:dyDescent="0.35">
      <c r="A1245" s="349" t="s">
        <v>2046</v>
      </c>
      <c r="B1245" s="2"/>
    </row>
    <row r="1246" spans="1:2" ht="14.25" customHeight="1" x14ac:dyDescent="0.35">
      <c r="A1246" s="309" t="s">
        <v>168</v>
      </c>
      <c r="B1246" s="310" t="s">
        <v>169</v>
      </c>
    </row>
    <row r="1247" spans="1:2" ht="14.25" customHeight="1" x14ac:dyDescent="0.35">
      <c r="A1247" s="351">
        <v>0</v>
      </c>
      <c r="B1247" s="506" t="s">
        <v>2047</v>
      </c>
    </row>
    <row r="1248" spans="1:2" ht="14.25" customHeight="1" x14ac:dyDescent="0.35">
      <c r="A1248" s="351">
        <v>1</v>
      </c>
      <c r="B1248" s="506" t="s">
        <v>2048</v>
      </c>
    </row>
    <row r="1249" spans="1:2" ht="14.25" customHeight="1" x14ac:dyDescent="0.35">
      <c r="A1249" s="351">
        <v>2</v>
      </c>
      <c r="B1249" s="506" t="s">
        <v>2049</v>
      </c>
    </row>
    <row r="1250" spans="1:2" ht="14.25" customHeight="1" x14ac:dyDescent="0.35">
      <c r="A1250" s="351">
        <v>3</v>
      </c>
      <c r="B1250" s="506" t="s">
        <v>2050</v>
      </c>
    </row>
    <row r="1251" spans="1:2" ht="14.25" customHeight="1" x14ac:dyDescent="0.35">
      <c r="A1251" s="351">
        <v>4</v>
      </c>
      <c r="B1251" s="506" t="s">
        <v>2051</v>
      </c>
    </row>
    <row r="1252" spans="1:2" ht="14.25" customHeight="1" x14ac:dyDescent="0.35">
      <c r="A1252" s="351">
        <v>5</v>
      </c>
      <c r="B1252" s="506" t="s">
        <v>2052</v>
      </c>
    </row>
    <row r="1253" spans="1:2" ht="14.25" customHeight="1" x14ac:dyDescent="0.35">
      <c r="A1253" s="352" t="s">
        <v>170</v>
      </c>
      <c r="B1253" s="353">
        <v>1</v>
      </c>
    </row>
    <row r="1255" spans="1:2" ht="14.25" customHeight="1" x14ac:dyDescent="0.35">
      <c r="A1255" s="349" t="s">
        <v>2042</v>
      </c>
      <c r="B1255" s="2"/>
    </row>
    <row r="1256" spans="1:2" ht="14.25" customHeight="1" x14ac:dyDescent="0.35">
      <c r="A1256" s="309" t="s">
        <v>168</v>
      </c>
      <c r="B1256" s="310" t="s">
        <v>169</v>
      </c>
    </row>
    <row r="1257" spans="1:2" ht="14.25" customHeight="1" x14ac:dyDescent="0.35">
      <c r="A1257" s="351">
        <v>0</v>
      </c>
      <c r="B1257" s="506" t="s">
        <v>2053</v>
      </c>
    </row>
    <row r="1258" spans="1:2" ht="14.25" customHeight="1" x14ac:dyDescent="0.35">
      <c r="A1258" s="351">
        <v>1</v>
      </c>
      <c r="B1258" s="506" t="s">
        <v>2054</v>
      </c>
    </row>
    <row r="1259" spans="1:2" ht="14.25" customHeight="1" x14ac:dyDescent="0.35">
      <c r="A1259" s="351">
        <v>2</v>
      </c>
      <c r="B1259" s="506" t="s">
        <v>2055</v>
      </c>
    </row>
    <row r="1260" spans="1:2" ht="14.25" customHeight="1" x14ac:dyDescent="0.35">
      <c r="A1260" s="352" t="s">
        <v>170</v>
      </c>
      <c r="B1260" s="353">
        <v>0</v>
      </c>
    </row>
  </sheetData>
  <mergeCells count="1">
    <mergeCell ref="A1:C1"/>
  </mergeCell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A582-2FEF-4386-95BD-1A26989FB0B6}">
  <sheetPr>
    <tabColor rgb="FFFFC000"/>
  </sheetPr>
  <dimension ref="A1:BK885"/>
  <sheetViews>
    <sheetView zoomScale="55" zoomScaleNormal="55" workbookViewId="0">
      <pane xSplit="1" ySplit="1" topLeftCell="B654" activePane="bottomRight" state="frozen"/>
      <selection pane="topRight" activeCell="B1" sqref="B1"/>
      <selection pane="bottomLeft" activeCell="A2" sqref="A2"/>
      <selection pane="bottomRight" activeCell="A689" sqref="A689"/>
    </sheetView>
  </sheetViews>
  <sheetFormatPr baseColWidth="10" defaultColWidth="11.453125" defaultRowHeight="14.5" x14ac:dyDescent="0.35"/>
  <cols>
    <col min="1" max="1" width="112.1796875" customWidth="1"/>
    <col min="2" max="2" width="82.81640625" customWidth="1"/>
    <col min="3" max="3" width="78" customWidth="1"/>
    <col min="4" max="4" width="49" customWidth="1"/>
    <col min="5" max="5" width="57.453125" customWidth="1"/>
    <col min="6" max="7" width="50.453125" customWidth="1"/>
    <col min="8" max="8" width="35.54296875" bestFit="1" customWidth="1"/>
    <col min="9" max="9" width="20.54296875" bestFit="1" customWidth="1"/>
    <col min="10" max="10" width="30.1796875" bestFit="1" customWidth="1"/>
    <col min="38" max="38" width="65.453125" style="2" customWidth="1"/>
  </cols>
  <sheetData>
    <row r="1" spans="1:38" s="212" customFormat="1" ht="31" x14ac:dyDescent="0.7">
      <c r="A1" s="604" t="s">
        <v>595</v>
      </c>
      <c r="B1" s="604"/>
      <c r="C1" s="604"/>
      <c r="AL1" s="213"/>
    </row>
    <row r="2" spans="1:38" ht="21" customHeight="1" x14ac:dyDescent="0.35"/>
    <row r="3" spans="1:38" x14ac:dyDescent="0.35">
      <c r="A3" s="143" t="s">
        <v>1451</v>
      </c>
      <c r="B3" s="96"/>
      <c r="C3" s="96"/>
      <c r="D3" s="96"/>
      <c r="E3" s="96"/>
      <c r="F3" s="96"/>
      <c r="G3" s="96"/>
      <c r="H3" s="96"/>
      <c r="I3" s="96"/>
      <c r="J3" s="96"/>
    </row>
    <row r="4" spans="1:38" x14ac:dyDescent="0.35">
      <c r="A4" s="441"/>
      <c r="B4" s="96"/>
      <c r="C4" s="96"/>
      <c r="D4" s="96"/>
      <c r="E4" s="96"/>
      <c r="F4" s="96"/>
      <c r="G4" s="96"/>
      <c r="H4" s="96"/>
      <c r="I4" s="96"/>
      <c r="J4" s="96"/>
    </row>
    <row r="5" spans="1:38" x14ac:dyDescent="0.35">
      <c r="A5" s="69" t="s">
        <v>649</v>
      </c>
      <c r="B5" s="52" t="s">
        <v>650</v>
      </c>
      <c r="C5" s="269"/>
      <c r="D5" s="96"/>
      <c r="E5" s="96"/>
      <c r="F5" s="96"/>
      <c r="G5" s="96"/>
      <c r="H5" s="96"/>
      <c r="I5" s="96"/>
      <c r="J5" s="96"/>
    </row>
    <row r="6" spans="1:38" x14ac:dyDescent="0.35">
      <c r="A6" s="74" t="s">
        <v>380</v>
      </c>
      <c r="B6" s="57" t="s">
        <v>12</v>
      </c>
      <c r="C6" s="96"/>
      <c r="D6" s="96"/>
      <c r="E6" s="96"/>
      <c r="F6" s="96"/>
      <c r="G6" s="96"/>
      <c r="H6" s="96"/>
      <c r="I6" s="96"/>
      <c r="J6" s="96"/>
    </row>
    <row r="7" spans="1:38" x14ac:dyDescent="0.35">
      <c r="A7" s="74" t="s">
        <v>127</v>
      </c>
      <c r="B7" s="36">
        <v>2025</v>
      </c>
      <c r="C7" s="96">
        <v>2025</v>
      </c>
      <c r="D7" s="96"/>
      <c r="E7" s="96"/>
      <c r="F7" s="96"/>
      <c r="G7" s="96"/>
      <c r="H7" s="96"/>
      <c r="I7" s="96"/>
      <c r="J7" s="96"/>
    </row>
    <row r="8" spans="1:38" x14ac:dyDescent="0.35">
      <c r="A8" s="98"/>
      <c r="B8" s="47"/>
      <c r="C8" s="96"/>
      <c r="D8" s="96"/>
      <c r="E8" s="96"/>
      <c r="F8" s="96"/>
      <c r="G8" s="96"/>
      <c r="H8" s="96"/>
      <c r="I8" s="96"/>
      <c r="J8" s="96"/>
    </row>
    <row r="9" spans="1:38" x14ac:dyDescent="0.35">
      <c r="A9" s="84" t="s">
        <v>1451</v>
      </c>
      <c r="B9" s="350"/>
      <c r="C9" s="96"/>
      <c r="D9" s="96"/>
      <c r="E9" s="96"/>
      <c r="F9" s="96"/>
      <c r="G9" s="96"/>
      <c r="H9" s="96"/>
      <c r="I9" s="96"/>
      <c r="J9" s="96"/>
    </row>
    <row r="10" spans="1:38" x14ac:dyDescent="0.35">
      <c r="A10" s="74" t="s">
        <v>1454</v>
      </c>
      <c r="B10" s="57" t="s">
        <v>127</v>
      </c>
      <c r="C10" s="96"/>
      <c r="D10" s="96"/>
      <c r="E10" s="96"/>
      <c r="F10" s="96"/>
      <c r="G10" s="96"/>
      <c r="H10" s="96"/>
      <c r="I10" s="96"/>
      <c r="J10" s="96"/>
    </row>
    <row r="11" spans="1:38" x14ac:dyDescent="0.35">
      <c r="A11" s="14" t="s">
        <v>94</v>
      </c>
      <c r="B11" s="125">
        <v>-1.2951957340638002E-2</v>
      </c>
      <c r="C11" s="96"/>
      <c r="D11" s="96"/>
      <c r="E11" s="96"/>
      <c r="F11" s="96"/>
      <c r="G11" s="96"/>
      <c r="H11" s="96"/>
      <c r="I11" s="96"/>
      <c r="J11" s="96"/>
    </row>
    <row r="12" spans="1:38" x14ac:dyDescent="0.35">
      <c r="A12" s="14" t="s">
        <v>95</v>
      </c>
      <c r="B12" s="125">
        <v>-1.6247237205441169E-2</v>
      </c>
      <c r="C12" s="96"/>
      <c r="D12" s="96"/>
      <c r="E12" s="96"/>
      <c r="F12" s="96"/>
      <c r="G12" s="96"/>
      <c r="H12" s="96"/>
      <c r="I12" s="96"/>
      <c r="J12" s="96"/>
    </row>
    <row r="13" spans="1:38" x14ac:dyDescent="0.35">
      <c r="A13" s="14" t="s">
        <v>96</v>
      </c>
      <c r="B13" s="125">
        <v>-2.610106861950829E-2</v>
      </c>
      <c r="C13" s="96"/>
      <c r="D13" s="96"/>
      <c r="E13" s="96"/>
      <c r="F13" s="96"/>
      <c r="G13" s="96"/>
      <c r="H13" s="96"/>
      <c r="I13" s="96"/>
      <c r="J13" s="96"/>
    </row>
    <row r="14" spans="1:38" x14ac:dyDescent="0.35">
      <c r="A14" s="14" t="s">
        <v>97</v>
      </c>
      <c r="B14" s="125">
        <v>-1.3841854317380945E-2</v>
      </c>
      <c r="C14" s="96"/>
      <c r="D14" s="96"/>
      <c r="E14" s="96"/>
      <c r="F14" s="96"/>
      <c r="G14" s="96"/>
      <c r="H14" s="96"/>
      <c r="I14" s="96"/>
      <c r="J14" s="96"/>
    </row>
    <row r="15" spans="1:38" x14ac:dyDescent="0.35">
      <c r="A15" s="14" t="s">
        <v>98</v>
      </c>
      <c r="B15" s="125">
        <v>-1.3548258519338111E-2</v>
      </c>
      <c r="C15" s="96"/>
      <c r="D15" s="96"/>
      <c r="E15" s="96"/>
      <c r="F15" s="96"/>
      <c r="G15" s="96"/>
      <c r="H15" s="96"/>
      <c r="I15" s="96"/>
      <c r="J15" s="96"/>
    </row>
    <row r="16" spans="1:38" x14ac:dyDescent="0.35">
      <c r="A16" s="14" t="s">
        <v>99</v>
      </c>
      <c r="B16" s="125">
        <v>-2.6193395701882775E-2</v>
      </c>
      <c r="C16" s="96"/>
      <c r="D16" s="96"/>
      <c r="E16" s="96"/>
      <c r="F16" s="96"/>
      <c r="G16" s="96"/>
      <c r="H16" s="96"/>
      <c r="I16" s="96"/>
      <c r="J16" s="96"/>
    </row>
    <row r="17" spans="1:10" x14ac:dyDescent="0.35">
      <c r="A17" s="14" t="s">
        <v>100</v>
      </c>
      <c r="B17" s="125">
        <v>-1.9359894107536916E-2</v>
      </c>
      <c r="C17" s="96"/>
      <c r="D17" s="96"/>
      <c r="E17" s="96"/>
      <c r="F17" s="96"/>
      <c r="G17" s="96"/>
      <c r="H17" s="96"/>
      <c r="I17" s="96"/>
      <c r="J17" s="96"/>
    </row>
    <row r="18" spans="1:10" x14ac:dyDescent="0.35">
      <c r="A18" s="14" t="s">
        <v>101</v>
      </c>
      <c r="B18" s="125">
        <v>-2.1644366319210708E-2</v>
      </c>
      <c r="C18" s="96"/>
      <c r="D18" s="96"/>
      <c r="E18" s="96"/>
      <c r="F18" s="96"/>
      <c r="G18" s="96"/>
      <c r="H18" s="96"/>
      <c r="I18" s="96"/>
      <c r="J18" s="96"/>
    </row>
    <row r="19" spans="1:10" x14ac:dyDescent="0.35">
      <c r="A19" s="14" t="s">
        <v>102</v>
      </c>
      <c r="B19" s="125">
        <v>-8.8954164895729878E-3</v>
      </c>
      <c r="C19" s="96"/>
      <c r="D19" s="96"/>
      <c r="E19" s="96"/>
      <c r="F19" s="96"/>
      <c r="G19" s="96"/>
      <c r="H19" s="96"/>
      <c r="I19" s="96"/>
      <c r="J19" s="96"/>
    </row>
    <row r="20" spans="1:10" x14ac:dyDescent="0.35">
      <c r="A20" s="14" t="s">
        <v>103</v>
      </c>
      <c r="B20" s="125">
        <v>-1.8253530103066164E-2</v>
      </c>
      <c r="C20" s="96"/>
      <c r="D20" s="96"/>
      <c r="E20" s="96"/>
      <c r="F20" s="96"/>
      <c r="G20" s="96"/>
      <c r="H20" s="96"/>
      <c r="I20" s="96"/>
      <c r="J20" s="96"/>
    </row>
    <row r="21" spans="1:10" x14ac:dyDescent="0.35">
      <c r="A21" s="14" t="s">
        <v>104</v>
      </c>
      <c r="B21" s="125">
        <v>-1.6476174252069611E-2</v>
      </c>
      <c r="C21" s="96"/>
      <c r="D21" s="96"/>
      <c r="E21" s="96"/>
      <c r="F21" s="96"/>
      <c r="G21" s="96"/>
      <c r="H21" s="96"/>
      <c r="I21" s="96"/>
      <c r="J21" s="96"/>
    </row>
    <row r="22" spans="1:10" x14ac:dyDescent="0.35">
      <c r="A22" s="14" t="s">
        <v>105</v>
      </c>
      <c r="B22" s="125">
        <v>-6.6783922379983667E-3</v>
      </c>
      <c r="C22" s="96"/>
      <c r="D22" s="96"/>
      <c r="E22" s="96"/>
      <c r="F22" s="96"/>
      <c r="G22" s="96"/>
      <c r="H22" s="96"/>
      <c r="I22" s="96"/>
      <c r="J22" s="96"/>
    </row>
    <row r="23" spans="1:10" x14ac:dyDescent="0.35">
      <c r="A23" s="14" t="s">
        <v>106</v>
      </c>
      <c r="B23" s="125">
        <v>-1.8585025746312177E-2</v>
      </c>
      <c r="C23" s="96"/>
      <c r="D23" s="96"/>
      <c r="E23" s="96"/>
      <c r="F23" s="96"/>
      <c r="G23" s="96"/>
      <c r="H23" s="96"/>
      <c r="I23" s="96"/>
      <c r="J23" s="96"/>
    </row>
    <row r="24" spans="1:10" x14ac:dyDescent="0.35">
      <c r="A24" s="14" t="s">
        <v>107</v>
      </c>
      <c r="B24" s="125">
        <v>-4.2898284491085015E-2</v>
      </c>
      <c r="C24" s="96"/>
      <c r="D24" s="96"/>
      <c r="E24" s="96"/>
      <c r="F24" s="96"/>
      <c r="G24" s="96"/>
      <c r="H24" s="96"/>
      <c r="I24" s="96"/>
      <c r="J24" s="96"/>
    </row>
    <row r="25" spans="1:10" x14ac:dyDescent="0.35">
      <c r="A25" s="14" t="s">
        <v>108</v>
      </c>
      <c r="B25" s="125">
        <v>-1.2123069527760714E-2</v>
      </c>
      <c r="C25" s="96"/>
      <c r="D25" s="96"/>
      <c r="E25" s="96"/>
      <c r="F25" s="96"/>
      <c r="G25" s="96"/>
      <c r="H25" s="96"/>
      <c r="I25" s="96"/>
      <c r="J25" s="96"/>
    </row>
    <row r="26" spans="1:10" x14ac:dyDescent="0.35">
      <c r="A26" s="14" t="s">
        <v>109</v>
      </c>
      <c r="B26" s="125">
        <v>-1.7857083830342211E-2</v>
      </c>
      <c r="C26" s="96"/>
      <c r="D26" s="96"/>
      <c r="E26" s="96"/>
      <c r="F26" s="96"/>
      <c r="G26" s="96"/>
      <c r="H26" s="96"/>
      <c r="I26" s="96"/>
      <c r="J26" s="96"/>
    </row>
    <row r="27" spans="1:10" x14ac:dyDescent="0.35">
      <c r="A27" s="14" t="s">
        <v>110</v>
      </c>
      <c r="B27" s="125">
        <v>-1.5764705797980304E-2</v>
      </c>
      <c r="C27" s="96"/>
      <c r="D27" s="96"/>
      <c r="E27" s="96"/>
      <c r="F27" s="96"/>
      <c r="G27" s="96"/>
      <c r="H27" s="96"/>
      <c r="I27" s="96"/>
      <c r="J27" s="96"/>
    </row>
    <row r="28" spans="1:10" x14ac:dyDescent="0.35">
      <c r="A28" s="14" t="s">
        <v>111</v>
      </c>
      <c r="B28" s="125">
        <v>-3.0698341141067811E-2</v>
      </c>
      <c r="C28" s="96"/>
      <c r="D28" s="96"/>
      <c r="E28" s="96"/>
      <c r="F28" s="96"/>
      <c r="G28" s="96"/>
      <c r="H28" s="96"/>
      <c r="I28" s="96"/>
      <c r="J28" s="96"/>
    </row>
    <row r="29" spans="1:10" x14ac:dyDescent="0.35">
      <c r="A29" s="14" t="s">
        <v>112</v>
      </c>
      <c r="B29" s="125">
        <v>-1.7024044168429855E-2</v>
      </c>
      <c r="C29" s="96"/>
      <c r="D29" s="96"/>
      <c r="E29" s="96"/>
      <c r="F29" s="96"/>
      <c r="G29" s="96"/>
      <c r="H29" s="96"/>
      <c r="I29" s="96"/>
      <c r="J29" s="96"/>
    </row>
    <row r="30" spans="1:10" x14ac:dyDescent="0.35">
      <c r="A30" s="14" t="s">
        <v>113</v>
      </c>
      <c r="B30" s="125">
        <v>-1.9961924689372048E-2</v>
      </c>
      <c r="C30" s="96"/>
      <c r="D30" s="96"/>
      <c r="E30" s="96"/>
      <c r="F30" s="96"/>
      <c r="G30" s="96"/>
      <c r="H30" s="96"/>
      <c r="I30" s="96"/>
      <c r="J30" s="96"/>
    </row>
    <row r="31" spans="1:10" x14ac:dyDescent="0.35">
      <c r="A31" s="14" t="s">
        <v>114</v>
      </c>
      <c r="B31" s="125">
        <v>-2.5644769282755657E-2</v>
      </c>
      <c r="C31" s="96"/>
      <c r="D31" s="96"/>
      <c r="E31" s="96"/>
      <c r="F31" s="96"/>
      <c r="G31" s="96"/>
      <c r="H31" s="96"/>
      <c r="I31" s="96"/>
      <c r="J31" s="96"/>
    </row>
    <row r="32" spans="1:10" x14ac:dyDescent="0.35">
      <c r="A32" s="14" t="s">
        <v>115</v>
      </c>
      <c r="B32" s="125">
        <v>-1.6341161035852748E-2</v>
      </c>
      <c r="C32" s="96"/>
      <c r="D32" s="96"/>
      <c r="E32" s="96"/>
      <c r="F32" s="96"/>
      <c r="G32" s="96"/>
      <c r="H32" s="96"/>
      <c r="I32" s="96"/>
      <c r="J32" s="96"/>
    </row>
    <row r="33" spans="1:10" x14ac:dyDescent="0.35">
      <c r="A33" s="14" t="s">
        <v>116</v>
      </c>
      <c r="B33" s="125">
        <v>-3.3530874287578713E-2</v>
      </c>
      <c r="C33" s="96"/>
      <c r="D33" s="96"/>
      <c r="E33" s="96"/>
      <c r="F33" s="96"/>
      <c r="G33" s="96"/>
      <c r="H33" s="96"/>
      <c r="I33" s="96"/>
      <c r="J33" s="96"/>
    </row>
    <row r="34" spans="1:10" x14ac:dyDescent="0.35">
      <c r="A34" s="14" t="s">
        <v>117</v>
      </c>
      <c r="B34" s="125">
        <v>-3.3317450807025507E-2</v>
      </c>
      <c r="C34" s="96"/>
      <c r="D34" s="96"/>
      <c r="E34" s="96"/>
      <c r="F34" s="96"/>
      <c r="G34" s="96"/>
      <c r="H34" s="96"/>
      <c r="I34" s="96"/>
      <c r="J34" s="96"/>
    </row>
    <row r="35" spans="1:10" x14ac:dyDescent="0.35">
      <c r="A35" s="14" t="s">
        <v>118</v>
      </c>
      <c r="B35" s="125">
        <v>-2.1987183486326101E-2</v>
      </c>
      <c r="C35" s="96"/>
      <c r="D35" s="96"/>
      <c r="E35" s="96"/>
      <c r="F35" s="96"/>
      <c r="G35" s="96"/>
      <c r="H35" s="96"/>
      <c r="I35" s="96"/>
      <c r="J35" s="96"/>
    </row>
    <row r="36" spans="1:10" x14ac:dyDescent="0.35">
      <c r="A36" s="14" t="s">
        <v>119</v>
      </c>
      <c r="B36" s="125">
        <v>-2.1199468953682861E-2</v>
      </c>
      <c r="C36" s="96"/>
      <c r="D36" s="96"/>
      <c r="E36" s="96"/>
      <c r="F36" s="96"/>
      <c r="G36" s="96"/>
      <c r="H36" s="96"/>
      <c r="I36" s="96"/>
      <c r="J36" s="96"/>
    </row>
    <row r="37" spans="1:10" x14ac:dyDescent="0.35">
      <c r="A37" s="14" t="s">
        <v>120</v>
      </c>
      <c r="B37" s="125">
        <v>-2.3325736458819052E-2</v>
      </c>
      <c r="C37" s="96"/>
      <c r="D37" s="96"/>
      <c r="E37" s="96"/>
      <c r="F37" s="96"/>
      <c r="G37" s="96"/>
      <c r="H37" s="96"/>
      <c r="I37" s="96"/>
      <c r="J37" s="96"/>
    </row>
    <row r="38" spans="1:10" x14ac:dyDescent="0.35">
      <c r="A38" s="14" t="s">
        <v>83</v>
      </c>
      <c r="B38" s="125">
        <v>-2.2049243042687971E-2</v>
      </c>
      <c r="C38" s="96"/>
      <c r="D38" s="96"/>
      <c r="E38" s="96"/>
      <c r="F38" s="96"/>
      <c r="G38" s="96"/>
      <c r="H38" s="96"/>
      <c r="I38" s="96"/>
      <c r="J38" s="96"/>
    </row>
    <row r="39" spans="1:10" x14ac:dyDescent="0.35">
      <c r="A39" s="14" t="s">
        <v>144</v>
      </c>
      <c r="B39" s="125">
        <v>-4.4483664181500106E-2</v>
      </c>
      <c r="C39" s="96"/>
      <c r="D39" s="96"/>
      <c r="E39" s="96"/>
      <c r="F39" s="96"/>
      <c r="G39" s="96"/>
      <c r="H39" s="96"/>
      <c r="I39" s="96"/>
      <c r="J39" s="96"/>
    </row>
    <row r="40" spans="1:10" x14ac:dyDescent="0.35">
      <c r="A40" s="14" t="s">
        <v>164</v>
      </c>
      <c r="B40" s="125">
        <v>-2.1296261493901188E-2</v>
      </c>
      <c r="C40" s="96"/>
      <c r="D40" s="96"/>
      <c r="E40" s="96"/>
      <c r="F40" s="96"/>
      <c r="G40" s="96"/>
      <c r="H40" s="96"/>
      <c r="I40" s="96"/>
      <c r="J40" s="96"/>
    </row>
    <row r="41" spans="1:10" x14ac:dyDescent="0.35">
      <c r="A41" s="14" t="s">
        <v>145</v>
      </c>
      <c r="B41" s="125">
        <v>-1.8490767732041082E-2</v>
      </c>
      <c r="C41" s="96"/>
      <c r="D41" s="96"/>
      <c r="E41" s="96"/>
      <c r="F41" s="96"/>
      <c r="G41" s="96"/>
      <c r="H41" s="96"/>
      <c r="I41" s="96"/>
      <c r="J41" s="96"/>
    </row>
    <row r="42" spans="1:10" x14ac:dyDescent="0.35">
      <c r="A42" s="14" t="s">
        <v>87</v>
      </c>
      <c r="B42" s="125">
        <v>-3.4041449305640542E-3</v>
      </c>
      <c r="C42" s="96"/>
      <c r="D42" s="96"/>
      <c r="E42" s="96"/>
      <c r="F42" s="96"/>
      <c r="G42" s="96"/>
      <c r="H42" s="96"/>
      <c r="I42" s="96"/>
      <c r="J42" s="96"/>
    </row>
    <row r="43" spans="1:10" x14ac:dyDescent="0.35">
      <c r="A43" s="14" t="s">
        <v>146</v>
      </c>
      <c r="B43" s="125">
        <v>-9.5706377588800594E-3</v>
      </c>
      <c r="C43" s="96"/>
      <c r="D43" s="96"/>
      <c r="E43" s="96"/>
      <c r="F43" s="96"/>
      <c r="G43" s="96"/>
      <c r="H43" s="96"/>
      <c r="I43" s="96"/>
      <c r="J43" s="96"/>
    </row>
    <row r="44" spans="1:10" x14ac:dyDescent="0.35">
      <c r="A44" s="14" t="s">
        <v>89</v>
      </c>
      <c r="B44" s="125">
        <v>-1.5537777878067411E-2</v>
      </c>
      <c r="C44" s="96"/>
      <c r="D44" s="96"/>
      <c r="E44" s="96"/>
      <c r="F44" s="96"/>
      <c r="G44" s="96"/>
      <c r="H44" s="96"/>
      <c r="I44" s="96"/>
      <c r="J44" s="96"/>
    </row>
    <row r="45" spans="1:10" x14ac:dyDescent="0.35">
      <c r="A45" s="14" t="s">
        <v>90</v>
      </c>
      <c r="B45" s="125">
        <v>-1.5768324757807938E-2</v>
      </c>
      <c r="C45" s="96"/>
      <c r="D45" s="96"/>
      <c r="E45" s="96"/>
      <c r="F45" s="96"/>
      <c r="G45" s="96"/>
      <c r="H45" s="96"/>
      <c r="I45" s="96"/>
      <c r="J45" s="96"/>
    </row>
    <row r="46" spans="1:10" x14ac:dyDescent="0.35">
      <c r="A46" s="441"/>
      <c r="B46" s="96"/>
      <c r="C46" s="96"/>
      <c r="D46" s="96"/>
      <c r="E46" s="96"/>
      <c r="F46" s="96"/>
      <c r="G46" s="96"/>
      <c r="H46" s="96"/>
      <c r="I46" s="96"/>
      <c r="J46" s="96"/>
    </row>
    <row r="47" spans="1:10" x14ac:dyDescent="0.35">
      <c r="A47" s="143" t="s">
        <v>1453</v>
      </c>
      <c r="B47" s="269"/>
      <c r="C47" s="96"/>
      <c r="D47" s="96"/>
      <c r="E47" s="96"/>
      <c r="F47" s="96"/>
      <c r="G47" s="96"/>
      <c r="H47" s="96"/>
      <c r="I47" s="96"/>
      <c r="J47" s="96"/>
    </row>
    <row r="48" spans="1:10" x14ac:dyDescent="0.35">
      <c r="A48" s="441"/>
      <c r="B48" s="96"/>
      <c r="C48" s="96"/>
      <c r="D48" s="96"/>
      <c r="E48" s="96"/>
      <c r="F48" s="96"/>
      <c r="G48" s="96"/>
      <c r="H48" s="96"/>
      <c r="I48" s="96"/>
      <c r="J48" s="96"/>
    </row>
    <row r="49" spans="1:10" x14ac:dyDescent="0.35">
      <c r="A49" s="14" t="s">
        <v>1485</v>
      </c>
      <c r="B49" s="2"/>
      <c r="C49" s="96"/>
      <c r="D49" s="96"/>
      <c r="E49" s="96"/>
      <c r="F49" s="96"/>
      <c r="G49" s="96"/>
      <c r="H49" s="96"/>
      <c r="I49" s="96"/>
      <c r="J49" s="96"/>
    </row>
    <row r="50" spans="1:10" x14ac:dyDescent="0.35">
      <c r="A50" s="38" t="s">
        <v>168</v>
      </c>
      <c r="B50" s="9" t="s">
        <v>169</v>
      </c>
      <c r="C50" s="96"/>
      <c r="D50" s="96"/>
      <c r="E50" s="96"/>
      <c r="F50" s="96"/>
      <c r="G50" s="96"/>
      <c r="H50" s="96"/>
      <c r="I50" s="96"/>
      <c r="J50" s="96"/>
    </row>
    <row r="51" spans="1:10" x14ac:dyDescent="0.35">
      <c r="A51" s="271">
        <v>0</v>
      </c>
      <c r="B51" s="272" t="s">
        <v>652</v>
      </c>
      <c r="C51" s="96"/>
      <c r="D51" s="96"/>
      <c r="E51" s="96"/>
      <c r="F51" s="96"/>
      <c r="G51" s="96"/>
      <c r="H51" s="96"/>
      <c r="I51" s="96"/>
      <c r="J51" s="96"/>
    </row>
    <row r="52" spans="1:10" ht="29" x14ac:dyDescent="0.35">
      <c r="A52" s="271">
        <v>1</v>
      </c>
      <c r="B52" s="272" t="s">
        <v>653</v>
      </c>
      <c r="C52" s="126" t="s">
        <v>654</v>
      </c>
      <c r="D52" s="96"/>
      <c r="E52" s="96"/>
      <c r="F52" s="96"/>
      <c r="G52" s="96"/>
      <c r="H52" s="96"/>
      <c r="I52" s="96"/>
      <c r="J52" s="96"/>
    </row>
    <row r="53" spans="1:10" ht="29" x14ac:dyDescent="0.35">
      <c r="A53" s="271">
        <v>2</v>
      </c>
      <c r="B53" s="272" t="s">
        <v>655</v>
      </c>
      <c r="C53" s="126" t="s">
        <v>654</v>
      </c>
      <c r="D53" s="96"/>
      <c r="E53" s="96"/>
      <c r="F53" s="96"/>
      <c r="G53" s="96"/>
      <c r="H53" s="96"/>
      <c r="I53" s="96"/>
      <c r="J53" s="96"/>
    </row>
    <row r="54" spans="1:10" x14ac:dyDescent="0.35">
      <c r="A54" s="39" t="s">
        <v>170</v>
      </c>
      <c r="B54" s="40">
        <v>1</v>
      </c>
      <c r="C54" s="96"/>
      <c r="D54" s="96"/>
      <c r="E54" s="96"/>
      <c r="F54" s="96"/>
      <c r="G54" s="96"/>
      <c r="H54" s="96"/>
      <c r="I54" s="96"/>
      <c r="J54" s="96"/>
    </row>
    <row r="55" spans="1:10" x14ac:dyDescent="0.35">
      <c r="A55" s="441"/>
      <c r="B55" s="96"/>
      <c r="C55" s="96"/>
      <c r="D55" s="96"/>
      <c r="E55" s="96"/>
      <c r="F55" s="96"/>
      <c r="G55" s="96"/>
      <c r="H55" s="96"/>
      <c r="I55" s="96"/>
      <c r="J55" s="96"/>
    </row>
    <row r="56" spans="1:10" x14ac:dyDescent="0.35">
      <c r="A56" s="14" t="s">
        <v>649</v>
      </c>
      <c r="B56" s="52" t="s">
        <v>1486</v>
      </c>
      <c r="C56" s="96"/>
      <c r="D56" s="96"/>
      <c r="E56" s="96"/>
      <c r="F56" s="96"/>
      <c r="G56" s="96"/>
      <c r="H56" s="96"/>
      <c r="I56" s="96"/>
      <c r="J56" s="96"/>
    </row>
    <row r="57" spans="1:10" x14ac:dyDescent="0.35">
      <c r="A57" s="74" t="s">
        <v>380</v>
      </c>
      <c r="B57" s="57" t="s">
        <v>12</v>
      </c>
      <c r="D57" s="96"/>
      <c r="E57" s="96"/>
      <c r="F57" s="96"/>
      <c r="G57" s="96"/>
      <c r="H57" s="96"/>
      <c r="I57" s="96"/>
      <c r="J57" s="96"/>
    </row>
    <row r="58" spans="1:10" x14ac:dyDescent="0.35">
      <c r="A58" s="74" t="s">
        <v>127</v>
      </c>
      <c r="B58" s="36">
        <v>2025</v>
      </c>
      <c r="C58" s="96"/>
      <c r="D58" s="96"/>
      <c r="E58" s="96"/>
      <c r="F58" s="96"/>
      <c r="G58" s="96"/>
      <c r="H58" s="96"/>
      <c r="I58" s="96"/>
      <c r="J58" s="96"/>
    </row>
    <row r="59" spans="1:10" ht="15" thickBot="1" x14ac:dyDescent="0.4">
      <c r="A59" s="204"/>
      <c r="B59" s="35"/>
      <c r="C59" s="96"/>
      <c r="D59" s="96"/>
      <c r="E59" s="96"/>
      <c r="F59" s="96"/>
      <c r="G59" s="96"/>
      <c r="H59" s="96"/>
      <c r="I59" s="96"/>
      <c r="J59" s="96"/>
    </row>
    <row r="60" spans="1:10" x14ac:dyDescent="0.35">
      <c r="A60" s="203" t="s">
        <v>1453</v>
      </c>
      <c r="B60" s="94" t="s">
        <v>656</v>
      </c>
      <c r="C60" s="94" t="s">
        <v>657</v>
      </c>
      <c r="D60" s="94" t="s">
        <v>658</v>
      </c>
      <c r="E60" s="94" t="s">
        <v>659</v>
      </c>
      <c r="F60" s="94" t="s">
        <v>660</v>
      </c>
      <c r="G60" s="94" t="s">
        <v>661</v>
      </c>
      <c r="H60" s="94" t="s">
        <v>662</v>
      </c>
      <c r="I60" s="96"/>
      <c r="J60" s="96"/>
    </row>
    <row r="61" spans="1:10" x14ac:dyDescent="0.35">
      <c r="A61" s="74" t="s">
        <v>1454</v>
      </c>
      <c r="B61" s="57" t="s">
        <v>651</v>
      </c>
      <c r="C61" s="57" t="s">
        <v>651</v>
      </c>
      <c r="D61" s="57" t="s">
        <v>651</v>
      </c>
      <c r="E61" s="57" t="s">
        <v>651</v>
      </c>
      <c r="F61" s="57" t="s">
        <v>651</v>
      </c>
      <c r="G61" s="57" t="s">
        <v>651</v>
      </c>
      <c r="H61" s="57" t="s">
        <v>651</v>
      </c>
      <c r="I61" s="96"/>
      <c r="J61" s="96"/>
    </row>
    <row r="62" spans="1:10" x14ac:dyDescent="0.35">
      <c r="A62" s="14" t="s">
        <v>94</v>
      </c>
      <c r="B62" s="125">
        <v>5.8870701681122796E-3</v>
      </c>
      <c r="C62" s="125">
        <v>5.9696546004630972E-4</v>
      </c>
      <c r="D62" s="125">
        <v>2.5047819176363447E-2</v>
      </c>
      <c r="E62" s="125">
        <v>1.2951957340638002E-2</v>
      </c>
      <c r="F62" s="125">
        <v>-1.1311554881744729E-2</v>
      </c>
      <c r="G62" s="125">
        <v>1.9921119701665133E-2</v>
      </c>
      <c r="H62" s="125">
        <v>-2.5809315455976846E-2</v>
      </c>
      <c r="I62" s="96"/>
      <c r="J62" s="96"/>
    </row>
    <row r="63" spans="1:10" x14ac:dyDescent="0.35">
      <c r="A63" s="14" t="s">
        <v>95</v>
      </c>
      <c r="B63" s="125">
        <v>3.7695424712202406E-3</v>
      </c>
      <c r="C63" s="125">
        <v>4.3763233930247825E-3</v>
      </c>
      <c r="D63" s="125">
        <v>1.6727769028099308E-2</v>
      </c>
      <c r="E63" s="125">
        <v>1.6247237205441169E-2</v>
      </c>
      <c r="F63" s="125">
        <v>-9.6046435200232011E-3</v>
      </c>
      <c r="G63" s="125">
        <v>7.9910276940196034E-2</v>
      </c>
      <c r="H63" s="125">
        <v>1.6098477378674782E-3</v>
      </c>
      <c r="I63" s="96"/>
      <c r="J63" s="96"/>
    </row>
    <row r="64" spans="1:10" x14ac:dyDescent="0.35">
      <c r="A64" s="14" t="s">
        <v>96</v>
      </c>
      <c r="B64" s="125">
        <v>1.0341816481188461E-2</v>
      </c>
      <c r="C64" s="125">
        <v>-6.674802382335511E-3</v>
      </c>
      <c r="D64" s="125">
        <v>-3.44911331914802E-2</v>
      </c>
      <c r="E64" s="125">
        <v>2.610106861950829E-2</v>
      </c>
      <c r="F64" s="125">
        <v>3.185485249995141E-3</v>
      </c>
      <c r="G64" s="125">
        <v>4.223477200590238E-2</v>
      </c>
      <c r="H64" s="125">
        <v>-4.2263232043834524E-2</v>
      </c>
      <c r="I64" s="96"/>
      <c r="J64" s="96"/>
    </row>
    <row r="65" spans="1:10" x14ac:dyDescent="0.35">
      <c r="A65" s="14" t="s">
        <v>97</v>
      </c>
      <c r="B65" s="125">
        <v>1.2358769077273589E-2</v>
      </c>
      <c r="C65" s="125">
        <v>-2.7627172751974391E-3</v>
      </c>
      <c r="D65" s="125">
        <v>1.9439983980825692E-3</v>
      </c>
      <c r="E65" s="125">
        <v>1.3841854317380945E-2</v>
      </c>
      <c r="F65" s="125">
        <v>-2.3894970252632576E-3</v>
      </c>
      <c r="G65" s="125">
        <v>1.7341983448109378E-3</v>
      </c>
      <c r="H65" s="125">
        <v>-3.2600414749009266E-2</v>
      </c>
      <c r="I65" s="96"/>
      <c r="J65" s="96"/>
    </row>
    <row r="66" spans="1:10" x14ac:dyDescent="0.35">
      <c r="A66" s="14" t="s">
        <v>98</v>
      </c>
      <c r="B66" s="125">
        <v>1.0288071616397016E-2</v>
      </c>
      <c r="C66" s="125">
        <v>1.3548258519338111E-2</v>
      </c>
      <c r="D66" s="125">
        <v>1.3548258519338111E-2</v>
      </c>
      <c r="E66" s="125">
        <v>1.3548258519338111E-2</v>
      </c>
      <c r="F66" s="125">
        <v>-1.046987427021347E-2</v>
      </c>
      <c r="G66" s="125">
        <v>8.8795432316021231E-2</v>
      </c>
      <c r="H66" s="125">
        <v>1.3548258519338111E-2</v>
      </c>
      <c r="I66" s="96"/>
      <c r="J66" s="96"/>
    </row>
    <row r="67" spans="1:10" x14ac:dyDescent="0.35">
      <c r="A67" s="14" t="s">
        <v>99</v>
      </c>
      <c r="B67" s="125">
        <v>8.6178941062796527E-3</v>
      </c>
      <c r="C67" s="125">
        <v>-8.0585092300484371E-3</v>
      </c>
      <c r="D67" s="125">
        <v>-9.2223377822102659E-3</v>
      </c>
      <c r="E67" s="125">
        <v>2.6193395701882775E-2</v>
      </c>
      <c r="F67" s="125">
        <v>3.5817131838091661E-3</v>
      </c>
      <c r="G67" s="125">
        <v>4.8697838608181276E-2</v>
      </c>
      <c r="H67" s="125">
        <v>-3.6997350100377961E-2</v>
      </c>
      <c r="I67" s="96"/>
      <c r="J67" s="96"/>
    </row>
    <row r="68" spans="1:10" x14ac:dyDescent="0.35">
      <c r="A68" s="14" t="s">
        <v>100</v>
      </c>
      <c r="B68" s="125">
        <v>1.4133212968876624E-3</v>
      </c>
      <c r="C68" s="125">
        <v>1.8974233734093231E-3</v>
      </c>
      <c r="D68" s="125">
        <v>1.0199463434387259E-2</v>
      </c>
      <c r="E68" s="125">
        <v>1.9359894107536916E-2</v>
      </c>
      <c r="F68" s="125">
        <v>-1.0270235685349641E-2</v>
      </c>
      <c r="G68" s="125">
        <v>3.6812579058683466E-2</v>
      </c>
      <c r="H68" s="125">
        <v>-4.0645572121717877E-2</v>
      </c>
      <c r="I68" s="96"/>
      <c r="J68" s="96"/>
    </row>
    <row r="69" spans="1:10" x14ac:dyDescent="0.35">
      <c r="A69" s="14" t="s">
        <v>101</v>
      </c>
      <c r="B69" s="125">
        <v>1.3817039606972916E-2</v>
      </c>
      <c r="C69" s="125">
        <v>-3.7865750209875662E-3</v>
      </c>
      <c r="D69" s="125">
        <v>-9.5868470086108368E-3</v>
      </c>
      <c r="E69" s="125">
        <v>2.1644366319210708E-2</v>
      </c>
      <c r="F69" s="125">
        <v>3.4699840254231035E-3</v>
      </c>
      <c r="G69" s="125">
        <v>-2.2782652795405069E-3</v>
      </c>
      <c r="H69" s="125">
        <v>5.8433090503913113E-2</v>
      </c>
      <c r="I69" s="96"/>
      <c r="J69" s="96"/>
    </row>
    <row r="70" spans="1:10" x14ac:dyDescent="0.35">
      <c r="A70" s="14" t="s">
        <v>102</v>
      </c>
      <c r="B70" s="125">
        <v>5.9175911169307566E-4</v>
      </c>
      <c r="C70" s="125">
        <v>-1.1581766775724278E-2</v>
      </c>
      <c r="D70" s="125">
        <v>2.7552109034857698E-3</v>
      </c>
      <c r="E70" s="125">
        <v>8.8954164895729878E-3</v>
      </c>
      <c r="F70" s="125">
        <v>-1.8009721716855914E-2</v>
      </c>
      <c r="G70" s="125">
        <v>2.5404738618399945E-2</v>
      </c>
      <c r="H70" s="125">
        <v>-1.979786950236604E-2</v>
      </c>
      <c r="I70" s="96"/>
      <c r="J70" s="96"/>
    </row>
    <row r="71" spans="1:10" x14ac:dyDescent="0.35">
      <c r="A71" s="14" t="s">
        <v>103</v>
      </c>
      <c r="B71" s="125">
        <v>8.7682066907469134E-3</v>
      </c>
      <c r="C71" s="125">
        <v>-2.9095851826620341E-3</v>
      </c>
      <c r="D71" s="125">
        <v>2.9771296739542381E-3</v>
      </c>
      <c r="E71" s="125">
        <v>1.8253530103066164E-2</v>
      </c>
      <c r="F71" s="125">
        <v>-6.5923762985456609E-3</v>
      </c>
      <c r="G71" s="125">
        <v>3.2017312649437607E-2</v>
      </c>
      <c r="H71" s="125">
        <v>-5.9188660483793405E-2</v>
      </c>
      <c r="I71" s="96"/>
      <c r="J71" s="96"/>
    </row>
    <row r="72" spans="1:10" x14ac:dyDescent="0.35">
      <c r="A72" s="14" t="s">
        <v>104</v>
      </c>
      <c r="B72" s="125">
        <v>-1.2685704392213885E-3</v>
      </c>
      <c r="C72" s="125">
        <v>3.2283402529748682E-3</v>
      </c>
      <c r="D72" s="125">
        <v>-3.5424677920103051E-3</v>
      </c>
      <c r="E72" s="125">
        <v>1.6476174252069611E-2</v>
      </c>
      <c r="F72" s="125">
        <v>-5.3638222106683967E-3</v>
      </c>
      <c r="G72" s="125">
        <v>3.9839803706162025E-2</v>
      </c>
      <c r="H72" s="125">
        <v>-4.1602789904325102E-3</v>
      </c>
      <c r="I72" s="96"/>
      <c r="J72" s="96"/>
    </row>
    <row r="73" spans="1:10" x14ac:dyDescent="0.35">
      <c r="A73" s="14" t="s">
        <v>105</v>
      </c>
      <c r="B73" s="125">
        <v>1.966331249123501E-2</v>
      </c>
      <c r="C73" s="125">
        <v>6.2517763136552135E-2</v>
      </c>
      <c r="D73" s="125">
        <v>3.3745445605442279E-2</v>
      </c>
      <c r="E73" s="125">
        <v>6.6783922379983667E-3</v>
      </c>
      <c r="F73" s="125">
        <v>-1.4087149296273652E-2</v>
      </c>
      <c r="G73" s="125">
        <v>3.8218153136843853E-2</v>
      </c>
      <c r="H73" s="125">
        <v>1.519547007102677E-2</v>
      </c>
      <c r="I73" s="96"/>
      <c r="J73" s="96"/>
    </row>
    <row r="74" spans="1:10" x14ac:dyDescent="0.35">
      <c r="A74" s="14" t="s">
        <v>106</v>
      </c>
      <c r="B74" s="125">
        <v>1.6125824764707506E-2</v>
      </c>
      <c r="C74" s="125">
        <v>-2.1068549319973623E-2</v>
      </c>
      <c r="D74" s="125">
        <v>-1.8818495582989501E-2</v>
      </c>
      <c r="E74" s="125">
        <v>1.8585025746312177E-2</v>
      </c>
      <c r="F74" s="125">
        <v>1.8030732994658204E-2</v>
      </c>
      <c r="G74" s="125">
        <v>4.4808653969403076E-2</v>
      </c>
      <c r="H74" s="125">
        <v>-5.1089285992066628E-2</v>
      </c>
      <c r="I74" s="96"/>
      <c r="J74" s="96"/>
    </row>
    <row r="75" spans="1:10" x14ac:dyDescent="0.35">
      <c r="A75" s="14" t="s">
        <v>107</v>
      </c>
      <c r="B75" s="125">
        <v>1.3826431941019183E-2</v>
      </c>
      <c r="C75" s="125">
        <v>2.9473485683578979E-2</v>
      </c>
      <c r="D75" s="125">
        <v>4.2898284491085015E-2</v>
      </c>
      <c r="E75" s="125">
        <v>4.2898284491085015E-2</v>
      </c>
      <c r="F75" s="125">
        <v>-1.2063871001212811E-2</v>
      </c>
      <c r="G75" s="125">
        <v>3.2247421896388614E-2</v>
      </c>
      <c r="H75" s="125">
        <v>-3.8955904267109806E-2</v>
      </c>
      <c r="I75" s="96"/>
      <c r="J75" s="96"/>
    </row>
    <row r="76" spans="1:10" x14ac:dyDescent="0.35">
      <c r="A76" s="14" t="s">
        <v>108</v>
      </c>
      <c r="B76" s="125">
        <v>1.0530023264721472E-2</v>
      </c>
      <c r="C76" s="125">
        <v>-5.233538171429946E-4</v>
      </c>
      <c r="D76" s="125">
        <v>3.5045274831737708E-2</v>
      </c>
      <c r="E76" s="125">
        <v>1.2123069527760714E-2</v>
      </c>
      <c r="F76" s="125">
        <v>-1.2769620751898726E-2</v>
      </c>
      <c r="G76" s="125">
        <v>7.2174655358949458E-2</v>
      </c>
      <c r="H76" s="125">
        <v>-2.7227665216948426E-2</v>
      </c>
      <c r="I76" s="96"/>
      <c r="J76" s="96"/>
    </row>
    <row r="77" spans="1:10" x14ac:dyDescent="0.35">
      <c r="A77" s="14" t="s">
        <v>109</v>
      </c>
      <c r="B77" s="125">
        <v>1.0446202932420112E-2</v>
      </c>
      <c r="C77" s="125">
        <v>-2.7210896268990353E-2</v>
      </c>
      <c r="D77" s="125">
        <v>9.8903099186770094E-4</v>
      </c>
      <c r="E77" s="125">
        <v>1.7857083830342211E-2</v>
      </c>
      <c r="F77" s="125">
        <v>3.914197439702569E-3</v>
      </c>
      <c r="G77" s="125">
        <v>9.6191922207666484E-3</v>
      </c>
      <c r="H77" s="125">
        <v>-3.7304990734455187E-2</v>
      </c>
      <c r="I77" s="96"/>
      <c r="J77" s="96"/>
    </row>
    <row r="78" spans="1:10" x14ac:dyDescent="0.35">
      <c r="A78" s="14" t="s">
        <v>110</v>
      </c>
      <c r="B78" s="125">
        <v>8.1575947296202087E-3</v>
      </c>
      <c r="C78" s="125">
        <v>-1.0740037793881749E-2</v>
      </c>
      <c r="D78" s="125">
        <v>-1.3113743399439895E-2</v>
      </c>
      <c r="E78" s="125">
        <v>1.5764705797980304E-2</v>
      </c>
      <c r="F78" s="125">
        <v>1.2652083666538024E-2</v>
      </c>
      <c r="G78" s="125">
        <v>-9.2725919040611421E-3</v>
      </c>
      <c r="H78" s="125">
        <v>8.9946283199691772E-4</v>
      </c>
      <c r="I78" s="96"/>
      <c r="J78" s="96"/>
    </row>
    <row r="79" spans="1:10" x14ac:dyDescent="0.35">
      <c r="A79" s="14" t="s">
        <v>111</v>
      </c>
      <c r="B79" s="125">
        <v>7.0467726813002417E-3</v>
      </c>
      <c r="C79" s="125">
        <v>4.5092998611291034E-3</v>
      </c>
      <c r="D79" s="125">
        <v>2.672038105687792E-2</v>
      </c>
      <c r="E79" s="125">
        <v>3.0698341141067811E-2</v>
      </c>
      <c r="F79" s="125">
        <v>-5.0849061296165503E-3</v>
      </c>
      <c r="G79" s="125">
        <v>9.2429477027604207E-2</v>
      </c>
      <c r="H79" s="125">
        <v>-3.237963793356595E-2</v>
      </c>
      <c r="I79" s="96"/>
      <c r="J79" s="96"/>
    </row>
    <row r="80" spans="1:10" x14ac:dyDescent="0.35">
      <c r="A80" s="14" t="s">
        <v>112</v>
      </c>
      <c r="B80" s="125">
        <v>-3.5569721205538189E-3</v>
      </c>
      <c r="C80" s="125">
        <v>1.7024044168429855E-2</v>
      </c>
      <c r="D80" s="125">
        <v>1.7024044168429855E-2</v>
      </c>
      <c r="E80" s="125">
        <v>1.7024044168429855E-2</v>
      </c>
      <c r="F80" s="125">
        <v>-1.2248785261464029E-3</v>
      </c>
      <c r="G80" s="125">
        <v>0.41384471941077566</v>
      </c>
      <c r="H80" s="125">
        <v>1.7024044168429855E-2</v>
      </c>
      <c r="I80" s="96"/>
      <c r="J80" s="96"/>
    </row>
    <row r="81" spans="1:10" x14ac:dyDescent="0.35">
      <c r="A81" s="14" t="s">
        <v>113</v>
      </c>
      <c r="B81" s="125">
        <v>9.3513347090350123E-3</v>
      </c>
      <c r="C81" s="125">
        <v>-3.3146339830164608E-3</v>
      </c>
      <c r="D81" s="125">
        <v>-3.3062419346017086E-2</v>
      </c>
      <c r="E81" s="125">
        <v>1.9961924689372048E-2</v>
      </c>
      <c r="F81" s="125">
        <v>9.4434128893677166E-4</v>
      </c>
      <c r="G81" s="125">
        <v>8.7900279440734766E-2</v>
      </c>
      <c r="H81" s="125">
        <v>2.1630384158089495E-2</v>
      </c>
      <c r="I81" s="96"/>
      <c r="J81" s="96"/>
    </row>
    <row r="82" spans="1:10" x14ac:dyDescent="0.35">
      <c r="A82" s="14" t="s">
        <v>114</v>
      </c>
      <c r="B82" s="125">
        <v>7.1155114141359284E-3</v>
      </c>
      <c r="C82" s="125">
        <v>-1.1587230467639854E-3</v>
      </c>
      <c r="D82" s="125">
        <v>-2.3496040664753595E-2</v>
      </c>
      <c r="E82" s="125">
        <v>2.5644769282755657E-2</v>
      </c>
      <c r="F82" s="125">
        <v>1.4162010846123627E-2</v>
      </c>
      <c r="G82" s="125">
        <v>2.6916201719280851E-2</v>
      </c>
      <c r="H82" s="125">
        <v>-2.8657502612525559E-2</v>
      </c>
      <c r="I82" s="96"/>
      <c r="J82" s="96"/>
    </row>
    <row r="83" spans="1:10" x14ac:dyDescent="0.35">
      <c r="A83" s="14" t="s">
        <v>115</v>
      </c>
      <c r="B83" s="125">
        <v>1.2078777747926029E-2</v>
      </c>
      <c r="C83" s="125">
        <v>3.3313209938698157E-2</v>
      </c>
      <c r="D83" s="125">
        <v>-5.6570210046479816E-3</v>
      </c>
      <c r="E83" s="125">
        <v>1.6341161035852748E-2</v>
      </c>
      <c r="F83" s="125">
        <v>-1.1905908018746778E-2</v>
      </c>
      <c r="G83" s="125">
        <v>3.4921570730295313E-3</v>
      </c>
      <c r="H83" s="125">
        <v>1.6341161035852748E-2</v>
      </c>
      <c r="I83" s="96"/>
      <c r="J83" s="96"/>
    </row>
    <row r="84" spans="1:10" x14ac:dyDescent="0.35">
      <c r="A84" s="14" t="s">
        <v>116</v>
      </c>
      <c r="B84" s="125">
        <v>1.1810863712869223E-2</v>
      </c>
      <c r="C84" s="125">
        <v>-1.5991270080003152E-2</v>
      </c>
      <c r="D84" s="125">
        <v>-4.3272208979740726E-2</v>
      </c>
      <c r="E84" s="125">
        <v>3.3530874287578713E-2</v>
      </c>
      <c r="F84" s="125">
        <v>1.833545768215325E-2</v>
      </c>
      <c r="G84" s="125">
        <v>1.6284922328938137E-2</v>
      </c>
      <c r="H84" s="125">
        <v>-3.9706097016531577E-2</v>
      </c>
      <c r="I84" s="96"/>
      <c r="J84" s="96"/>
    </row>
    <row r="85" spans="1:10" x14ac:dyDescent="0.35">
      <c r="A85" s="14" t="s">
        <v>117</v>
      </c>
      <c r="B85" s="125">
        <v>6.9919360504315832E-3</v>
      </c>
      <c r="C85" s="125">
        <v>-2.5004935302881684E-2</v>
      </c>
      <c r="D85" s="125">
        <v>-3.2164542840309791E-2</v>
      </c>
      <c r="E85" s="125">
        <v>3.3317450807025507E-2</v>
      </c>
      <c r="F85" s="125">
        <v>2.1432778314853941E-2</v>
      </c>
      <c r="G85" s="125">
        <v>0.11921116465380785</v>
      </c>
      <c r="H85" s="125">
        <v>-1.9307683197332261E-2</v>
      </c>
      <c r="I85" s="96"/>
      <c r="J85" s="96"/>
    </row>
    <row r="86" spans="1:10" x14ac:dyDescent="0.35">
      <c r="A86" s="14" t="s">
        <v>118</v>
      </c>
      <c r="B86" s="125">
        <v>8.7048808365148764E-3</v>
      </c>
      <c r="C86" s="125">
        <v>-4.0250906008047031E-3</v>
      </c>
      <c r="D86" s="125">
        <v>-2.8943112598715237E-3</v>
      </c>
      <c r="E86" s="125">
        <v>2.1987183486326101E-2</v>
      </c>
      <c r="F86" s="125">
        <v>-8.8513661703035554E-4</v>
      </c>
      <c r="G86" s="125">
        <v>2.234778408595612E-3</v>
      </c>
      <c r="H86" s="125">
        <v>-3.640915221960854E-2</v>
      </c>
      <c r="I86" s="96"/>
      <c r="J86" s="96"/>
    </row>
    <row r="87" spans="1:10" x14ac:dyDescent="0.35">
      <c r="A87" s="14" t="s">
        <v>119</v>
      </c>
      <c r="B87" s="125">
        <v>8.4963287310572694E-3</v>
      </c>
      <c r="C87" s="125">
        <v>-1.9877422952111097E-3</v>
      </c>
      <c r="D87" s="125">
        <v>2.1199468953682861E-2</v>
      </c>
      <c r="E87" s="125">
        <v>2.1199468953682861E-2</v>
      </c>
      <c r="F87" s="125">
        <v>-6.2960781002237148E-3</v>
      </c>
      <c r="G87" s="125">
        <v>5.0599879995376962E-2</v>
      </c>
      <c r="H87" s="125">
        <v>-2.8680137138283969E-2</v>
      </c>
      <c r="I87" s="96"/>
      <c r="J87" s="96"/>
    </row>
    <row r="88" spans="1:10" x14ac:dyDescent="0.35">
      <c r="A88" s="14" t="s">
        <v>120</v>
      </c>
      <c r="B88" s="125">
        <v>4.5839573696080868E-4</v>
      </c>
      <c r="C88" s="125">
        <v>3.2082474408691719E-3</v>
      </c>
      <c r="D88" s="125">
        <v>9.828622045339231E-3</v>
      </c>
      <c r="E88" s="125">
        <v>2.3325736458819052E-2</v>
      </c>
      <c r="F88" s="125">
        <v>-2.378673117251278E-2</v>
      </c>
      <c r="G88" s="125">
        <v>3.4699955266820751E-2</v>
      </c>
      <c r="H88" s="125">
        <v>-4.4090573308330425E-4</v>
      </c>
      <c r="I88" s="96"/>
      <c r="J88" s="96"/>
    </row>
    <row r="89" spans="1:10" x14ac:dyDescent="0.35">
      <c r="A89" s="14" t="s">
        <v>83</v>
      </c>
      <c r="B89" s="125">
        <v>-2.6081887157114632E-3</v>
      </c>
      <c r="C89" s="125">
        <v>-4.6314232069717409E-3</v>
      </c>
      <c r="D89" s="125">
        <v>9.1693786384601898E-3</v>
      </c>
      <c r="E89" s="125">
        <v>2.2049243042687971E-2</v>
      </c>
      <c r="F89" s="125">
        <v>9.8466723438507542E-4</v>
      </c>
      <c r="G89" s="125">
        <v>0.18181517641797912</v>
      </c>
      <c r="H89" s="125">
        <v>-1.6475290382918239E-2</v>
      </c>
      <c r="I89" s="96"/>
      <c r="J89" s="96"/>
    </row>
    <row r="90" spans="1:10" x14ac:dyDescent="0.35">
      <c r="A90" s="14" t="s">
        <v>144</v>
      </c>
      <c r="B90" s="125">
        <v>4.6046179577764322E-2</v>
      </c>
      <c r="C90" s="125">
        <v>0.11447627837682267</v>
      </c>
      <c r="D90" s="125">
        <v>2.9976260346908444E-2</v>
      </c>
      <c r="E90" s="125">
        <v>4.4483664181500106E-2</v>
      </c>
      <c r="F90" s="125">
        <v>9.8961954175645211E-3</v>
      </c>
      <c r="G90" s="125">
        <v>-5.45382914382068E-2</v>
      </c>
      <c r="H90" s="125">
        <v>-3.201194049876676E-2</v>
      </c>
      <c r="I90" s="96"/>
      <c r="J90" s="96"/>
    </row>
    <row r="91" spans="1:10" x14ac:dyDescent="0.35">
      <c r="A91" s="14" t="s">
        <v>164</v>
      </c>
      <c r="B91" s="125">
        <v>1.1233729688274562E-2</v>
      </c>
      <c r="C91" s="125">
        <v>1.4125135170081363E-2</v>
      </c>
      <c r="D91" s="125">
        <v>1.3253419026472093E-2</v>
      </c>
      <c r="E91" s="125">
        <v>2.1296261493901188E-2</v>
      </c>
      <c r="F91" s="125">
        <v>-7.2631009095338317E-3</v>
      </c>
      <c r="G91" s="125">
        <v>-2.3500007686795055E-2</v>
      </c>
      <c r="H91" s="125">
        <v>2.1615470235141595E-2</v>
      </c>
      <c r="I91" s="96"/>
      <c r="J91" s="96"/>
    </row>
    <row r="92" spans="1:10" x14ac:dyDescent="0.35">
      <c r="A92" s="14" t="s">
        <v>145</v>
      </c>
      <c r="B92" s="125">
        <v>2.5194920864491335E-2</v>
      </c>
      <c r="C92" s="125">
        <v>3.9842425951118948E-2</v>
      </c>
      <c r="D92" s="125">
        <v>1.8490767732041082E-2</v>
      </c>
      <c r="E92" s="125">
        <v>1.8490767732041082E-2</v>
      </c>
      <c r="F92" s="125">
        <v>5.6677985410259583E-3</v>
      </c>
      <c r="G92" s="125">
        <v>-2.538086171088114E-2</v>
      </c>
      <c r="H92" s="125">
        <v>1.9593107958510346E-2</v>
      </c>
      <c r="I92" s="96"/>
      <c r="J92" s="96"/>
    </row>
    <row r="93" spans="1:10" x14ac:dyDescent="0.35">
      <c r="A93" s="14" t="s">
        <v>87</v>
      </c>
      <c r="B93" s="125">
        <v>6.4601849145154919E-3</v>
      </c>
      <c r="C93" s="125">
        <v>-5.3202771501792336E-3</v>
      </c>
      <c r="D93" s="125">
        <v>3.4041449305640542E-3</v>
      </c>
      <c r="E93" s="125">
        <v>3.4041449305640542E-3</v>
      </c>
      <c r="F93" s="125">
        <v>-7.4442890088899458E-4</v>
      </c>
      <c r="G93" s="125">
        <v>6.0781730574222459E-4</v>
      </c>
      <c r="H93" s="125">
        <v>-3.7661018043623545E-3</v>
      </c>
      <c r="I93" s="96"/>
      <c r="J93" s="96"/>
    </row>
    <row r="94" spans="1:10" x14ac:dyDescent="0.35">
      <c r="A94" s="14" t="s">
        <v>146</v>
      </c>
      <c r="B94" s="125">
        <v>-2.1183271864422312E-3</v>
      </c>
      <c r="C94" s="125">
        <v>8.0616146267421997E-3</v>
      </c>
      <c r="D94" s="125">
        <v>-2.0961786709059689E-2</v>
      </c>
      <c r="E94" s="125">
        <v>9.5706377588800594E-3</v>
      </c>
      <c r="F94" s="125">
        <v>8.2637028028342552E-3</v>
      </c>
      <c r="G94" s="125">
        <v>4.3914062660266318E-2</v>
      </c>
      <c r="H94" s="125">
        <v>6.2337210790689587E-2</v>
      </c>
      <c r="I94" s="96"/>
      <c r="J94" s="96"/>
    </row>
    <row r="95" spans="1:10" x14ac:dyDescent="0.35">
      <c r="A95" s="14" t="s">
        <v>89</v>
      </c>
      <c r="B95" s="125">
        <v>1.4555568848068079E-3</v>
      </c>
      <c r="C95" s="125">
        <v>1.1136474944041564E-2</v>
      </c>
      <c r="D95" s="125">
        <v>5.0080287501560197E-2</v>
      </c>
      <c r="E95" s="125">
        <v>1.5537777878067411E-2</v>
      </c>
      <c r="F95" s="125">
        <v>-7.0261492717269818E-3</v>
      </c>
      <c r="G95" s="125">
        <v>2.4004858181235728E-2</v>
      </c>
      <c r="H95" s="125">
        <v>-3.9850619059355545E-2</v>
      </c>
      <c r="I95" s="96"/>
      <c r="J95" s="96"/>
    </row>
    <row r="96" spans="1:10" x14ac:dyDescent="0.35">
      <c r="A96" s="14" t="s">
        <v>90</v>
      </c>
      <c r="B96" s="125">
        <v>9.7509808464695084E-3</v>
      </c>
      <c r="C96" s="125">
        <v>9.4851506379192846E-3</v>
      </c>
      <c r="D96" s="125">
        <v>-3.1465966358822192E-2</v>
      </c>
      <c r="E96" s="125">
        <v>1.5768324757807938E-2</v>
      </c>
      <c r="F96" s="125">
        <v>-2.8346384464935474E-3</v>
      </c>
      <c r="G96" s="125">
        <v>-3.2946077955737021E-3</v>
      </c>
      <c r="H96" s="125">
        <v>-8.9048571603917159E-3</v>
      </c>
    </row>
    <row r="98" spans="1:38" x14ac:dyDescent="0.35">
      <c r="A98" s="451" t="s">
        <v>2138</v>
      </c>
      <c r="B98" s="2"/>
      <c r="C98" s="96"/>
    </row>
    <row r="99" spans="1:38" x14ac:dyDescent="0.35">
      <c r="A99" s="38" t="s">
        <v>168</v>
      </c>
      <c r="B99" s="9" t="s">
        <v>169</v>
      </c>
      <c r="C99" s="96"/>
    </row>
    <row r="100" spans="1:38" x14ac:dyDescent="0.35">
      <c r="A100" s="271">
        <v>0</v>
      </c>
      <c r="B100" s="272" t="s">
        <v>2140</v>
      </c>
      <c r="C100" s="96"/>
    </row>
    <row r="101" spans="1:38" x14ac:dyDescent="0.35">
      <c r="A101" s="271">
        <v>1</v>
      </c>
      <c r="B101" s="272" t="s">
        <v>2139</v>
      </c>
      <c r="C101" s="126"/>
    </row>
    <row r="102" spans="1:38" x14ac:dyDescent="0.35">
      <c r="A102" s="39" t="s">
        <v>170</v>
      </c>
      <c r="B102" s="40">
        <v>0</v>
      </c>
      <c r="C102" s="96"/>
    </row>
    <row r="104" spans="1:38" ht="34.25" customHeight="1" x14ac:dyDescent="0.35"/>
    <row r="105" spans="1:38" ht="29" hidden="1" x14ac:dyDescent="0.35">
      <c r="A105" s="442" t="s">
        <v>1547</v>
      </c>
      <c r="B105" s="52" t="s">
        <v>1548</v>
      </c>
      <c r="C105" s="52" t="s">
        <v>1549</v>
      </c>
      <c r="D105" s="52" t="s">
        <v>1550</v>
      </c>
      <c r="E105" s="443" t="s">
        <v>1525</v>
      </c>
      <c r="F105" s="443" t="s">
        <v>1526</v>
      </c>
      <c r="G105" s="443" t="s">
        <v>1527</v>
      </c>
      <c r="AK105" s="2"/>
      <c r="AL105"/>
    </row>
    <row r="106" spans="1:38" hidden="1" x14ac:dyDescent="0.35">
      <c r="A106" s="74" t="s">
        <v>1534</v>
      </c>
      <c r="B106" s="444" t="s">
        <v>128</v>
      </c>
      <c r="C106" s="444" t="s">
        <v>322</v>
      </c>
      <c r="D106" s="104" t="s">
        <v>322</v>
      </c>
      <c r="E106" s="104" t="s">
        <v>408</v>
      </c>
      <c r="F106" s="104" t="s">
        <v>408</v>
      </c>
      <c r="G106" s="104" t="s">
        <v>408</v>
      </c>
      <c r="AK106" s="2"/>
      <c r="AL106"/>
    </row>
    <row r="107" spans="1:38" hidden="1" x14ac:dyDescent="0.35">
      <c r="A107" s="41" t="s">
        <v>433</v>
      </c>
      <c r="B107" s="445">
        <v>0</v>
      </c>
      <c r="C107" s="107">
        <v>2025</v>
      </c>
      <c r="D107" s="142">
        <v>2050</v>
      </c>
      <c r="E107" s="142">
        <v>0</v>
      </c>
      <c r="F107" s="142">
        <v>0</v>
      </c>
      <c r="G107" s="142">
        <v>0</v>
      </c>
      <c r="AK107" s="2"/>
      <c r="AL107"/>
    </row>
    <row r="108" spans="1:38" hidden="1" x14ac:dyDescent="0.35">
      <c r="A108" s="41" t="s">
        <v>434</v>
      </c>
      <c r="B108" s="445">
        <v>0</v>
      </c>
      <c r="C108" s="107">
        <v>2025</v>
      </c>
      <c r="D108" s="142">
        <v>2050</v>
      </c>
      <c r="E108" s="142">
        <v>0</v>
      </c>
      <c r="F108" s="142">
        <v>0</v>
      </c>
      <c r="G108" s="142">
        <v>0</v>
      </c>
      <c r="AK108" s="2"/>
      <c r="AL108"/>
    </row>
    <row r="109" spans="1:38" hidden="1" x14ac:dyDescent="0.35">
      <c r="A109" s="41" t="s">
        <v>435</v>
      </c>
      <c r="B109" s="445">
        <v>0</v>
      </c>
      <c r="C109" s="107">
        <v>2025</v>
      </c>
      <c r="D109" s="142">
        <v>2050</v>
      </c>
      <c r="E109" s="142">
        <v>0</v>
      </c>
      <c r="F109" s="142">
        <v>0</v>
      </c>
      <c r="G109" s="142">
        <v>0</v>
      </c>
      <c r="AK109" s="2"/>
      <c r="AL109"/>
    </row>
    <row r="110" spans="1:38" hidden="1" x14ac:dyDescent="0.35">
      <c r="A110" s="41" t="s">
        <v>436</v>
      </c>
      <c r="B110" s="445">
        <v>0</v>
      </c>
      <c r="C110" s="107">
        <v>2025</v>
      </c>
      <c r="D110" s="142">
        <v>2050</v>
      </c>
      <c r="E110" s="142">
        <v>0</v>
      </c>
      <c r="F110" s="142">
        <v>0</v>
      </c>
      <c r="G110" s="142">
        <v>0</v>
      </c>
      <c r="AK110" s="2"/>
      <c r="AL110"/>
    </row>
    <row r="111" spans="1:38" hidden="1" x14ac:dyDescent="0.35">
      <c r="A111" s="41" t="s">
        <v>437</v>
      </c>
      <c r="B111" s="445">
        <v>0</v>
      </c>
      <c r="C111" s="107">
        <v>2025</v>
      </c>
      <c r="D111" s="142">
        <v>2050</v>
      </c>
      <c r="E111" s="142">
        <v>0</v>
      </c>
      <c r="F111" s="142">
        <v>0</v>
      </c>
      <c r="G111" s="142">
        <v>0</v>
      </c>
      <c r="AK111" s="2"/>
      <c r="AL111"/>
    </row>
    <row r="112" spans="1:38" hidden="1" x14ac:dyDescent="0.35">
      <c r="A112" s="41" t="s">
        <v>438</v>
      </c>
      <c r="B112" s="445">
        <v>0</v>
      </c>
      <c r="C112" s="107">
        <v>2025</v>
      </c>
      <c r="D112" s="142">
        <v>2050</v>
      </c>
      <c r="E112" s="142">
        <v>0</v>
      </c>
      <c r="F112" s="142">
        <v>0</v>
      </c>
      <c r="G112" s="142">
        <v>0</v>
      </c>
      <c r="AK112" s="2"/>
      <c r="AL112"/>
    </row>
    <row r="113" spans="1:38" hidden="1" x14ac:dyDescent="0.35">
      <c r="A113" s="41" t="s">
        <v>439</v>
      </c>
      <c r="B113" s="445">
        <v>0</v>
      </c>
      <c r="C113" s="107">
        <v>2025</v>
      </c>
      <c r="D113" s="142">
        <v>2050</v>
      </c>
      <c r="E113" s="142">
        <v>0</v>
      </c>
      <c r="F113" s="142">
        <v>0</v>
      </c>
      <c r="G113" s="142">
        <v>0</v>
      </c>
      <c r="AK113" s="2"/>
      <c r="AL113"/>
    </row>
    <row r="114" spans="1:38" hidden="1" x14ac:dyDescent="0.35">
      <c r="A114" s="41" t="s">
        <v>440</v>
      </c>
      <c r="B114" s="445">
        <v>0</v>
      </c>
      <c r="C114" s="107">
        <v>2025</v>
      </c>
      <c r="D114" s="142">
        <v>2050</v>
      </c>
      <c r="E114" s="142">
        <v>0</v>
      </c>
      <c r="F114" s="142">
        <v>0</v>
      </c>
      <c r="G114" s="142">
        <v>0</v>
      </c>
      <c r="AK114" s="2"/>
      <c r="AL114"/>
    </row>
    <row r="115" spans="1:38" hidden="1" x14ac:dyDescent="0.35">
      <c r="A115" s="41" t="s">
        <v>441</v>
      </c>
      <c r="B115" s="445">
        <v>0</v>
      </c>
      <c r="C115" s="107">
        <v>2025</v>
      </c>
      <c r="D115" s="142">
        <v>2050</v>
      </c>
      <c r="E115" s="142">
        <v>0</v>
      </c>
      <c r="F115" s="142">
        <v>0</v>
      </c>
      <c r="G115" s="142">
        <v>0</v>
      </c>
      <c r="AK115" s="2"/>
      <c r="AL115"/>
    </row>
    <row r="116" spans="1:38" hidden="1" x14ac:dyDescent="0.35">
      <c r="A116" s="41" t="s">
        <v>442</v>
      </c>
      <c r="B116" s="445">
        <v>0</v>
      </c>
      <c r="C116" s="107">
        <v>2025</v>
      </c>
      <c r="D116" s="142">
        <v>2050</v>
      </c>
      <c r="E116" s="142">
        <v>0</v>
      </c>
      <c r="F116" s="142">
        <v>0</v>
      </c>
      <c r="G116" s="142">
        <v>0</v>
      </c>
      <c r="AK116" s="2"/>
      <c r="AL116"/>
    </row>
    <row r="117" spans="1:38" hidden="1" x14ac:dyDescent="0.35">
      <c r="A117" s="41" t="s">
        <v>443</v>
      </c>
      <c r="B117" s="445">
        <v>0</v>
      </c>
      <c r="C117" s="107">
        <v>2025</v>
      </c>
      <c r="D117" s="142">
        <v>2050</v>
      </c>
      <c r="E117" s="142">
        <v>0</v>
      </c>
      <c r="F117" s="142">
        <v>0</v>
      </c>
      <c r="G117" s="142">
        <v>0</v>
      </c>
      <c r="AK117" s="2"/>
      <c r="AL117"/>
    </row>
    <row r="118" spans="1:38" hidden="1" x14ac:dyDescent="0.35">
      <c r="A118" s="41" t="s">
        <v>444</v>
      </c>
      <c r="B118" s="445">
        <v>0</v>
      </c>
      <c r="C118" s="107">
        <v>2025</v>
      </c>
      <c r="D118" s="142">
        <v>2050</v>
      </c>
      <c r="E118" s="142">
        <v>0</v>
      </c>
      <c r="F118" s="142">
        <v>0</v>
      </c>
      <c r="G118" s="142">
        <v>0</v>
      </c>
      <c r="AK118" s="2"/>
      <c r="AL118"/>
    </row>
    <row r="119" spans="1:38" hidden="1" x14ac:dyDescent="0.35">
      <c r="A119" s="41" t="s">
        <v>445</v>
      </c>
      <c r="B119" s="445">
        <v>0</v>
      </c>
      <c r="C119" s="107">
        <v>2025</v>
      </c>
      <c r="D119" s="142">
        <v>2050</v>
      </c>
      <c r="E119" s="142">
        <v>0</v>
      </c>
      <c r="F119" s="142">
        <v>0</v>
      </c>
      <c r="G119" s="142">
        <v>0</v>
      </c>
      <c r="AK119" s="2"/>
      <c r="AL119"/>
    </row>
    <row r="120" spans="1:38" hidden="1" x14ac:dyDescent="0.35">
      <c r="A120" s="41" t="s">
        <v>446</v>
      </c>
      <c r="B120" s="445">
        <v>0</v>
      </c>
      <c r="C120" s="107">
        <v>2025</v>
      </c>
      <c r="D120" s="142">
        <v>2050</v>
      </c>
      <c r="E120" s="142">
        <v>0</v>
      </c>
      <c r="F120" s="142">
        <v>0</v>
      </c>
      <c r="G120" s="142">
        <v>0</v>
      </c>
      <c r="AK120" s="2"/>
      <c r="AL120"/>
    </row>
    <row r="121" spans="1:38" hidden="1" x14ac:dyDescent="0.35">
      <c r="A121" s="41" t="s">
        <v>447</v>
      </c>
      <c r="B121" s="445">
        <v>0</v>
      </c>
      <c r="C121" s="107">
        <v>2025</v>
      </c>
      <c r="D121" s="142">
        <v>2050</v>
      </c>
      <c r="E121" s="142">
        <v>0</v>
      </c>
      <c r="F121" s="142">
        <v>0</v>
      </c>
      <c r="G121" s="142">
        <v>0</v>
      </c>
      <c r="AK121" s="2"/>
      <c r="AL121"/>
    </row>
    <row r="122" spans="1:38" hidden="1" x14ac:dyDescent="0.35">
      <c r="A122" s="41" t="s">
        <v>448</v>
      </c>
      <c r="B122" s="445">
        <v>0</v>
      </c>
      <c r="C122" s="107">
        <v>2025</v>
      </c>
      <c r="D122" s="142">
        <v>2050</v>
      </c>
      <c r="E122" s="142">
        <v>0</v>
      </c>
      <c r="F122" s="142">
        <v>0</v>
      </c>
      <c r="G122" s="142">
        <v>0</v>
      </c>
      <c r="AK122" s="2"/>
      <c r="AL122"/>
    </row>
    <row r="123" spans="1:38" hidden="1" x14ac:dyDescent="0.35">
      <c r="A123" s="41" t="s">
        <v>449</v>
      </c>
      <c r="B123" s="445">
        <v>0</v>
      </c>
      <c r="C123" s="107">
        <v>2025</v>
      </c>
      <c r="D123" s="142">
        <v>2050</v>
      </c>
      <c r="E123" s="142">
        <v>0</v>
      </c>
      <c r="F123" s="142">
        <v>0</v>
      </c>
      <c r="G123" s="142">
        <v>0</v>
      </c>
      <c r="AK123" s="2"/>
      <c r="AL123"/>
    </row>
    <row r="124" spans="1:38" hidden="1" x14ac:dyDescent="0.35">
      <c r="A124" s="41" t="s">
        <v>450</v>
      </c>
      <c r="B124" s="445">
        <v>0</v>
      </c>
      <c r="C124" s="107">
        <v>2025</v>
      </c>
      <c r="D124" s="142">
        <v>2050</v>
      </c>
      <c r="E124" s="142">
        <v>0</v>
      </c>
      <c r="F124" s="142">
        <v>0</v>
      </c>
      <c r="G124" s="142">
        <v>0</v>
      </c>
      <c r="AK124" s="2"/>
      <c r="AL124"/>
    </row>
    <row r="125" spans="1:38" hidden="1" x14ac:dyDescent="0.35">
      <c r="A125" s="41" t="s">
        <v>451</v>
      </c>
      <c r="B125" s="445">
        <v>0</v>
      </c>
      <c r="C125" s="107">
        <v>2025</v>
      </c>
      <c r="D125" s="142">
        <v>2050</v>
      </c>
      <c r="E125" s="142">
        <v>0</v>
      </c>
      <c r="F125" s="142">
        <v>0</v>
      </c>
      <c r="G125" s="142">
        <v>0</v>
      </c>
      <c r="AK125" s="2"/>
      <c r="AL125"/>
    </row>
    <row r="126" spans="1:38" hidden="1" x14ac:dyDescent="0.35">
      <c r="A126" s="41" t="s">
        <v>452</v>
      </c>
      <c r="B126" s="445">
        <v>0</v>
      </c>
      <c r="C126" s="107">
        <v>2025</v>
      </c>
      <c r="D126" s="142">
        <v>2050</v>
      </c>
      <c r="E126" s="142">
        <v>0</v>
      </c>
      <c r="F126" s="142">
        <v>0</v>
      </c>
      <c r="G126" s="142">
        <v>0</v>
      </c>
      <c r="AK126" s="2"/>
      <c r="AL126"/>
    </row>
    <row r="127" spans="1:38" hidden="1" x14ac:dyDescent="0.35">
      <c r="A127" s="41" t="s">
        <v>453</v>
      </c>
      <c r="B127" s="445">
        <v>0</v>
      </c>
      <c r="C127" s="107">
        <v>2025</v>
      </c>
      <c r="D127" s="142">
        <v>2050</v>
      </c>
      <c r="E127" s="142">
        <v>0</v>
      </c>
      <c r="F127" s="142">
        <v>0</v>
      </c>
      <c r="G127" s="142">
        <v>0</v>
      </c>
      <c r="AK127" s="2"/>
      <c r="AL127"/>
    </row>
    <row r="128" spans="1:38" hidden="1" x14ac:dyDescent="0.35">
      <c r="A128" s="41" t="s">
        <v>454</v>
      </c>
      <c r="B128" s="445">
        <v>0</v>
      </c>
      <c r="C128" s="107">
        <v>2025</v>
      </c>
      <c r="D128" s="142">
        <v>2050</v>
      </c>
      <c r="E128" s="142">
        <v>0</v>
      </c>
      <c r="F128" s="142">
        <v>0</v>
      </c>
      <c r="G128" s="142">
        <v>0</v>
      </c>
      <c r="AK128" s="2"/>
      <c r="AL128"/>
    </row>
    <row r="129" spans="1:38" hidden="1" x14ac:dyDescent="0.35">
      <c r="A129" s="41" t="s">
        <v>455</v>
      </c>
      <c r="B129" s="445">
        <v>0</v>
      </c>
      <c r="C129" s="107">
        <v>2025</v>
      </c>
      <c r="D129" s="142">
        <v>2050</v>
      </c>
      <c r="E129" s="142">
        <v>0</v>
      </c>
      <c r="F129" s="142">
        <v>0</v>
      </c>
      <c r="G129" s="142">
        <v>0</v>
      </c>
      <c r="AK129" s="2"/>
      <c r="AL129"/>
    </row>
    <row r="130" spans="1:38" hidden="1" x14ac:dyDescent="0.35">
      <c r="A130" s="41" t="s">
        <v>456</v>
      </c>
      <c r="B130" s="445">
        <v>0</v>
      </c>
      <c r="C130" s="107">
        <v>2025</v>
      </c>
      <c r="D130" s="142">
        <v>2050</v>
      </c>
      <c r="E130" s="142">
        <v>0</v>
      </c>
      <c r="F130" s="142">
        <v>0</v>
      </c>
      <c r="G130" s="142">
        <v>0</v>
      </c>
      <c r="AK130" s="2"/>
      <c r="AL130"/>
    </row>
    <row r="131" spans="1:38" hidden="1" x14ac:dyDescent="0.35">
      <c r="A131" s="41" t="s">
        <v>457</v>
      </c>
      <c r="B131" s="445">
        <v>0</v>
      </c>
      <c r="C131" s="107">
        <v>2025</v>
      </c>
      <c r="D131" s="142">
        <v>2050</v>
      </c>
      <c r="E131" s="142">
        <v>0</v>
      </c>
      <c r="F131" s="142">
        <v>0</v>
      </c>
      <c r="G131" s="142">
        <v>0</v>
      </c>
      <c r="AK131" s="2"/>
      <c r="AL131"/>
    </row>
    <row r="132" spans="1:38" hidden="1" x14ac:dyDescent="0.35">
      <c r="A132" s="41" t="s">
        <v>458</v>
      </c>
      <c r="B132" s="445">
        <v>0</v>
      </c>
      <c r="C132" s="107">
        <v>2025</v>
      </c>
      <c r="D132" s="142">
        <v>2050</v>
      </c>
      <c r="E132" s="142">
        <v>0</v>
      </c>
      <c r="F132" s="142">
        <v>0</v>
      </c>
      <c r="G132" s="142">
        <v>0</v>
      </c>
      <c r="AK132" s="2"/>
      <c r="AL132"/>
    </row>
    <row r="133" spans="1:38" hidden="1" x14ac:dyDescent="0.35">
      <c r="A133" s="41" t="s">
        <v>459</v>
      </c>
      <c r="B133" s="445">
        <v>0</v>
      </c>
      <c r="C133" s="107">
        <v>2025</v>
      </c>
      <c r="D133" s="142">
        <v>2050</v>
      </c>
      <c r="E133" s="142">
        <v>0</v>
      </c>
      <c r="F133" s="142">
        <v>0</v>
      </c>
      <c r="G133" s="142">
        <v>0</v>
      </c>
      <c r="AK133" s="2"/>
      <c r="AL133"/>
    </row>
    <row r="134" spans="1:38" hidden="1" x14ac:dyDescent="0.35">
      <c r="A134" s="42" t="s">
        <v>83</v>
      </c>
      <c r="B134" s="40">
        <v>0</v>
      </c>
      <c r="C134" s="107">
        <v>2025</v>
      </c>
      <c r="D134" s="142">
        <v>2050</v>
      </c>
      <c r="E134" s="142">
        <v>0</v>
      </c>
      <c r="F134" s="142">
        <v>0</v>
      </c>
      <c r="G134" s="142">
        <v>0</v>
      </c>
      <c r="AK134" s="2"/>
      <c r="AL134"/>
    </row>
    <row r="135" spans="1:38" hidden="1" x14ac:dyDescent="0.35">
      <c r="A135" s="42" t="s">
        <v>144</v>
      </c>
      <c r="B135" s="40">
        <v>0</v>
      </c>
      <c r="C135" s="107">
        <v>2025</v>
      </c>
      <c r="D135" s="142">
        <v>2050</v>
      </c>
      <c r="E135" s="142">
        <v>0</v>
      </c>
      <c r="F135" s="142">
        <v>0</v>
      </c>
      <c r="G135" s="142">
        <v>0</v>
      </c>
      <c r="AK135" s="2"/>
      <c r="AL135"/>
    </row>
    <row r="136" spans="1:38" hidden="1" x14ac:dyDescent="0.35">
      <c r="A136" s="42" t="s">
        <v>164</v>
      </c>
      <c r="B136" s="40">
        <v>0</v>
      </c>
      <c r="C136" s="107">
        <v>2025</v>
      </c>
      <c r="D136" s="142">
        <v>2050</v>
      </c>
      <c r="E136" s="142">
        <v>0</v>
      </c>
      <c r="F136" s="142">
        <v>0</v>
      </c>
      <c r="G136" s="142">
        <v>0</v>
      </c>
      <c r="AK136" s="2"/>
      <c r="AL136"/>
    </row>
    <row r="137" spans="1:38" hidden="1" x14ac:dyDescent="0.35">
      <c r="A137" s="42" t="s">
        <v>145</v>
      </c>
      <c r="B137" s="40">
        <v>0</v>
      </c>
      <c r="C137" s="107">
        <v>2025</v>
      </c>
      <c r="D137" s="142">
        <v>2050</v>
      </c>
      <c r="E137" s="142">
        <v>0</v>
      </c>
      <c r="F137" s="142">
        <v>0</v>
      </c>
      <c r="G137" s="142">
        <v>0</v>
      </c>
      <c r="AK137" s="2"/>
      <c r="AL137"/>
    </row>
    <row r="138" spans="1:38" hidden="1" x14ac:dyDescent="0.35">
      <c r="A138" s="42" t="s">
        <v>87</v>
      </c>
      <c r="B138" s="40">
        <v>0</v>
      </c>
      <c r="C138" s="107">
        <v>2025</v>
      </c>
      <c r="D138" s="142">
        <v>2050</v>
      </c>
      <c r="E138" s="142">
        <v>0</v>
      </c>
      <c r="F138" s="142">
        <v>0</v>
      </c>
      <c r="G138" s="142">
        <v>0</v>
      </c>
      <c r="AK138" s="2"/>
      <c r="AL138"/>
    </row>
    <row r="139" spans="1:38" hidden="1" x14ac:dyDescent="0.35">
      <c r="A139" s="42" t="s">
        <v>146</v>
      </c>
      <c r="B139" s="40">
        <v>0</v>
      </c>
      <c r="C139" s="107">
        <v>2025</v>
      </c>
      <c r="D139" s="142">
        <v>2050</v>
      </c>
      <c r="E139" s="142">
        <v>0</v>
      </c>
      <c r="F139" s="142">
        <v>0</v>
      </c>
      <c r="G139" s="142">
        <v>0</v>
      </c>
      <c r="AK139" s="2"/>
      <c r="AL139"/>
    </row>
    <row r="140" spans="1:38" hidden="1" x14ac:dyDescent="0.35">
      <c r="A140" s="42" t="s">
        <v>89</v>
      </c>
      <c r="B140" s="40">
        <v>0</v>
      </c>
      <c r="C140" s="107">
        <v>2025</v>
      </c>
      <c r="D140" s="142">
        <v>2050</v>
      </c>
      <c r="E140" s="142">
        <v>0</v>
      </c>
      <c r="F140" s="142">
        <v>0</v>
      </c>
      <c r="G140" s="142">
        <v>0</v>
      </c>
      <c r="AK140" s="2"/>
      <c r="AL140"/>
    </row>
    <row r="141" spans="1:38" hidden="1" x14ac:dyDescent="0.35">
      <c r="A141" s="42" t="s">
        <v>90</v>
      </c>
      <c r="B141" s="40">
        <v>0</v>
      </c>
      <c r="C141" s="107">
        <v>2025</v>
      </c>
      <c r="D141" s="142">
        <v>2050</v>
      </c>
      <c r="E141" s="142">
        <v>0</v>
      </c>
      <c r="F141" s="142">
        <v>0</v>
      </c>
      <c r="G141" s="142">
        <v>0</v>
      </c>
      <c r="AK141" s="2"/>
      <c r="AL141"/>
    </row>
    <row r="142" spans="1:38" hidden="1" x14ac:dyDescent="0.35"/>
    <row r="143" spans="1:38" ht="29" hidden="1" x14ac:dyDescent="0.35">
      <c r="A143" s="442" t="s">
        <v>1589</v>
      </c>
      <c r="B143" s="20" t="s">
        <v>1591</v>
      </c>
      <c r="C143" s="20" t="s">
        <v>1592</v>
      </c>
      <c r="D143" s="20" t="s">
        <v>1593</v>
      </c>
      <c r="E143" s="446" t="s">
        <v>1594</v>
      </c>
    </row>
    <row r="144" spans="1:38" hidden="1" x14ac:dyDescent="0.35">
      <c r="A144" s="74" t="s">
        <v>1534</v>
      </c>
      <c r="B144" s="444" t="s">
        <v>128</v>
      </c>
      <c r="C144" s="444" t="s">
        <v>322</v>
      </c>
      <c r="D144" s="104" t="s">
        <v>322</v>
      </c>
      <c r="E144" s="104" t="s">
        <v>408</v>
      </c>
    </row>
    <row r="145" spans="1:5" hidden="1" x14ac:dyDescent="0.35">
      <c r="A145" s="41" t="s">
        <v>433</v>
      </c>
      <c r="B145" s="445">
        <v>0</v>
      </c>
      <c r="C145" s="107">
        <v>2025</v>
      </c>
      <c r="D145" s="142">
        <v>2050</v>
      </c>
      <c r="E145" s="142">
        <v>0</v>
      </c>
    </row>
    <row r="146" spans="1:5" hidden="1" x14ac:dyDescent="0.35">
      <c r="A146" s="41" t="s">
        <v>434</v>
      </c>
      <c r="B146" s="445">
        <v>0</v>
      </c>
      <c r="C146" s="107">
        <v>2025</v>
      </c>
      <c r="D146" s="142">
        <v>2050</v>
      </c>
      <c r="E146" s="142">
        <v>0</v>
      </c>
    </row>
    <row r="147" spans="1:5" hidden="1" x14ac:dyDescent="0.35">
      <c r="A147" s="41" t="s">
        <v>435</v>
      </c>
      <c r="B147" s="445">
        <v>0</v>
      </c>
      <c r="C147" s="107">
        <v>2025</v>
      </c>
      <c r="D147" s="142">
        <v>2050</v>
      </c>
      <c r="E147" s="142">
        <v>0</v>
      </c>
    </row>
    <row r="148" spans="1:5" hidden="1" x14ac:dyDescent="0.35">
      <c r="A148" s="41" t="s">
        <v>436</v>
      </c>
      <c r="B148" s="445">
        <v>0</v>
      </c>
      <c r="C148" s="107">
        <v>2025</v>
      </c>
      <c r="D148" s="142">
        <v>2050</v>
      </c>
      <c r="E148" s="142">
        <v>0</v>
      </c>
    </row>
    <row r="149" spans="1:5" hidden="1" x14ac:dyDescent="0.35">
      <c r="A149" s="41" t="s">
        <v>437</v>
      </c>
      <c r="B149" s="445">
        <v>0</v>
      </c>
      <c r="C149" s="107">
        <v>2025</v>
      </c>
      <c r="D149" s="142">
        <v>2050</v>
      </c>
      <c r="E149" s="142">
        <v>0</v>
      </c>
    </row>
    <row r="150" spans="1:5" hidden="1" x14ac:dyDescent="0.35">
      <c r="A150" s="41" t="s">
        <v>438</v>
      </c>
      <c r="B150" s="445">
        <v>0</v>
      </c>
      <c r="C150" s="107">
        <v>2025</v>
      </c>
      <c r="D150" s="142">
        <v>2050</v>
      </c>
      <c r="E150" s="142">
        <v>0</v>
      </c>
    </row>
    <row r="151" spans="1:5" hidden="1" x14ac:dyDescent="0.35">
      <c r="A151" s="41" t="s">
        <v>439</v>
      </c>
      <c r="B151" s="445">
        <v>0</v>
      </c>
      <c r="C151" s="107">
        <v>2025</v>
      </c>
      <c r="D151" s="142">
        <v>2050</v>
      </c>
      <c r="E151" s="142">
        <v>0</v>
      </c>
    </row>
    <row r="152" spans="1:5" hidden="1" x14ac:dyDescent="0.35">
      <c r="A152" s="41" t="s">
        <v>440</v>
      </c>
      <c r="B152" s="445">
        <v>0</v>
      </c>
      <c r="C152" s="107">
        <v>2025</v>
      </c>
      <c r="D152" s="142">
        <v>2050</v>
      </c>
      <c r="E152" s="142">
        <v>0</v>
      </c>
    </row>
    <row r="153" spans="1:5" hidden="1" x14ac:dyDescent="0.35">
      <c r="A153" s="41" t="s">
        <v>441</v>
      </c>
      <c r="B153" s="445">
        <v>0</v>
      </c>
      <c r="C153" s="107">
        <v>2025</v>
      </c>
      <c r="D153" s="142">
        <v>2050</v>
      </c>
      <c r="E153" s="142">
        <v>0</v>
      </c>
    </row>
    <row r="154" spans="1:5" hidden="1" x14ac:dyDescent="0.35">
      <c r="A154" s="41" t="s">
        <v>442</v>
      </c>
      <c r="B154" s="445">
        <v>0</v>
      </c>
      <c r="C154" s="107">
        <v>2025</v>
      </c>
      <c r="D154" s="142">
        <v>2050</v>
      </c>
      <c r="E154" s="142">
        <v>0</v>
      </c>
    </row>
    <row r="155" spans="1:5" hidden="1" x14ac:dyDescent="0.35">
      <c r="A155" s="41" t="s">
        <v>443</v>
      </c>
      <c r="B155" s="445">
        <v>0</v>
      </c>
      <c r="C155" s="107">
        <v>2025</v>
      </c>
      <c r="D155" s="142">
        <v>2050</v>
      </c>
      <c r="E155" s="142">
        <v>0</v>
      </c>
    </row>
    <row r="156" spans="1:5" hidden="1" x14ac:dyDescent="0.35">
      <c r="A156" s="41" t="s">
        <v>444</v>
      </c>
      <c r="B156" s="445">
        <v>0</v>
      </c>
      <c r="C156" s="107">
        <v>2025</v>
      </c>
      <c r="D156" s="142">
        <v>2050</v>
      </c>
      <c r="E156" s="142">
        <v>0</v>
      </c>
    </row>
    <row r="157" spans="1:5" hidden="1" x14ac:dyDescent="0.35">
      <c r="A157" s="41" t="s">
        <v>445</v>
      </c>
      <c r="B157" s="445">
        <v>0</v>
      </c>
      <c r="C157" s="107">
        <v>2025</v>
      </c>
      <c r="D157" s="142">
        <v>2050</v>
      </c>
      <c r="E157" s="142">
        <v>0</v>
      </c>
    </row>
    <row r="158" spans="1:5" hidden="1" x14ac:dyDescent="0.35">
      <c r="A158" s="41" t="s">
        <v>446</v>
      </c>
      <c r="B158" s="445">
        <v>0</v>
      </c>
      <c r="C158" s="107">
        <v>2025</v>
      </c>
      <c r="D158" s="142">
        <v>2050</v>
      </c>
      <c r="E158" s="142">
        <v>0</v>
      </c>
    </row>
    <row r="159" spans="1:5" hidden="1" x14ac:dyDescent="0.35">
      <c r="A159" s="41" t="s">
        <v>447</v>
      </c>
      <c r="B159" s="445">
        <v>0</v>
      </c>
      <c r="C159" s="107">
        <v>2025</v>
      </c>
      <c r="D159" s="142">
        <v>2050</v>
      </c>
      <c r="E159" s="142">
        <v>0</v>
      </c>
    </row>
    <row r="160" spans="1:5" hidden="1" x14ac:dyDescent="0.35">
      <c r="A160" s="41" t="s">
        <v>448</v>
      </c>
      <c r="B160" s="445">
        <v>0</v>
      </c>
      <c r="C160" s="107">
        <v>2025</v>
      </c>
      <c r="D160" s="142">
        <v>2050</v>
      </c>
      <c r="E160" s="142">
        <v>0</v>
      </c>
    </row>
    <row r="161" spans="1:5" hidden="1" x14ac:dyDescent="0.35">
      <c r="A161" s="41" t="s">
        <v>449</v>
      </c>
      <c r="B161" s="445">
        <v>0</v>
      </c>
      <c r="C161" s="107">
        <v>2025</v>
      </c>
      <c r="D161" s="142">
        <v>2050</v>
      </c>
      <c r="E161" s="142">
        <v>0</v>
      </c>
    </row>
    <row r="162" spans="1:5" hidden="1" x14ac:dyDescent="0.35">
      <c r="A162" s="41" t="s">
        <v>450</v>
      </c>
      <c r="B162" s="445">
        <v>0</v>
      </c>
      <c r="C162" s="107">
        <v>2025</v>
      </c>
      <c r="D162" s="142">
        <v>2050</v>
      </c>
      <c r="E162" s="142">
        <v>0</v>
      </c>
    </row>
    <row r="163" spans="1:5" hidden="1" x14ac:dyDescent="0.35">
      <c r="A163" s="41" t="s">
        <v>451</v>
      </c>
      <c r="B163" s="445">
        <v>0</v>
      </c>
      <c r="C163" s="107">
        <v>2025</v>
      </c>
      <c r="D163" s="142">
        <v>2050</v>
      </c>
      <c r="E163" s="142">
        <v>0</v>
      </c>
    </row>
    <row r="164" spans="1:5" hidden="1" x14ac:dyDescent="0.35">
      <c r="A164" s="41" t="s">
        <v>452</v>
      </c>
      <c r="B164" s="445">
        <v>0</v>
      </c>
      <c r="C164" s="107">
        <v>2025</v>
      </c>
      <c r="D164" s="142">
        <v>2050</v>
      </c>
      <c r="E164" s="142">
        <v>0</v>
      </c>
    </row>
    <row r="165" spans="1:5" hidden="1" x14ac:dyDescent="0.35">
      <c r="A165" s="41" t="s">
        <v>453</v>
      </c>
      <c r="B165" s="445">
        <v>0</v>
      </c>
      <c r="C165" s="107">
        <v>2025</v>
      </c>
      <c r="D165" s="142">
        <v>2050</v>
      </c>
      <c r="E165" s="142">
        <v>0</v>
      </c>
    </row>
    <row r="166" spans="1:5" hidden="1" x14ac:dyDescent="0.35">
      <c r="A166" s="41" t="s">
        <v>454</v>
      </c>
      <c r="B166" s="445">
        <v>0</v>
      </c>
      <c r="C166" s="107">
        <v>2025</v>
      </c>
      <c r="D166" s="142">
        <v>2050</v>
      </c>
      <c r="E166" s="142">
        <v>0</v>
      </c>
    </row>
    <row r="167" spans="1:5" hidden="1" x14ac:dyDescent="0.35">
      <c r="A167" s="41" t="s">
        <v>455</v>
      </c>
      <c r="B167" s="445">
        <v>0</v>
      </c>
      <c r="C167" s="107">
        <v>2025</v>
      </c>
      <c r="D167" s="142">
        <v>2050</v>
      </c>
      <c r="E167" s="142">
        <v>0</v>
      </c>
    </row>
    <row r="168" spans="1:5" hidden="1" x14ac:dyDescent="0.35">
      <c r="A168" s="41" t="s">
        <v>456</v>
      </c>
      <c r="B168" s="445">
        <v>0</v>
      </c>
      <c r="C168" s="107">
        <v>2025</v>
      </c>
      <c r="D168" s="142">
        <v>2050</v>
      </c>
      <c r="E168" s="142">
        <v>0</v>
      </c>
    </row>
    <row r="169" spans="1:5" hidden="1" x14ac:dyDescent="0.35">
      <c r="A169" s="41" t="s">
        <v>457</v>
      </c>
      <c r="B169" s="445">
        <v>0</v>
      </c>
      <c r="C169" s="107">
        <v>2025</v>
      </c>
      <c r="D169" s="142">
        <v>2050</v>
      </c>
      <c r="E169" s="142">
        <v>0</v>
      </c>
    </row>
    <row r="170" spans="1:5" hidden="1" x14ac:dyDescent="0.35">
      <c r="A170" s="41" t="s">
        <v>458</v>
      </c>
      <c r="B170" s="445">
        <v>0</v>
      </c>
      <c r="C170" s="107">
        <v>2025</v>
      </c>
      <c r="D170" s="142">
        <v>2050</v>
      </c>
      <c r="E170" s="142">
        <v>0</v>
      </c>
    </row>
    <row r="171" spans="1:5" hidden="1" x14ac:dyDescent="0.35">
      <c r="A171" s="41" t="s">
        <v>459</v>
      </c>
      <c r="B171" s="445">
        <v>0</v>
      </c>
      <c r="C171" s="107">
        <v>2025</v>
      </c>
      <c r="D171" s="142">
        <v>2050</v>
      </c>
      <c r="E171" s="142">
        <v>0</v>
      </c>
    </row>
    <row r="172" spans="1:5" hidden="1" x14ac:dyDescent="0.35">
      <c r="A172" s="42" t="s">
        <v>83</v>
      </c>
      <c r="B172" s="40">
        <v>0</v>
      </c>
      <c r="C172" s="107">
        <v>2025</v>
      </c>
      <c r="D172" s="142">
        <v>2050</v>
      </c>
      <c r="E172" s="142">
        <v>0</v>
      </c>
    </row>
    <row r="173" spans="1:5" hidden="1" x14ac:dyDescent="0.35">
      <c r="A173" s="42" t="s">
        <v>144</v>
      </c>
      <c r="B173" s="40">
        <v>0</v>
      </c>
      <c r="C173" s="107">
        <v>2025</v>
      </c>
      <c r="D173" s="142">
        <v>2050</v>
      </c>
      <c r="E173" s="142">
        <v>0</v>
      </c>
    </row>
    <row r="174" spans="1:5" hidden="1" x14ac:dyDescent="0.35">
      <c r="A174" s="42" t="s">
        <v>164</v>
      </c>
      <c r="B174" s="40">
        <v>0</v>
      </c>
      <c r="C174" s="107">
        <v>2025</v>
      </c>
      <c r="D174" s="142">
        <v>2050</v>
      </c>
      <c r="E174" s="142">
        <v>0</v>
      </c>
    </row>
    <row r="175" spans="1:5" hidden="1" x14ac:dyDescent="0.35">
      <c r="A175" s="42" t="s">
        <v>145</v>
      </c>
      <c r="B175" s="40">
        <v>0</v>
      </c>
      <c r="C175" s="107">
        <v>2025</v>
      </c>
      <c r="D175" s="142">
        <v>2050</v>
      </c>
      <c r="E175" s="142">
        <v>0</v>
      </c>
    </row>
    <row r="176" spans="1:5" hidden="1" x14ac:dyDescent="0.35">
      <c r="A176" s="42" t="s">
        <v>87</v>
      </c>
      <c r="B176" s="40">
        <v>0</v>
      </c>
      <c r="C176" s="107">
        <v>2025</v>
      </c>
      <c r="D176" s="142">
        <v>2050</v>
      </c>
      <c r="E176" s="142">
        <v>0</v>
      </c>
    </row>
    <row r="177" spans="1:38" hidden="1" x14ac:dyDescent="0.35">
      <c r="A177" s="42" t="s">
        <v>146</v>
      </c>
      <c r="B177" s="40">
        <v>0</v>
      </c>
      <c r="C177" s="107">
        <v>2025</v>
      </c>
      <c r="D177" s="142">
        <v>2050</v>
      </c>
      <c r="E177" s="142">
        <v>0</v>
      </c>
    </row>
    <row r="178" spans="1:38" hidden="1" x14ac:dyDescent="0.35">
      <c r="A178" s="42" t="s">
        <v>89</v>
      </c>
      <c r="B178" s="40">
        <v>0</v>
      </c>
      <c r="C178" s="107">
        <v>2025</v>
      </c>
      <c r="D178" s="142">
        <v>2050</v>
      </c>
      <c r="E178" s="142">
        <v>0</v>
      </c>
    </row>
    <row r="179" spans="1:38" hidden="1" x14ac:dyDescent="0.35">
      <c r="A179" s="42" t="s">
        <v>90</v>
      </c>
      <c r="B179" s="40">
        <v>0</v>
      </c>
      <c r="C179" s="107">
        <v>2025</v>
      </c>
      <c r="D179" s="142">
        <v>2050</v>
      </c>
      <c r="E179" s="142">
        <v>0</v>
      </c>
    </row>
    <row r="180" spans="1:38" hidden="1" x14ac:dyDescent="0.35"/>
    <row r="181" spans="1:38" ht="29" hidden="1" x14ac:dyDescent="0.35">
      <c r="A181" s="442" t="s">
        <v>1545</v>
      </c>
      <c r="B181" s="20" t="s">
        <v>1541</v>
      </c>
      <c r="C181" s="20" t="s">
        <v>1539</v>
      </c>
      <c r="D181" s="20" t="s">
        <v>1540</v>
      </c>
      <c r="E181" s="447" t="s">
        <v>1544</v>
      </c>
      <c r="F181" s="447" t="s">
        <v>1542</v>
      </c>
      <c r="G181" s="447" t="s">
        <v>1543</v>
      </c>
      <c r="AK181" s="2"/>
      <c r="AL181"/>
    </row>
    <row r="182" spans="1:38" hidden="1" x14ac:dyDescent="0.35">
      <c r="A182" s="74" t="s">
        <v>1534</v>
      </c>
      <c r="B182" s="444" t="s">
        <v>128</v>
      </c>
      <c r="C182" s="444" t="s">
        <v>322</v>
      </c>
      <c r="D182" s="104" t="s">
        <v>322</v>
      </c>
      <c r="E182" s="104" t="s">
        <v>408</v>
      </c>
      <c r="F182" s="104" t="s">
        <v>408</v>
      </c>
      <c r="G182" s="104" t="s">
        <v>408</v>
      </c>
      <c r="AK182" s="2"/>
      <c r="AL182"/>
    </row>
    <row r="183" spans="1:38" hidden="1" x14ac:dyDescent="0.35">
      <c r="A183" s="41" t="s">
        <v>433</v>
      </c>
      <c r="B183" s="445">
        <v>0</v>
      </c>
      <c r="C183" s="107">
        <v>2025</v>
      </c>
      <c r="D183" s="142">
        <v>2050</v>
      </c>
      <c r="E183" s="535">
        <v>1</v>
      </c>
      <c r="F183" s="535">
        <v>0</v>
      </c>
      <c r="G183" s="535">
        <v>0</v>
      </c>
      <c r="AK183" s="2"/>
      <c r="AL183"/>
    </row>
    <row r="184" spans="1:38" hidden="1" x14ac:dyDescent="0.35">
      <c r="A184" s="41" t="s">
        <v>434</v>
      </c>
      <c r="B184" s="445">
        <v>0</v>
      </c>
      <c r="C184" s="107">
        <v>2025</v>
      </c>
      <c r="D184" s="142">
        <v>2050</v>
      </c>
      <c r="E184" s="535">
        <v>1</v>
      </c>
      <c r="F184" s="535">
        <v>0</v>
      </c>
      <c r="G184" s="535">
        <v>0</v>
      </c>
      <c r="AK184" s="2"/>
      <c r="AL184"/>
    </row>
    <row r="185" spans="1:38" hidden="1" x14ac:dyDescent="0.35">
      <c r="A185" s="41" t="s">
        <v>435</v>
      </c>
      <c r="B185" s="445">
        <v>0</v>
      </c>
      <c r="C185" s="107">
        <v>2025</v>
      </c>
      <c r="D185" s="142">
        <v>2050</v>
      </c>
      <c r="E185" s="535">
        <v>1</v>
      </c>
      <c r="F185" s="535">
        <v>0</v>
      </c>
      <c r="G185" s="535">
        <v>0</v>
      </c>
      <c r="AK185" s="2"/>
      <c r="AL185"/>
    </row>
    <row r="186" spans="1:38" hidden="1" x14ac:dyDescent="0.35">
      <c r="A186" s="41" t="s">
        <v>436</v>
      </c>
      <c r="B186" s="445">
        <v>0</v>
      </c>
      <c r="C186" s="107">
        <v>2025</v>
      </c>
      <c r="D186" s="142">
        <v>2050</v>
      </c>
      <c r="E186" s="535">
        <v>1</v>
      </c>
      <c r="F186" s="535">
        <v>0</v>
      </c>
      <c r="G186" s="535">
        <v>0</v>
      </c>
      <c r="AK186" s="2"/>
      <c r="AL186"/>
    </row>
    <row r="187" spans="1:38" hidden="1" x14ac:dyDescent="0.35">
      <c r="A187" s="41" t="s">
        <v>437</v>
      </c>
      <c r="B187" s="445">
        <v>0</v>
      </c>
      <c r="C187" s="107">
        <v>2025</v>
      </c>
      <c r="D187" s="142">
        <v>2050</v>
      </c>
      <c r="E187" s="535">
        <v>1</v>
      </c>
      <c r="F187" s="535">
        <v>0</v>
      </c>
      <c r="G187" s="535">
        <v>0</v>
      </c>
      <c r="AK187" s="2"/>
      <c r="AL187"/>
    </row>
    <row r="188" spans="1:38" hidden="1" x14ac:dyDescent="0.35">
      <c r="A188" s="41" t="s">
        <v>438</v>
      </c>
      <c r="B188" s="445">
        <v>0</v>
      </c>
      <c r="C188" s="107">
        <v>2025</v>
      </c>
      <c r="D188" s="142">
        <v>2050</v>
      </c>
      <c r="E188" s="535">
        <f t="shared" ref="E188:E217" si="0">1-F188-G188</f>
        <v>1</v>
      </c>
      <c r="F188" s="535">
        <v>0</v>
      </c>
      <c r="G188" s="535">
        <v>0</v>
      </c>
      <c r="AK188" s="2"/>
      <c r="AL188"/>
    </row>
    <row r="189" spans="1:38" hidden="1" x14ac:dyDescent="0.35">
      <c r="A189" s="41" t="s">
        <v>439</v>
      </c>
      <c r="B189" s="445">
        <v>0</v>
      </c>
      <c r="C189" s="107">
        <v>2025</v>
      </c>
      <c r="D189" s="142">
        <v>2050</v>
      </c>
      <c r="E189" s="535">
        <f t="shared" si="0"/>
        <v>1</v>
      </c>
      <c r="F189" s="535">
        <v>0</v>
      </c>
      <c r="G189" s="535">
        <v>0</v>
      </c>
      <c r="AK189" s="2"/>
      <c r="AL189"/>
    </row>
    <row r="190" spans="1:38" hidden="1" x14ac:dyDescent="0.35">
      <c r="A190" s="41" t="s">
        <v>440</v>
      </c>
      <c r="B190" s="445">
        <v>0</v>
      </c>
      <c r="C190" s="107">
        <v>2025</v>
      </c>
      <c r="D190" s="142">
        <v>2050</v>
      </c>
      <c r="E190" s="535">
        <f t="shared" si="0"/>
        <v>1</v>
      </c>
      <c r="F190" s="535">
        <v>0</v>
      </c>
      <c r="G190" s="535">
        <v>0</v>
      </c>
      <c r="AK190" s="2"/>
      <c r="AL190"/>
    </row>
    <row r="191" spans="1:38" hidden="1" x14ac:dyDescent="0.35">
      <c r="A191" s="41" t="s">
        <v>441</v>
      </c>
      <c r="B191" s="445">
        <v>0</v>
      </c>
      <c r="C191" s="107">
        <v>2025</v>
      </c>
      <c r="D191" s="142">
        <v>2050</v>
      </c>
      <c r="E191" s="535">
        <f t="shared" si="0"/>
        <v>1</v>
      </c>
      <c r="F191" s="535">
        <v>0</v>
      </c>
      <c r="G191" s="535">
        <v>0</v>
      </c>
      <c r="AK191" s="2"/>
      <c r="AL191"/>
    </row>
    <row r="192" spans="1:38" hidden="1" x14ac:dyDescent="0.35">
      <c r="A192" s="41" t="s">
        <v>442</v>
      </c>
      <c r="B192" s="445">
        <v>0</v>
      </c>
      <c r="C192" s="107">
        <v>2025</v>
      </c>
      <c r="D192" s="142">
        <v>2050</v>
      </c>
      <c r="E192" s="535">
        <f t="shared" si="0"/>
        <v>1</v>
      </c>
      <c r="F192" s="535">
        <v>0</v>
      </c>
      <c r="G192" s="535">
        <v>0</v>
      </c>
      <c r="AK192" s="2"/>
      <c r="AL192"/>
    </row>
    <row r="193" spans="1:38" hidden="1" x14ac:dyDescent="0.35">
      <c r="A193" s="41" t="s">
        <v>443</v>
      </c>
      <c r="B193" s="445">
        <v>0</v>
      </c>
      <c r="C193" s="107">
        <v>2025</v>
      </c>
      <c r="D193" s="142">
        <v>2050</v>
      </c>
      <c r="E193" s="535">
        <f t="shared" si="0"/>
        <v>0.98708876183334893</v>
      </c>
      <c r="F193" s="535">
        <v>1.2911238166651044E-2</v>
      </c>
      <c r="G193" s="535">
        <v>0</v>
      </c>
      <c r="AK193" s="2"/>
      <c r="AL193"/>
    </row>
    <row r="194" spans="1:38" hidden="1" x14ac:dyDescent="0.35">
      <c r="A194" s="41" t="s">
        <v>444</v>
      </c>
      <c r="B194" s="445">
        <v>0</v>
      </c>
      <c r="C194" s="107">
        <v>2025</v>
      </c>
      <c r="D194" s="142">
        <v>2050</v>
      </c>
      <c r="E194" s="535">
        <f t="shared" si="0"/>
        <v>1</v>
      </c>
      <c r="F194" s="535">
        <v>0</v>
      </c>
      <c r="G194" s="535">
        <v>0</v>
      </c>
      <c r="AK194" s="2"/>
      <c r="AL194"/>
    </row>
    <row r="195" spans="1:38" hidden="1" x14ac:dyDescent="0.35">
      <c r="A195" s="41" t="s">
        <v>445</v>
      </c>
      <c r="B195" s="445">
        <v>0</v>
      </c>
      <c r="C195" s="107">
        <v>2025</v>
      </c>
      <c r="D195" s="142">
        <v>2050</v>
      </c>
      <c r="E195" s="535">
        <f t="shared" si="0"/>
        <v>1</v>
      </c>
      <c r="F195" s="535">
        <v>0</v>
      </c>
      <c r="G195" s="535">
        <v>0</v>
      </c>
      <c r="AK195" s="2"/>
      <c r="AL195"/>
    </row>
    <row r="196" spans="1:38" hidden="1" x14ac:dyDescent="0.35">
      <c r="A196" s="41" t="s">
        <v>446</v>
      </c>
      <c r="B196" s="445">
        <v>0</v>
      </c>
      <c r="C196" s="107">
        <v>2025</v>
      </c>
      <c r="D196" s="142">
        <v>2050</v>
      </c>
      <c r="E196" s="535">
        <f t="shared" si="0"/>
        <v>1</v>
      </c>
      <c r="F196" s="535">
        <v>0</v>
      </c>
      <c r="G196" s="535">
        <v>0</v>
      </c>
      <c r="AK196" s="2"/>
      <c r="AL196"/>
    </row>
    <row r="197" spans="1:38" hidden="1" x14ac:dyDescent="0.35">
      <c r="A197" s="41" t="s">
        <v>447</v>
      </c>
      <c r="B197" s="445">
        <v>0</v>
      </c>
      <c r="C197" s="107">
        <v>2025</v>
      </c>
      <c r="D197" s="142">
        <v>2050</v>
      </c>
      <c r="E197" s="535">
        <f t="shared" si="0"/>
        <v>1</v>
      </c>
      <c r="F197" s="535">
        <v>0</v>
      </c>
      <c r="G197" s="535">
        <v>0</v>
      </c>
      <c r="AK197" s="2"/>
      <c r="AL197"/>
    </row>
    <row r="198" spans="1:38" hidden="1" x14ac:dyDescent="0.35">
      <c r="A198" s="41" t="s">
        <v>448</v>
      </c>
      <c r="B198" s="445">
        <v>0</v>
      </c>
      <c r="C198" s="107">
        <v>2025</v>
      </c>
      <c r="D198" s="142">
        <v>2050</v>
      </c>
      <c r="E198" s="535">
        <f t="shared" si="0"/>
        <v>1</v>
      </c>
      <c r="F198" s="535">
        <v>0</v>
      </c>
      <c r="G198" s="535">
        <v>0</v>
      </c>
      <c r="AK198" s="2"/>
      <c r="AL198"/>
    </row>
    <row r="199" spans="1:38" hidden="1" x14ac:dyDescent="0.35">
      <c r="A199" s="41" t="s">
        <v>449</v>
      </c>
      <c r="B199" s="445">
        <v>0</v>
      </c>
      <c r="C199" s="107">
        <v>2025</v>
      </c>
      <c r="D199" s="142">
        <v>2050</v>
      </c>
      <c r="E199" s="535">
        <f t="shared" si="0"/>
        <v>1</v>
      </c>
      <c r="F199" s="535">
        <v>0</v>
      </c>
      <c r="G199" s="535">
        <v>0</v>
      </c>
      <c r="AK199" s="2"/>
      <c r="AL199"/>
    </row>
    <row r="200" spans="1:38" hidden="1" x14ac:dyDescent="0.35">
      <c r="A200" s="41" t="s">
        <v>450</v>
      </c>
      <c r="B200" s="445">
        <v>0</v>
      </c>
      <c r="C200" s="107">
        <v>2025</v>
      </c>
      <c r="D200" s="142">
        <v>2050</v>
      </c>
      <c r="E200" s="535">
        <f t="shared" si="0"/>
        <v>1</v>
      </c>
      <c r="F200" s="535">
        <v>0</v>
      </c>
      <c r="G200" s="535">
        <v>0</v>
      </c>
      <c r="AK200" s="2"/>
      <c r="AL200"/>
    </row>
    <row r="201" spans="1:38" hidden="1" x14ac:dyDescent="0.35">
      <c r="A201" s="41" t="s">
        <v>451</v>
      </c>
      <c r="B201" s="445">
        <v>0</v>
      </c>
      <c r="C201" s="107">
        <v>2025</v>
      </c>
      <c r="D201" s="142">
        <v>2050</v>
      </c>
      <c r="E201" s="535">
        <f t="shared" si="0"/>
        <v>1</v>
      </c>
      <c r="F201" s="535">
        <v>0</v>
      </c>
      <c r="G201" s="535">
        <v>0</v>
      </c>
      <c r="AK201" s="2"/>
      <c r="AL201"/>
    </row>
    <row r="202" spans="1:38" hidden="1" x14ac:dyDescent="0.35">
      <c r="A202" s="41" t="s">
        <v>452</v>
      </c>
      <c r="B202" s="445">
        <v>0</v>
      </c>
      <c r="C202" s="107">
        <v>2025</v>
      </c>
      <c r="D202" s="142">
        <v>2050</v>
      </c>
      <c r="E202" s="535">
        <f t="shared" si="0"/>
        <v>1</v>
      </c>
      <c r="F202" s="535">
        <v>0</v>
      </c>
      <c r="G202" s="535">
        <v>0</v>
      </c>
      <c r="AK202" s="2"/>
      <c r="AL202"/>
    </row>
    <row r="203" spans="1:38" hidden="1" x14ac:dyDescent="0.35">
      <c r="A203" s="41" t="s">
        <v>453</v>
      </c>
      <c r="B203" s="445">
        <v>0</v>
      </c>
      <c r="C203" s="107">
        <v>2025</v>
      </c>
      <c r="D203" s="142">
        <v>2050</v>
      </c>
      <c r="E203" s="535">
        <f t="shared" si="0"/>
        <v>1</v>
      </c>
      <c r="F203" s="535">
        <v>0</v>
      </c>
      <c r="G203" s="535">
        <v>0</v>
      </c>
      <c r="AK203" s="2"/>
      <c r="AL203"/>
    </row>
    <row r="204" spans="1:38" hidden="1" x14ac:dyDescent="0.35">
      <c r="A204" s="41" t="s">
        <v>454</v>
      </c>
      <c r="B204" s="445">
        <v>0</v>
      </c>
      <c r="C204" s="107">
        <v>2025</v>
      </c>
      <c r="D204" s="142">
        <v>2050</v>
      </c>
      <c r="E204" s="535">
        <f t="shared" si="0"/>
        <v>1</v>
      </c>
      <c r="F204" s="535">
        <v>0</v>
      </c>
      <c r="G204" s="535">
        <v>0</v>
      </c>
      <c r="AK204" s="2"/>
      <c r="AL204"/>
    </row>
    <row r="205" spans="1:38" hidden="1" x14ac:dyDescent="0.35">
      <c r="A205" s="41" t="s">
        <v>455</v>
      </c>
      <c r="B205" s="445">
        <v>0</v>
      </c>
      <c r="C205" s="107">
        <v>2025</v>
      </c>
      <c r="D205" s="142">
        <v>2050</v>
      </c>
      <c r="E205" s="535">
        <f t="shared" si="0"/>
        <v>1</v>
      </c>
      <c r="F205" s="535">
        <v>0</v>
      </c>
      <c r="G205" s="535">
        <v>0</v>
      </c>
      <c r="AK205" s="2"/>
      <c r="AL205"/>
    </row>
    <row r="206" spans="1:38" hidden="1" x14ac:dyDescent="0.35">
      <c r="A206" s="41" t="s">
        <v>456</v>
      </c>
      <c r="B206" s="445">
        <v>0</v>
      </c>
      <c r="C206" s="107">
        <v>2025</v>
      </c>
      <c r="D206" s="142">
        <v>2050</v>
      </c>
      <c r="E206" s="535">
        <f t="shared" si="0"/>
        <v>1</v>
      </c>
      <c r="F206" s="535">
        <v>0</v>
      </c>
      <c r="G206" s="535">
        <v>0</v>
      </c>
      <c r="AK206" s="2"/>
      <c r="AL206"/>
    </row>
    <row r="207" spans="1:38" hidden="1" x14ac:dyDescent="0.35">
      <c r="A207" s="41" t="s">
        <v>457</v>
      </c>
      <c r="B207" s="445">
        <v>0</v>
      </c>
      <c r="C207" s="107">
        <v>2025</v>
      </c>
      <c r="D207" s="142">
        <v>2050</v>
      </c>
      <c r="E207" s="535">
        <f t="shared" si="0"/>
        <v>1</v>
      </c>
      <c r="F207" s="535">
        <v>0</v>
      </c>
      <c r="G207" s="535">
        <v>0</v>
      </c>
      <c r="AK207" s="2"/>
      <c r="AL207"/>
    </row>
    <row r="208" spans="1:38" hidden="1" x14ac:dyDescent="0.35">
      <c r="A208" s="41" t="s">
        <v>458</v>
      </c>
      <c r="B208" s="445">
        <v>0</v>
      </c>
      <c r="C208" s="107">
        <v>2025</v>
      </c>
      <c r="D208" s="142">
        <v>2050</v>
      </c>
      <c r="E208" s="535">
        <f t="shared" si="0"/>
        <v>1</v>
      </c>
      <c r="F208" s="535">
        <v>0</v>
      </c>
      <c r="G208" s="535">
        <v>0</v>
      </c>
      <c r="AK208" s="2"/>
      <c r="AL208"/>
    </row>
    <row r="209" spans="1:38" hidden="1" x14ac:dyDescent="0.35">
      <c r="A209" s="41" t="s">
        <v>459</v>
      </c>
      <c r="B209" s="445">
        <v>0</v>
      </c>
      <c r="C209" s="107">
        <v>2025</v>
      </c>
      <c r="D209" s="142">
        <v>2050</v>
      </c>
      <c r="E209" s="535">
        <f t="shared" si="0"/>
        <v>0.97608075488259816</v>
      </c>
      <c r="F209" s="535">
        <v>2.3919245117401799E-2</v>
      </c>
      <c r="G209" s="535">
        <v>0</v>
      </c>
      <c r="AK209" s="2"/>
      <c r="AL209"/>
    </row>
    <row r="210" spans="1:38" hidden="1" x14ac:dyDescent="0.35">
      <c r="A210" s="42" t="s">
        <v>83</v>
      </c>
      <c r="B210" s="40">
        <v>0</v>
      </c>
      <c r="C210" s="107">
        <v>2025</v>
      </c>
      <c r="D210" s="142">
        <v>2050</v>
      </c>
      <c r="E210" s="535">
        <f t="shared" si="0"/>
        <v>1</v>
      </c>
      <c r="F210" s="535">
        <v>0</v>
      </c>
      <c r="G210" s="535">
        <v>0</v>
      </c>
      <c r="AK210" s="2"/>
      <c r="AL210"/>
    </row>
    <row r="211" spans="1:38" hidden="1" x14ac:dyDescent="0.35">
      <c r="A211" s="42" t="s">
        <v>144</v>
      </c>
      <c r="B211" s="40">
        <v>0</v>
      </c>
      <c r="C211" s="107">
        <v>2025</v>
      </c>
      <c r="D211" s="142">
        <v>2050</v>
      </c>
      <c r="E211" s="535">
        <f t="shared" si="0"/>
        <v>1</v>
      </c>
      <c r="F211" s="535">
        <v>0</v>
      </c>
      <c r="G211" s="535">
        <v>0</v>
      </c>
      <c r="AK211" s="2"/>
      <c r="AL211"/>
    </row>
    <row r="212" spans="1:38" hidden="1" x14ac:dyDescent="0.35">
      <c r="A212" s="42" t="s">
        <v>164</v>
      </c>
      <c r="B212" s="40">
        <v>0</v>
      </c>
      <c r="C212" s="107">
        <v>2025</v>
      </c>
      <c r="D212" s="142">
        <v>2050</v>
      </c>
      <c r="E212" s="535">
        <f t="shared" si="0"/>
        <v>0.99545532267209025</v>
      </c>
      <c r="F212" s="535">
        <v>4.5446773279097189E-3</v>
      </c>
      <c r="G212" s="535">
        <v>0</v>
      </c>
      <c r="AK212" s="2"/>
      <c r="AL212"/>
    </row>
    <row r="213" spans="1:38" hidden="1" x14ac:dyDescent="0.35">
      <c r="A213" s="42" t="s">
        <v>145</v>
      </c>
      <c r="B213" s="40">
        <v>0</v>
      </c>
      <c r="C213" s="107">
        <v>2025</v>
      </c>
      <c r="D213" s="142">
        <v>2050</v>
      </c>
      <c r="E213" s="535">
        <f t="shared" si="0"/>
        <v>0.74564733897962387</v>
      </c>
      <c r="F213" s="535">
        <v>0.25435266102037607</v>
      </c>
      <c r="G213" s="535">
        <v>0</v>
      </c>
      <c r="AK213" s="2"/>
      <c r="AL213"/>
    </row>
    <row r="214" spans="1:38" hidden="1" x14ac:dyDescent="0.35">
      <c r="A214" s="42" t="s">
        <v>87</v>
      </c>
      <c r="B214" s="40">
        <v>0</v>
      </c>
      <c r="C214" s="107">
        <v>2025</v>
      </c>
      <c r="D214" s="142">
        <v>2050</v>
      </c>
      <c r="E214" s="535">
        <f t="shared" si="0"/>
        <v>0.9682417846006236</v>
      </c>
      <c r="F214" s="535">
        <v>3.1758215399376351E-2</v>
      </c>
      <c r="G214" s="535">
        <v>0</v>
      </c>
      <c r="AK214" s="2"/>
      <c r="AL214"/>
    </row>
    <row r="215" spans="1:38" hidden="1" x14ac:dyDescent="0.35">
      <c r="A215" s="42" t="s">
        <v>146</v>
      </c>
      <c r="B215" s="40">
        <v>0</v>
      </c>
      <c r="C215" s="107">
        <v>2025</v>
      </c>
      <c r="D215" s="142">
        <v>2050</v>
      </c>
      <c r="E215" s="535">
        <f t="shared" si="0"/>
        <v>0.92086760317344785</v>
      </c>
      <c r="F215" s="535">
        <v>7.9132396826552154E-2</v>
      </c>
      <c r="G215" s="535">
        <v>0</v>
      </c>
      <c r="AK215" s="2"/>
      <c r="AL215"/>
    </row>
    <row r="216" spans="1:38" hidden="1" x14ac:dyDescent="0.35">
      <c r="A216" s="42" t="s">
        <v>89</v>
      </c>
      <c r="B216" s="40">
        <v>0</v>
      </c>
      <c r="C216" s="107">
        <v>2025</v>
      </c>
      <c r="D216" s="142">
        <v>2050</v>
      </c>
      <c r="E216" s="535">
        <f t="shared" si="0"/>
        <v>0.92604190441411416</v>
      </c>
      <c r="F216" s="535">
        <v>7.3958095585885786E-2</v>
      </c>
      <c r="G216" s="535">
        <v>0</v>
      </c>
      <c r="AK216" s="2"/>
      <c r="AL216"/>
    </row>
    <row r="217" spans="1:38" hidden="1" x14ac:dyDescent="0.35">
      <c r="A217" s="42" t="s">
        <v>90</v>
      </c>
      <c r="B217" s="40">
        <v>0</v>
      </c>
      <c r="C217" s="107">
        <v>2025</v>
      </c>
      <c r="D217" s="142">
        <v>2050</v>
      </c>
      <c r="E217" s="535">
        <f t="shared" si="0"/>
        <v>0.68802521866246358</v>
      </c>
      <c r="F217" s="535">
        <v>0.31197478133753642</v>
      </c>
      <c r="G217" s="535">
        <v>0</v>
      </c>
      <c r="AK217" s="2"/>
      <c r="AL217"/>
    </row>
    <row r="218" spans="1:38" hidden="1" x14ac:dyDescent="0.35"/>
    <row r="219" spans="1:38" ht="28.75" hidden="1" customHeight="1" x14ac:dyDescent="0.35">
      <c r="A219" s="442" t="s">
        <v>2019</v>
      </c>
    </row>
    <row r="220" spans="1:38" hidden="1" x14ac:dyDescent="0.35">
      <c r="A220" s="14" t="s">
        <v>125</v>
      </c>
      <c r="B220" s="20" t="s">
        <v>2020</v>
      </c>
    </row>
    <row r="221" spans="1:38" hidden="1" x14ac:dyDescent="0.35">
      <c r="A221" s="74" t="s">
        <v>380</v>
      </c>
      <c r="B221" s="57" t="s">
        <v>128</v>
      </c>
    </row>
    <row r="222" spans="1:38" hidden="1" x14ac:dyDescent="0.35">
      <c r="A222" s="74" t="s">
        <v>127</v>
      </c>
      <c r="B222" s="36">
        <v>0</v>
      </c>
    </row>
    <row r="223" spans="1:38" hidden="1" x14ac:dyDescent="0.35"/>
    <row r="224" spans="1:38" hidden="1" x14ac:dyDescent="0.35">
      <c r="A224" s="448" t="s">
        <v>2021</v>
      </c>
    </row>
    <row r="225" spans="1:38" hidden="1" x14ac:dyDescent="0.35">
      <c r="A225" s="4" t="s">
        <v>2022</v>
      </c>
      <c r="B225" s="52">
        <v>2015</v>
      </c>
      <c r="C225" s="52">
        <v>2025</v>
      </c>
      <c r="D225" s="52">
        <v>2030</v>
      </c>
      <c r="E225" s="52">
        <v>2040</v>
      </c>
      <c r="F225" s="52">
        <v>2050</v>
      </c>
      <c r="G225" s="52">
        <v>2070</v>
      </c>
      <c r="AK225" s="2"/>
      <c r="AL225"/>
    </row>
    <row r="226" spans="1:38" hidden="1" x14ac:dyDescent="0.35">
      <c r="A226" s="41" t="s">
        <v>143</v>
      </c>
      <c r="B226" s="40">
        <v>0</v>
      </c>
      <c r="C226" s="40">
        <v>0</v>
      </c>
      <c r="D226" s="40">
        <v>0</v>
      </c>
      <c r="E226" s="40">
        <v>0</v>
      </c>
      <c r="F226" s="40">
        <v>0</v>
      </c>
      <c r="G226" s="40">
        <v>0</v>
      </c>
      <c r="AK226" s="2"/>
      <c r="AL226"/>
    </row>
    <row r="227" spans="1:38" hidden="1" x14ac:dyDescent="0.35">
      <c r="A227" s="41" t="s">
        <v>83</v>
      </c>
      <c r="B227" s="40">
        <v>0</v>
      </c>
      <c r="C227" s="40">
        <v>0</v>
      </c>
      <c r="D227" s="40">
        <v>0</v>
      </c>
      <c r="E227" s="40">
        <v>0</v>
      </c>
      <c r="F227" s="40">
        <v>0</v>
      </c>
      <c r="G227" s="40">
        <v>0</v>
      </c>
      <c r="AK227" s="2"/>
      <c r="AL227"/>
    </row>
    <row r="228" spans="1:38" hidden="1" x14ac:dyDescent="0.35">
      <c r="A228" s="41" t="s">
        <v>144</v>
      </c>
      <c r="B228" s="40">
        <v>0</v>
      </c>
      <c r="C228" s="40">
        <v>0</v>
      </c>
      <c r="D228" s="40">
        <v>0</v>
      </c>
      <c r="E228" s="40">
        <v>0</v>
      </c>
      <c r="F228" s="40">
        <v>0</v>
      </c>
      <c r="G228" s="40">
        <v>0</v>
      </c>
      <c r="AK228" s="2"/>
      <c r="AL228"/>
    </row>
    <row r="229" spans="1:38" hidden="1" x14ac:dyDescent="0.35">
      <c r="A229" s="41" t="s">
        <v>164</v>
      </c>
      <c r="B229" s="40">
        <v>0</v>
      </c>
      <c r="C229" s="40">
        <v>0</v>
      </c>
      <c r="D229" s="40">
        <v>0</v>
      </c>
      <c r="E229" s="40">
        <v>0</v>
      </c>
      <c r="F229" s="40">
        <v>0</v>
      </c>
      <c r="G229" s="40">
        <v>0</v>
      </c>
      <c r="AK229" s="2"/>
      <c r="AL229"/>
    </row>
    <row r="230" spans="1:38" hidden="1" x14ac:dyDescent="0.35">
      <c r="A230" s="41" t="s">
        <v>145</v>
      </c>
      <c r="B230" s="40">
        <v>0</v>
      </c>
      <c r="C230" s="40">
        <v>0</v>
      </c>
      <c r="D230" s="40">
        <v>0</v>
      </c>
      <c r="E230" s="40">
        <v>0</v>
      </c>
      <c r="F230" s="40">
        <v>0</v>
      </c>
      <c r="G230" s="40">
        <v>0</v>
      </c>
      <c r="AK230" s="2"/>
      <c r="AL230"/>
    </row>
    <row r="231" spans="1:38" hidden="1" x14ac:dyDescent="0.35">
      <c r="A231" s="41" t="s">
        <v>87</v>
      </c>
      <c r="B231" s="40">
        <v>0</v>
      </c>
      <c r="C231" s="40">
        <v>0</v>
      </c>
      <c r="D231" s="40">
        <v>0</v>
      </c>
      <c r="E231" s="40">
        <v>0</v>
      </c>
      <c r="F231" s="40">
        <v>0</v>
      </c>
      <c r="G231" s="40">
        <v>0</v>
      </c>
      <c r="AK231" s="2"/>
      <c r="AL231"/>
    </row>
    <row r="232" spans="1:38" hidden="1" x14ac:dyDescent="0.35">
      <c r="A232" s="41" t="s">
        <v>146</v>
      </c>
      <c r="B232" s="40">
        <v>0</v>
      </c>
      <c r="C232" s="40">
        <v>0</v>
      </c>
      <c r="D232" s="40">
        <v>0</v>
      </c>
      <c r="E232" s="40">
        <v>0</v>
      </c>
      <c r="F232" s="40">
        <v>0</v>
      </c>
      <c r="G232" s="40">
        <v>0</v>
      </c>
      <c r="AK232" s="2"/>
      <c r="AL232"/>
    </row>
    <row r="233" spans="1:38" hidden="1" x14ac:dyDescent="0.35">
      <c r="A233" s="41" t="s">
        <v>89</v>
      </c>
      <c r="B233" s="40">
        <v>0</v>
      </c>
      <c r="C233" s="40">
        <v>0</v>
      </c>
      <c r="D233" s="40">
        <v>0</v>
      </c>
      <c r="E233" s="40">
        <v>0</v>
      </c>
      <c r="F233" s="40">
        <v>0</v>
      </c>
      <c r="G233" s="40">
        <v>0</v>
      </c>
      <c r="AK233" s="2"/>
      <c r="AL233"/>
    </row>
    <row r="234" spans="1:38" hidden="1" x14ac:dyDescent="0.35">
      <c r="A234" s="41" t="s">
        <v>90</v>
      </c>
      <c r="B234" s="40">
        <v>0</v>
      </c>
      <c r="C234" s="40">
        <v>0</v>
      </c>
      <c r="D234" s="40">
        <v>0</v>
      </c>
      <c r="E234" s="40">
        <v>0</v>
      </c>
      <c r="F234" s="40">
        <v>0</v>
      </c>
      <c r="G234" s="40">
        <v>0</v>
      </c>
      <c r="AK234" s="2"/>
      <c r="AL234"/>
    </row>
    <row r="235" spans="1:38" hidden="1" x14ac:dyDescent="0.35">
      <c r="AK235" s="2"/>
      <c r="AL235"/>
    </row>
    <row r="236" spans="1:38" hidden="1" x14ac:dyDescent="0.35">
      <c r="A236" s="448" t="s">
        <v>2023</v>
      </c>
      <c r="AK236" s="2"/>
      <c r="AL236"/>
    </row>
    <row r="237" spans="1:38" hidden="1" x14ac:dyDescent="0.35">
      <c r="A237" s="4" t="s">
        <v>2022</v>
      </c>
      <c r="B237" s="52">
        <v>2015</v>
      </c>
      <c r="C237" s="52">
        <v>2025</v>
      </c>
      <c r="D237" s="52">
        <v>2030</v>
      </c>
      <c r="E237" s="52">
        <v>2040</v>
      </c>
      <c r="F237" s="52">
        <v>2050</v>
      </c>
      <c r="G237" s="52">
        <v>2070</v>
      </c>
      <c r="AK237" s="2"/>
      <c r="AL237"/>
    </row>
    <row r="238" spans="1:38" hidden="1" x14ac:dyDescent="0.35">
      <c r="A238" s="41" t="s">
        <v>143</v>
      </c>
      <c r="B238" s="40">
        <v>0</v>
      </c>
      <c r="C238" s="40">
        <v>0</v>
      </c>
      <c r="D238" s="40">
        <v>0</v>
      </c>
      <c r="E238" s="40">
        <v>0</v>
      </c>
      <c r="F238" s="40">
        <v>0</v>
      </c>
      <c r="G238" s="40">
        <v>0</v>
      </c>
      <c r="AK238" s="2"/>
      <c r="AL238"/>
    </row>
    <row r="239" spans="1:38" hidden="1" x14ac:dyDescent="0.35">
      <c r="A239" s="41" t="s">
        <v>83</v>
      </c>
      <c r="B239" s="40">
        <v>0</v>
      </c>
      <c r="C239" s="40">
        <v>0</v>
      </c>
      <c r="D239" s="40">
        <v>0</v>
      </c>
      <c r="E239" s="40">
        <v>0</v>
      </c>
      <c r="F239" s="40">
        <v>0</v>
      </c>
      <c r="G239" s="40">
        <v>0</v>
      </c>
      <c r="AK239" s="2"/>
      <c r="AL239"/>
    </row>
    <row r="240" spans="1:38" hidden="1" x14ac:dyDescent="0.35">
      <c r="A240" s="41" t="s">
        <v>144</v>
      </c>
      <c r="B240" s="40">
        <v>0</v>
      </c>
      <c r="C240" s="40">
        <v>0</v>
      </c>
      <c r="D240" s="40">
        <v>0</v>
      </c>
      <c r="E240" s="40">
        <v>0</v>
      </c>
      <c r="F240" s="40">
        <v>0</v>
      </c>
      <c r="G240" s="40">
        <v>0</v>
      </c>
      <c r="AK240" s="2"/>
      <c r="AL240"/>
    </row>
    <row r="241" spans="1:38" hidden="1" x14ac:dyDescent="0.35">
      <c r="A241" s="41" t="s">
        <v>164</v>
      </c>
      <c r="B241" s="40">
        <v>0</v>
      </c>
      <c r="C241" s="40">
        <v>0</v>
      </c>
      <c r="D241" s="40">
        <v>0</v>
      </c>
      <c r="E241" s="40">
        <v>0</v>
      </c>
      <c r="F241" s="40">
        <v>0</v>
      </c>
      <c r="G241" s="40">
        <v>0</v>
      </c>
      <c r="AK241" s="2"/>
      <c r="AL241"/>
    </row>
    <row r="242" spans="1:38" hidden="1" x14ac:dyDescent="0.35">
      <c r="A242" s="41" t="s">
        <v>145</v>
      </c>
      <c r="B242" s="40">
        <v>0</v>
      </c>
      <c r="C242" s="40">
        <v>0</v>
      </c>
      <c r="D242" s="40">
        <v>0</v>
      </c>
      <c r="E242" s="40">
        <v>0</v>
      </c>
      <c r="F242" s="40">
        <v>0</v>
      </c>
      <c r="G242" s="40">
        <v>0</v>
      </c>
      <c r="AK242" s="2"/>
      <c r="AL242"/>
    </row>
    <row r="243" spans="1:38" hidden="1" x14ac:dyDescent="0.35">
      <c r="A243" s="41" t="s">
        <v>87</v>
      </c>
      <c r="B243" s="40">
        <v>0</v>
      </c>
      <c r="C243" s="40">
        <v>0</v>
      </c>
      <c r="D243" s="40">
        <v>0</v>
      </c>
      <c r="E243" s="40">
        <v>0</v>
      </c>
      <c r="F243" s="40">
        <v>0</v>
      </c>
      <c r="G243" s="40">
        <v>0</v>
      </c>
      <c r="AK243" s="2"/>
      <c r="AL243"/>
    </row>
    <row r="244" spans="1:38" hidden="1" x14ac:dyDescent="0.35">
      <c r="A244" s="41" t="s">
        <v>146</v>
      </c>
      <c r="B244" s="40">
        <v>0</v>
      </c>
      <c r="C244" s="40">
        <v>0</v>
      </c>
      <c r="D244" s="40">
        <v>0</v>
      </c>
      <c r="E244" s="40">
        <v>0</v>
      </c>
      <c r="F244" s="40">
        <v>0</v>
      </c>
      <c r="G244" s="40">
        <v>0</v>
      </c>
      <c r="AK244" s="2"/>
      <c r="AL244"/>
    </row>
    <row r="245" spans="1:38" hidden="1" x14ac:dyDescent="0.35">
      <c r="A245" s="41" t="s">
        <v>89</v>
      </c>
      <c r="B245" s="40">
        <v>0</v>
      </c>
      <c r="C245" s="40">
        <v>0</v>
      </c>
      <c r="D245" s="40">
        <v>0</v>
      </c>
      <c r="E245" s="40">
        <v>0</v>
      </c>
      <c r="F245" s="40">
        <v>0</v>
      </c>
      <c r="G245" s="40">
        <v>0</v>
      </c>
      <c r="AK245" s="2"/>
      <c r="AL245"/>
    </row>
    <row r="246" spans="1:38" hidden="1" x14ac:dyDescent="0.35">
      <c r="A246" s="41" t="s">
        <v>90</v>
      </c>
      <c r="B246" s="40">
        <v>0</v>
      </c>
      <c r="C246" s="40">
        <v>0</v>
      </c>
      <c r="D246" s="40">
        <v>0</v>
      </c>
      <c r="E246" s="40">
        <v>0</v>
      </c>
      <c r="F246" s="40">
        <v>0</v>
      </c>
      <c r="G246" s="40">
        <v>0</v>
      </c>
      <c r="AK246" s="2"/>
      <c r="AL246"/>
    </row>
    <row r="247" spans="1:38" hidden="1" x14ac:dyDescent="0.35">
      <c r="A247" s="449" t="s">
        <v>2024</v>
      </c>
      <c r="B247" s="450">
        <f t="shared" ref="B247:G247" si="1">SUM(B238:B246)</f>
        <v>0</v>
      </c>
      <c r="C247" s="450">
        <f t="shared" si="1"/>
        <v>0</v>
      </c>
      <c r="D247" s="450">
        <f t="shared" si="1"/>
        <v>0</v>
      </c>
      <c r="E247" s="450">
        <f t="shared" si="1"/>
        <v>0</v>
      </c>
      <c r="F247" s="450">
        <f t="shared" si="1"/>
        <v>0</v>
      </c>
      <c r="G247" s="450">
        <f t="shared" si="1"/>
        <v>0</v>
      </c>
      <c r="AK247" s="2"/>
      <c r="AL247"/>
    </row>
    <row r="249" spans="1:38" s="48" customFormat="1" ht="14.5" customHeight="1" x14ac:dyDescent="0.35">
      <c r="A249" s="451" t="s">
        <v>1004</v>
      </c>
    </row>
    <row r="250" spans="1:38" x14ac:dyDescent="0.35">
      <c r="A250" s="443" t="s">
        <v>1003</v>
      </c>
      <c r="B250" s="94" t="s">
        <v>143</v>
      </c>
      <c r="C250" s="95" t="s">
        <v>83</v>
      </c>
      <c r="D250" s="95" t="s">
        <v>144</v>
      </c>
      <c r="E250" s="95" t="s">
        <v>164</v>
      </c>
      <c r="F250" s="95" t="s">
        <v>145</v>
      </c>
      <c r="G250" s="95" t="s">
        <v>87</v>
      </c>
      <c r="H250" s="95" t="s">
        <v>146</v>
      </c>
      <c r="I250" s="95" t="s">
        <v>89</v>
      </c>
      <c r="J250" s="95" t="s">
        <v>90</v>
      </c>
    </row>
    <row r="251" spans="1:38" x14ac:dyDescent="0.35">
      <c r="A251" s="452" t="s">
        <v>620</v>
      </c>
      <c r="B251" s="122" t="s">
        <v>548</v>
      </c>
      <c r="C251" s="122" t="s">
        <v>548</v>
      </c>
      <c r="D251" s="122" t="s">
        <v>548</v>
      </c>
      <c r="E251" s="122" t="s">
        <v>548</v>
      </c>
      <c r="F251" s="122" t="s">
        <v>548</v>
      </c>
      <c r="G251" s="122" t="s">
        <v>548</v>
      </c>
      <c r="H251" s="122" t="s">
        <v>548</v>
      </c>
      <c r="I251" s="122" t="s">
        <v>548</v>
      </c>
      <c r="J251" s="122" t="s">
        <v>548</v>
      </c>
    </row>
    <row r="252" spans="1:38" x14ac:dyDescent="0.35">
      <c r="A252" s="507" t="s">
        <v>257</v>
      </c>
      <c r="B252" s="353">
        <v>0</v>
      </c>
      <c r="C252" s="353">
        <v>0</v>
      </c>
      <c r="D252" s="353">
        <v>0</v>
      </c>
      <c r="E252" s="353">
        <v>0</v>
      </c>
      <c r="F252" s="353">
        <v>0</v>
      </c>
      <c r="G252" s="353">
        <v>0</v>
      </c>
      <c r="H252" s="353">
        <v>0</v>
      </c>
      <c r="I252" s="353">
        <v>0</v>
      </c>
      <c r="J252" s="353">
        <v>0</v>
      </c>
    </row>
    <row r="253" spans="1:38" x14ac:dyDescent="0.35">
      <c r="A253" s="507" t="s">
        <v>258</v>
      </c>
      <c r="B253" s="353">
        <v>0</v>
      </c>
      <c r="C253" s="353">
        <v>0</v>
      </c>
      <c r="D253" s="353">
        <v>0</v>
      </c>
      <c r="E253" s="353">
        <v>0</v>
      </c>
      <c r="F253" s="353">
        <v>0</v>
      </c>
      <c r="G253" s="353">
        <v>0</v>
      </c>
      <c r="H253" s="353">
        <v>0</v>
      </c>
      <c r="I253" s="353">
        <v>0</v>
      </c>
      <c r="J253" s="353">
        <v>0</v>
      </c>
    </row>
    <row r="254" spans="1:38" x14ac:dyDescent="0.35">
      <c r="A254" s="507" t="s">
        <v>259</v>
      </c>
      <c r="B254" s="353">
        <v>0</v>
      </c>
      <c r="C254" s="353">
        <v>0</v>
      </c>
      <c r="D254" s="353">
        <v>0</v>
      </c>
      <c r="E254" s="353">
        <v>0</v>
      </c>
      <c r="F254" s="353">
        <v>0</v>
      </c>
      <c r="G254" s="353">
        <v>0</v>
      </c>
      <c r="H254" s="353">
        <v>0</v>
      </c>
      <c r="I254" s="353">
        <v>0</v>
      </c>
      <c r="J254" s="353">
        <v>0</v>
      </c>
    </row>
    <row r="255" spans="1:38" x14ac:dyDescent="0.35">
      <c r="A255" s="507" t="s">
        <v>260</v>
      </c>
      <c r="B255" s="353">
        <v>0</v>
      </c>
      <c r="C255" s="353">
        <v>0</v>
      </c>
      <c r="D255" s="353">
        <v>0</v>
      </c>
      <c r="E255" s="353">
        <v>0</v>
      </c>
      <c r="F255" s="353">
        <v>0</v>
      </c>
      <c r="G255" s="353">
        <v>0</v>
      </c>
      <c r="H255" s="353">
        <v>0</v>
      </c>
      <c r="I255" s="353">
        <v>0</v>
      </c>
      <c r="J255" s="353">
        <v>0</v>
      </c>
    </row>
    <row r="256" spans="1:38" x14ac:dyDescent="0.35">
      <c r="A256" s="507" t="s">
        <v>261</v>
      </c>
      <c r="B256" s="353">
        <v>0</v>
      </c>
      <c r="C256" s="353">
        <v>0</v>
      </c>
      <c r="D256" s="353">
        <v>0</v>
      </c>
      <c r="E256" s="353">
        <v>0</v>
      </c>
      <c r="F256" s="353">
        <v>0</v>
      </c>
      <c r="G256" s="353">
        <v>0</v>
      </c>
      <c r="H256" s="353">
        <v>0</v>
      </c>
      <c r="I256" s="353">
        <v>0</v>
      </c>
      <c r="J256" s="353">
        <v>0</v>
      </c>
    </row>
    <row r="257" spans="1:10" x14ac:dyDescent="0.35">
      <c r="A257" s="507" t="s">
        <v>262</v>
      </c>
      <c r="B257" s="353">
        <v>0</v>
      </c>
      <c r="C257" s="353">
        <v>0</v>
      </c>
      <c r="D257" s="353">
        <v>0</v>
      </c>
      <c r="E257" s="353">
        <v>0</v>
      </c>
      <c r="F257" s="353">
        <v>0</v>
      </c>
      <c r="G257" s="353">
        <v>0</v>
      </c>
      <c r="H257" s="353">
        <v>0</v>
      </c>
      <c r="I257" s="353">
        <v>0</v>
      </c>
      <c r="J257" s="353">
        <v>0</v>
      </c>
    </row>
    <row r="258" spans="1:10" x14ac:dyDescent="0.35">
      <c r="A258" s="507" t="s">
        <v>263</v>
      </c>
      <c r="B258" s="353">
        <v>0</v>
      </c>
      <c r="C258" s="353">
        <v>0</v>
      </c>
      <c r="D258" s="353">
        <v>0</v>
      </c>
      <c r="E258" s="353">
        <v>0</v>
      </c>
      <c r="F258" s="353">
        <v>0</v>
      </c>
      <c r="G258" s="353">
        <v>0</v>
      </c>
      <c r="H258" s="353">
        <v>0</v>
      </c>
      <c r="I258" s="353">
        <v>0</v>
      </c>
      <c r="J258" s="353">
        <v>0</v>
      </c>
    </row>
    <row r="259" spans="1:10" x14ac:dyDescent="0.35">
      <c r="A259" s="507" t="s">
        <v>264</v>
      </c>
      <c r="B259" s="353">
        <v>0</v>
      </c>
      <c r="C259" s="353">
        <v>0</v>
      </c>
      <c r="D259" s="353">
        <v>0</v>
      </c>
      <c r="E259" s="353">
        <v>0</v>
      </c>
      <c r="F259" s="353">
        <v>0</v>
      </c>
      <c r="G259" s="353">
        <v>0</v>
      </c>
      <c r="H259" s="353">
        <v>0</v>
      </c>
      <c r="I259" s="353">
        <v>0</v>
      </c>
      <c r="J259" s="353">
        <v>0</v>
      </c>
    </row>
    <row r="260" spans="1:10" x14ac:dyDescent="0.35">
      <c r="A260" s="507" t="s">
        <v>265</v>
      </c>
      <c r="B260" s="353">
        <v>0</v>
      </c>
      <c r="C260" s="353">
        <v>0</v>
      </c>
      <c r="D260" s="353">
        <v>0</v>
      </c>
      <c r="E260" s="353">
        <v>0</v>
      </c>
      <c r="F260" s="353">
        <v>0</v>
      </c>
      <c r="G260" s="353">
        <v>0</v>
      </c>
      <c r="H260" s="353">
        <v>0</v>
      </c>
      <c r="I260" s="353">
        <v>0</v>
      </c>
      <c r="J260" s="353">
        <v>0</v>
      </c>
    </row>
    <row r="261" spans="1:10" x14ac:dyDescent="0.35">
      <c r="A261" s="507" t="s">
        <v>266</v>
      </c>
      <c r="B261" s="353">
        <v>0</v>
      </c>
      <c r="C261" s="353">
        <v>0</v>
      </c>
      <c r="D261" s="353">
        <v>0</v>
      </c>
      <c r="E261" s="353">
        <v>0</v>
      </c>
      <c r="F261" s="353">
        <v>0</v>
      </c>
      <c r="G261" s="353">
        <v>0</v>
      </c>
      <c r="H261" s="353">
        <v>0</v>
      </c>
      <c r="I261" s="353">
        <v>0</v>
      </c>
      <c r="J261" s="353">
        <v>0</v>
      </c>
    </row>
    <row r="262" spans="1:10" x14ac:dyDescent="0.35">
      <c r="A262" s="507" t="s">
        <v>267</v>
      </c>
      <c r="B262" s="353">
        <v>0</v>
      </c>
      <c r="C262" s="353">
        <v>0</v>
      </c>
      <c r="D262" s="353">
        <v>0</v>
      </c>
      <c r="E262" s="353">
        <v>0</v>
      </c>
      <c r="F262" s="353">
        <v>0</v>
      </c>
      <c r="G262" s="353">
        <v>0</v>
      </c>
      <c r="H262" s="353">
        <v>0</v>
      </c>
      <c r="I262" s="353">
        <v>0</v>
      </c>
      <c r="J262" s="353">
        <v>0</v>
      </c>
    </row>
    <row r="263" spans="1:10" x14ac:dyDescent="0.35">
      <c r="A263" s="507" t="s">
        <v>268</v>
      </c>
      <c r="B263" s="353">
        <v>0</v>
      </c>
      <c r="C263" s="353">
        <v>0</v>
      </c>
      <c r="D263" s="353">
        <v>0</v>
      </c>
      <c r="E263" s="353">
        <v>0</v>
      </c>
      <c r="F263" s="353">
        <v>0</v>
      </c>
      <c r="G263" s="353">
        <v>0</v>
      </c>
      <c r="H263" s="353">
        <v>0</v>
      </c>
      <c r="I263" s="353">
        <v>0</v>
      </c>
      <c r="J263" s="353">
        <v>0</v>
      </c>
    </row>
    <row r="264" spans="1:10" x14ac:dyDescent="0.35">
      <c r="A264" s="507" t="s">
        <v>269</v>
      </c>
      <c r="B264" s="353">
        <v>0</v>
      </c>
      <c r="C264" s="353">
        <v>0</v>
      </c>
      <c r="D264" s="353">
        <v>0</v>
      </c>
      <c r="E264" s="353">
        <v>0</v>
      </c>
      <c r="F264" s="353">
        <v>0</v>
      </c>
      <c r="G264" s="353">
        <v>0</v>
      </c>
      <c r="H264" s="353">
        <v>0</v>
      </c>
      <c r="I264" s="353">
        <v>0</v>
      </c>
      <c r="J264" s="353">
        <v>0</v>
      </c>
    </row>
    <row r="265" spans="1:10" x14ac:dyDescent="0.35">
      <c r="A265" s="507" t="s">
        <v>270</v>
      </c>
      <c r="B265" s="353">
        <v>0</v>
      </c>
      <c r="C265" s="353">
        <v>0</v>
      </c>
      <c r="D265" s="353">
        <v>0</v>
      </c>
      <c r="E265" s="353">
        <v>0</v>
      </c>
      <c r="F265" s="353">
        <v>0</v>
      </c>
      <c r="G265" s="353">
        <v>0</v>
      </c>
      <c r="H265" s="353">
        <v>0</v>
      </c>
      <c r="I265" s="353">
        <v>0</v>
      </c>
      <c r="J265" s="353">
        <v>0</v>
      </c>
    </row>
    <row r="266" spans="1:10" x14ac:dyDescent="0.35">
      <c r="A266" s="507" t="s">
        <v>271</v>
      </c>
      <c r="B266" s="353">
        <v>0</v>
      </c>
      <c r="C266" s="353">
        <v>0</v>
      </c>
      <c r="D266" s="353">
        <v>0</v>
      </c>
      <c r="E266" s="353">
        <v>0</v>
      </c>
      <c r="F266" s="353">
        <v>0</v>
      </c>
      <c r="G266" s="353">
        <v>0</v>
      </c>
      <c r="H266" s="353">
        <v>0</v>
      </c>
      <c r="I266" s="353">
        <v>0</v>
      </c>
      <c r="J266" s="353">
        <v>0</v>
      </c>
    </row>
    <row r="267" spans="1:10" x14ac:dyDescent="0.35">
      <c r="A267" s="507" t="s">
        <v>272</v>
      </c>
      <c r="B267" s="353">
        <v>0</v>
      </c>
      <c r="C267" s="353">
        <v>0</v>
      </c>
      <c r="D267" s="353">
        <v>0</v>
      </c>
      <c r="E267" s="353">
        <v>0</v>
      </c>
      <c r="F267" s="353">
        <v>0</v>
      </c>
      <c r="G267" s="353">
        <v>0</v>
      </c>
      <c r="H267" s="353">
        <v>0</v>
      </c>
      <c r="I267" s="353">
        <v>0</v>
      </c>
      <c r="J267" s="353">
        <v>0</v>
      </c>
    </row>
    <row r="268" spans="1:10" x14ac:dyDescent="0.35">
      <c r="A268" s="507" t="s">
        <v>273</v>
      </c>
      <c r="B268" s="353">
        <v>0</v>
      </c>
      <c r="C268" s="353">
        <v>0</v>
      </c>
      <c r="D268" s="353">
        <v>0</v>
      </c>
      <c r="E268" s="353">
        <v>0</v>
      </c>
      <c r="F268" s="353">
        <v>0</v>
      </c>
      <c r="G268" s="353">
        <v>0</v>
      </c>
      <c r="H268" s="353">
        <v>0</v>
      </c>
      <c r="I268" s="353">
        <v>0</v>
      </c>
      <c r="J268" s="353">
        <v>0</v>
      </c>
    </row>
    <row r="269" spans="1:10" x14ac:dyDescent="0.35">
      <c r="A269" s="507" t="s">
        <v>274</v>
      </c>
      <c r="B269" s="353">
        <v>0</v>
      </c>
      <c r="C269" s="353">
        <v>0</v>
      </c>
      <c r="D269" s="353">
        <v>0</v>
      </c>
      <c r="E269" s="353">
        <v>0</v>
      </c>
      <c r="F269" s="353">
        <v>0</v>
      </c>
      <c r="G269" s="353">
        <v>0</v>
      </c>
      <c r="H269" s="353">
        <v>0</v>
      </c>
      <c r="I269" s="353">
        <v>0</v>
      </c>
      <c r="J269" s="353">
        <v>0</v>
      </c>
    </row>
    <row r="270" spans="1:10" x14ac:dyDescent="0.35">
      <c r="A270" s="507" t="s">
        <v>275</v>
      </c>
      <c r="B270" s="353">
        <v>0</v>
      </c>
      <c r="C270" s="353">
        <v>0</v>
      </c>
      <c r="D270" s="353">
        <v>0</v>
      </c>
      <c r="E270" s="353">
        <v>0</v>
      </c>
      <c r="F270" s="353">
        <v>0</v>
      </c>
      <c r="G270" s="353">
        <v>0</v>
      </c>
      <c r="H270" s="353">
        <v>0</v>
      </c>
      <c r="I270" s="353">
        <v>0</v>
      </c>
      <c r="J270" s="353">
        <v>0</v>
      </c>
    </row>
    <row r="271" spans="1:10" x14ac:dyDescent="0.35">
      <c r="A271" s="507" t="s">
        <v>276</v>
      </c>
      <c r="B271" s="353">
        <v>0</v>
      </c>
      <c r="C271" s="353">
        <v>0</v>
      </c>
      <c r="D271" s="353">
        <v>0</v>
      </c>
      <c r="E271" s="353">
        <v>0</v>
      </c>
      <c r="F271" s="353">
        <v>0</v>
      </c>
      <c r="G271" s="353">
        <v>0</v>
      </c>
      <c r="H271" s="353">
        <v>0</v>
      </c>
      <c r="I271" s="353">
        <v>0</v>
      </c>
      <c r="J271" s="353">
        <v>0</v>
      </c>
    </row>
    <row r="272" spans="1:10" x14ac:dyDescent="0.35">
      <c r="A272" s="507" t="s">
        <v>277</v>
      </c>
      <c r="B272" s="353">
        <v>0</v>
      </c>
      <c r="C272" s="353">
        <v>0</v>
      </c>
      <c r="D272" s="353">
        <v>0</v>
      </c>
      <c r="E272" s="353">
        <v>0</v>
      </c>
      <c r="F272" s="353">
        <v>0</v>
      </c>
      <c r="G272" s="353">
        <v>0</v>
      </c>
      <c r="H272" s="353">
        <v>0</v>
      </c>
      <c r="I272" s="353">
        <v>0</v>
      </c>
      <c r="J272" s="353">
        <v>0</v>
      </c>
    </row>
    <row r="273" spans="1:10" x14ac:dyDescent="0.35">
      <c r="A273" s="507" t="s">
        <v>278</v>
      </c>
      <c r="B273" s="353">
        <v>0</v>
      </c>
      <c r="C273" s="353">
        <v>0</v>
      </c>
      <c r="D273" s="353">
        <v>0</v>
      </c>
      <c r="E273" s="353">
        <v>0</v>
      </c>
      <c r="F273" s="353">
        <v>0</v>
      </c>
      <c r="G273" s="353">
        <v>0</v>
      </c>
      <c r="H273" s="353">
        <v>0</v>
      </c>
      <c r="I273" s="353">
        <v>0</v>
      </c>
      <c r="J273" s="353">
        <v>0</v>
      </c>
    </row>
    <row r="274" spans="1:10" x14ac:dyDescent="0.35">
      <c r="A274" s="507" t="s">
        <v>279</v>
      </c>
      <c r="B274" s="353">
        <v>0</v>
      </c>
      <c r="C274" s="353">
        <v>0</v>
      </c>
      <c r="D274" s="353">
        <v>0</v>
      </c>
      <c r="E274" s="353">
        <v>0</v>
      </c>
      <c r="F274" s="353">
        <v>0</v>
      </c>
      <c r="G274" s="353">
        <v>0</v>
      </c>
      <c r="H274" s="353">
        <v>0</v>
      </c>
      <c r="I274" s="353">
        <v>0</v>
      </c>
      <c r="J274" s="353">
        <v>0</v>
      </c>
    </row>
    <row r="275" spans="1:10" x14ac:dyDescent="0.35">
      <c r="A275" s="507" t="s">
        <v>280</v>
      </c>
      <c r="B275" s="353">
        <v>0</v>
      </c>
      <c r="C275" s="353">
        <v>0</v>
      </c>
      <c r="D275" s="353">
        <v>0</v>
      </c>
      <c r="E275" s="353">
        <v>0</v>
      </c>
      <c r="F275" s="353">
        <v>0</v>
      </c>
      <c r="G275" s="353">
        <v>0</v>
      </c>
      <c r="H275" s="353">
        <v>0</v>
      </c>
      <c r="I275" s="353">
        <v>0</v>
      </c>
      <c r="J275" s="353">
        <v>0</v>
      </c>
    </row>
    <row r="276" spans="1:10" x14ac:dyDescent="0.35">
      <c r="A276" s="507" t="s">
        <v>281</v>
      </c>
      <c r="B276" s="353">
        <v>0</v>
      </c>
      <c r="C276" s="353">
        <v>0</v>
      </c>
      <c r="D276" s="353">
        <v>0</v>
      </c>
      <c r="E276" s="353">
        <v>0</v>
      </c>
      <c r="F276" s="353">
        <v>0</v>
      </c>
      <c r="G276" s="353">
        <v>0</v>
      </c>
      <c r="H276" s="353">
        <v>0</v>
      </c>
      <c r="I276" s="353">
        <v>0</v>
      </c>
      <c r="J276" s="353">
        <v>0</v>
      </c>
    </row>
    <row r="277" spans="1:10" x14ac:dyDescent="0.35">
      <c r="A277" s="507" t="s">
        <v>282</v>
      </c>
      <c r="B277" s="353">
        <v>0</v>
      </c>
      <c r="C277" s="353">
        <v>0</v>
      </c>
      <c r="D277" s="353">
        <v>0</v>
      </c>
      <c r="E277" s="353">
        <v>0</v>
      </c>
      <c r="F277" s="353">
        <v>0</v>
      </c>
      <c r="G277" s="353">
        <v>0</v>
      </c>
      <c r="H277" s="353">
        <v>0</v>
      </c>
      <c r="I277" s="353">
        <v>0</v>
      </c>
      <c r="J277" s="353">
        <v>0</v>
      </c>
    </row>
    <row r="278" spans="1:10" x14ac:dyDescent="0.35">
      <c r="A278" s="507" t="s">
        <v>283</v>
      </c>
      <c r="B278" s="353">
        <v>0</v>
      </c>
      <c r="C278" s="353">
        <v>0</v>
      </c>
      <c r="D278" s="353">
        <v>0</v>
      </c>
      <c r="E278" s="353">
        <v>0</v>
      </c>
      <c r="F278" s="353">
        <v>0</v>
      </c>
      <c r="G278" s="353">
        <v>0</v>
      </c>
      <c r="H278" s="353">
        <v>0</v>
      </c>
      <c r="I278" s="353">
        <v>0</v>
      </c>
      <c r="J278" s="353">
        <v>0</v>
      </c>
    </row>
    <row r="279" spans="1:10" x14ac:dyDescent="0.35">
      <c r="A279" s="507" t="s">
        <v>284</v>
      </c>
      <c r="B279" s="353">
        <v>0</v>
      </c>
      <c r="C279" s="353">
        <v>0</v>
      </c>
      <c r="D279" s="353">
        <v>0</v>
      </c>
      <c r="E279" s="353">
        <v>0</v>
      </c>
      <c r="F279" s="353">
        <v>0</v>
      </c>
      <c r="G279" s="353">
        <v>0</v>
      </c>
      <c r="H279" s="353">
        <v>0</v>
      </c>
      <c r="I279" s="353">
        <v>0</v>
      </c>
      <c r="J279" s="353">
        <v>0</v>
      </c>
    </row>
    <row r="280" spans="1:10" x14ac:dyDescent="0.35">
      <c r="A280" s="507" t="s">
        <v>285</v>
      </c>
      <c r="B280" s="353">
        <v>0</v>
      </c>
      <c r="C280" s="353">
        <v>0</v>
      </c>
      <c r="D280" s="353">
        <v>0</v>
      </c>
      <c r="E280" s="353">
        <v>0</v>
      </c>
      <c r="F280" s="353">
        <v>0</v>
      </c>
      <c r="G280" s="353">
        <v>0</v>
      </c>
      <c r="H280" s="353">
        <v>0</v>
      </c>
      <c r="I280" s="353">
        <v>0</v>
      </c>
      <c r="J280" s="353">
        <v>0</v>
      </c>
    </row>
    <row r="281" spans="1:10" x14ac:dyDescent="0.35">
      <c r="A281" s="507" t="s">
        <v>286</v>
      </c>
      <c r="B281" s="353">
        <v>0</v>
      </c>
      <c r="C281" s="353">
        <v>0</v>
      </c>
      <c r="D281" s="353">
        <v>0</v>
      </c>
      <c r="E281" s="353">
        <v>0</v>
      </c>
      <c r="F281" s="353">
        <v>0</v>
      </c>
      <c r="G281" s="353">
        <v>0</v>
      </c>
      <c r="H281" s="353">
        <v>0</v>
      </c>
      <c r="I281" s="353">
        <v>0</v>
      </c>
      <c r="J281" s="353">
        <v>0</v>
      </c>
    </row>
    <row r="282" spans="1:10" x14ac:dyDescent="0.35">
      <c r="A282" s="507" t="s">
        <v>287</v>
      </c>
      <c r="B282" s="353">
        <v>0</v>
      </c>
      <c r="C282" s="353">
        <v>0</v>
      </c>
      <c r="D282" s="353">
        <v>0</v>
      </c>
      <c r="E282" s="353">
        <v>0</v>
      </c>
      <c r="F282" s="353">
        <v>0</v>
      </c>
      <c r="G282" s="353">
        <v>0</v>
      </c>
      <c r="H282" s="353">
        <v>0</v>
      </c>
      <c r="I282" s="353">
        <v>0</v>
      </c>
      <c r="J282" s="353">
        <v>0</v>
      </c>
    </row>
    <row r="283" spans="1:10" x14ac:dyDescent="0.35">
      <c r="A283" s="507" t="s">
        <v>288</v>
      </c>
      <c r="B283" s="353">
        <v>0</v>
      </c>
      <c r="C283" s="353">
        <v>0</v>
      </c>
      <c r="D283" s="353">
        <v>0</v>
      </c>
      <c r="E283" s="353">
        <v>0</v>
      </c>
      <c r="F283" s="353">
        <v>0</v>
      </c>
      <c r="G283" s="353">
        <v>0</v>
      </c>
      <c r="H283" s="353">
        <v>0</v>
      </c>
      <c r="I283" s="353">
        <v>0</v>
      </c>
      <c r="J283" s="353">
        <v>0</v>
      </c>
    </row>
    <row r="284" spans="1:10" x14ac:dyDescent="0.35">
      <c r="A284" s="507" t="s">
        <v>289</v>
      </c>
      <c r="B284" s="353">
        <v>0</v>
      </c>
      <c r="C284" s="353">
        <v>0</v>
      </c>
      <c r="D284" s="353">
        <v>0</v>
      </c>
      <c r="E284" s="353">
        <v>0</v>
      </c>
      <c r="F284" s="353">
        <v>0</v>
      </c>
      <c r="G284" s="353">
        <v>0</v>
      </c>
      <c r="H284" s="353">
        <v>0</v>
      </c>
      <c r="I284" s="353">
        <v>0</v>
      </c>
      <c r="J284" s="353">
        <v>0</v>
      </c>
    </row>
    <row r="285" spans="1:10" x14ac:dyDescent="0.35">
      <c r="A285" s="507" t="s">
        <v>290</v>
      </c>
      <c r="B285" s="353">
        <v>0</v>
      </c>
      <c r="C285" s="353">
        <v>0</v>
      </c>
      <c r="D285" s="353">
        <v>0</v>
      </c>
      <c r="E285" s="353">
        <v>0</v>
      </c>
      <c r="F285" s="353">
        <v>0</v>
      </c>
      <c r="G285" s="353">
        <v>0</v>
      </c>
      <c r="H285" s="353">
        <v>0</v>
      </c>
      <c r="I285" s="353">
        <v>0</v>
      </c>
      <c r="J285" s="353">
        <v>0</v>
      </c>
    </row>
    <row r="286" spans="1:10" x14ac:dyDescent="0.35">
      <c r="A286" s="507" t="s">
        <v>291</v>
      </c>
      <c r="B286" s="353">
        <v>0</v>
      </c>
      <c r="C286" s="353">
        <v>0</v>
      </c>
      <c r="D286" s="353">
        <v>0</v>
      </c>
      <c r="E286" s="353">
        <v>0</v>
      </c>
      <c r="F286" s="353">
        <v>0</v>
      </c>
      <c r="G286" s="353">
        <v>0</v>
      </c>
      <c r="H286" s="353">
        <v>0</v>
      </c>
      <c r="I286" s="353">
        <v>0</v>
      </c>
      <c r="J286" s="353">
        <v>0</v>
      </c>
    </row>
    <row r="287" spans="1:10" x14ac:dyDescent="0.35">
      <c r="A287" s="507" t="s">
        <v>292</v>
      </c>
      <c r="B287" s="353">
        <v>0</v>
      </c>
      <c r="C287" s="353">
        <v>0</v>
      </c>
      <c r="D287" s="353">
        <v>0</v>
      </c>
      <c r="E287" s="353">
        <v>0</v>
      </c>
      <c r="F287" s="353">
        <v>0</v>
      </c>
      <c r="G287" s="353">
        <v>0</v>
      </c>
      <c r="H287" s="353">
        <v>0</v>
      </c>
      <c r="I287" s="353">
        <v>0</v>
      </c>
      <c r="J287" s="353">
        <v>0</v>
      </c>
    </row>
    <row r="288" spans="1:10" x14ac:dyDescent="0.35">
      <c r="A288" s="507" t="s">
        <v>293</v>
      </c>
      <c r="B288" s="353">
        <v>0</v>
      </c>
      <c r="C288" s="353">
        <v>0</v>
      </c>
      <c r="D288" s="353">
        <v>0</v>
      </c>
      <c r="E288" s="353">
        <v>0</v>
      </c>
      <c r="F288" s="353">
        <v>0</v>
      </c>
      <c r="G288" s="353">
        <v>0</v>
      </c>
      <c r="H288" s="353">
        <v>0</v>
      </c>
      <c r="I288" s="353">
        <v>0</v>
      </c>
      <c r="J288" s="353">
        <v>0</v>
      </c>
    </row>
    <row r="289" spans="1:10" x14ac:dyDescent="0.35">
      <c r="A289" s="507" t="s">
        <v>294</v>
      </c>
      <c r="B289" s="353">
        <v>0</v>
      </c>
      <c r="C289" s="353">
        <v>0</v>
      </c>
      <c r="D289" s="353">
        <v>0</v>
      </c>
      <c r="E289" s="353">
        <v>0</v>
      </c>
      <c r="F289" s="353">
        <v>0</v>
      </c>
      <c r="G289" s="353">
        <v>0</v>
      </c>
      <c r="H289" s="353">
        <v>0</v>
      </c>
      <c r="I289" s="353">
        <v>0</v>
      </c>
      <c r="J289" s="353">
        <v>0</v>
      </c>
    </row>
    <row r="290" spans="1:10" x14ac:dyDescent="0.35">
      <c r="A290" s="507" t="s">
        <v>295</v>
      </c>
      <c r="B290" s="353">
        <v>0</v>
      </c>
      <c r="C290" s="353">
        <v>0</v>
      </c>
      <c r="D290" s="353">
        <v>0</v>
      </c>
      <c r="E290" s="353">
        <v>0</v>
      </c>
      <c r="F290" s="353">
        <v>0</v>
      </c>
      <c r="G290" s="353">
        <v>0</v>
      </c>
      <c r="H290" s="353">
        <v>0</v>
      </c>
      <c r="I290" s="353">
        <v>0</v>
      </c>
      <c r="J290" s="353">
        <v>0</v>
      </c>
    </row>
    <row r="291" spans="1:10" x14ac:dyDescent="0.35">
      <c r="A291" s="507" t="s">
        <v>296</v>
      </c>
      <c r="B291" s="353">
        <v>0</v>
      </c>
      <c r="C291" s="353">
        <v>0</v>
      </c>
      <c r="D291" s="353">
        <v>0</v>
      </c>
      <c r="E291" s="353">
        <v>0</v>
      </c>
      <c r="F291" s="353">
        <v>0</v>
      </c>
      <c r="G291" s="353">
        <v>0</v>
      </c>
      <c r="H291" s="353">
        <v>0</v>
      </c>
      <c r="I291" s="353">
        <v>0</v>
      </c>
      <c r="J291" s="353">
        <v>0</v>
      </c>
    </row>
    <row r="292" spans="1:10" x14ac:dyDescent="0.35">
      <c r="A292" s="507" t="s">
        <v>297</v>
      </c>
      <c r="B292" s="353">
        <v>0</v>
      </c>
      <c r="C292" s="353">
        <v>0</v>
      </c>
      <c r="D292" s="353">
        <v>0</v>
      </c>
      <c r="E292" s="353">
        <v>0</v>
      </c>
      <c r="F292" s="353">
        <v>0</v>
      </c>
      <c r="G292" s="353">
        <v>0</v>
      </c>
      <c r="H292" s="353">
        <v>0</v>
      </c>
      <c r="I292" s="353">
        <v>0</v>
      </c>
      <c r="J292" s="353">
        <v>0</v>
      </c>
    </row>
    <row r="293" spans="1:10" x14ac:dyDescent="0.35">
      <c r="A293" s="507" t="s">
        <v>298</v>
      </c>
      <c r="B293" s="353">
        <v>0</v>
      </c>
      <c r="C293" s="353">
        <v>0</v>
      </c>
      <c r="D293" s="353">
        <v>0</v>
      </c>
      <c r="E293" s="353">
        <v>0</v>
      </c>
      <c r="F293" s="353">
        <v>0</v>
      </c>
      <c r="G293" s="353">
        <v>0</v>
      </c>
      <c r="H293" s="353">
        <v>0</v>
      </c>
      <c r="I293" s="353">
        <v>0</v>
      </c>
      <c r="J293" s="353">
        <v>0</v>
      </c>
    </row>
    <row r="294" spans="1:10" s="48" customFormat="1" ht="14.5" customHeight="1" x14ac:dyDescent="0.35"/>
    <row r="295" spans="1:10" s="48" customFormat="1" ht="14.5" customHeight="1" x14ac:dyDescent="0.35">
      <c r="A295" s="14" t="s">
        <v>649</v>
      </c>
      <c r="B295" s="52" t="s">
        <v>1600</v>
      </c>
    </row>
    <row r="296" spans="1:10" s="48" customFormat="1" ht="14.5" customHeight="1" x14ac:dyDescent="0.35">
      <c r="A296" s="74" t="s">
        <v>380</v>
      </c>
      <c r="B296" s="57" t="s">
        <v>12</v>
      </c>
    </row>
    <row r="297" spans="1:10" s="48" customFormat="1" ht="14.5" customHeight="1" x14ac:dyDescent="0.35">
      <c r="A297" s="74" t="s">
        <v>127</v>
      </c>
      <c r="B297" s="36">
        <v>2025</v>
      </c>
    </row>
    <row r="298" spans="1:10" s="48" customFormat="1" ht="14.5" customHeight="1" x14ac:dyDescent="0.35"/>
    <row r="299" spans="1:10" s="48" customFormat="1" ht="14.5" customHeight="1" x14ac:dyDescent="0.35">
      <c r="A299" s="14" t="s">
        <v>649</v>
      </c>
      <c r="B299" s="52" t="s">
        <v>1603</v>
      </c>
    </row>
    <row r="300" spans="1:10" s="48" customFormat="1" ht="14.5" customHeight="1" x14ac:dyDescent="0.35">
      <c r="A300" s="74" t="s">
        <v>380</v>
      </c>
      <c r="B300" s="57" t="s">
        <v>12</v>
      </c>
    </row>
    <row r="301" spans="1:10" s="48" customFormat="1" ht="14.5" customHeight="1" x14ac:dyDescent="0.35">
      <c r="A301" s="74" t="s">
        <v>127</v>
      </c>
      <c r="B301" s="36">
        <v>2050</v>
      </c>
    </row>
    <row r="302" spans="1:10" s="48" customFormat="1" ht="14.5" customHeight="1" x14ac:dyDescent="0.35"/>
    <row r="303" spans="1:10" x14ac:dyDescent="0.35">
      <c r="A303" s="451" t="s">
        <v>401</v>
      </c>
      <c r="B303" s="48"/>
      <c r="C303" s="34" t="s">
        <v>849</v>
      </c>
      <c r="D303" s="454" t="s">
        <v>408</v>
      </c>
      <c r="E303" s="40">
        <v>0.12297864853236801</v>
      </c>
      <c r="F303" s="48"/>
      <c r="G303" s="48"/>
      <c r="H303" s="48"/>
      <c r="I303" s="48"/>
      <c r="J303" s="48"/>
    </row>
    <row r="304" spans="1:10" x14ac:dyDescent="0.35">
      <c r="A304" s="39" t="s">
        <v>398</v>
      </c>
      <c r="B304" s="94" t="s">
        <v>143</v>
      </c>
      <c r="C304" s="95" t="s">
        <v>83</v>
      </c>
      <c r="D304" s="95" t="s">
        <v>144</v>
      </c>
      <c r="E304" s="95" t="s">
        <v>164</v>
      </c>
      <c r="F304" s="95" t="s">
        <v>145</v>
      </c>
      <c r="G304" s="95" t="s">
        <v>87</v>
      </c>
      <c r="H304" s="95" t="s">
        <v>146</v>
      </c>
      <c r="I304" s="95" t="s">
        <v>89</v>
      </c>
      <c r="J304" s="95" t="s">
        <v>90</v>
      </c>
    </row>
    <row r="305" spans="1:10" x14ac:dyDescent="0.35">
      <c r="A305" s="453" t="s">
        <v>257</v>
      </c>
      <c r="B305" s="40">
        <v>0.957237</v>
      </c>
      <c r="C305" s="40">
        <v>0.27134200000000003</v>
      </c>
      <c r="D305" s="40">
        <v>0</v>
      </c>
      <c r="E305" s="40">
        <v>0.94188000000000005</v>
      </c>
      <c r="F305" s="40">
        <v>0.56201100000000004</v>
      </c>
      <c r="G305" s="40">
        <v>0.255328</v>
      </c>
      <c r="H305" s="40">
        <v>0.445996</v>
      </c>
      <c r="I305" s="40">
        <v>0.61514599999999997</v>
      </c>
      <c r="J305" s="40">
        <v>0.83686099999999997</v>
      </c>
    </row>
    <row r="306" spans="1:10" x14ac:dyDescent="0.35">
      <c r="A306" s="453" t="s">
        <v>258</v>
      </c>
      <c r="B306" s="40">
        <v>0.24531500000000001</v>
      </c>
      <c r="C306" s="40">
        <v>0.240619</v>
      </c>
      <c r="D306" s="40">
        <v>0.25442500000000001</v>
      </c>
      <c r="E306" s="40">
        <v>0.23471800000000001</v>
      </c>
      <c r="F306" s="40">
        <v>0.55263399999999996</v>
      </c>
      <c r="G306" s="40">
        <v>0.25106200000000001</v>
      </c>
      <c r="H306" s="40">
        <v>0.24277899999999999</v>
      </c>
      <c r="I306" s="40">
        <v>0.25583600000000001</v>
      </c>
      <c r="J306" s="40">
        <v>0.24240900000000001</v>
      </c>
    </row>
    <row r="307" spans="1:10" x14ac:dyDescent="0.35">
      <c r="A307" s="453" t="s">
        <v>259</v>
      </c>
      <c r="B307" s="40">
        <v>0.23925399999999999</v>
      </c>
      <c r="C307" s="40">
        <v>0.243393</v>
      </c>
      <c r="D307" s="40">
        <v>0.246917</v>
      </c>
      <c r="E307" s="40">
        <v>0.23925399999999999</v>
      </c>
      <c r="F307" s="40">
        <v>0.556114</v>
      </c>
      <c r="G307" s="40">
        <v>0.25264500000000001</v>
      </c>
      <c r="H307" s="40">
        <v>0.24828800000000001</v>
      </c>
      <c r="I307" s="40">
        <v>0.25984600000000002</v>
      </c>
      <c r="J307" s="40">
        <v>0.24393500000000001</v>
      </c>
    </row>
    <row r="308" spans="1:10" x14ac:dyDescent="0.35">
      <c r="A308" s="453" t="s">
        <v>260</v>
      </c>
      <c r="B308" s="40">
        <v>0</v>
      </c>
      <c r="C308" s="40">
        <v>0.234045</v>
      </c>
      <c r="D308" s="40">
        <v>0</v>
      </c>
      <c r="E308" s="40">
        <v>0.84088499999999999</v>
      </c>
      <c r="F308" s="40">
        <v>0.51452900000000001</v>
      </c>
      <c r="G308" s="40">
        <v>0.23372899999999999</v>
      </c>
      <c r="H308" s="40">
        <v>0</v>
      </c>
      <c r="I308" s="40">
        <v>0</v>
      </c>
      <c r="J308" s="40">
        <v>0.79938600000000004</v>
      </c>
    </row>
    <row r="309" spans="1:10" x14ac:dyDescent="0.35">
      <c r="A309" s="453" t="s">
        <v>261</v>
      </c>
      <c r="B309" s="40">
        <v>0.21281800000000001</v>
      </c>
      <c r="C309" s="40">
        <v>0.22878100000000001</v>
      </c>
      <c r="D309" s="40">
        <v>0.21757699999999999</v>
      </c>
      <c r="E309" s="40">
        <v>0.21073800000000001</v>
      </c>
      <c r="F309" s="40">
        <v>0.49007800000000001</v>
      </c>
      <c r="G309" s="40">
        <v>0.222606</v>
      </c>
      <c r="H309" s="40">
        <v>0.21640000000000001</v>
      </c>
      <c r="I309" s="40">
        <v>0.22007499999999999</v>
      </c>
      <c r="J309" s="40">
        <v>0.214225</v>
      </c>
    </row>
    <row r="310" spans="1:10" x14ac:dyDescent="0.35">
      <c r="A310" s="453" t="s">
        <v>262</v>
      </c>
      <c r="B310" s="40">
        <v>0.89859500000000003</v>
      </c>
      <c r="C310" s="40">
        <v>0.238098</v>
      </c>
      <c r="D310" s="40">
        <v>1</v>
      </c>
      <c r="E310" s="40">
        <v>0.93586899999999995</v>
      </c>
      <c r="F310" s="40">
        <v>0.52873499999999996</v>
      </c>
      <c r="G310" s="40">
        <v>0.24019099999999999</v>
      </c>
      <c r="H310" s="40">
        <v>0.20496800000000001</v>
      </c>
      <c r="I310" s="40">
        <v>0.19740099999999999</v>
      </c>
      <c r="J310" s="40">
        <v>0.90368099999999996</v>
      </c>
    </row>
    <row r="311" spans="1:10" x14ac:dyDescent="0.35">
      <c r="A311" s="453" t="s">
        <v>263</v>
      </c>
      <c r="B311" s="40">
        <v>0.22401699999999999</v>
      </c>
      <c r="C311" s="40">
        <v>0.23377400000000001</v>
      </c>
      <c r="D311" s="40">
        <v>0.22897100000000001</v>
      </c>
      <c r="E311" s="40">
        <v>0.212565</v>
      </c>
      <c r="F311" s="40">
        <v>0.50780000000000003</v>
      </c>
      <c r="G311" s="40">
        <v>0.23066800000000001</v>
      </c>
      <c r="H311" s="40">
        <v>0.21101600000000001</v>
      </c>
      <c r="I311" s="40">
        <v>0.231458</v>
      </c>
      <c r="J311" s="40">
        <v>0.22317200000000001</v>
      </c>
    </row>
    <row r="312" spans="1:10" x14ac:dyDescent="0.35">
      <c r="A312" s="453" t="s">
        <v>264</v>
      </c>
      <c r="B312" s="40">
        <v>0.20873900000000001</v>
      </c>
      <c r="C312" s="40">
        <v>0.22975699999999999</v>
      </c>
      <c r="D312" s="40">
        <v>0.21537400000000001</v>
      </c>
      <c r="E312" s="40">
        <v>0.20873900000000001</v>
      </c>
      <c r="F312" s="40">
        <v>0.48511900000000002</v>
      </c>
      <c r="G312" s="40">
        <v>0.328295</v>
      </c>
      <c r="H312" s="40">
        <v>0.18440200000000001</v>
      </c>
      <c r="I312" s="40">
        <v>0.226661</v>
      </c>
      <c r="J312" s="40">
        <v>0.212787</v>
      </c>
    </row>
    <row r="313" spans="1:10" x14ac:dyDescent="0.35">
      <c r="A313" s="453" t="s">
        <v>265</v>
      </c>
      <c r="B313" s="40">
        <v>0.88439100000000004</v>
      </c>
      <c r="C313" s="40">
        <v>0.230325</v>
      </c>
      <c r="D313" s="40">
        <v>0</v>
      </c>
      <c r="E313" s="40">
        <v>0.82777900000000004</v>
      </c>
      <c r="F313" s="40">
        <v>0.49462400000000001</v>
      </c>
      <c r="G313" s="40">
        <v>0.22467400000000001</v>
      </c>
      <c r="H313" s="40">
        <v>8.80103E-2</v>
      </c>
      <c r="I313" s="40">
        <v>0.198933</v>
      </c>
      <c r="J313" s="40">
        <v>0.83129200000000003</v>
      </c>
    </row>
    <row r="314" spans="1:10" x14ac:dyDescent="0.35">
      <c r="A314" s="453" t="s">
        <v>266</v>
      </c>
      <c r="B314" s="40">
        <v>0.20392299999999999</v>
      </c>
      <c r="C314" s="40">
        <v>0.222048</v>
      </c>
      <c r="D314" s="40">
        <v>0.20261999999999999</v>
      </c>
      <c r="E314" s="40">
        <v>0.19306100000000001</v>
      </c>
      <c r="F314" s="40">
        <v>0.45641300000000001</v>
      </c>
      <c r="G314" s="40">
        <v>0.20729300000000001</v>
      </c>
      <c r="H314" s="40">
        <v>0.20356199999999999</v>
      </c>
      <c r="I314" s="40">
        <v>0.21202799999999999</v>
      </c>
      <c r="J314" s="40">
        <v>0.19926199999999999</v>
      </c>
    </row>
    <row r="315" spans="1:10" x14ac:dyDescent="0.35">
      <c r="A315" s="453" t="s">
        <v>267</v>
      </c>
      <c r="B315" s="40">
        <v>0.98112699999999997</v>
      </c>
      <c r="C315" s="40">
        <v>0.24917</v>
      </c>
      <c r="D315" s="40">
        <v>0</v>
      </c>
      <c r="E315" s="40">
        <v>0</v>
      </c>
      <c r="F315" s="40">
        <v>0.584032</v>
      </c>
      <c r="G315" s="40">
        <v>0.265345</v>
      </c>
      <c r="H315" s="40">
        <v>9.8278099999999993E-2</v>
      </c>
      <c r="I315" s="40">
        <v>0</v>
      </c>
      <c r="J315" s="40">
        <v>0</v>
      </c>
    </row>
    <row r="316" spans="1:10" x14ac:dyDescent="0.35">
      <c r="A316" s="453" t="s">
        <v>268</v>
      </c>
      <c r="B316" s="40">
        <v>0</v>
      </c>
      <c r="C316" s="40">
        <v>0.24346499999999999</v>
      </c>
      <c r="D316" s="40">
        <v>0</v>
      </c>
      <c r="E316" s="40">
        <v>0</v>
      </c>
      <c r="F316" s="40">
        <v>0.56148200000000004</v>
      </c>
      <c r="G316" s="40">
        <v>0.25508700000000001</v>
      </c>
      <c r="H316" s="40">
        <v>0</v>
      </c>
      <c r="I316" s="40">
        <v>0</v>
      </c>
      <c r="J316" s="40">
        <v>0</v>
      </c>
    </row>
    <row r="317" spans="1:10" x14ac:dyDescent="0.35">
      <c r="A317" s="453" t="s">
        <v>269</v>
      </c>
      <c r="B317" s="40">
        <v>0</v>
      </c>
      <c r="C317" s="40">
        <v>0.235487</v>
      </c>
      <c r="D317" s="40">
        <v>0</v>
      </c>
      <c r="E317" s="40">
        <v>0</v>
      </c>
      <c r="F317" s="40">
        <v>0.53340699999999996</v>
      </c>
      <c r="G317" s="40">
        <v>0.242316</v>
      </c>
      <c r="H317" s="40">
        <v>0</v>
      </c>
      <c r="I317" s="40">
        <v>0</v>
      </c>
      <c r="J317" s="40">
        <v>0</v>
      </c>
    </row>
    <row r="318" spans="1:10" x14ac:dyDescent="0.35">
      <c r="A318" s="453" t="s">
        <v>270</v>
      </c>
      <c r="B318" s="40">
        <v>0</v>
      </c>
      <c r="C318" s="40">
        <v>0.244286</v>
      </c>
      <c r="D318" s="40">
        <v>0</v>
      </c>
      <c r="E318" s="40">
        <v>0</v>
      </c>
      <c r="F318" s="40">
        <v>0.57185200000000003</v>
      </c>
      <c r="G318" s="40">
        <v>0.25980500000000001</v>
      </c>
      <c r="H318" s="40">
        <v>0</v>
      </c>
      <c r="I318" s="40">
        <v>0</v>
      </c>
      <c r="J318" s="40">
        <v>0</v>
      </c>
    </row>
    <row r="319" spans="1:10" x14ac:dyDescent="0.35">
      <c r="A319" s="453" t="s">
        <v>271</v>
      </c>
      <c r="B319" s="40">
        <v>0.25753700000000002</v>
      </c>
      <c r="C319" s="40">
        <v>0.25523299999999999</v>
      </c>
      <c r="D319" s="40">
        <v>0.26581500000000002</v>
      </c>
      <c r="E319" s="40">
        <v>0.25753599999999999</v>
      </c>
      <c r="F319" s="40">
        <v>0.59864899999999999</v>
      </c>
      <c r="G319" s="40">
        <v>0.27199400000000001</v>
      </c>
      <c r="H319" s="40">
        <v>0.26727600000000001</v>
      </c>
      <c r="I319" s="40">
        <v>0.279727</v>
      </c>
      <c r="J319" s="40">
        <v>0.26259700000000002</v>
      </c>
    </row>
    <row r="320" spans="1:10" x14ac:dyDescent="0.35">
      <c r="A320" s="453" t="s">
        <v>272</v>
      </c>
      <c r="B320" s="40">
        <v>0</v>
      </c>
      <c r="C320" s="40">
        <v>0.239119</v>
      </c>
      <c r="D320" s="40">
        <v>0.53228600000000004</v>
      </c>
      <c r="E320" s="40">
        <v>0</v>
      </c>
      <c r="F320" s="40">
        <v>0.55253699999999994</v>
      </c>
      <c r="G320" s="40">
        <v>0.25101800000000002</v>
      </c>
      <c r="H320" s="40">
        <v>0.105001</v>
      </c>
      <c r="I320" s="40">
        <v>0</v>
      </c>
      <c r="J320" s="40">
        <v>0</v>
      </c>
    </row>
    <row r="321" spans="1:10" x14ac:dyDescent="0.35">
      <c r="A321" s="453" t="s">
        <v>273</v>
      </c>
      <c r="B321" s="40">
        <v>0.225027</v>
      </c>
      <c r="C321" s="40">
        <v>0.24393400000000001</v>
      </c>
      <c r="D321" s="40">
        <v>0</v>
      </c>
      <c r="E321" s="40">
        <v>0.24331800000000001</v>
      </c>
      <c r="F321" s="40">
        <v>0.56557000000000002</v>
      </c>
      <c r="G321" s="40">
        <v>0.25694699999999998</v>
      </c>
      <c r="H321" s="40">
        <v>0.243011</v>
      </c>
      <c r="I321" s="40">
        <v>0.26426500000000003</v>
      </c>
      <c r="J321" s="40">
        <v>0.248084</v>
      </c>
    </row>
    <row r="322" spans="1:10" x14ac:dyDescent="0.35">
      <c r="A322" s="453" t="s">
        <v>274</v>
      </c>
      <c r="B322" s="40">
        <v>0.68489299999999997</v>
      </c>
      <c r="C322" s="40">
        <v>0.752857</v>
      </c>
      <c r="D322" s="40">
        <v>0</v>
      </c>
      <c r="E322" s="40">
        <v>0.75616300000000003</v>
      </c>
      <c r="F322" s="40">
        <v>0</v>
      </c>
      <c r="G322" s="40">
        <v>0.95911400000000002</v>
      </c>
      <c r="H322" s="40">
        <v>0.87243400000000004</v>
      </c>
      <c r="I322" s="40">
        <v>0.74314899999999995</v>
      </c>
      <c r="J322" s="40">
        <v>0.69021999999999994</v>
      </c>
    </row>
    <row r="323" spans="1:10" x14ac:dyDescent="0.35">
      <c r="A323" s="453" t="s">
        <v>275</v>
      </c>
      <c r="B323" s="40">
        <v>0.20024</v>
      </c>
      <c r="C323" s="40">
        <v>0.22191</v>
      </c>
      <c r="D323" s="40">
        <v>0.20275499999999999</v>
      </c>
      <c r="E323" s="40">
        <v>0.195192</v>
      </c>
      <c r="F323" s="40">
        <v>0.44555600000000001</v>
      </c>
      <c r="G323" s="40">
        <v>0.20769399999999999</v>
      </c>
      <c r="H323" s="40">
        <v>0.20727899999999999</v>
      </c>
      <c r="I323" s="40">
        <v>0.212647</v>
      </c>
      <c r="J323" s="40">
        <v>0.19199099999999999</v>
      </c>
    </row>
    <row r="324" spans="1:10" x14ac:dyDescent="0.35">
      <c r="A324" s="453" t="s">
        <v>276</v>
      </c>
      <c r="B324" s="40">
        <v>0.86107599999999995</v>
      </c>
      <c r="C324" s="40">
        <v>0.86374200000000001</v>
      </c>
      <c r="D324" s="40">
        <v>0.54041300000000003</v>
      </c>
      <c r="E324" s="40">
        <v>0.880637</v>
      </c>
      <c r="F324" s="40">
        <v>0.307255</v>
      </c>
      <c r="G324" s="40">
        <v>1</v>
      </c>
      <c r="H324" s="40">
        <v>1</v>
      </c>
      <c r="I324" s="40">
        <v>1</v>
      </c>
      <c r="J324" s="40">
        <v>0.90962699999999996</v>
      </c>
    </row>
    <row r="325" spans="1:10" x14ac:dyDescent="0.35">
      <c r="A325" s="453" t="s">
        <v>277</v>
      </c>
      <c r="B325" s="40">
        <v>0.226657</v>
      </c>
      <c r="C325" s="40">
        <v>0.23705399999999999</v>
      </c>
      <c r="D325" s="40">
        <v>0.23127</v>
      </c>
      <c r="E325" s="40">
        <v>0.22659199999999999</v>
      </c>
      <c r="F325" s="40">
        <v>0.52072600000000002</v>
      </c>
      <c r="G325" s="40">
        <v>0.23855100000000001</v>
      </c>
      <c r="H325" s="40">
        <v>0.23408399999999999</v>
      </c>
      <c r="I325" s="40">
        <v>0.24621199999999999</v>
      </c>
      <c r="J325" s="40">
        <v>0.23351</v>
      </c>
    </row>
    <row r="326" spans="1:10" x14ac:dyDescent="0.35">
      <c r="A326" s="453" t="s">
        <v>278</v>
      </c>
      <c r="B326" s="40">
        <v>1</v>
      </c>
      <c r="C326" s="40">
        <v>1</v>
      </c>
      <c r="D326" s="40">
        <v>0</v>
      </c>
      <c r="E326" s="40">
        <v>1</v>
      </c>
      <c r="F326" s="40">
        <v>0</v>
      </c>
      <c r="G326" s="40">
        <v>0.84733499999999995</v>
      </c>
      <c r="H326" s="40">
        <v>0.97330000000000005</v>
      </c>
      <c r="I326" s="40">
        <v>0.74222299999999997</v>
      </c>
      <c r="J326" s="40">
        <v>1</v>
      </c>
    </row>
    <row r="327" spans="1:10" x14ac:dyDescent="0.35">
      <c r="A327" s="453" t="s">
        <v>279</v>
      </c>
      <c r="B327" s="40">
        <v>0</v>
      </c>
      <c r="C327" s="40">
        <v>0.25533099999999997</v>
      </c>
      <c r="D327" s="40">
        <v>0.66037800000000002</v>
      </c>
      <c r="E327" s="40">
        <v>0</v>
      </c>
      <c r="F327" s="40">
        <v>0</v>
      </c>
      <c r="G327" s="40">
        <v>0.99724900000000005</v>
      </c>
      <c r="H327" s="40">
        <v>0.86929100000000004</v>
      </c>
      <c r="I327" s="40">
        <v>0</v>
      </c>
      <c r="J327" s="40">
        <v>0.73065000000000002</v>
      </c>
    </row>
    <row r="328" spans="1:10" x14ac:dyDescent="0.35">
      <c r="A328" s="453" t="s">
        <v>280</v>
      </c>
      <c r="B328" s="40">
        <v>0.25692399999999999</v>
      </c>
      <c r="C328" s="40">
        <v>0.25483899999999998</v>
      </c>
      <c r="D328" s="40">
        <v>0.55891299999999999</v>
      </c>
      <c r="E328" s="40">
        <v>0.69484800000000002</v>
      </c>
      <c r="F328" s="40">
        <v>0</v>
      </c>
      <c r="G328" s="40">
        <v>0.92949400000000004</v>
      </c>
      <c r="H328" s="40">
        <v>0.26677299999999998</v>
      </c>
      <c r="I328" s="40">
        <v>0.79200300000000001</v>
      </c>
      <c r="J328" s="40">
        <v>0.69042999999999999</v>
      </c>
    </row>
    <row r="329" spans="1:10" x14ac:dyDescent="0.35">
      <c r="A329" s="453" t="s">
        <v>281</v>
      </c>
      <c r="B329" s="40">
        <v>0.66186800000000001</v>
      </c>
      <c r="C329" s="40">
        <v>0</v>
      </c>
      <c r="D329" s="40">
        <v>0</v>
      </c>
      <c r="E329" s="40">
        <v>0.82282500000000003</v>
      </c>
      <c r="F329" s="40">
        <v>0</v>
      </c>
      <c r="G329" s="40">
        <v>0.97693600000000003</v>
      </c>
      <c r="H329" s="40">
        <v>0.87688100000000002</v>
      </c>
      <c r="I329" s="40">
        <v>0</v>
      </c>
      <c r="J329" s="40">
        <v>0.69772599999999996</v>
      </c>
    </row>
    <row r="330" spans="1:10" x14ac:dyDescent="0.35">
      <c r="A330" s="453" t="s">
        <v>282</v>
      </c>
      <c r="B330" s="40">
        <v>0.22059300000000001</v>
      </c>
      <c r="C330" s="40">
        <v>0.21514</v>
      </c>
      <c r="D330" s="40">
        <v>0.226109</v>
      </c>
      <c r="E330" s="40">
        <v>0.22040699999999999</v>
      </c>
      <c r="F330" s="40">
        <v>0.45362200000000003</v>
      </c>
      <c r="G330" s="40">
        <v>0.23113600000000001</v>
      </c>
      <c r="H330" s="40">
        <v>0.20593600000000001</v>
      </c>
      <c r="I330" s="40">
        <v>0.23764399999999999</v>
      </c>
      <c r="J330" s="40">
        <v>0.23086300000000001</v>
      </c>
    </row>
    <row r="331" spans="1:10" x14ac:dyDescent="0.35">
      <c r="A331" s="453" t="s">
        <v>283</v>
      </c>
      <c r="B331" s="40">
        <v>0.67622199999999999</v>
      </c>
      <c r="C331" s="40">
        <v>0.69773200000000002</v>
      </c>
      <c r="D331" s="40">
        <v>0.50545499999999999</v>
      </c>
      <c r="E331" s="40">
        <v>0.65424700000000002</v>
      </c>
      <c r="F331" s="40">
        <v>0</v>
      </c>
      <c r="G331" s="40">
        <v>0.86063500000000004</v>
      </c>
      <c r="H331" s="40">
        <v>0.96139600000000003</v>
      </c>
      <c r="I331" s="40">
        <v>0.84714</v>
      </c>
      <c r="J331" s="40">
        <v>0.73035399999999995</v>
      </c>
    </row>
    <row r="332" spans="1:10" x14ac:dyDescent="0.35">
      <c r="A332" s="453" t="s">
        <v>284</v>
      </c>
      <c r="B332" s="40">
        <v>0.15471099999999999</v>
      </c>
      <c r="C332" s="40">
        <v>2.0128799999999999E-3</v>
      </c>
      <c r="D332" s="40">
        <v>0.159527</v>
      </c>
      <c r="E332" s="40">
        <v>0.15471199999999999</v>
      </c>
      <c r="F332" s="40">
        <v>0.35942299999999999</v>
      </c>
      <c r="G332" s="40">
        <v>0.16317300000000001</v>
      </c>
      <c r="H332" s="40">
        <v>0.16048200000000001</v>
      </c>
      <c r="I332" s="40">
        <v>0.167909</v>
      </c>
      <c r="J332" s="40">
        <v>0.157638</v>
      </c>
    </row>
    <row r="333" spans="1:10" x14ac:dyDescent="0.35">
      <c r="A333" s="453" t="s">
        <v>285</v>
      </c>
      <c r="B333" s="40">
        <v>2.99841E-3</v>
      </c>
      <c r="C333" s="40">
        <v>4.4547799999999999E-2</v>
      </c>
      <c r="D333" s="40">
        <v>0</v>
      </c>
      <c r="E333" s="40">
        <v>0.77560799999999996</v>
      </c>
      <c r="F333" s="40">
        <v>0</v>
      </c>
      <c r="G333" s="40">
        <v>1.17508E-2</v>
      </c>
      <c r="H333" s="40">
        <v>2.9067300000000002E-3</v>
      </c>
      <c r="I333" s="40">
        <v>0.84311599999999998</v>
      </c>
      <c r="J333" s="40">
        <v>0.79142400000000002</v>
      </c>
    </row>
    <row r="334" spans="1:10" x14ac:dyDescent="0.35">
      <c r="A334" s="453" t="s">
        <v>286</v>
      </c>
      <c r="B334" s="40">
        <v>0.60103399999999996</v>
      </c>
      <c r="C334" s="40">
        <v>0.54969500000000004</v>
      </c>
      <c r="D334" s="40">
        <v>0.48824499999999998</v>
      </c>
      <c r="E334" s="40">
        <v>0.68158700000000005</v>
      </c>
      <c r="F334" s="40">
        <v>0</v>
      </c>
      <c r="G334" s="40">
        <v>0.76373000000000002</v>
      </c>
      <c r="H334" s="40">
        <v>0.71174099999999996</v>
      </c>
      <c r="I334" s="40">
        <v>0.75739000000000001</v>
      </c>
      <c r="J334" s="40">
        <v>0.60316999999999998</v>
      </c>
    </row>
    <row r="335" spans="1:10" x14ac:dyDescent="0.35">
      <c r="A335" s="453" t="s">
        <v>287</v>
      </c>
      <c r="B335" s="40">
        <v>0.76341099999999995</v>
      </c>
      <c r="C335" s="40">
        <v>0.59912200000000004</v>
      </c>
      <c r="D335" s="40">
        <v>0.53681299999999998</v>
      </c>
      <c r="E335" s="40">
        <v>0.76337699999999997</v>
      </c>
      <c r="F335" s="40">
        <v>0</v>
      </c>
      <c r="G335" s="40">
        <v>0</v>
      </c>
      <c r="H335" s="40">
        <v>0</v>
      </c>
      <c r="I335" s="40">
        <v>0</v>
      </c>
      <c r="J335" s="40">
        <v>0</v>
      </c>
    </row>
    <row r="336" spans="1:10" x14ac:dyDescent="0.35">
      <c r="A336" s="453" t="s">
        <v>288</v>
      </c>
      <c r="B336" s="40">
        <v>0.64039900000000005</v>
      </c>
      <c r="C336" s="40">
        <v>0.60855400000000004</v>
      </c>
      <c r="D336" s="40">
        <v>0.79507499999999998</v>
      </c>
      <c r="E336" s="40">
        <v>0.90200000000000002</v>
      </c>
      <c r="F336" s="40">
        <v>1</v>
      </c>
      <c r="G336" s="40">
        <v>0.98708300000000004</v>
      </c>
      <c r="H336" s="40">
        <v>0.954789</v>
      </c>
      <c r="I336" s="40">
        <v>0.95832799999999996</v>
      </c>
      <c r="J336" s="40">
        <v>0.84443699999999999</v>
      </c>
    </row>
    <row r="337" spans="1:10" x14ac:dyDescent="0.35">
      <c r="A337" s="453" t="s">
        <v>289</v>
      </c>
      <c r="B337" s="40">
        <v>0.193215</v>
      </c>
      <c r="C337" s="40">
        <v>0.215057</v>
      </c>
      <c r="D337" s="40">
        <v>0.19902500000000001</v>
      </c>
      <c r="E337" s="40">
        <v>0.19287699999999999</v>
      </c>
      <c r="F337" s="40">
        <v>0.44378099999999998</v>
      </c>
      <c r="G337" s="40">
        <v>0.20250899999999999</v>
      </c>
      <c r="H337" s="40">
        <v>0.19973099999999999</v>
      </c>
      <c r="I337" s="40">
        <v>0.20871500000000001</v>
      </c>
      <c r="J337" s="40">
        <v>0.18388299999999999</v>
      </c>
    </row>
    <row r="338" spans="1:10" x14ac:dyDescent="0.35">
      <c r="A338" s="453" t="s">
        <v>290</v>
      </c>
      <c r="B338" s="40">
        <v>0.22695799999999999</v>
      </c>
      <c r="C338" s="40">
        <v>0.23738100000000001</v>
      </c>
      <c r="D338" s="40">
        <v>0.234207</v>
      </c>
      <c r="E338" s="40">
        <v>0.22695799999999999</v>
      </c>
      <c r="F338" s="40">
        <v>0.52750799999999998</v>
      </c>
      <c r="G338" s="40">
        <v>0.23963300000000001</v>
      </c>
      <c r="H338" s="40">
        <v>0.235517</v>
      </c>
      <c r="I338" s="40">
        <v>0.246474</v>
      </c>
      <c r="J338" s="40">
        <v>0.23138400000000001</v>
      </c>
    </row>
    <row r="339" spans="1:10" x14ac:dyDescent="0.35">
      <c r="A339" s="453" t="s">
        <v>291</v>
      </c>
      <c r="B339" s="40">
        <v>0.21017</v>
      </c>
      <c r="C339" s="40">
        <v>0.22739899999999999</v>
      </c>
      <c r="D339" s="40">
        <v>0.21685299999999999</v>
      </c>
      <c r="E339" s="40">
        <v>0.21017</v>
      </c>
      <c r="F339" s="40">
        <v>0.48844900000000002</v>
      </c>
      <c r="G339" s="40">
        <v>0.22186500000000001</v>
      </c>
      <c r="H339" s="40">
        <v>0.218081</v>
      </c>
      <c r="I339" s="40">
        <v>0.228218</v>
      </c>
      <c r="J339" s="40">
        <v>0.21424799999999999</v>
      </c>
    </row>
    <row r="340" spans="1:10" x14ac:dyDescent="0.35">
      <c r="A340" s="453" t="s">
        <v>292</v>
      </c>
      <c r="B340" s="40">
        <v>0.647428</v>
      </c>
      <c r="C340" s="40">
        <v>0.68559300000000001</v>
      </c>
      <c r="D340" s="40">
        <v>0</v>
      </c>
      <c r="E340" s="40">
        <v>0.68718299999999999</v>
      </c>
      <c r="F340" s="40">
        <v>0</v>
      </c>
      <c r="G340" s="40">
        <v>0</v>
      </c>
      <c r="H340" s="40">
        <v>0.81034499999999998</v>
      </c>
      <c r="I340" s="40">
        <v>0</v>
      </c>
      <c r="J340" s="40">
        <v>0.651111</v>
      </c>
    </row>
    <row r="341" spans="1:10" x14ac:dyDescent="0.35">
      <c r="A341" s="453" t="s">
        <v>293</v>
      </c>
      <c r="B341" s="40">
        <v>0.71352199999999999</v>
      </c>
      <c r="C341" s="40">
        <v>0.68506299999999998</v>
      </c>
      <c r="D341" s="40">
        <v>0.56994999999999996</v>
      </c>
      <c r="E341" s="40">
        <v>0</v>
      </c>
      <c r="F341" s="40">
        <v>0.56921699999999997</v>
      </c>
      <c r="G341" s="40">
        <v>0.91100499999999995</v>
      </c>
      <c r="H341" s="40">
        <v>0</v>
      </c>
      <c r="I341" s="40">
        <v>0.892482</v>
      </c>
      <c r="J341" s="40">
        <v>0.65832000000000002</v>
      </c>
    </row>
    <row r="342" spans="1:10" x14ac:dyDescent="0.35">
      <c r="A342" s="453" t="s">
        <v>294</v>
      </c>
      <c r="B342" s="197">
        <v>1</v>
      </c>
      <c r="C342" s="197">
        <v>1</v>
      </c>
      <c r="D342" s="197">
        <v>1</v>
      </c>
      <c r="E342" s="197">
        <v>1</v>
      </c>
      <c r="F342" s="197">
        <v>1</v>
      </c>
      <c r="G342" s="197">
        <v>1</v>
      </c>
      <c r="H342" s="197">
        <v>1</v>
      </c>
      <c r="I342" s="197">
        <v>1</v>
      </c>
      <c r="J342" s="197">
        <v>1</v>
      </c>
    </row>
    <row r="343" spans="1:10" x14ac:dyDescent="0.35">
      <c r="A343" s="453" t="s">
        <v>295</v>
      </c>
      <c r="B343" s="197">
        <v>1</v>
      </c>
      <c r="C343" s="197">
        <v>1</v>
      </c>
      <c r="D343" s="197">
        <v>1</v>
      </c>
      <c r="E343" s="197">
        <v>1</v>
      </c>
      <c r="F343" s="197">
        <v>1</v>
      </c>
      <c r="G343" s="197">
        <v>1</v>
      </c>
      <c r="H343" s="197">
        <v>1</v>
      </c>
      <c r="I343" s="197">
        <v>1</v>
      </c>
      <c r="J343" s="197">
        <v>1</v>
      </c>
    </row>
    <row r="344" spans="1:10" x14ac:dyDescent="0.35">
      <c r="A344" s="453" t="s">
        <v>296</v>
      </c>
      <c r="B344" s="197">
        <v>1</v>
      </c>
      <c r="C344" s="197">
        <v>1</v>
      </c>
      <c r="D344" s="197">
        <v>1</v>
      </c>
      <c r="E344" s="197">
        <v>1</v>
      </c>
      <c r="F344" s="197">
        <v>1</v>
      </c>
      <c r="G344" s="197">
        <v>1</v>
      </c>
      <c r="H344" s="197">
        <v>1</v>
      </c>
      <c r="I344" s="197">
        <v>1</v>
      </c>
      <c r="J344" s="197">
        <v>1</v>
      </c>
    </row>
    <row r="345" spans="1:10" x14ac:dyDescent="0.35">
      <c r="A345" s="453" t="s">
        <v>297</v>
      </c>
      <c r="B345" s="197">
        <v>1</v>
      </c>
      <c r="C345" s="197">
        <v>1</v>
      </c>
      <c r="D345" s="197">
        <v>1</v>
      </c>
      <c r="E345" s="197">
        <v>1</v>
      </c>
      <c r="F345" s="197">
        <v>1</v>
      </c>
      <c r="G345" s="197">
        <v>1</v>
      </c>
      <c r="H345" s="197">
        <v>1</v>
      </c>
      <c r="I345" s="197">
        <v>1</v>
      </c>
      <c r="J345" s="197">
        <v>1</v>
      </c>
    </row>
    <row r="346" spans="1:10" x14ac:dyDescent="0.35">
      <c r="A346" s="453" t="s">
        <v>298</v>
      </c>
      <c r="B346" s="197">
        <v>1</v>
      </c>
      <c r="C346" s="197">
        <v>1</v>
      </c>
      <c r="D346" s="197">
        <v>1</v>
      </c>
      <c r="E346" s="197">
        <v>1</v>
      </c>
      <c r="F346" s="197">
        <v>1</v>
      </c>
      <c r="G346" s="197">
        <v>1</v>
      </c>
      <c r="H346" s="197">
        <v>1</v>
      </c>
      <c r="I346" s="197">
        <v>1</v>
      </c>
      <c r="J346" s="197">
        <v>1</v>
      </c>
    </row>
    <row r="347" spans="1:10" x14ac:dyDescent="0.35">
      <c r="A347" s="441"/>
      <c r="B347" s="96"/>
      <c r="C347" s="96"/>
      <c r="D347" s="96"/>
      <c r="E347" s="96"/>
      <c r="F347" s="96"/>
      <c r="G347" s="96"/>
      <c r="H347" s="96"/>
      <c r="I347" s="96"/>
      <c r="J347" s="96"/>
    </row>
    <row r="348" spans="1:10" x14ac:dyDescent="0.35">
      <c r="A348" s="441"/>
      <c r="B348" s="96"/>
      <c r="C348" s="96"/>
      <c r="D348" s="96"/>
      <c r="E348" s="96"/>
      <c r="F348" s="96"/>
      <c r="G348" s="96"/>
      <c r="H348" s="96"/>
      <c r="I348" s="96"/>
      <c r="J348" s="96"/>
    </row>
    <row r="349" spans="1:10" x14ac:dyDescent="0.35">
      <c r="A349" s="441"/>
      <c r="B349" s="96"/>
      <c r="C349" s="96"/>
      <c r="D349" s="96"/>
      <c r="E349" s="96"/>
      <c r="F349" s="96"/>
      <c r="G349" s="96"/>
      <c r="H349" s="96"/>
      <c r="I349" s="96"/>
      <c r="J349" s="96"/>
    </row>
    <row r="350" spans="1:10" x14ac:dyDescent="0.35">
      <c r="A350" s="455" t="s">
        <v>788</v>
      </c>
      <c r="B350" s="96"/>
      <c r="C350" s="96"/>
      <c r="D350" s="96"/>
      <c r="E350" s="96"/>
      <c r="F350" s="96"/>
      <c r="G350" s="96"/>
      <c r="H350" s="96"/>
      <c r="I350" s="96"/>
      <c r="J350" s="96"/>
    </row>
    <row r="351" spans="1:10" x14ac:dyDescent="0.35">
      <c r="A351" s="443" t="s">
        <v>922</v>
      </c>
      <c r="B351" s="94" t="s">
        <v>143</v>
      </c>
      <c r="C351" s="95" t="s">
        <v>83</v>
      </c>
      <c r="D351" s="95" t="s">
        <v>144</v>
      </c>
      <c r="E351" s="95" t="s">
        <v>164</v>
      </c>
      <c r="F351" s="95" t="s">
        <v>145</v>
      </c>
      <c r="G351" s="95" t="s">
        <v>87</v>
      </c>
      <c r="H351" s="95" t="s">
        <v>146</v>
      </c>
      <c r="I351" s="95" t="s">
        <v>89</v>
      </c>
      <c r="J351" s="95" t="s">
        <v>90</v>
      </c>
    </row>
    <row r="352" spans="1:10" x14ac:dyDescent="0.35">
      <c r="A352" s="452" t="s">
        <v>620</v>
      </c>
      <c r="B352" s="122" t="s">
        <v>548</v>
      </c>
      <c r="C352" s="122" t="s">
        <v>548</v>
      </c>
      <c r="D352" s="122" t="s">
        <v>548</v>
      </c>
      <c r="E352" s="122" t="s">
        <v>548</v>
      </c>
      <c r="F352" s="122" t="s">
        <v>548</v>
      </c>
      <c r="G352" s="122" t="s">
        <v>548</v>
      </c>
      <c r="H352" s="122" t="s">
        <v>548</v>
      </c>
      <c r="I352" s="122" t="s">
        <v>548</v>
      </c>
      <c r="J352" s="122" t="s">
        <v>548</v>
      </c>
    </row>
    <row r="353" spans="1:10" x14ac:dyDescent="0.35">
      <c r="A353" s="507" t="s">
        <v>257</v>
      </c>
      <c r="B353" s="353">
        <v>0</v>
      </c>
      <c r="C353" s="353">
        <v>0</v>
      </c>
      <c r="D353" s="353">
        <v>0</v>
      </c>
      <c r="E353" s="353">
        <v>0</v>
      </c>
      <c r="F353" s="353">
        <v>0</v>
      </c>
      <c r="G353" s="353">
        <v>0</v>
      </c>
      <c r="H353" s="353">
        <v>0</v>
      </c>
      <c r="I353" s="353">
        <v>0</v>
      </c>
      <c r="J353" s="353">
        <v>0</v>
      </c>
    </row>
    <row r="354" spans="1:10" x14ac:dyDescent="0.35">
      <c r="A354" s="507" t="s">
        <v>258</v>
      </c>
      <c r="B354" s="353">
        <v>0</v>
      </c>
      <c r="C354" s="353">
        <v>0</v>
      </c>
      <c r="D354" s="353">
        <v>0</v>
      </c>
      <c r="E354" s="353">
        <v>0</v>
      </c>
      <c r="F354" s="353">
        <v>0</v>
      </c>
      <c r="G354" s="353">
        <v>0</v>
      </c>
      <c r="H354" s="353">
        <v>0</v>
      </c>
      <c r="I354" s="353">
        <v>0</v>
      </c>
      <c r="J354" s="353">
        <v>0</v>
      </c>
    </row>
    <row r="355" spans="1:10" x14ac:dyDescent="0.35">
      <c r="A355" s="507" t="s">
        <v>259</v>
      </c>
      <c r="B355" s="353">
        <v>0</v>
      </c>
      <c r="C355" s="353">
        <v>0</v>
      </c>
      <c r="D355" s="353">
        <v>0</v>
      </c>
      <c r="E355" s="353">
        <v>0</v>
      </c>
      <c r="F355" s="353">
        <v>0</v>
      </c>
      <c r="G355" s="353">
        <v>0</v>
      </c>
      <c r="H355" s="353">
        <v>0</v>
      </c>
      <c r="I355" s="353">
        <v>0</v>
      </c>
      <c r="J355" s="353">
        <v>0</v>
      </c>
    </row>
    <row r="356" spans="1:10" x14ac:dyDescent="0.35">
      <c r="A356" s="507" t="s">
        <v>260</v>
      </c>
      <c r="B356" s="353">
        <v>0</v>
      </c>
      <c r="C356" s="353">
        <v>0</v>
      </c>
      <c r="D356" s="353">
        <v>0</v>
      </c>
      <c r="E356" s="353">
        <v>0</v>
      </c>
      <c r="F356" s="353">
        <v>0</v>
      </c>
      <c r="G356" s="353">
        <v>0</v>
      </c>
      <c r="H356" s="353">
        <v>0</v>
      </c>
      <c r="I356" s="353">
        <v>0</v>
      </c>
      <c r="J356" s="353">
        <v>0</v>
      </c>
    </row>
    <row r="357" spans="1:10" x14ac:dyDescent="0.35">
      <c r="A357" s="507" t="s">
        <v>261</v>
      </c>
      <c r="B357" s="353">
        <v>0</v>
      </c>
      <c r="C357" s="353">
        <v>0</v>
      </c>
      <c r="D357" s="353">
        <v>0</v>
      </c>
      <c r="E357" s="353">
        <v>0</v>
      </c>
      <c r="F357" s="353">
        <v>0</v>
      </c>
      <c r="G357" s="353">
        <v>0</v>
      </c>
      <c r="H357" s="353">
        <v>0</v>
      </c>
      <c r="I357" s="353">
        <v>0</v>
      </c>
      <c r="J357" s="353">
        <v>0</v>
      </c>
    </row>
    <row r="358" spans="1:10" x14ac:dyDescent="0.35">
      <c r="A358" s="507" t="s">
        <v>262</v>
      </c>
      <c r="B358" s="353">
        <v>0</v>
      </c>
      <c r="C358" s="353">
        <v>0</v>
      </c>
      <c r="D358" s="353">
        <v>0</v>
      </c>
      <c r="E358" s="353">
        <v>0</v>
      </c>
      <c r="F358" s="353">
        <v>0</v>
      </c>
      <c r="G358" s="353">
        <v>0</v>
      </c>
      <c r="H358" s="353">
        <v>0</v>
      </c>
      <c r="I358" s="353">
        <v>0</v>
      </c>
      <c r="J358" s="353">
        <v>0</v>
      </c>
    </row>
    <row r="359" spans="1:10" x14ac:dyDescent="0.35">
      <c r="A359" s="507" t="s">
        <v>263</v>
      </c>
      <c r="B359" s="353">
        <v>0</v>
      </c>
      <c r="C359" s="353">
        <v>0</v>
      </c>
      <c r="D359" s="353">
        <v>0</v>
      </c>
      <c r="E359" s="353">
        <v>0</v>
      </c>
      <c r="F359" s="353">
        <v>0</v>
      </c>
      <c r="G359" s="353">
        <v>0</v>
      </c>
      <c r="H359" s="353">
        <v>0</v>
      </c>
      <c r="I359" s="353">
        <v>0</v>
      </c>
      <c r="J359" s="353">
        <v>0</v>
      </c>
    </row>
    <row r="360" spans="1:10" x14ac:dyDescent="0.35">
      <c r="A360" s="507" t="s">
        <v>264</v>
      </c>
      <c r="B360" s="353">
        <v>0</v>
      </c>
      <c r="C360" s="353">
        <v>0</v>
      </c>
      <c r="D360" s="353">
        <v>0</v>
      </c>
      <c r="E360" s="353">
        <v>0</v>
      </c>
      <c r="F360" s="353">
        <v>0</v>
      </c>
      <c r="G360" s="353">
        <v>0</v>
      </c>
      <c r="H360" s="353">
        <v>0</v>
      </c>
      <c r="I360" s="353">
        <v>0</v>
      </c>
      <c r="J360" s="353">
        <v>0</v>
      </c>
    </row>
    <row r="361" spans="1:10" x14ac:dyDescent="0.35">
      <c r="A361" s="507" t="s">
        <v>265</v>
      </c>
      <c r="B361" s="353">
        <v>0</v>
      </c>
      <c r="C361" s="353">
        <v>0</v>
      </c>
      <c r="D361" s="353">
        <v>0</v>
      </c>
      <c r="E361" s="353">
        <v>0</v>
      </c>
      <c r="F361" s="353">
        <v>0</v>
      </c>
      <c r="G361" s="353">
        <v>0</v>
      </c>
      <c r="H361" s="353">
        <v>0</v>
      </c>
      <c r="I361" s="353">
        <v>0</v>
      </c>
      <c r="J361" s="353">
        <v>0</v>
      </c>
    </row>
    <row r="362" spans="1:10" x14ac:dyDescent="0.35">
      <c r="A362" s="507" t="s">
        <v>266</v>
      </c>
      <c r="B362" s="353">
        <v>0</v>
      </c>
      <c r="C362" s="353">
        <v>0</v>
      </c>
      <c r="D362" s="353">
        <v>0</v>
      </c>
      <c r="E362" s="353">
        <v>0</v>
      </c>
      <c r="F362" s="353">
        <v>0</v>
      </c>
      <c r="G362" s="353">
        <v>0</v>
      </c>
      <c r="H362" s="353">
        <v>0</v>
      </c>
      <c r="I362" s="353">
        <v>0</v>
      </c>
      <c r="J362" s="353">
        <v>0</v>
      </c>
    </row>
    <row r="363" spans="1:10" x14ac:dyDescent="0.35">
      <c r="A363" s="507" t="s">
        <v>267</v>
      </c>
      <c r="B363" s="353">
        <v>0</v>
      </c>
      <c r="C363" s="353">
        <v>0</v>
      </c>
      <c r="D363" s="353">
        <v>0</v>
      </c>
      <c r="E363" s="353">
        <v>0</v>
      </c>
      <c r="F363" s="353">
        <v>0</v>
      </c>
      <c r="G363" s="353">
        <v>0</v>
      </c>
      <c r="H363" s="353">
        <v>0</v>
      </c>
      <c r="I363" s="353">
        <v>0</v>
      </c>
      <c r="J363" s="353">
        <v>0</v>
      </c>
    </row>
    <row r="364" spans="1:10" x14ac:dyDescent="0.35">
      <c r="A364" s="507" t="s">
        <v>268</v>
      </c>
      <c r="B364" s="353">
        <v>0</v>
      </c>
      <c r="C364" s="353">
        <v>0</v>
      </c>
      <c r="D364" s="353">
        <v>0</v>
      </c>
      <c r="E364" s="353">
        <v>0</v>
      </c>
      <c r="F364" s="353">
        <v>0</v>
      </c>
      <c r="G364" s="353">
        <v>0</v>
      </c>
      <c r="H364" s="353">
        <v>0</v>
      </c>
      <c r="I364" s="353">
        <v>0</v>
      </c>
      <c r="J364" s="353">
        <v>0</v>
      </c>
    </row>
    <row r="365" spans="1:10" x14ac:dyDescent="0.35">
      <c r="A365" s="507" t="s">
        <v>269</v>
      </c>
      <c r="B365" s="353">
        <v>0</v>
      </c>
      <c r="C365" s="353">
        <v>0</v>
      </c>
      <c r="D365" s="353">
        <v>0</v>
      </c>
      <c r="E365" s="353">
        <v>0</v>
      </c>
      <c r="F365" s="353">
        <v>0</v>
      </c>
      <c r="G365" s="353">
        <v>0</v>
      </c>
      <c r="H365" s="353">
        <v>0</v>
      </c>
      <c r="I365" s="353">
        <v>0</v>
      </c>
      <c r="J365" s="353">
        <v>0</v>
      </c>
    </row>
    <row r="366" spans="1:10" x14ac:dyDescent="0.35">
      <c r="A366" s="507" t="s">
        <v>270</v>
      </c>
      <c r="B366" s="353">
        <v>0</v>
      </c>
      <c r="C366" s="353">
        <v>0</v>
      </c>
      <c r="D366" s="353">
        <v>0</v>
      </c>
      <c r="E366" s="353">
        <v>0</v>
      </c>
      <c r="F366" s="353">
        <v>0</v>
      </c>
      <c r="G366" s="353">
        <v>0</v>
      </c>
      <c r="H366" s="353">
        <v>0</v>
      </c>
      <c r="I366" s="353">
        <v>0</v>
      </c>
      <c r="J366" s="353">
        <v>0</v>
      </c>
    </row>
    <row r="367" spans="1:10" x14ac:dyDescent="0.35">
      <c r="A367" s="507" t="s">
        <v>271</v>
      </c>
      <c r="B367" s="353">
        <v>0</v>
      </c>
      <c r="C367" s="353">
        <v>0</v>
      </c>
      <c r="D367" s="353">
        <v>0</v>
      </c>
      <c r="E367" s="353">
        <v>0</v>
      </c>
      <c r="F367" s="353">
        <v>0</v>
      </c>
      <c r="G367" s="353">
        <v>0</v>
      </c>
      <c r="H367" s="353">
        <v>0</v>
      </c>
      <c r="I367" s="353">
        <v>0</v>
      </c>
      <c r="J367" s="353">
        <v>0</v>
      </c>
    </row>
    <row r="368" spans="1:10" x14ac:dyDescent="0.35">
      <c r="A368" s="507" t="s">
        <v>272</v>
      </c>
      <c r="B368" s="353">
        <v>0</v>
      </c>
      <c r="C368" s="353">
        <v>0</v>
      </c>
      <c r="D368" s="353">
        <v>0</v>
      </c>
      <c r="E368" s="353">
        <v>0</v>
      </c>
      <c r="F368" s="353">
        <v>0</v>
      </c>
      <c r="G368" s="353">
        <v>0</v>
      </c>
      <c r="H368" s="353">
        <v>0</v>
      </c>
      <c r="I368" s="353">
        <v>0</v>
      </c>
      <c r="J368" s="353">
        <v>0</v>
      </c>
    </row>
    <row r="369" spans="1:10" x14ac:dyDescent="0.35">
      <c r="A369" s="507" t="s">
        <v>273</v>
      </c>
      <c r="B369" s="353">
        <v>0</v>
      </c>
      <c r="C369" s="353">
        <v>0</v>
      </c>
      <c r="D369" s="353">
        <v>0</v>
      </c>
      <c r="E369" s="353">
        <v>0</v>
      </c>
      <c r="F369" s="353">
        <v>0</v>
      </c>
      <c r="G369" s="353">
        <v>0</v>
      </c>
      <c r="H369" s="353">
        <v>0</v>
      </c>
      <c r="I369" s="353">
        <v>0</v>
      </c>
      <c r="J369" s="353">
        <v>0</v>
      </c>
    </row>
    <row r="370" spans="1:10" x14ac:dyDescent="0.35">
      <c r="A370" s="507" t="s">
        <v>274</v>
      </c>
      <c r="B370" s="353">
        <v>0</v>
      </c>
      <c r="C370" s="353">
        <v>0</v>
      </c>
      <c r="D370" s="353">
        <v>0</v>
      </c>
      <c r="E370" s="353">
        <v>0</v>
      </c>
      <c r="F370" s="353">
        <v>0</v>
      </c>
      <c r="G370" s="353">
        <v>0</v>
      </c>
      <c r="H370" s="353">
        <v>0</v>
      </c>
      <c r="I370" s="353">
        <v>0</v>
      </c>
      <c r="J370" s="353">
        <v>0</v>
      </c>
    </row>
    <row r="371" spans="1:10" x14ac:dyDescent="0.35">
      <c r="A371" s="507" t="s">
        <v>275</v>
      </c>
      <c r="B371" s="353">
        <v>0</v>
      </c>
      <c r="C371" s="353">
        <v>0</v>
      </c>
      <c r="D371" s="353">
        <v>0</v>
      </c>
      <c r="E371" s="353">
        <v>0</v>
      </c>
      <c r="F371" s="353">
        <v>0</v>
      </c>
      <c r="G371" s="353">
        <v>0</v>
      </c>
      <c r="H371" s="353">
        <v>0</v>
      </c>
      <c r="I371" s="353">
        <v>0</v>
      </c>
      <c r="J371" s="353">
        <v>0</v>
      </c>
    </row>
    <row r="372" spans="1:10" x14ac:dyDescent="0.35">
      <c r="A372" s="507" t="s">
        <v>276</v>
      </c>
      <c r="B372" s="353">
        <v>0</v>
      </c>
      <c r="C372" s="353">
        <v>0</v>
      </c>
      <c r="D372" s="353">
        <v>0</v>
      </c>
      <c r="E372" s="353">
        <v>0</v>
      </c>
      <c r="F372" s="353">
        <v>0</v>
      </c>
      <c r="G372" s="353">
        <v>0</v>
      </c>
      <c r="H372" s="353">
        <v>0</v>
      </c>
      <c r="I372" s="353">
        <v>0</v>
      </c>
      <c r="J372" s="353">
        <v>0</v>
      </c>
    </row>
    <row r="373" spans="1:10" x14ac:dyDescent="0.35">
      <c r="A373" s="507" t="s">
        <v>277</v>
      </c>
      <c r="B373" s="353">
        <v>0</v>
      </c>
      <c r="C373" s="353">
        <v>0</v>
      </c>
      <c r="D373" s="353">
        <v>0</v>
      </c>
      <c r="E373" s="353">
        <v>0</v>
      </c>
      <c r="F373" s="353">
        <v>0</v>
      </c>
      <c r="G373" s="353">
        <v>0</v>
      </c>
      <c r="H373" s="353">
        <v>0</v>
      </c>
      <c r="I373" s="353">
        <v>0</v>
      </c>
      <c r="J373" s="353">
        <v>0</v>
      </c>
    </row>
    <row r="374" spans="1:10" x14ac:dyDescent="0.35">
      <c r="A374" s="507" t="s">
        <v>278</v>
      </c>
      <c r="B374" s="353">
        <v>0</v>
      </c>
      <c r="C374" s="353">
        <v>0</v>
      </c>
      <c r="D374" s="353">
        <v>0</v>
      </c>
      <c r="E374" s="353">
        <v>0</v>
      </c>
      <c r="F374" s="353">
        <v>0</v>
      </c>
      <c r="G374" s="353">
        <v>0</v>
      </c>
      <c r="H374" s="353">
        <v>0</v>
      </c>
      <c r="I374" s="353">
        <v>0</v>
      </c>
      <c r="J374" s="353">
        <v>0</v>
      </c>
    </row>
    <row r="375" spans="1:10" x14ac:dyDescent="0.35">
      <c r="A375" s="507" t="s">
        <v>279</v>
      </c>
      <c r="B375" s="353">
        <v>0</v>
      </c>
      <c r="C375" s="353">
        <v>0</v>
      </c>
      <c r="D375" s="353">
        <v>0</v>
      </c>
      <c r="E375" s="353">
        <v>0</v>
      </c>
      <c r="F375" s="353">
        <v>0</v>
      </c>
      <c r="G375" s="353">
        <v>0</v>
      </c>
      <c r="H375" s="353">
        <v>0</v>
      </c>
      <c r="I375" s="353">
        <v>0</v>
      </c>
      <c r="J375" s="353">
        <v>0</v>
      </c>
    </row>
    <row r="376" spans="1:10" x14ac:dyDescent="0.35">
      <c r="A376" s="507" t="s">
        <v>280</v>
      </c>
      <c r="B376" s="353">
        <v>0</v>
      </c>
      <c r="C376" s="353">
        <v>0</v>
      </c>
      <c r="D376" s="353">
        <v>0</v>
      </c>
      <c r="E376" s="353">
        <v>0</v>
      </c>
      <c r="F376" s="353">
        <v>0</v>
      </c>
      <c r="G376" s="353">
        <v>0</v>
      </c>
      <c r="H376" s="353">
        <v>0</v>
      </c>
      <c r="I376" s="353">
        <v>0</v>
      </c>
      <c r="J376" s="353">
        <v>0</v>
      </c>
    </row>
    <row r="377" spans="1:10" x14ac:dyDescent="0.35">
      <c r="A377" s="507" t="s">
        <v>281</v>
      </c>
      <c r="B377" s="353">
        <v>0</v>
      </c>
      <c r="C377" s="353">
        <v>0</v>
      </c>
      <c r="D377" s="353">
        <v>0</v>
      </c>
      <c r="E377" s="353">
        <v>0</v>
      </c>
      <c r="F377" s="353">
        <v>0</v>
      </c>
      <c r="G377" s="353">
        <v>0</v>
      </c>
      <c r="H377" s="353">
        <v>0</v>
      </c>
      <c r="I377" s="353">
        <v>0</v>
      </c>
      <c r="J377" s="353">
        <v>0</v>
      </c>
    </row>
    <row r="378" spans="1:10" x14ac:dyDescent="0.35">
      <c r="A378" s="507" t="s">
        <v>282</v>
      </c>
      <c r="B378" s="353">
        <v>0</v>
      </c>
      <c r="C378" s="353">
        <v>0</v>
      </c>
      <c r="D378" s="353">
        <v>0</v>
      </c>
      <c r="E378" s="353">
        <v>0</v>
      </c>
      <c r="F378" s="353">
        <v>0</v>
      </c>
      <c r="G378" s="353">
        <v>0</v>
      </c>
      <c r="H378" s="353">
        <v>0</v>
      </c>
      <c r="I378" s="353">
        <v>0</v>
      </c>
      <c r="J378" s="353">
        <v>0</v>
      </c>
    </row>
    <row r="379" spans="1:10" x14ac:dyDescent="0.35">
      <c r="A379" s="507" t="s">
        <v>283</v>
      </c>
      <c r="B379" s="353">
        <v>0</v>
      </c>
      <c r="C379" s="353">
        <v>0</v>
      </c>
      <c r="D379" s="353">
        <v>0</v>
      </c>
      <c r="E379" s="353">
        <v>0</v>
      </c>
      <c r="F379" s="353">
        <v>0</v>
      </c>
      <c r="G379" s="353">
        <v>0</v>
      </c>
      <c r="H379" s="353">
        <v>0</v>
      </c>
      <c r="I379" s="353">
        <v>0</v>
      </c>
      <c r="J379" s="353">
        <v>0</v>
      </c>
    </row>
    <row r="380" spans="1:10" x14ac:dyDescent="0.35">
      <c r="A380" s="507" t="s">
        <v>284</v>
      </c>
      <c r="B380" s="353">
        <v>0</v>
      </c>
      <c r="C380" s="353">
        <v>0</v>
      </c>
      <c r="D380" s="353">
        <v>0</v>
      </c>
      <c r="E380" s="353">
        <v>0</v>
      </c>
      <c r="F380" s="353">
        <v>0</v>
      </c>
      <c r="G380" s="353">
        <v>0</v>
      </c>
      <c r="H380" s="353">
        <v>0</v>
      </c>
      <c r="I380" s="353">
        <v>0</v>
      </c>
      <c r="J380" s="353">
        <v>0</v>
      </c>
    </row>
    <row r="381" spans="1:10" x14ac:dyDescent="0.35">
      <c r="A381" s="507" t="s">
        <v>285</v>
      </c>
      <c r="B381" s="353">
        <v>0</v>
      </c>
      <c r="C381" s="353">
        <v>0</v>
      </c>
      <c r="D381" s="353">
        <v>0</v>
      </c>
      <c r="E381" s="353">
        <v>0</v>
      </c>
      <c r="F381" s="353">
        <v>0</v>
      </c>
      <c r="G381" s="353">
        <v>0</v>
      </c>
      <c r="H381" s="353">
        <v>0</v>
      </c>
      <c r="I381" s="353">
        <v>0</v>
      </c>
      <c r="J381" s="353">
        <v>0</v>
      </c>
    </row>
    <row r="382" spans="1:10" x14ac:dyDescent="0.35">
      <c r="A382" s="507" t="s">
        <v>286</v>
      </c>
      <c r="B382" s="353">
        <v>0</v>
      </c>
      <c r="C382" s="353">
        <v>0</v>
      </c>
      <c r="D382" s="353">
        <v>0</v>
      </c>
      <c r="E382" s="353">
        <v>0</v>
      </c>
      <c r="F382" s="353">
        <v>0</v>
      </c>
      <c r="G382" s="353">
        <v>0</v>
      </c>
      <c r="H382" s="353">
        <v>0</v>
      </c>
      <c r="I382" s="353">
        <v>0</v>
      </c>
      <c r="J382" s="353">
        <v>0</v>
      </c>
    </row>
    <row r="383" spans="1:10" x14ac:dyDescent="0.35">
      <c r="A383" s="507" t="s">
        <v>287</v>
      </c>
      <c r="B383" s="353">
        <v>0</v>
      </c>
      <c r="C383" s="353">
        <v>0</v>
      </c>
      <c r="D383" s="353">
        <v>0</v>
      </c>
      <c r="E383" s="353">
        <v>0</v>
      </c>
      <c r="F383" s="353">
        <v>0</v>
      </c>
      <c r="G383" s="353">
        <v>0</v>
      </c>
      <c r="H383" s="353">
        <v>0</v>
      </c>
      <c r="I383" s="353">
        <v>0</v>
      </c>
      <c r="J383" s="353">
        <v>0</v>
      </c>
    </row>
    <row r="384" spans="1:10" x14ac:dyDescent="0.35">
      <c r="A384" s="507" t="s">
        <v>288</v>
      </c>
      <c r="B384" s="353">
        <v>0</v>
      </c>
      <c r="C384" s="353">
        <v>0</v>
      </c>
      <c r="D384" s="353">
        <v>0</v>
      </c>
      <c r="E384" s="353">
        <v>0</v>
      </c>
      <c r="F384" s="353">
        <v>0</v>
      </c>
      <c r="G384" s="353">
        <v>0</v>
      </c>
      <c r="H384" s="353">
        <v>0</v>
      </c>
      <c r="I384" s="353">
        <v>0</v>
      </c>
      <c r="J384" s="353">
        <v>0</v>
      </c>
    </row>
    <row r="385" spans="1:10" x14ac:dyDescent="0.35">
      <c r="A385" s="507" t="s">
        <v>289</v>
      </c>
      <c r="B385" s="353">
        <v>0</v>
      </c>
      <c r="C385" s="353">
        <v>0</v>
      </c>
      <c r="D385" s="353">
        <v>0</v>
      </c>
      <c r="E385" s="353">
        <v>0</v>
      </c>
      <c r="F385" s="353">
        <v>0</v>
      </c>
      <c r="G385" s="353">
        <v>0</v>
      </c>
      <c r="H385" s="353">
        <v>0</v>
      </c>
      <c r="I385" s="353">
        <v>0</v>
      </c>
      <c r="J385" s="353">
        <v>0</v>
      </c>
    </row>
    <row r="386" spans="1:10" x14ac:dyDescent="0.35">
      <c r="A386" s="507" t="s">
        <v>290</v>
      </c>
      <c r="B386" s="353">
        <v>0</v>
      </c>
      <c r="C386" s="353">
        <v>0</v>
      </c>
      <c r="D386" s="353">
        <v>0</v>
      </c>
      <c r="E386" s="353">
        <v>0</v>
      </c>
      <c r="F386" s="353">
        <v>0</v>
      </c>
      <c r="G386" s="353">
        <v>0</v>
      </c>
      <c r="H386" s="353">
        <v>0</v>
      </c>
      <c r="I386" s="353">
        <v>0</v>
      </c>
      <c r="J386" s="353">
        <v>0</v>
      </c>
    </row>
    <row r="387" spans="1:10" x14ac:dyDescent="0.35">
      <c r="A387" s="507" t="s">
        <v>291</v>
      </c>
      <c r="B387" s="353">
        <v>0</v>
      </c>
      <c r="C387" s="353">
        <v>0</v>
      </c>
      <c r="D387" s="353">
        <v>0</v>
      </c>
      <c r="E387" s="353">
        <v>0</v>
      </c>
      <c r="F387" s="353">
        <v>0</v>
      </c>
      <c r="G387" s="353">
        <v>0</v>
      </c>
      <c r="H387" s="353">
        <v>0</v>
      </c>
      <c r="I387" s="353">
        <v>0</v>
      </c>
      <c r="J387" s="353">
        <v>0</v>
      </c>
    </row>
    <row r="388" spans="1:10" x14ac:dyDescent="0.35">
      <c r="A388" s="507" t="s">
        <v>292</v>
      </c>
      <c r="B388" s="353">
        <v>0</v>
      </c>
      <c r="C388" s="353">
        <v>0</v>
      </c>
      <c r="D388" s="353">
        <v>0</v>
      </c>
      <c r="E388" s="353">
        <v>0</v>
      </c>
      <c r="F388" s="353">
        <v>0</v>
      </c>
      <c r="G388" s="353">
        <v>0</v>
      </c>
      <c r="H388" s="353">
        <v>0</v>
      </c>
      <c r="I388" s="353">
        <v>0</v>
      </c>
      <c r="J388" s="353">
        <v>0</v>
      </c>
    </row>
    <row r="389" spans="1:10" x14ac:dyDescent="0.35">
      <c r="A389" s="507" t="s">
        <v>293</v>
      </c>
      <c r="B389" s="353">
        <v>0</v>
      </c>
      <c r="C389" s="353">
        <v>0</v>
      </c>
      <c r="D389" s="353">
        <v>0</v>
      </c>
      <c r="E389" s="353">
        <v>0</v>
      </c>
      <c r="F389" s="353">
        <v>0</v>
      </c>
      <c r="G389" s="353">
        <v>0</v>
      </c>
      <c r="H389" s="353">
        <v>0</v>
      </c>
      <c r="I389" s="353">
        <v>0</v>
      </c>
      <c r="J389" s="353">
        <v>0</v>
      </c>
    </row>
    <row r="390" spans="1:10" x14ac:dyDescent="0.35">
      <c r="A390" s="507" t="s">
        <v>294</v>
      </c>
      <c r="B390" s="353">
        <v>0</v>
      </c>
      <c r="C390" s="353">
        <v>0</v>
      </c>
      <c r="D390" s="353">
        <v>0</v>
      </c>
      <c r="E390" s="353">
        <v>0</v>
      </c>
      <c r="F390" s="353">
        <v>0</v>
      </c>
      <c r="G390" s="353">
        <v>0</v>
      </c>
      <c r="H390" s="353">
        <v>0</v>
      </c>
      <c r="I390" s="353">
        <v>0</v>
      </c>
      <c r="J390" s="353">
        <v>0</v>
      </c>
    </row>
    <row r="391" spans="1:10" x14ac:dyDescent="0.35">
      <c r="A391" s="507" t="s">
        <v>295</v>
      </c>
      <c r="B391" s="353">
        <v>0</v>
      </c>
      <c r="C391" s="353">
        <v>0</v>
      </c>
      <c r="D391" s="353">
        <v>0</v>
      </c>
      <c r="E391" s="353">
        <v>0</v>
      </c>
      <c r="F391" s="353">
        <v>0</v>
      </c>
      <c r="G391" s="353">
        <v>0</v>
      </c>
      <c r="H391" s="353">
        <v>0</v>
      </c>
      <c r="I391" s="353">
        <v>0</v>
      </c>
      <c r="J391" s="353">
        <v>0</v>
      </c>
    </row>
    <row r="392" spans="1:10" x14ac:dyDescent="0.35">
      <c r="A392" s="507" t="s">
        <v>296</v>
      </c>
      <c r="B392" s="353">
        <v>0</v>
      </c>
      <c r="C392" s="353">
        <v>0</v>
      </c>
      <c r="D392" s="353">
        <v>0</v>
      </c>
      <c r="E392" s="353">
        <v>0</v>
      </c>
      <c r="F392" s="353">
        <v>0</v>
      </c>
      <c r="G392" s="353">
        <v>0</v>
      </c>
      <c r="H392" s="353">
        <v>0</v>
      </c>
      <c r="I392" s="353">
        <v>0</v>
      </c>
      <c r="J392" s="353">
        <v>0</v>
      </c>
    </row>
    <row r="393" spans="1:10" x14ac:dyDescent="0.35">
      <c r="A393" s="507" t="s">
        <v>297</v>
      </c>
      <c r="B393" s="353">
        <v>0</v>
      </c>
      <c r="C393" s="353">
        <v>0</v>
      </c>
      <c r="D393" s="353">
        <v>0</v>
      </c>
      <c r="E393" s="353">
        <v>0</v>
      </c>
      <c r="F393" s="353">
        <v>0</v>
      </c>
      <c r="G393" s="353">
        <v>0</v>
      </c>
      <c r="H393" s="353">
        <v>0</v>
      </c>
      <c r="I393" s="353">
        <v>0</v>
      </c>
      <c r="J393" s="353">
        <v>0</v>
      </c>
    </row>
    <row r="394" spans="1:10" x14ac:dyDescent="0.35">
      <c r="A394" s="507" t="s">
        <v>298</v>
      </c>
      <c r="B394" s="353">
        <v>0</v>
      </c>
      <c r="C394" s="353">
        <v>0</v>
      </c>
      <c r="D394" s="353">
        <v>0</v>
      </c>
      <c r="E394" s="353">
        <v>0</v>
      </c>
      <c r="F394" s="353">
        <v>0</v>
      </c>
      <c r="G394" s="353">
        <v>0</v>
      </c>
      <c r="H394" s="353">
        <v>0</v>
      </c>
      <c r="I394" s="353">
        <v>0</v>
      </c>
      <c r="J394" s="353">
        <v>0</v>
      </c>
    </row>
    <row r="395" spans="1:10" x14ac:dyDescent="0.35">
      <c r="A395" s="441"/>
      <c r="B395" s="96"/>
      <c r="C395" s="96"/>
      <c r="D395" s="96"/>
      <c r="E395" s="96"/>
      <c r="F395" s="96"/>
      <c r="G395" s="96"/>
      <c r="H395" s="96"/>
      <c r="I395" s="96"/>
      <c r="J395" s="96"/>
    </row>
    <row r="396" spans="1:10" x14ac:dyDescent="0.35">
      <c r="A396" s="14" t="s">
        <v>649</v>
      </c>
      <c r="B396" s="52" t="s">
        <v>1601</v>
      </c>
      <c r="C396" s="96"/>
      <c r="D396" s="96"/>
      <c r="E396" s="96"/>
      <c r="F396" s="96"/>
      <c r="G396" s="96"/>
      <c r="H396" s="96"/>
      <c r="I396" s="96"/>
      <c r="J396" s="96"/>
    </row>
    <row r="397" spans="1:10" x14ac:dyDescent="0.35">
      <c r="A397" s="74" t="s">
        <v>380</v>
      </c>
      <c r="B397" s="57" t="s">
        <v>12</v>
      </c>
      <c r="C397" s="96"/>
      <c r="D397" s="96"/>
      <c r="E397" s="96"/>
      <c r="F397" s="96"/>
      <c r="G397" s="96"/>
      <c r="H397" s="96"/>
      <c r="I397" s="96"/>
      <c r="J397" s="96"/>
    </row>
    <row r="398" spans="1:10" x14ac:dyDescent="0.35">
      <c r="A398" s="74" t="s">
        <v>127</v>
      </c>
      <c r="B398" s="36">
        <v>2025</v>
      </c>
      <c r="C398" s="96"/>
      <c r="D398" s="96"/>
      <c r="E398" s="96"/>
      <c r="F398" s="96"/>
      <c r="G398" s="96"/>
      <c r="H398" s="96"/>
      <c r="I398" s="96"/>
      <c r="J398" s="96"/>
    </row>
    <row r="399" spans="1:10" x14ac:dyDescent="0.35">
      <c r="A399" s="441"/>
      <c r="B399" s="96"/>
      <c r="C399" s="96"/>
      <c r="D399" s="96"/>
      <c r="E399" s="96"/>
      <c r="F399" s="96"/>
      <c r="G399" s="96"/>
      <c r="H399" s="96"/>
      <c r="I399" s="96"/>
      <c r="J399" s="96"/>
    </row>
    <row r="400" spans="1:10" x14ac:dyDescent="0.35">
      <c r="A400" s="14" t="s">
        <v>649</v>
      </c>
      <c r="B400" s="52" t="s">
        <v>1602</v>
      </c>
      <c r="C400" s="96"/>
      <c r="D400" s="96"/>
      <c r="E400" s="96"/>
      <c r="F400" s="96"/>
      <c r="G400" s="96"/>
      <c r="H400" s="96"/>
      <c r="I400" s="96"/>
      <c r="J400" s="96"/>
    </row>
    <row r="401" spans="1:10" x14ac:dyDescent="0.35">
      <c r="A401" s="74" t="s">
        <v>380</v>
      </c>
      <c r="B401" s="57" t="s">
        <v>12</v>
      </c>
      <c r="C401" s="96"/>
      <c r="D401" s="96"/>
      <c r="E401" s="96"/>
      <c r="F401" s="96"/>
      <c r="G401" s="96"/>
      <c r="H401" s="96"/>
      <c r="I401" s="96"/>
      <c r="J401" s="96"/>
    </row>
    <row r="402" spans="1:10" x14ac:dyDescent="0.35">
      <c r="A402" s="74" t="s">
        <v>127</v>
      </c>
      <c r="B402" s="36">
        <v>2050</v>
      </c>
      <c r="C402" s="96"/>
      <c r="D402" s="96"/>
      <c r="E402" s="96"/>
      <c r="F402" s="96"/>
      <c r="G402" s="96"/>
      <c r="H402" s="96"/>
      <c r="I402" s="96"/>
      <c r="J402" s="96"/>
    </row>
    <row r="403" spans="1:10" x14ac:dyDescent="0.35">
      <c r="A403" s="441"/>
      <c r="B403" s="96"/>
      <c r="C403" s="96"/>
      <c r="D403" s="96"/>
      <c r="E403" s="96"/>
      <c r="F403" s="96"/>
      <c r="G403" s="96"/>
      <c r="H403" s="96"/>
      <c r="I403" s="96"/>
      <c r="J403" s="96"/>
    </row>
    <row r="404" spans="1:10" x14ac:dyDescent="0.35">
      <c r="A404" s="456" t="s">
        <v>622</v>
      </c>
      <c r="B404" s="48"/>
      <c r="C404" s="457" t="s">
        <v>848</v>
      </c>
      <c r="D404" s="454" t="s">
        <v>408</v>
      </c>
      <c r="E404" s="40">
        <v>0.32822800000000002</v>
      </c>
      <c r="F404" s="96"/>
      <c r="G404" s="96"/>
      <c r="H404" s="96"/>
      <c r="I404" s="96"/>
      <c r="J404" s="96"/>
    </row>
    <row r="405" spans="1:10" x14ac:dyDescent="0.35">
      <c r="A405" s="443" t="s">
        <v>547</v>
      </c>
      <c r="B405" s="94" t="s">
        <v>143</v>
      </c>
      <c r="C405" s="95" t="s">
        <v>83</v>
      </c>
      <c r="D405" s="95" t="s">
        <v>144</v>
      </c>
      <c r="E405" s="95" t="s">
        <v>164</v>
      </c>
      <c r="F405" s="95" t="s">
        <v>145</v>
      </c>
      <c r="G405" s="95" t="s">
        <v>87</v>
      </c>
      <c r="H405" s="95" t="s">
        <v>146</v>
      </c>
      <c r="I405" s="95" t="s">
        <v>89</v>
      </c>
      <c r="J405" s="95" t="s">
        <v>90</v>
      </c>
    </row>
    <row r="406" spans="1:10" x14ac:dyDescent="0.35">
      <c r="A406" s="121" t="s">
        <v>621</v>
      </c>
      <c r="B406" s="122" t="s">
        <v>548</v>
      </c>
      <c r="C406" s="122" t="s">
        <v>548</v>
      </c>
      <c r="D406" s="122" t="s">
        <v>548</v>
      </c>
      <c r="E406" s="122" t="s">
        <v>548</v>
      </c>
      <c r="F406" s="122" t="s">
        <v>548</v>
      </c>
      <c r="G406" s="122" t="s">
        <v>548</v>
      </c>
      <c r="H406" s="122" t="s">
        <v>548</v>
      </c>
      <c r="I406" s="122" t="s">
        <v>548</v>
      </c>
      <c r="J406" s="122" t="s">
        <v>548</v>
      </c>
    </row>
    <row r="407" spans="1:10" x14ac:dyDescent="0.35">
      <c r="A407" s="453" t="s">
        <v>549</v>
      </c>
      <c r="B407" s="40">
        <v>0.65009300000000003</v>
      </c>
      <c r="C407" s="40">
        <v>0.69230899999999995</v>
      </c>
      <c r="D407" s="40">
        <v>0.71217600000000003</v>
      </c>
      <c r="E407" s="40">
        <v>0.46502599999999999</v>
      </c>
      <c r="F407" s="40">
        <v>0.77380000000000004</v>
      </c>
      <c r="G407" s="40">
        <v>0.60505100000000001</v>
      </c>
      <c r="H407" s="40">
        <v>0.70196999999999998</v>
      </c>
      <c r="I407" s="40">
        <v>0.523397</v>
      </c>
      <c r="J407" s="40">
        <v>0.56465500000000002</v>
      </c>
    </row>
    <row r="408" spans="1:10" x14ac:dyDescent="0.35">
      <c r="A408" s="453" t="s">
        <v>550</v>
      </c>
      <c r="B408" s="40">
        <v>0.64705999999999997</v>
      </c>
      <c r="C408" s="40">
        <v>0.66991400000000001</v>
      </c>
      <c r="D408" s="40">
        <v>0.709283</v>
      </c>
      <c r="E408" s="40">
        <v>0.43487900000000002</v>
      </c>
      <c r="F408" s="40">
        <v>0.75733600000000001</v>
      </c>
      <c r="G408" s="40">
        <v>0.57630499999999996</v>
      </c>
      <c r="H408" s="40">
        <v>0.680975</v>
      </c>
      <c r="I408" s="40">
        <v>0.49473299999999998</v>
      </c>
      <c r="J408" s="40">
        <v>0.532968</v>
      </c>
    </row>
    <row r="409" spans="1:10" x14ac:dyDescent="0.35">
      <c r="A409" s="453" t="s">
        <v>551</v>
      </c>
      <c r="B409" s="40">
        <v>1</v>
      </c>
      <c r="C409" s="40">
        <v>1</v>
      </c>
      <c r="D409" s="40">
        <v>1</v>
      </c>
      <c r="E409" s="40">
        <v>1</v>
      </c>
      <c r="F409" s="40">
        <v>1</v>
      </c>
      <c r="G409" s="40">
        <v>1</v>
      </c>
      <c r="H409" s="40">
        <v>1</v>
      </c>
      <c r="I409" s="40">
        <v>1</v>
      </c>
      <c r="J409" s="40">
        <v>1</v>
      </c>
    </row>
    <row r="410" spans="1:10" x14ac:dyDescent="0.35">
      <c r="A410" s="453" t="s">
        <v>552</v>
      </c>
      <c r="B410" s="40">
        <v>0.277758</v>
      </c>
      <c r="C410" s="40">
        <v>0.549593</v>
      </c>
      <c r="D410" s="40">
        <v>0.41830000000000001</v>
      </c>
      <c r="E410" s="40">
        <v>0.389353</v>
      </c>
      <c r="F410" s="40">
        <v>0.66888099999999995</v>
      </c>
      <c r="G410" s="40">
        <v>0.42186099999999999</v>
      </c>
      <c r="H410" s="40">
        <v>0.60376700000000005</v>
      </c>
      <c r="I410" s="40">
        <v>0.16684499999999999</v>
      </c>
      <c r="J410" s="40">
        <v>0.33767799999999998</v>
      </c>
    </row>
    <row r="411" spans="1:10" x14ac:dyDescent="0.35">
      <c r="A411" s="453" t="s">
        <v>553</v>
      </c>
      <c r="B411" s="40">
        <v>0.27477400000000002</v>
      </c>
      <c r="C411" s="40">
        <v>0.52756000000000003</v>
      </c>
      <c r="D411" s="40">
        <v>0.389845</v>
      </c>
      <c r="E411" s="40">
        <v>0.35969600000000002</v>
      </c>
      <c r="F411" s="40">
        <v>0.65268400000000004</v>
      </c>
      <c r="G411" s="40">
        <v>0.39358100000000001</v>
      </c>
      <c r="H411" s="40">
        <v>0.58655500000000005</v>
      </c>
      <c r="I411" s="40">
        <v>0.13864599999999999</v>
      </c>
      <c r="J411" s="40">
        <v>0.30650500000000003</v>
      </c>
    </row>
    <row r="412" spans="1:10" x14ac:dyDescent="0.35">
      <c r="A412" s="453" t="s">
        <v>554</v>
      </c>
      <c r="B412" s="40">
        <v>0.80423500000000003</v>
      </c>
      <c r="C412" s="40">
        <v>0.81129600000000002</v>
      </c>
      <c r="D412" s="40">
        <v>0.78981500000000004</v>
      </c>
      <c r="E412" s="40">
        <v>0.67769100000000004</v>
      </c>
      <c r="F412" s="40">
        <v>0.86127299999999996</v>
      </c>
      <c r="G412" s="40">
        <v>0.75778100000000004</v>
      </c>
      <c r="H412" s="40">
        <v>0.75417900000000004</v>
      </c>
      <c r="I412" s="40">
        <v>0.69995300000000005</v>
      </c>
      <c r="J412" s="40">
        <v>0.73817100000000002</v>
      </c>
    </row>
    <row r="413" spans="1:10" x14ac:dyDescent="0.35">
      <c r="A413" s="453" t="s">
        <v>555</v>
      </c>
      <c r="B413" s="40">
        <v>0.80066300000000001</v>
      </c>
      <c r="C413" s="40">
        <v>0.78492399999999996</v>
      </c>
      <c r="D413" s="40">
        <v>0.78641000000000005</v>
      </c>
      <c r="E413" s="40">
        <v>0.64219300000000001</v>
      </c>
      <c r="F413" s="40">
        <v>0.84188600000000002</v>
      </c>
      <c r="G413" s="40">
        <v>0.72393099999999999</v>
      </c>
      <c r="H413" s="40">
        <v>0.712974</v>
      </c>
      <c r="I413" s="40">
        <v>0.66620000000000001</v>
      </c>
      <c r="J413" s="40">
        <v>0.70085799999999998</v>
      </c>
    </row>
    <row r="414" spans="1:10" x14ac:dyDescent="0.35">
      <c r="A414" s="453" t="s">
        <v>556</v>
      </c>
      <c r="B414" s="40">
        <v>1</v>
      </c>
      <c r="C414" s="40">
        <v>0.93365399999999998</v>
      </c>
      <c r="D414" s="40">
        <v>1</v>
      </c>
      <c r="E414" s="40">
        <v>1</v>
      </c>
      <c r="F414" s="40">
        <v>1</v>
      </c>
      <c r="G414" s="40">
        <v>1</v>
      </c>
      <c r="H414" s="40">
        <v>0.74084099999999997</v>
      </c>
      <c r="I414" s="40">
        <v>1</v>
      </c>
      <c r="J414" s="40">
        <v>1</v>
      </c>
    </row>
    <row r="415" spans="1:10" x14ac:dyDescent="0.35">
      <c r="A415" s="453" t="s">
        <v>557</v>
      </c>
      <c r="B415" s="40">
        <v>0.701986</v>
      </c>
      <c r="C415" s="40">
        <v>0.71791099999999997</v>
      </c>
      <c r="D415" s="40">
        <v>0.635683</v>
      </c>
      <c r="E415" s="40">
        <v>0.57217300000000004</v>
      </c>
      <c r="F415" s="40">
        <v>0.79262100000000002</v>
      </c>
      <c r="G415" s="40">
        <v>0.63791299999999995</v>
      </c>
      <c r="H415" s="40">
        <v>0.777868</v>
      </c>
      <c r="I415" s="40">
        <v>0.62365000000000004</v>
      </c>
      <c r="J415" s="40">
        <v>0.58707399999999998</v>
      </c>
    </row>
    <row r="416" spans="1:10" x14ac:dyDescent="0.35">
      <c r="A416" s="453" t="s">
        <v>558</v>
      </c>
      <c r="B416" s="40">
        <v>0.64366699999999999</v>
      </c>
      <c r="C416" s="40">
        <v>0.65639899999999995</v>
      </c>
      <c r="D416" s="40">
        <v>0.55623999999999996</v>
      </c>
      <c r="E416" s="40">
        <v>0.48937199999999997</v>
      </c>
      <c r="F416" s="40">
        <v>0.74740099999999998</v>
      </c>
      <c r="G416" s="40">
        <v>0.55895700000000004</v>
      </c>
      <c r="H416" s="40">
        <v>0.72981300000000005</v>
      </c>
      <c r="I416" s="40">
        <v>0.54492099999999999</v>
      </c>
      <c r="J416" s="40">
        <v>0.50004199999999999</v>
      </c>
    </row>
    <row r="417" spans="1:10" x14ac:dyDescent="0.35">
      <c r="A417" s="453" t="s">
        <v>559</v>
      </c>
      <c r="B417" s="40">
        <v>0.696044</v>
      </c>
      <c r="C417" s="40">
        <v>0.70722300000000005</v>
      </c>
      <c r="D417" s="40">
        <v>0.69020999999999999</v>
      </c>
      <c r="E417" s="40">
        <v>0.74666600000000005</v>
      </c>
      <c r="F417" s="40">
        <v>0.83527399999999996</v>
      </c>
      <c r="G417" s="40">
        <v>0.71238599999999996</v>
      </c>
      <c r="H417" s="40">
        <v>0.82139899999999999</v>
      </c>
      <c r="I417" s="40">
        <v>0.56614500000000001</v>
      </c>
      <c r="J417" s="40">
        <v>0.703515</v>
      </c>
    </row>
    <row r="418" spans="1:10" x14ac:dyDescent="0.35">
      <c r="A418" s="453" t="s">
        <v>560</v>
      </c>
      <c r="B418" s="40">
        <v>0.79269299999999998</v>
      </c>
      <c r="C418" s="40">
        <v>0.85012200000000004</v>
      </c>
      <c r="D418" s="40">
        <v>0.79069</v>
      </c>
      <c r="E418" s="40">
        <v>0.77884900000000001</v>
      </c>
      <c r="F418" s="40">
        <v>0.89561900000000005</v>
      </c>
      <c r="G418" s="40">
        <v>0.81774800000000003</v>
      </c>
      <c r="H418" s="40">
        <v>0.89385199999999998</v>
      </c>
      <c r="I418" s="40">
        <v>0.818272</v>
      </c>
      <c r="J418" s="40">
        <v>0.78429300000000002</v>
      </c>
    </row>
    <row r="419" spans="1:10" x14ac:dyDescent="0.35">
      <c r="A419" s="453" t="s">
        <v>561</v>
      </c>
      <c r="B419" s="40">
        <v>0.88100400000000001</v>
      </c>
      <c r="C419" s="40">
        <v>0.92678400000000005</v>
      </c>
      <c r="D419" s="40">
        <v>0.90544199999999997</v>
      </c>
      <c r="E419" s="40">
        <v>0.90144500000000005</v>
      </c>
      <c r="F419" s="40">
        <v>0.94617499999999999</v>
      </c>
      <c r="G419" s="40">
        <v>0.90602099999999997</v>
      </c>
      <c r="H419" s="40">
        <v>0.94280200000000003</v>
      </c>
      <c r="I419" s="40">
        <v>0.90629199999999999</v>
      </c>
      <c r="J419" s="40">
        <v>0.89640900000000001</v>
      </c>
    </row>
    <row r="420" spans="1:10" x14ac:dyDescent="0.35">
      <c r="A420" s="453" t="s">
        <v>562</v>
      </c>
      <c r="B420" s="40">
        <v>0.57299199999999995</v>
      </c>
      <c r="C420" s="40">
        <v>0.58984599999999998</v>
      </c>
      <c r="D420" s="40">
        <v>0.59772000000000003</v>
      </c>
      <c r="E420" s="40">
        <v>0.47445300000000001</v>
      </c>
      <c r="F420" s="40">
        <v>0.77101200000000003</v>
      </c>
      <c r="G420" s="40">
        <v>0.60018300000000002</v>
      </c>
      <c r="H420" s="40">
        <v>0.75199700000000003</v>
      </c>
      <c r="I420" s="40">
        <v>0.60133300000000001</v>
      </c>
      <c r="J420" s="40">
        <v>0.48375400000000002</v>
      </c>
    </row>
    <row r="421" spans="1:10" x14ac:dyDescent="0.35">
      <c r="A421" s="453" t="s">
        <v>563</v>
      </c>
      <c r="B421" s="40">
        <v>1</v>
      </c>
      <c r="C421" s="40">
        <v>1</v>
      </c>
      <c r="D421" s="40">
        <v>1</v>
      </c>
      <c r="E421" s="40">
        <v>1</v>
      </c>
      <c r="F421" s="40">
        <v>1</v>
      </c>
      <c r="G421" s="40">
        <v>1</v>
      </c>
      <c r="H421" s="40">
        <v>1</v>
      </c>
      <c r="I421" s="40">
        <v>1</v>
      </c>
      <c r="J421" s="40">
        <v>1</v>
      </c>
    </row>
    <row r="422" spans="1:10" x14ac:dyDescent="0.35">
      <c r="A422" s="453" t="s">
        <v>564</v>
      </c>
      <c r="B422" s="40">
        <v>0.763127</v>
      </c>
      <c r="C422" s="40">
        <v>0.80852100000000005</v>
      </c>
      <c r="D422" s="40">
        <v>0.69763399999999998</v>
      </c>
      <c r="E422" s="40">
        <v>0.777586</v>
      </c>
      <c r="F422" s="40">
        <v>0.87853099999999995</v>
      </c>
      <c r="G422" s="40">
        <v>0.787914</v>
      </c>
      <c r="H422" s="40">
        <v>0.87058100000000005</v>
      </c>
      <c r="I422" s="40">
        <v>0.788524</v>
      </c>
      <c r="J422" s="40">
        <v>0.77083599999999997</v>
      </c>
    </row>
    <row r="423" spans="1:10" x14ac:dyDescent="0.35">
      <c r="A423" s="453" t="s">
        <v>565</v>
      </c>
      <c r="B423" s="40">
        <v>0.73486799999999997</v>
      </c>
      <c r="C423" s="40">
        <v>0.98042399999999996</v>
      </c>
      <c r="D423" s="40">
        <v>1</v>
      </c>
      <c r="E423" s="40">
        <v>1</v>
      </c>
      <c r="F423" s="40">
        <v>1</v>
      </c>
      <c r="G423" s="40">
        <v>1</v>
      </c>
      <c r="H423" s="40">
        <v>0.92353499999999999</v>
      </c>
      <c r="I423" s="40">
        <v>1</v>
      </c>
      <c r="J423" s="40">
        <v>1</v>
      </c>
    </row>
    <row r="424" spans="1:10" x14ac:dyDescent="0.35">
      <c r="A424" s="453" t="s">
        <v>566</v>
      </c>
      <c r="B424" s="40">
        <v>0.49808799999999998</v>
      </c>
      <c r="C424" s="40">
        <v>0.69342300000000001</v>
      </c>
      <c r="D424" s="40">
        <v>0.47013300000000002</v>
      </c>
      <c r="E424" s="40">
        <v>0.42843799999999999</v>
      </c>
      <c r="F424" s="40">
        <v>0.66064299999999998</v>
      </c>
      <c r="G424" s="40">
        <v>0.47679100000000002</v>
      </c>
      <c r="H424" s="40">
        <v>0.70655999999999997</v>
      </c>
      <c r="I424" s="40">
        <v>0.46559299999999998</v>
      </c>
      <c r="J424" s="40">
        <v>0.295871</v>
      </c>
    </row>
    <row r="425" spans="1:10" x14ac:dyDescent="0.35">
      <c r="A425" s="453" t="s">
        <v>567</v>
      </c>
      <c r="B425" s="40">
        <v>0.41477599999999998</v>
      </c>
      <c r="C425" s="40">
        <v>0.631911</v>
      </c>
      <c r="D425" s="40">
        <v>0.39068999999999998</v>
      </c>
      <c r="E425" s="40">
        <v>0.345638</v>
      </c>
      <c r="F425" s="40">
        <v>0.61542300000000005</v>
      </c>
      <c r="G425" s="40">
        <v>0.39783499999999999</v>
      </c>
      <c r="H425" s="40">
        <v>0.65850500000000001</v>
      </c>
      <c r="I425" s="40">
        <v>0.38686399999999999</v>
      </c>
      <c r="J425" s="40">
        <v>0.20884</v>
      </c>
    </row>
    <row r="426" spans="1:10" x14ac:dyDescent="0.35">
      <c r="A426" s="453" t="s">
        <v>568</v>
      </c>
      <c r="B426" s="40">
        <v>0.38154900000000003</v>
      </c>
      <c r="C426" s="40">
        <v>0.55334099999999997</v>
      </c>
      <c r="D426" s="40">
        <v>0.31347000000000003</v>
      </c>
      <c r="E426" s="40">
        <v>0.38275199999999998</v>
      </c>
      <c r="F426" s="40">
        <v>0.60760899999999995</v>
      </c>
      <c r="G426" s="40">
        <v>0.38660099999999997</v>
      </c>
      <c r="H426" s="40">
        <v>0.61840700000000004</v>
      </c>
      <c r="I426" s="40">
        <v>0.41782999999999998</v>
      </c>
      <c r="J426" s="40">
        <v>0.28728900000000002</v>
      </c>
    </row>
    <row r="427" spans="1:10" x14ac:dyDescent="0.35">
      <c r="A427" s="453" t="s">
        <v>569</v>
      </c>
      <c r="B427" s="40">
        <v>0.34462900000000002</v>
      </c>
      <c r="C427" s="40">
        <v>0.52608200000000005</v>
      </c>
      <c r="D427" s="40">
        <v>0.27826499999999998</v>
      </c>
      <c r="E427" s="40">
        <v>0.34605799999999998</v>
      </c>
      <c r="F427" s="40">
        <v>0.58756900000000001</v>
      </c>
      <c r="G427" s="40">
        <v>0.35161100000000001</v>
      </c>
      <c r="H427" s="40">
        <v>0.59711099999999995</v>
      </c>
      <c r="I427" s="40">
        <v>0.38294099999999998</v>
      </c>
      <c r="J427" s="40">
        <v>0.26800499999999999</v>
      </c>
    </row>
    <row r="428" spans="1:10" x14ac:dyDescent="0.35">
      <c r="A428" s="453" t="s">
        <v>570</v>
      </c>
      <c r="B428" s="40">
        <v>0.69458900000000001</v>
      </c>
      <c r="C428" s="40">
        <v>0.77450600000000003</v>
      </c>
      <c r="D428" s="40">
        <v>0.70877400000000002</v>
      </c>
      <c r="E428" s="40">
        <v>0.69646300000000005</v>
      </c>
      <c r="F428" s="40">
        <v>0.83422700000000005</v>
      </c>
      <c r="G428" s="40">
        <v>0.71055699999999999</v>
      </c>
      <c r="H428" s="40">
        <v>0.82383700000000004</v>
      </c>
      <c r="I428" s="40">
        <v>0.71138999999999997</v>
      </c>
      <c r="J428" s="40">
        <v>0.680952</v>
      </c>
    </row>
    <row r="429" spans="1:10" x14ac:dyDescent="0.35">
      <c r="A429" s="453" t="s">
        <v>571</v>
      </c>
      <c r="B429" s="40">
        <v>0.99952799999999997</v>
      </c>
      <c r="C429" s="40">
        <v>0.99965099999999996</v>
      </c>
      <c r="D429" s="40">
        <v>0.99955000000000005</v>
      </c>
      <c r="E429" s="40">
        <v>0.99953000000000003</v>
      </c>
      <c r="F429" s="40">
        <v>0.99974399999999997</v>
      </c>
      <c r="G429" s="40">
        <v>0.999552</v>
      </c>
      <c r="H429" s="40">
        <v>0.99972799999999995</v>
      </c>
      <c r="I429" s="40">
        <v>0.99955400000000005</v>
      </c>
      <c r="J429" s="40">
        <v>0.99950600000000001</v>
      </c>
    </row>
    <row r="430" spans="1:10" x14ac:dyDescent="0.35">
      <c r="A430" s="453" t="s">
        <v>572</v>
      </c>
      <c r="B430" s="40">
        <v>0.99941199999999997</v>
      </c>
      <c r="C430" s="40">
        <v>0.99956599999999995</v>
      </c>
      <c r="D430" s="40">
        <v>0.99943899999999997</v>
      </c>
      <c r="E430" s="40">
        <v>0.99941599999999997</v>
      </c>
      <c r="F430" s="40">
        <v>0.99968100000000004</v>
      </c>
      <c r="G430" s="40">
        <v>0.99944299999999997</v>
      </c>
      <c r="H430" s="40">
        <v>0.99966100000000002</v>
      </c>
      <c r="I430" s="40">
        <v>0.999444</v>
      </c>
      <c r="J430" s="40">
        <v>0.999386</v>
      </c>
    </row>
    <row r="431" spans="1:10" x14ac:dyDescent="0.35">
      <c r="A431" s="453" t="s">
        <v>573</v>
      </c>
      <c r="B431" s="40">
        <v>2.7127700000000001E-2</v>
      </c>
      <c r="C431" s="40">
        <v>2.00292E-2</v>
      </c>
      <c r="D431" s="40">
        <v>2.58677E-2</v>
      </c>
      <c r="E431" s="40">
        <v>2.6961200000000001E-2</v>
      </c>
      <c r="F431" s="40">
        <v>1.4724599999999999E-2</v>
      </c>
      <c r="G431" s="40">
        <v>2.57094E-2</v>
      </c>
      <c r="H431" s="40">
        <v>1.5647500000000002E-2</v>
      </c>
      <c r="I431" s="40">
        <v>2.5635399999999999E-2</v>
      </c>
      <c r="J431" s="40">
        <v>0</v>
      </c>
    </row>
    <row r="432" spans="1:10" x14ac:dyDescent="0.35">
      <c r="A432" s="453" t="s">
        <v>574</v>
      </c>
      <c r="B432" s="40">
        <v>0</v>
      </c>
      <c r="C432" s="40">
        <v>0</v>
      </c>
      <c r="D432" s="40">
        <v>0</v>
      </c>
      <c r="E432" s="40">
        <v>0</v>
      </c>
      <c r="F432" s="40">
        <v>0</v>
      </c>
      <c r="G432" s="40">
        <v>0</v>
      </c>
      <c r="H432" s="40">
        <v>0</v>
      </c>
      <c r="I432" s="40">
        <v>0</v>
      </c>
      <c r="J432" s="40">
        <v>0</v>
      </c>
    </row>
    <row r="433" spans="1:10" x14ac:dyDescent="0.35">
      <c r="A433" s="453" t="s">
        <v>575</v>
      </c>
      <c r="B433" s="40">
        <v>0.54949800000000004</v>
      </c>
      <c r="C433" s="40">
        <v>0.662246</v>
      </c>
      <c r="D433" s="40">
        <v>0.56379100000000004</v>
      </c>
      <c r="E433" s="40">
        <v>0.54535100000000003</v>
      </c>
      <c r="F433" s="40">
        <v>0.75169900000000001</v>
      </c>
      <c r="G433" s="40">
        <v>0.56646200000000002</v>
      </c>
      <c r="H433" s="40">
        <v>0.734514</v>
      </c>
      <c r="I433" s="40">
        <v>0.56770900000000002</v>
      </c>
      <c r="J433" s="40">
        <v>0.51852200000000004</v>
      </c>
    </row>
    <row r="434" spans="1:10" x14ac:dyDescent="0.35">
      <c r="A434" s="453" t="s">
        <v>576</v>
      </c>
      <c r="B434" s="40">
        <v>0.771451</v>
      </c>
      <c r="C434" s="40">
        <v>0.83125499999999997</v>
      </c>
      <c r="D434" s="40">
        <v>0.78206699999999996</v>
      </c>
      <c r="E434" s="40">
        <v>0.77285400000000004</v>
      </c>
      <c r="F434" s="40">
        <v>0.87594700000000003</v>
      </c>
      <c r="G434" s="40">
        <v>0.78340100000000001</v>
      </c>
      <c r="H434" s="40">
        <v>0.86817100000000003</v>
      </c>
      <c r="I434" s="40">
        <v>0.78402400000000005</v>
      </c>
      <c r="J434" s="40">
        <v>0.76124700000000001</v>
      </c>
    </row>
    <row r="435" spans="1:10" x14ac:dyDescent="0.35">
      <c r="A435" s="453" t="s">
        <v>577</v>
      </c>
      <c r="B435" s="40">
        <v>0.87363500000000005</v>
      </c>
      <c r="C435" s="40">
        <v>0.90670099999999998</v>
      </c>
      <c r="D435" s="40">
        <v>0.87950399999999995</v>
      </c>
      <c r="E435" s="40">
        <v>0.87441000000000002</v>
      </c>
      <c r="F435" s="40">
        <v>0.93141099999999999</v>
      </c>
      <c r="G435" s="40">
        <v>0.88024199999999997</v>
      </c>
      <c r="H435" s="40">
        <v>0.92711200000000005</v>
      </c>
      <c r="I435" s="40">
        <v>0.88058599999999998</v>
      </c>
      <c r="J435" s="40">
        <v>0.86799300000000001</v>
      </c>
    </row>
    <row r="436" spans="1:10" x14ac:dyDescent="0.35">
      <c r="A436" s="453" t="s">
        <v>578</v>
      </c>
      <c r="B436" s="40">
        <v>0.89663999999999999</v>
      </c>
      <c r="C436" s="40">
        <v>0.92368600000000001</v>
      </c>
      <c r="D436" s="40">
        <v>0.90144000000000002</v>
      </c>
      <c r="E436" s="40">
        <v>0.89727400000000002</v>
      </c>
      <c r="F436" s="40">
        <v>0.94389699999999999</v>
      </c>
      <c r="G436" s="40">
        <v>0.90204399999999996</v>
      </c>
      <c r="H436" s="40">
        <v>0.94038100000000002</v>
      </c>
      <c r="I436" s="40">
        <v>0.90232599999999996</v>
      </c>
      <c r="J436" s="40">
        <v>0.89202499999999996</v>
      </c>
    </row>
    <row r="437" spans="1:10" x14ac:dyDescent="0.35">
      <c r="A437" s="453" t="s">
        <v>579</v>
      </c>
      <c r="B437" s="40">
        <v>0.82867900000000005</v>
      </c>
      <c r="C437" s="40">
        <v>0.87350899999999998</v>
      </c>
      <c r="D437" s="40">
        <v>0.83663699999999996</v>
      </c>
      <c r="E437" s="40">
        <v>0.829731</v>
      </c>
      <c r="F437" s="40">
        <v>0.90700999999999998</v>
      </c>
      <c r="G437" s="40">
        <v>0.83763699999999996</v>
      </c>
      <c r="H437" s="40">
        <v>0.90118100000000001</v>
      </c>
      <c r="I437" s="40">
        <v>0.83810399999999996</v>
      </c>
      <c r="J437" s="40">
        <v>0.82103000000000004</v>
      </c>
    </row>
    <row r="438" spans="1:10" x14ac:dyDescent="0.35">
      <c r="A438" s="453" t="s">
        <v>580</v>
      </c>
      <c r="B438" s="40">
        <v>0.63064799999999999</v>
      </c>
      <c r="C438" s="40">
        <v>0.72924199999999995</v>
      </c>
      <c r="D438" s="40">
        <v>0.64455899999999999</v>
      </c>
      <c r="E438" s="40">
        <v>0.62901099999999999</v>
      </c>
      <c r="F438" s="40">
        <v>0.785381</v>
      </c>
      <c r="G438" s="40">
        <v>0.63527500000000003</v>
      </c>
      <c r="H438" s="40">
        <v>0.78217700000000001</v>
      </c>
      <c r="I438" s="40">
        <v>0.64022199999999996</v>
      </c>
      <c r="J438" s="40">
        <v>0.46364499999999997</v>
      </c>
    </row>
    <row r="439" spans="1:10" x14ac:dyDescent="0.35">
      <c r="A439" s="453" t="s">
        <v>581</v>
      </c>
      <c r="B439" s="40">
        <v>0.59850199999999998</v>
      </c>
      <c r="C439" s="40">
        <v>0.70550800000000002</v>
      </c>
      <c r="D439" s="40">
        <v>0.61390599999999995</v>
      </c>
      <c r="E439" s="40">
        <v>0.59706199999999998</v>
      </c>
      <c r="F439" s="40">
        <v>0.76793299999999998</v>
      </c>
      <c r="G439" s="40">
        <v>0.60480999999999996</v>
      </c>
      <c r="H439" s="40">
        <v>0.76363499999999995</v>
      </c>
      <c r="I439" s="40">
        <v>0.60984400000000005</v>
      </c>
      <c r="J439" s="40">
        <v>0.396482</v>
      </c>
    </row>
    <row r="440" spans="1:10" x14ac:dyDescent="0.35">
      <c r="A440" s="453" t="s">
        <v>582</v>
      </c>
      <c r="B440" s="40">
        <v>1</v>
      </c>
      <c r="C440" s="40">
        <v>1</v>
      </c>
      <c r="D440" s="40">
        <v>1</v>
      </c>
      <c r="E440" s="40">
        <v>1</v>
      </c>
      <c r="F440" s="40">
        <v>1</v>
      </c>
      <c r="G440" s="40">
        <v>1</v>
      </c>
      <c r="H440" s="40">
        <v>1</v>
      </c>
      <c r="I440" s="40">
        <v>1</v>
      </c>
      <c r="J440" s="40">
        <v>1</v>
      </c>
    </row>
    <row r="441" spans="1:10" x14ac:dyDescent="0.35">
      <c r="A441" s="453" t="s">
        <v>583</v>
      </c>
      <c r="B441" s="40">
        <v>1</v>
      </c>
      <c r="C441" s="40">
        <v>1</v>
      </c>
      <c r="D441" s="40">
        <v>1</v>
      </c>
      <c r="E441" s="40">
        <v>1</v>
      </c>
      <c r="F441" s="40">
        <v>1</v>
      </c>
      <c r="G441" s="40">
        <v>1</v>
      </c>
      <c r="H441" s="40">
        <v>1</v>
      </c>
      <c r="I441" s="40">
        <v>1</v>
      </c>
      <c r="J441" s="40">
        <v>1</v>
      </c>
    </row>
    <row r="442" spans="1:10" x14ac:dyDescent="0.35">
      <c r="A442" s="453" t="s">
        <v>584</v>
      </c>
      <c r="B442" s="40">
        <v>0.82415000000000005</v>
      </c>
      <c r="C442" s="40">
        <v>0.87016400000000005</v>
      </c>
      <c r="D442" s="40">
        <v>0.83231699999999997</v>
      </c>
      <c r="E442" s="40">
        <v>0.82522899999999999</v>
      </c>
      <c r="F442" s="40">
        <v>0.90455099999999999</v>
      </c>
      <c r="G442" s="40">
        <v>0.83334399999999997</v>
      </c>
      <c r="H442" s="40">
        <v>0.89856800000000003</v>
      </c>
      <c r="I442" s="40">
        <v>0.83382299999999998</v>
      </c>
      <c r="J442" s="40">
        <v>0.81629799999999997</v>
      </c>
    </row>
    <row r="443" spans="1:10" x14ac:dyDescent="0.35">
      <c r="A443" s="453" t="s">
        <v>585</v>
      </c>
      <c r="B443" s="40">
        <v>0.87363500000000005</v>
      </c>
      <c r="C443" s="40">
        <v>0.90670099999999998</v>
      </c>
      <c r="D443" s="40">
        <v>0.87950399999999995</v>
      </c>
      <c r="E443" s="40">
        <v>0.87441000000000002</v>
      </c>
      <c r="F443" s="40">
        <v>0.93141099999999999</v>
      </c>
      <c r="G443" s="40">
        <v>0.88024199999999997</v>
      </c>
      <c r="H443" s="40">
        <v>0.92711200000000005</v>
      </c>
      <c r="I443" s="40">
        <v>0.88058599999999998</v>
      </c>
      <c r="J443" s="40">
        <v>0.86799300000000001</v>
      </c>
    </row>
    <row r="444" spans="1:10" x14ac:dyDescent="0.35">
      <c r="A444" s="453" t="s">
        <v>586</v>
      </c>
      <c r="B444" s="197">
        <v>1</v>
      </c>
      <c r="C444" s="197">
        <v>1</v>
      </c>
      <c r="D444" s="197">
        <v>1</v>
      </c>
      <c r="E444" s="197">
        <v>1</v>
      </c>
      <c r="F444" s="197">
        <v>1</v>
      </c>
      <c r="G444" s="197">
        <v>1</v>
      </c>
      <c r="H444" s="197">
        <v>1</v>
      </c>
      <c r="I444" s="197">
        <v>1</v>
      </c>
      <c r="J444" s="197">
        <v>1</v>
      </c>
    </row>
    <row r="445" spans="1:10" x14ac:dyDescent="0.35">
      <c r="A445" s="453" t="s">
        <v>587</v>
      </c>
      <c r="B445" s="197">
        <v>1</v>
      </c>
      <c r="C445" s="197">
        <v>1</v>
      </c>
      <c r="D445" s="197">
        <v>1</v>
      </c>
      <c r="E445" s="197">
        <v>1</v>
      </c>
      <c r="F445" s="197">
        <v>1</v>
      </c>
      <c r="G445" s="197">
        <v>1</v>
      </c>
      <c r="H445" s="197">
        <v>1</v>
      </c>
      <c r="I445" s="197">
        <v>1</v>
      </c>
      <c r="J445" s="197">
        <v>1</v>
      </c>
    </row>
    <row r="446" spans="1:10" x14ac:dyDescent="0.35">
      <c r="A446" s="453" t="s">
        <v>588</v>
      </c>
      <c r="B446" s="197">
        <v>1</v>
      </c>
      <c r="C446" s="197">
        <v>1</v>
      </c>
      <c r="D446" s="197">
        <v>1</v>
      </c>
      <c r="E446" s="197">
        <v>1</v>
      </c>
      <c r="F446" s="197">
        <v>1</v>
      </c>
      <c r="G446" s="197">
        <v>1</v>
      </c>
      <c r="H446" s="197">
        <v>1</v>
      </c>
      <c r="I446" s="197">
        <v>1</v>
      </c>
      <c r="J446" s="197">
        <v>1</v>
      </c>
    </row>
    <row r="447" spans="1:10" x14ac:dyDescent="0.35">
      <c r="A447" s="453" t="s">
        <v>589</v>
      </c>
      <c r="B447" s="197">
        <v>1</v>
      </c>
      <c r="C447" s="197">
        <v>1</v>
      </c>
      <c r="D447" s="197">
        <v>1</v>
      </c>
      <c r="E447" s="197">
        <v>1</v>
      </c>
      <c r="F447" s="197">
        <v>1</v>
      </c>
      <c r="G447" s="197">
        <v>1</v>
      </c>
      <c r="H447" s="197">
        <v>1</v>
      </c>
      <c r="I447" s="197">
        <v>1</v>
      </c>
      <c r="J447" s="197">
        <v>1</v>
      </c>
    </row>
    <row r="448" spans="1:10" x14ac:dyDescent="0.35">
      <c r="A448" s="453" t="s">
        <v>590</v>
      </c>
      <c r="B448" s="197">
        <v>1</v>
      </c>
      <c r="C448" s="197">
        <v>1</v>
      </c>
      <c r="D448" s="197">
        <v>1</v>
      </c>
      <c r="E448" s="197">
        <v>1</v>
      </c>
      <c r="F448" s="197">
        <v>1</v>
      </c>
      <c r="G448" s="197">
        <v>1</v>
      </c>
      <c r="H448" s="197">
        <v>1</v>
      </c>
      <c r="I448" s="197">
        <v>1</v>
      </c>
      <c r="J448" s="197">
        <v>1</v>
      </c>
    </row>
    <row r="451" spans="1:10" x14ac:dyDescent="0.35">
      <c r="A451" s="455" t="s">
        <v>1044</v>
      </c>
      <c r="B451" s="96"/>
      <c r="C451" s="96"/>
      <c r="D451" s="96"/>
      <c r="E451" s="96"/>
      <c r="F451" s="96"/>
      <c r="G451" s="96"/>
      <c r="H451" s="96"/>
      <c r="I451" s="96"/>
      <c r="J451" s="96"/>
    </row>
    <row r="452" spans="1:10" x14ac:dyDescent="0.35">
      <c r="A452" s="443" t="s">
        <v>922</v>
      </c>
      <c r="B452" s="94" t="s">
        <v>143</v>
      </c>
      <c r="C452" s="95" t="s">
        <v>83</v>
      </c>
      <c r="D452" s="95" t="s">
        <v>144</v>
      </c>
      <c r="E452" s="95" t="s">
        <v>164</v>
      </c>
      <c r="F452" s="95" t="s">
        <v>145</v>
      </c>
      <c r="G452" s="95" t="s">
        <v>87</v>
      </c>
      <c r="H452" s="95" t="s">
        <v>146</v>
      </c>
      <c r="I452" s="95" t="s">
        <v>89</v>
      </c>
      <c r="J452" s="95" t="s">
        <v>90</v>
      </c>
    </row>
    <row r="453" spans="1:10" x14ac:dyDescent="0.35">
      <c r="A453" s="452" t="s">
        <v>620</v>
      </c>
      <c r="B453" s="122" t="s">
        <v>408</v>
      </c>
      <c r="C453" s="122" t="s">
        <v>408</v>
      </c>
      <c r="D453" s="122" t="s">
        <v>408</v>
      </c>
      <c r="E453" s="122" t="s">
        <v>408</v>
      </c>
      <c r="F453" s="122" t="s">
        <v>408</v>
      </c>
      <c r="G453" s="122" t="s">
        <v>408</v>
      </c>
      <c r="H453" s="122" t="s">
        <v>408</v>
      </c>
      <c r="I453" s="122" t="s">
        <v>408</v>
      </c>
      <c r="J453" s="122" t="s">
        <v>408</v>
      </c>
    </row>
    <row r="454" spans="1:10" x14ac:dyDescent="0.35">
      <c r="A454" s="453" t="s">
        <v>546</v>
      </c>
      <c r="B454" s="40">
        <v>1</v>
      </c>
      <c r="C454" s="40">
        <v>1</v>
      </c>
      <c r="D454" s="40">
        <v>1</v>
      </c>
      <c r="E454" s="40">
        <v>1</v>
      </c>
      <c r="F454" s="40">
        <v>1</v>
      </c>
      <c r="G454" s="40">
        <v>1</v>
      </c>
      <c r="H454" s="40">
        <v>1</v>
      </c>
      <c r="I454" s="40">
        <v>1</v>
      </c>
      <c r="J454" s="40">
        <v>1</v>
      </c>
    </row>
    <row r="455" spans="1:10" x14ac:dyDescent="0.35">
      <c r="A455" s="457" t="s">
        <v>1045</v>
      </c>
      <c r="B455" s="40">
        <v>0.1</v>
      </c>
      <c r="C455" s="40">
        <v>0.1</v>
      </c>
      <c r="D455" s="40">
        <v>0.1</v>
      </c>
      <c r="E455" s="40">
        <v>0.1</v>
      </c>
      <c r="F455" s="40">
        <v>0.1</v>
      </c>
      <c r="G455" s="40">
        <v>0.1</v>
      </c>
      <c r="H455" s="40">
        <v>0.1</v>
      </c>
      <c r="I455" s="40">
        <v>0.1</v>
      </c>
      <c r="J455" s="40">
        <v>0.1</v>
      </c>
    </row>
    <row r="456" spans="1:10" x14ac:dyDescent="0.35">
      <c r="A456" s="456" t="s">
        <v>1046</v>
      </c>
      <c r="C456" s="457" t="s">
        <v>1047</v>
      </c>
      <c r="D456" s="454" t="s">
        <v>408</v>
      </c>
      <c r="E456" s="40">
        <v>0.2</v>
      </c>
      <c r="F456" s="96"/>
      <c r="G456" s="96"/>
      <c r="H456" s="96"/>
      <c r="I456" s="96"/>
      <c r="J456" s="96"/>
    </row>
    <row r="457" spans="1:10" x14ac:dyDescent="0.35">
      <c r="A457" s="456" t="s">
        <v>1048</v>
      </c>
      <c r="B457" s="40">
        <v>1E-3</v>
      </c>
      <c r="C457" s="457"/>
      <c r="D457" s="454"/>
      <c r="E457" s="40"/>
      <c r="F457" s="96"/>
      <c r="G457" s="96"/>
      <c r="H457" s="96"/>
      <c r="I457" s="96"/>
      <c r="J457" s="96"/>
    </row>
    <row r="458" spans="1:10" x14ac:dyDescent="0.35">
      <c r="A458" s="443" t="s">
        <v>547</v>
      </c>
      <c r="B458" s="94" t="s">
        <v>143</v>
      </c>
      <c r="C458" s="95" t="s">
        <v>83</v>
      </c>
      <c r="D458" s="95" t="s">
        <v>144</v>
      </c>
      <c r="E458" s="95" t="s">
        <v>164</v>
      </c>
      <c r="F458" s="95" t="s">
        <v>145</v>
      </c>
      <c r="G458" s="95" t="s">
        <v>87</v>
      </c>
      <c r="H458" s="95" t="s">
        <v>146</v>
      </c>
      <c r="I458" s="95" t="s">
        <v>89</v>
      </c>
      <c r="J458" s="95" t="s">
        <v>90</v>
      </c>
    </row>
    <row r="459" spans="1:10" x14ac:dyDescent="0.35">
      <c r="A459" s="121" t="s">
        <v>1082</v>
      </c>
      <c r="B459" s="122" t="s">
        <v>408</v>
      </c>
      <c r="C459" s="122" t="s">
        <v>408</v>
      </c>
      <c r="D459" s="122" t="s">
        <v>408</v>
      </c>
      <c r="E459" s="122" t="s">
        <v>408</v>
      </c>
      <c r="F459" s="122" t="s">
        <v>408</v>
      </c>
      <c r="G459" s="122" t="s">
        <v>408</v>
      </c>
      <c r="H459" s="122" t="s">
        <v>408</v>
      </c>
      <c r="I459" s="122" t="s">
        <v>408</v>
      </c>
      <c r="J459" s="122" t="s">
        <v>408</v>
      </c>
    </row>
    <row r="460" spans="1:10" x14ac:dyDescent="0.35">
      <c r="A460" s="453" t="s">
        <v>1049</v>
      </c>
      <c r="B460" s="40">
        <v>1</v>
      </c>
      <c r="C460" s="40">
        <v>1</v>
      </c>
      <c r="D460" s="40">
        <v>1</v>
      </c>
      <c r="E460" s="40">
        <v>1</v>
      </c>
      <c r="F460" s="40">
        <v>1</v>
      </c>
      <c r="G460" s="40">
        <v>1</v>
      </c>
      <c r="H460" s="40">
        <v>1</v>
      </c>
      <c r="I460" s="40">
        <v>1</v>
      </c>
      <c r="J460" s="40">
        <v>1</v>
      </c>
    </row>
    <row r="461" spans="1:10" x14ac:dyDescent="0.35">
      <c r="A461" s="453" t="s">
        <v>1050</v>
      </c>
      <c r="B461" s="40">
        <v>1</v>
      </c>
      <c r="C461" s="40">
        <v>1</v>
      </c>
      <c r="D461" s="40">
        <v>1</v>
      </c>
      <c r="E461" s="40">
        <v>1</v>
      </c>
      <c r="F461" s="40">
        <v>1</v>
      </c>
      <c r="G461" s="40">
        <v>1</v>
      </c>
      <c r="H461" s="40">
        <v>1</v>
      </c>
      <c r="I461" s="40">
        <v>1</v>
      </c>
      <c r="J461" s="40">
        <v>1</v>
      </c>
    </row>
    <row r="462" spans="1:10" x14ac:dyDescent="0.35">
      <c r="A462" s="453" t="s">
        <v>1051</v>
      </c>
      <c r="B462" s="40">
        <v>1</v>
      </c>
      <c r="C462" s="40">
        <v>1</v>
      </c>
      <c r="D462" s="40">
        <v>1</v>
      </c>
      <c r="E462" s="40">
        <v>1</v>
      </c>
      <c r="F462" s="40">
        <v>1</v>
      </c>
      <c r="G462" s="40">
        <v>1</v>
      </c>
      <c r="H462" s="40">
        <v>1</v>
      </c>
      <c r="I462" s="40">
        <v>1</v>
      </c>
      <c r="J462" s="40">
        <v>1</v>
      </c>
    </row>
    <row r="463" spans="1:10" x14ac:dyDescent="0.35">
      <c r="A463" s="453" t="s">
        <v>1052</v>
      </c>
      <c r="B463" s="458">
        <v>0</v>
      </c>
      <c r="C463" s="458">
        <v>0</v>
      </c>
      <c r="D463" s="458">
        <v>0</v>
      </c>
      <c r="E463" s="458">
        <v>0</v>
      </c>
      <c r="F463" s="458">
        <v>0</v>
      </c>
      <c r="G463" s="458">
        <v>0</v>
      </c>
      <c r="H463" s="458">
        <v>0</v>
      </c>
      <c r="I463" s="458">
        <v>0</v>
      </c>
      <c r="J463" s="458">
        <v>0</v>
      </c>
    </row>
    <row r="464" spans="1:10" x14ac:dyDescent="0.35">
      <c r="A464" s="453" t="s">
        <v>1053</v>
      </c>
      <c r="B464" s="40">
        <v>1</v>
      </c>
      <c r="C464" s="40">
        <v>1</v>
      </c>
      <c r="D464" s="40">
        <v>1</v>
      </c>
      <c r="E464" s="40">
        <v>1</v>
      </c>
      <c r="F464" s="40">
        <v>1</v>
      </c>
      <c r="G464" s="40">
        <v>1</v>
      </c>
      <c r="H464" s="40">
        <v>1</v>
      </c>
      <c r="I464" s="40">
        <v>1</v>
      </c>
      <c r="J464" s="40">
        <v>1</v>
      </c>
    </row>
    <row r="465" spans="1:10" x14ac:dyDescent="0.35">
      <c r="A465" s="453" t="s">
        <v>1054</v>
      </c>
      <c r="B465" s="40">
        <v>1</v>
      </c>
      <c r="C465" s="40">
        <v>1</v>
      </c>
      <c r="D465" s="40">
        <v>1</v>
      </c>
      <c r="E465" s="40">
        <v>1</v>
      </c>
      <c r="F465" s="40">
        <v>1</v>
      </c>
      <c r="G465" s="40">
        <v>1</v>
      </c>
      <c r="H465" s="40">
        <v>1</v>
      </c>
      <c r="I465" s="40">
        <v>1</v>
      </c>
      <c r="J465" s="40">
        <v>1</v>
      </c>
    </row>
    <row r="466" spans="1:10" x14ac:dyDescent="0.35">
      <c r="A466" s="453" t="s">
        <v>1055</v>
      </c>
      <c r="B466" s="458">
        <v>0</v>
      </c>
      <c r="C466" s="458">
        <v>0</v>
      </c>
      <c r="D466" s="458">
        <v>0</v>
      </c>
      <c r="E466" s="458">
        <v>0</v>
      </c>
      <c r="F466" s="458">
        <v>0</v>
      </c>
      <c r="G466" s="458">
        <v>0</v>
      </c>
      <c r="H466" s="458">
        <v>0</v>
      </c>
      <c r="I466" s="458">
        <v>0</v>
      </c>
      <c r="J466" s="458">
        <v>0</v>
      </c>
    </row>
    <row r="467" spans="1:10" ht="21" customHeight="1" x14ac:dyDescent="0.35"/>
    <row r="468" spans="1:10" ht="21" customHeight="1" x14ac:dyDescent="0.35">
      <c r="A468" s="527" t="s">
        <v>2135</v>
      </c>
      <c r="B468" s="2" t="s">
        <v>2136</v>
      </c>
    </row>
    <row r="469" spans="1:10" x14ac:dyDescent="0.35">
      <c r="A469" s="461" t="s">
        <v>1083</v>
      </c>
      <c r="B469" s="9" t="s">
        <v>408</v>
      </c>
    </row>
    <row r="470" spans="1:10" x14ac:dyDescent="0.35">
      <c r="A470" s="41" t="s">
        <v>143</v>
      </c>
      <c r="B470" s="36">
        <v>1</v>
      </c>
    </row>
    <row r="471" spans="1:10" x14ac:dyDescent="0.35">
      <c r="A471" s="42" t="s">
        <v>83</v>
      </c>
      <c r="B471" s="36">
        <v>1</v>
      </c>
    </row>
    <row r="472" spans="1:10" x14ac:dyDescent="0.35">
      <c r="A472" s="42" t="s">
        <v>144</v>
      </c>
      <c r="B472" s="36">
        <v>1</v>
      </c>
    </row>
    <row r="473" spans="1:10" x14ac:dyDescent="0.35">
      <c r="A473" s="42" t="s">
        <v>164</v>
      </c>
      <c r="B473" s="36">
        <v>1</v>
      </c>
    </row>
    <row r="474" spans="1:10" x14ac:dyDescent="0.35">
      <c r="A474" s="42" t="s">
        <v>145</v>
      </c>
      <c r="B474" s="36">
        <v>1</v>
      </c>
    </row>
    <row r="475" spans="1:10" x14ac:dyDescent="0.35">
      <c r="A475" s="42" t="s">
        <v>87</v>
      </c>
      <c r="B475" s="36">
        <v>1</v>
      </c>
    </row>
    <row r="476" spans="1:10" x14ac:dyDescent="0.35">
      <c r="A476" s="42" t="s">
        <v>146</v>
      </c>
      <c r="B476" s="36">
        <v>1</v>
      </c>
    </row>
    <row r="477" spans="1:10" x14ac:dyDescent="0.35">
      <c r="A477" s="42" t="s">
        <v>89</v>
      </c>
      <c r="B477" s="36">
        <v>1</v>
      </c>
    </row>
    <row r="478" spans="1:10" x14ac:dyDescent="0.35">
      <c r="A478" s="42" t="s">
        <v>90</v>
      </c>
      <c r="B478" s="36">
        <v>1</v>
      </c>
    </row>
    <row r="479" spans="1:10" x14ac:dyDescent="0.35">
      <c r="B479" s="2"/>
    </row>
    <row r="480" spans="1:10" x14ac:dyDescent="0.35">
      <c r="A480" s="459" t="s">
        <v>1147</v>
      </c>
      <c r="B480" s="34" t="s">
        <v>397</v>
      </c>
      <c r="C480" s="460" t="s">
        <v>1146</v>
      </c>
    </row>
    <row r="481" spans="1:63" x14ac:dyDescent="0.35">
      <c r="A481" s="461" t="s">
        <v>1083</v>
      </c>
      <c r="B481" s="9" t="s">
        <v>666</v>
      </c>
      <c r="C481" s="9" t="s">
        <v>666</v>
      </c>
    </row>
    <row r="482" spans="1:63" x14ac:dyDescent="0.35">
      <c r="A482" s="41" t="s">
        <v>143</v>
      </c>
      <c r="B482" s="36">
        <v>0.2</v>
      </c>
      <c r="C482" s="462">
        <v>5.7495272727272721E-2</v>
      </c>
    </row>
    <row r="483" spans="1:63" x14ac:dyDescent="0.35">
      <c r="A483" s="42" t="s">
        <v>83</v>
      </c>
      <c r="B483" s="36">
        <v>0.2</v>
      </c>
      <c r="C483" s="462">
        <v>5.1429400000000004E-3</v>
      </c>
    </row>
    <row r="484" spans="1:63" x14ac:dyDescent="0.35">
      <c r="A484" s="42" t="s">
        <v>144</v>
      </c>
      <c r="B484" s="36">
        <v>0.2</v>
      </c>
      <c r="C484" s="462">
        <v>0.15752290909090907</v>
      </c>
    </row>
    <row r="485" spans="1:63" x14ac:dyDescent="0.35">
      <c r="A485" s="42" t="s">
        <v>164</v>
      </c>
      <c r="B485" s="36">
        <v>0.2</v>
      </c>
      <c r="C485" s="462">
        <v>8.2590545454545444E-2</v>
      </c>
    </row>
    <row r="486" spans="1:63" x14ac:dyDescent="0.35">
      <c r="A486" s="42" t="s">
        <v>145</v>
      </c>
      <c r="B486" s="36">
        <v>0.2</v>
      </c>
      <c r="C486" s="462">
        <v>4.8069818181818186E-2</v>
      </c>
    </row>
    <row r="487" spans="1:63" x14ac:dyDescent="0.35">
      <c r="A487" s="42" t="s">
        <v>87</v>
      </c>
      <c r="B487" s="36">
        <v>0.2</v>
      </c>
      <c r="C487" s="462">
        <v>0.19722763636363638</v>
      </c>
    </row>
    <row r="488" spans="1:63" x14ac:dyDescent="0.35">
      <c r="A488" s="42" t="s">
        <v>146</v>
      </c>
      <c r="B488" s="36">
        <v>0.2</v>
      </c>
      <c r="C488" s="462">
        <v>2.4353018181818183E-2</v>
      </c>
    </row>
    <row r="489" spans="1:63" x14ac:dyDescent="0.35">
      <c r="A489" s="42" t="s">
        <v>89</v>
      </c>
      <c r="B489" s="36">
        <v>0.2</v>
      </c>
      <c r="C489" s="462">
        <v>0.12205963636363637</v>
      </c>
    </row>
    <row r="490" spans="1:63" x14ac:dyDescent="0.35">
      <c r="A490" s="42" t="s">
        <v>90</v>
      </c>
      <c r="B490" s="36">
        <v>0.2</v>
      </c>
      <c r="C490" s="462">
        <v>0.34744581818181819</v>
      </c>
    </row>
    <row r="492" spans="1:63" x14ac:dyDescent="0.35">
      <c r="A492" s="459" t="s">
        <v>1097</v>
      </c>
    </row>
    <row r="493" spans="1:63" x14ac:dyDescent="0.35">
      <c r="A493" s="463" t="s">
        <v>801</v>
      </c>
    </row>
    <row r="494" spans="1:63" x14ac:dyDescent="0.35">
      <c r="A494" s="460" t="s">
        <v>801</v>
      </c>
      <c r="B494" s="460" t="s">
        <v>171</v>
      </c>
      <c r="C494" s="464" t="s">
        <v>173</v>
      </c>
      <c r="D494" s="464" t="s">
        <v>174</v>
      </c>
      <c r="F494" s="13"/>
    </row>
    <row r="495" spans="1:63" x14ac:dyDescent="0.35">
      <c r="A495" s="461" t="s">
        <v>1083</v>
      </c>
      <c r="B495" s="35" t="s">
        <v>12</v>
      </c>
      <c r="C495" s="4" t="s">
        <v>172</v>
      </c>
      <c r="D495" s="4" t="s">
        <v>172</v>
      </c>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148"/>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row>
    <row r="496" spans="1:63" x14ac:dyDescent="0.35">
      <c r="A496" s="41" t="s">
        <v>143</v>
      </c>
      <c r="B496" s="40">
        <v>2025</v>
      </c>
      <c r="C496" s="92">
        <v>0</v>
      </c>
      <c r="D496" s="92">
        <v>0</v>
      </c>
    </row>
    <row r="497" spans="1:38" x14ac:dyDescent="0.35">
      <c r="A497" s="42" t="s">
        <v>83</v>
      </c>
      <c r="B497" s="40">
        <v>2025</v>
      </c>
      <c r="C497" s="92">
        <v>0</v>
      </c>
      <c r="D497" s="92">
        <v>0</v>
      </c>
    </row>
    <row r="498" spans="1:38" x14ac:dyDescent="0.35">
      <c r="A498" s="42" t="s">
        <v>144</v>
      </c>
      <c r="B498" s="40">
        <v>2025</v>
      </c>
      <c r="C498" s="92">
        <v>0</v>
      </c>
      <c r="D498" s="92">
        <v>0</v>
      </c>
    </row>
    <row r="499" spans="1:38" x14ac:dyDescent="0.35">
      <c r="A499" s="42" t="s">
        <v>164</v>
      </c>
      <c r="B499" s="40">
        <v>2025</v>
      </c>
      <c r="C499" s="92">
        <v>0</v>
      </c>
      <c r="D499" s="92">
        <v>0</v>
      </c>
    </row>
    <row r="500" spans="1:38" x14ac:dyDescent="0.35">
      <c r="A500" s="42" t="s">
        <v>145</v>
      </c>
      <c r="B500" s="40">
        <v>2025</v>
      </c>
      <c r="C500" s="92">
        <v>0</v>
      </c>
      <c r="D500" s="92">
        <v>0</v>
      </c>
    </row>
    <row r="501" spans="1:38" x14ac:dyDescent="0.35">
      <c r="A501" s="42" t="s">
        <v>87</v>
      </c>
      <c r="B501" s="40">
        <v>2025</v>
      </c>
      <c r="C501" s="92">
        <v>0</v>
      </c>
      <c r="D501" s="92">
        <v>0</v>
      </c>
    </row>
    <row r="502" spans="1:38" x14ac:dyDescent="0.35">
      <c r="A502" s="42" t="s">
        <v>146</v>
      </c>
      <c r="B502" s="40">
        <v>2025</v>
      </c>
      <c r="C502" s="92">
        <v>0</v>
      </c>
      <c r="D502" s="92">
        <v>0</v>
      </c>
    </row>
    <row r="503" spans="1:38" x14ac:dyDescent="0.35">
      <c r="A503" s="42" t="s">
        <v>89</v>
      </c>
      <c r="B503" s="40">
        <v>2025</v>
      </c>
      <c r="C503" s="92">
        <v>0</v>
      </c>
      <c r="D503" s="92">
        <v>0</v>
      </c>
    </row>
    <row r="504" spans="1:38" x14ac:dyDescent="0.35">
      <c r="A504" s="42" t="s">
        <v>90</v>
      </c>
      <c r="B504" s="40">
        <v>2025</v>
      </c>
      <c r="C504" s="92">
        <v>0</v>
      </c>
      <c r="D504" s="92">
        <v>0</v>
      </c>
    </row>
    <row r="506" spans="1:38" x14ac:dyDescent="0.35">
      <c r="A506" s="202" t="s">
        <v>1084</v>
      </c>
      <c r="B506" s="280" t="s">
        <v>1085</v>
      </c>
      <c r="C506" s="52" t="s">
        <v>1086</v>
      </c>
      <c r="D506" s="52" t="s">
        <v>1087</v>
      </c>
      <c r="E506" s="52" t="s">
        <v>1088</v>
      </c>
      <c r="AL506"/>
    </row>
    <row r="507" spans="1:38" x14ac:dyDescent="0.35">
      <c r="A507" s="74" t="s">
        <v>378</v>
      </c>
      <c r="B507" t="s">
        <v>128</v>
      </c>
      <c r="C507" s="66" t="s">
        <v>322</v>
      </c>
      <c r="D507" s="66" t="s">
        <v>322</v>
      </c>
      <c r="E507" s="66" t="s">
        <v>1089</v>
      </c>
      <c r="AL507"/>
    </row>
    <row r="508" spans="1:38" x14ac:dyDescent="0.35">
      <c r="A508" s="69" t="s">
        <v>143</v>
      </c>
      <c r="B508" s="54">
        <v>0</v>
      </c>
      <c r="C508" s="54">
        <v>2025</v>
      </c>
      <c r="D508" s="54">
        <v>2050</v>
      </c>
      <c r="E508" s="58">
        <v>0.1</v>
      </c>
      <c r="AL508"/>
    </row>
    <row r="509" spans="1:38" x14ac:dyDescent="0.35">
      <c r="A509" s="69" t="s">
        <v>83</v>
      </c>
      <c r="B509" s="54">
        <v>0</v>
      </c>
      <c r="C509" s="54">
        <v>2025</v>
      </c>
      <c r="D509" s="54">
        <v>2050</v>
      </c>
      <c r="E509" s="58">
        <v>0.1</v>
      </c>
      <c r="AL509"/>
    </row>
    <row r="510" spans="1:38" x14ac:dyDescent="0.35">
      <c r="A510" s="69" t="s">
        <v>144</v>
      </c>
      <c r="B510" s="54">
        <v>0</v>
      </c>
      <c r="C510" s="54">
        <v>2025</v>
      </c>
      <c r="D510" s="54">
        <v>2050</v>
      </c>
      <c r="E510" s="58">
        <v>0.1</v>
      </c>
      <c r="AL510"/>
    </row>
    <row r="511" spans="1:38" x14ac:dyDescent="0.35">
      <c r="A511" s="69" t="s">
        <v>164</v>
      </c>
      <c r="B511" s="54">
        <v>0</v>
      </c>
      <c r="C511" s="54">
        <v>2025</v>
      </c>
      <c r="D511" s="54">
        <v>2050</v>
      </c>
      <c r="E511" s="58">
        <v>0.1</v>
      </c>
      <c r="AL511"/>
    </row>
    <row r="512" spans="1:38" x14ac:dyDescent="0.35">
      <c r="A512" s="69" t="s">
        <v>145</v>
      </c>
      <c r="B512" s="54">
        <v>0</v>
      </c>
      <c r="C512" s="54">
        <v>2025</v>
      </c>
      <c r="D512" s="54">
        <v>2050</v>
      </c>
      <c r="E512" s="58">
        <v>0.1</v>
      </c>
      <c r="AL512"/>
    </row>
    <row r="513" spans="1:38" x14ac:dyDescent="0.35">
      <c r="A513" s="69" t="s">
        <v>87</v>
      </c>
      <c r="B513" s="54">
        <v>0</v>
      </c>
      <c r="C513" s="54">
        <v>2025</v>
      </c>
      <c r="D513" s="54">
        <v>2050</v>
      </c>
      <c r="E513" s="58">
        <v>0.1</v>
      </c>
      <c r="AL513"/>
    </row>
    <row r="514" spans="1:38" x14ac:dyDescent="0.35">
      <c r="A514" s="69" t="s">
        <v>146</v>
      </c>
      <c r="B514" s="54">
        <v>0</v>
      </c>
      <c r="C514" s="54">
        <v>2025</v>
      </c>
      <c r="D514" s="54">
        <v>2050</v>
      </c>
      <c r="E514" s="58">
        <v>0.1</v>
      </c>
      <c r="AL514"/>
    </row>
    <row r="515" spans="1:38" x14ac:dyDescent="0.35">
      <c r="A515" s="69" t="s">
        <v>89</v>
      </c>
      <c r="B515" s="54">
        <v>0</v>
      </c>
      <c r="C515" s="54">
        <v>2025</v>
      </c>
      <c r="D515" s="54">
        <v>2050</v>
      </c>
      <c r="E515" s="58">
        <v>0.1</v>
      </c>
      <c r="AL515"/>
    </row>
    <row r="516" spans="1:38" x14ac:dyDescent="0.35">
      <c r="A516" s="69" t="s">
        <v>90</v>
      </c>
      <c r="B516" s="54">
        <v>0</v>
      </c>
      <c r="C516" s="54">
        <v>2025</v>
      </c>
      <c r="D516" s="54">
        <v>2050</v>
      </c>
      <c r="E516" s="58">
        <v>0.1</v>
      </c>
      <c r="AL516"/>
    </row>
    <row r="517" spans="1:38" x14ac:dyDescent="0.35">
      <c r="AL517"/>
    </row>
    <row r="518" spans="1:38" x14ac:dyDescent="0.35">
      <c r="A518" s="455" t="s">
        <v>789</v>
      </c>
      <c r="B518" s="96"/>
      <c r="C518" s="96"/>
      <c r="D518" s="96"/>
      <c r="E518" s="96"/>
      <c r="F518" s="96"/>
      <c r="G518" s="96"/>
      <c r="H518" s="96"/>
      <c r="I518" s="96"/>
      <c r="J518" s="96"/>
    </row>
    <row r="519" spans="1:38" x14ac:dyDescent="0.35">
      <c r="C519" s="96"/>
      <c r="D519" s="96"/>
      <c r="E519" s="96"/>
      <c r="F519" s="96"/>
      <c r="G519" s="96"/>
      <c r="H519" s="96"/>
      <c r="I519" s="96"/>
      <c r="J519" s="96"/>
    </row>
    <row r="520" spans="1:38" x14ac:dyDescent="0.35">
      <c r="A520" s="70" t="s">
        <v>813</v>
      </c>
      <c r="B520" s="52" t="s">
        <v>815</v>
      </c>
      <c r="C520" s="52" t="s">
        <v>816</v>
      </c>
      <c r="D520" s="52" t="s">
        <v>1090</v>
      </c>
      <c r="E520" s="96"/>
      <c r="F520" s="96"/>
      <c r="G520" s="96"/>
      <c r="H520" s="96"/>
      <c r="I520" s="96"/>
      <c r="J520" s="96"/>
    </row>
    <row r="521" spans="1:38" x14ac:dyDescent="0.35">
      <c r="A521" s="74" t="s">
        <v>378</v>
      </c>
      <c r="B521" s="66" t="s">
        <v>322</v>
      </c>
      <c r="C521" s="66" t="s">
        <v>322</v>
      </c>
      <c r="D521" s="66" t="s">
        <v>1089</v>
      </c>
      <c r="E521" s="96"/>
      <c r="F521" s="96"/>
      <c r="G521" s="96"/>
      <c r="H521" s="96"/>
      <c r="I521" s="96"/>
      <c r="J521" s="96"/>
    </row>
    <row r="522" spans="1:38" x14ac:dyDescent="0.35">
      <c r="A522" s="69" t="s">
        <v>143</v>
      </c>
      <c r="B522" s="54">
        <v>2025</v>
      </c>
      <c r="C522" s="54">
        <v>2040</v>
      </c>
      <c r="D522" s="58">
        <v>0</v>
      </c>
      <c r="E522" s="96"/>
      <c r="F522" s="96"/>
      <c r="G522" s="96"/>
      <c r="H522" s="96"/>
      <c r="I522" s="96"/>
      <c r="J522" s="96"/>
    </row>
    <row r="523" spans="1:38" x14ac:dyDescent="0.35">
      <c r="A523" s="69" t="s">
        <v>83</v>
      </c>
      <c r="B523" s="54">
        <v>2025</v>
      </c>
      <c r="C523" s="54">
        <v>2040</v>
      </c>
      <c r="D523" s="58">
        <v>0</v>
      </c>
      <c r="E523" s="96"/>
      <c r="F523" s="96"/>
      <c r="G523" s="96"/>
      <c r="H523" s="96"/>
      <c r="I523" s="96"/>
      <c r="J523" s="96"/>
    </row>
    <row r="524" spans="1:38" x14ac:dyDescent="0.35">
      <c r="A524" s="69" t="s">
        <v>144</v>
      </c>
      <c r="B524" s="54">
        <v>2025</v>
      </c>
      <c r="C524" s="54">
        <v>2040</v>
      </c>
      <c r="D524" s="58">
        <v>0</v>
      </c>
      <c r="E524" s="96"/>
      <c r="F524" s="96"/>
      <c r="G524" s="96"/>
      <c r="H524" s="96"/>
      <c r="I524" s="96"/>
      <c r="J524" s="96"/>
    </row>
    <row r="525" spans="1:38" x14ac:dyDescent="0.35">
      <c r="A525" s="69" t="s">
        <v>164</v>
      </c>
      <c r="B525" s="54">
        <v>2025</v>
      </c>
      <c r="C525" s="54">
        <v>2040</v>
      </c>
      <c r="D525" s="58">
        <v>0</v>
      </c>
      <c r="E525" s="96"/>
      <c r="F525" s="96"/>
      <c r="G525" s="96"/>
      <c r="H525" s="96"/>
      <c r="I525" s="96"/>
      <c r="J525" s="96"/>
    </row>
    <row r="526" spans="1:38" x14ac:dyDescent="0.35">
      <c r="A526" s="69" t="s">
        <v>145</v>
      </c>
      <c r="B526" s="54">
        <v>2025</v>
      </c>
      <c r="C526" s="54">
        <v>2040</v>
      </c>
      <c r="D526" s="58">
        <v>0</v>
      </c>
      <c r="E526" s="96"/>
      <c r="F526" s="96"/>
      <c r="G526" s="96"/>
      <c r="H526" s="96"/>
      <c r="I526" s="96"/>
      <c r="J526" s="96"/>
    </row>
    <row r="527" spans="1:38" x14ac:dyDescent="0.35">
      <c r="A527" s="69" t="s">
        <v>87</v>
      </c>
      <c r="B527" s="54">
        <v>2025</v>
      </c>
      <c r="C527" s="54">
        <v>2040</v>
      </c>
      <c r="D527" s="58">
        <v>0</v>
      </c>
      <c r="E527" s="96"/>
      <c r="F527" s="96"/>
      <c r="G527" s="96"/>
      <c r="H527" s="96"/>
      <c r="I527" s="96"/>
      <c r="J527" s="96"/>
    </row>
    <row r="528" spans="1:38" x14ac:dyDescent="0.35">
      <c r="A528" s="69" t="s">
        <v>146</v>
      </c>
      <c r="B528" s="54">
        <v>2025</v>
      </c>
      <c r="C528" s="54">
        <v>2040</v>
      </c>
      <c r="D528" s="58">
        <v>0</v>
      </c>
      <c r="E528" s="96"/>
      <c r="F528" s="96"/>
      <c r="G528" s="96"/>
      <c r="H528" s="96"/>
      <c r="I528" s="96"/>
      <c r="J528" s="96"/>
    </row>
    <row r="529" spans="1:10" x14ac:dyDescent="0.35">
      <c r="A529" s="69" t="s">
        <v>89</v>
      </c>
      <c r="B529" s="54">
        <v>2025</v>
      </c>
      <c r="C529" s="54">
        <v>2040</v>
      </c>
      <c r="D529" s="58">
        <v>0</v>
      </c>
      <c r="E529" s="96"/>
      <c r="F529" s="96"/>
      <c r="G529" s="96"/>
      <c r="H529" s="96"/>
      <c r="I529" s="96"/>
      <c r="J529" s="96"/>
    </row>
    <row r="530" spans="1:10" x14ac:dyDescent="0.35">
      <c r="A530" s="69" t="s">
        <v>90</v>
      </c>
      <c r="B530" s="54">
        <v>2025</v>
      </c>
      <c r="C530" s="54">
        <v>2040</v>
      </c>
      <c r="D530" s="58">
        <v>0</v>
      </c>
      <c r="E530" s="96"/>
      <c r="F530" s="96"/>
      <c r="G530" s="96"/>
      <c r="H530" s="96"/>
      <c r="I530" s="96"/>
      <c r="J530" s="96"/>
    </row>
    <row r="531" spans="1:10" x14ac:dyDescent="0.35">
      <c r="A531" s="465"/>
      <c r="B531" s="466"/>
      <c r="C531" s="466"/>
      <c r="D531" s="467"/>
      <c r="E531" s="96"/>
      <c r="F531" s="96"/>
      <c r="G531" s="96"/>
      <c r="H531" s="96"/>
      <c r="I531" s="96"/>
      <c r="J531" s="96"/>
    </row>
    <row r="532" spans="1:10" x14ac:dyDescent="0.35">
      <c r="A532" s="70" t="s">
        <v>814</v>
      </c>
      <c r="B532" s="52" t="s">
        <v>815</v>
      </c>
      <c r="C532" s="52" t="s">
        <v>816</v>
      </c>
      <c r="D532" s="52" t="s">
        <v>817</v>
      </c>
      <c r="E532" s="96"/>
      <c r="F532" s="96"/>
      <c r="G532" s="96"/>
      <c r="H532" s="96"/>
      <c r="I532" s="96"/>
      <c r="J532" s="96"/>
    </row>
    <row r="533" spans="1:10" x14ac:dyDescent="0.35">
      <c r="A533" s="74" t="s">
        <v>378</v>
      </c>
      <c r="B533" s="66" t="s">
        <v>322</v>
      </c>
      <c r="C533" s="66" t="s">
        <v>322</v>
      </c>
      <c r="D533" s="66" t="s">
        <v>1089</v>
      </c>
      <c r="E533" s="96"/>
      <c r="F533" s="96"/>
      <c r="G533" s="96"/>
      <c r="H533" s="96"/>
      <c r="I533" s="96"/>
      <c r="J533" s="96"/>
    </row>
    <row r="534" spans="1:10" x14ac:dyDescent="0.35">
      <c r="A534" s="69" t="s">
        <v>143</v>
      </c>
      <c r="B534" s="54">
        <v>2025</v>
      </c>
      <c r="C534" s="54">
        <v>2040</v>
      </c>
      <c r="D534" s="58">
        <v>0</v>
      </c>
      <c r="E534" s="96"/>
      <c r="F534" s="96"/>
      <c r="G534" s="96"/>
      <c r="H534" s="96"/>
      <c r="I534" s="96"/>
      <c r="J534" s="96"/>
    </row>
    <row r="535" spans="1:10" x14ac:dyDescent="0.35">
      <c r="A535" s="69" t="s">
        <v>83</v>
      </c>
      <c r="B535" s="54">
        <v>2025</v>
      </c>
      <c r="C535" s="54">
        <v>2040</v>
      </c>
      <c r="D535" s="58">
        <v>0</v>
      </c>
      <c r="E535" s="96"/>
      <c r="F535" s="96"/>
      <c r="G535" s="96"/>
      <c r="H535" s="96"/>
      <c r="I535" s="96"/>
      <c r="J535" s="96"/>
    </row>
    <row r="536" spans="1:10" x14ac:dyDescent="0.35">
      <c r="A536" s="69" t="s">
        <v>144</v>
      </c>
      <c r="B536" s="54">
        <v>2025</v>
      </c>
      <c r="C536" s="54">
        <v>2040</v>
      </c>
      <c r="D536" s="58">
        <v>0</v>
      </c>
      <c r="E536" s="96"/>
      <c r="F536" s="96"/>
      <c r="G536" s="96"/>
      <c r="H536" s="96"/>
      <c r="I536" s="96"/>
      <c r="J536" s="96"/>
    </row>
    <row r="537" spans="1:10" x14ac:dyDescent="0.35">
      <c r="A537" s="69" t="s">
        <v>164</v>
      </c>
      <c r="B537" s="54">
        <v>2025</v>
      </c>
      <c r="C537" s="54">
        <v>2040</v>
      </c>
      <c r="D537" s="58">
        <v>0</v>
      </c>
      <c r="E537" s="96"/>
      <c r="F537" s="96"/>
      <c r="G537" s="96"/>
      <c r="H537" s="96"/>
      <c r="I537" s="96"/>
      <c r="J537" s="96"/>
    </row>
    <row r="538" spans="1:10" x14ac:dyDescent="0.35">
      <c r="A538" s="69" t="s">
        <v>145</v>
      </c>
      <c r="B538" s="54">
        <v>2025</v>
      </c>
      <c r="C538" s="54">
        <v>2040</v>
      </c>
      <c r="D538" s="58">
        <v>0</v>
      </c>
      <c r="E538" s="96"/>
      <c r="F538" s="96"/>
      <c r="G538" s="96"/>
      <c r="H538" s="96"/>
      <c r="I538" s="96"/>
      <c r="J538" s="96"/>
    </row>
    <row r="539" spans="1:10" x14ac:dyDescent="0.35">
      <c r="A539" s="69" t="s">
        <v>87</v>
      </c>
      <c r="B539" s="54">
        <v>2025</v>
      </c>
      <c r="C539" s="54">
        <v>2040</v>
      </c>
      <c r="D539" s="58">
        <v>0</v>
      </c>
      <c r="E539" s="96"/>
      <c r="F539" s="96"/>
      <c r="G539" s="96"/>
      <c r="H539" s="96"/>
      <c r="I539" s="96"/>
      <c r="J539" s="96"/>
    </row>
    <row r="540" spans="1:10" x14ac:dyDescent="0.35">
      <c r="A540" s="69" t="s">
        <v>146</v>
      </c>
      <c r="B540" s="54">
        <v>2025</v>
      </c>
      <c r="C540" s="54">
        <v>2040</v>
      </c>
      <c r="D540" s="58">
        <v>0</v>
      </c>
      <c r="E540" s="96"/>
      <c r="F540" s="96"/>
      <c r="G540" s="96"/>
      <c r="H540" s="96"/>
      <c r="I540" s="96"/>
      <c r="J540" s="96"/>
    </row>
    <row r="541" spans="1:10" x14ac:dyDescent="0.35">
      <c r="A541" s="69" t="s">
        <v>89</v>
      </c>
      <c r="B541" s="54">
        <v>2025</v>
      </c>
      <c r="C541" s="54">
        <v>2040</v>
      </c>
      <c r="D541" s="58">
        <v>0</v>
      </c>
      <c r="E541" s="96"/>
      <c r="F541" s="96"/>
      <c r="G541" s="96"/>
      <c r="H541" s="96"/>
      <c r="I541" s="96"/>
      <c r="J541" s="96"/>
    </row>
    <row r="542" spans="1:10" x14ac:dyDescent="0.35">
      <c r="A542" s="69" t="s">
        <v>90</v>
      </c>
      <c r="B542" s="54">
        <v>2025</v>
      </c>
      <c r="C542" s="54">
        <v>2040</v>
      </c>
      <c r="D542" s="58">
        <v>0</v>
      </c>
      <c r="E542" s="96"/>
      <c r="F542" s="96"/>
      <c r="G542" s="96"/>
      <c r="H542" s="96"/>
      <c r="I542" s="96"/>
      <c r="J542" s="96"/>
    </row>
    <row r="543" spans="1:10" x14ac:dyDescent="0.35">
      <c r="A543" s="96"/>
      <c r="B543" s="96"/>
      <c r="C543" s="96"/>
      <c r="D543" s="96"/>
      <c r="E543" s="96"/>
      <c r="F543" s="96"/>
      <c r="G543" s="96"/>
      <c r="H543" s="96"/>
      <c r="I543" s="96"/>
      <c r="J543" s="96"/>
    </row>
    <row r="544" spans="1:10" ht="44.25" customHeight="1" x14ac:dyDescent="0.35">
      <c r="A544" s="96"/>
      <c r="B544" s="96"/>
      <c r="C544" s="96"/>
      <c r="D544" s="96"/>
      <c r="E544" s="96"/>
      <c r="F544" s="96"/>
      <c r="G544" s="96"/>
      <c r="H544" s="96"/>
      <c r="I544" s="96"/>
      <c r="J544" s="96"/>
    </row>
    <row r="545" spans="1:38" hidden="1" x14ac:dyDescent="0.35">
      <c r="A545" s="468" t="s">
        <v>1528</v>
      </c>
      <c r="B545" s="2"/>
      <c r="AL545"/>
    </row>
    <row r="546" spans="1:38" hidden="1" x14ac:dyDescent="0.35">
      <c r="A546" s="38" t="s">
        <v>168</v>
      </c>
      <c r="B546" s="9" t="s">
        <v>169</v>
      </c>
      <c r="AL546"/>
    </row>
    <row r="547" spans="1:38" ht="29" hidden="1" x14ac:dyDescent="0.35">
      <c r="A547" s="271">
        <v>0</v>
      </c>
      <c r="B547" s="469" t="s">
        <v>1529</v>
      </c>
      <c r="AL547"/>
    </row>
    <row r="548" spans="1:38" ht="29" hidden="1" x14ac:dyDescent="0.35">
      <c r="A548" s="271">
        <v>1</v>
      </c>
      <c r="B548" s="469" t="s">
        <v>1512</v>
      </c>
      <c r="AL548"/>
    </row>
    <row r="549" spans="1:38" hidden="1" x14ac:dyDescent="0.35">
      <c r="A549" s="39" t="s">
        <v>170</v>
      </c>
      <c r="B549" s="40">
        <v>1</v>
      </c>
      <c r="C549" s="96"/>
      <c r="D549" s="96"/>
      <c r="E549" s="96"/>
      <c r="F549" s="96"/>
      <c r="G549" s="96"/>
      <c r="H549" s="96"/>
      <c r="I549" s="96"/>
      <c r="J549" s="96"/>
    </row>
    <row r="550" spans="1:38" hidden="1" x14ac:dyDescent="0.35">
      <c r="A550" s="39"/>
      <c r="C550" s="96"/>
      <c r="D550" s="96"/>
      <c r="E550" s="96"/>
      <c r="F550" s="96"/>
      <c r="G550" s="96"/>
      <c r="H550" s="96"/>
      <c r="I550" s="96"/>
      <c r="J550" s="96"/>
    </row>
    <row r="551" spans="1:38" ht="29" hidden="1" x14ac:dyDescent="0.35">
      <c r="A551" s="455" t="s">
        <v>1530</v>
      </c>
      <c r="B551" s="52" t="s">
        <v>1531</v>
      </c>
      <c r="C551" s="52" t="s">
        <v>1532</v>
      </c>
      <c r="D551" s="52" t="s">
        <v>1533</v>
      </c>
      <c r="E551" s="96"/>
      <c r="F551" s="96"/>
      <c r="G551" s="96"/>
      <c r="H551" s="96"/>
      <c r="I551" s="96"/>
      <c r="J551" s="96"/>
    </row>
    <row r="552" spans="1:38" hidden="1" x14ac:dyDescent="0.35">
      <c r="A552" s="74" t="s">
        <v>378</v>
      </c>
      <c r="B552" s="66" t="s">
        <v>322</v>
      </c>
      <c r="C552" s="66" t="s">
        <v>322</v>
      </c>
      <c r="D552" s="66" t="s">
        <v>1089</v>
      </c>
      <c r="E552" s="96"/>
      <c r="F552" s="96"/>
      <c r="G552" s="96"/>
      <c r="H552" s="96"/>
      <c r="I552" s="96"/>
      <c r="J552" s="96"/>
    </row>
    <row r="553" spans="1:38" hidden="1" x14ac:dyDescent="0.35">
      <c r="A553" s="69" t="s">
        <v>143</v>
      </c>
      <c r="B553" s="54">
        <v>2025</v>
      </c>
      <c r="C553" s="54">
        <v>2050</v>
      </c>
      <c r="D553" s="58">
        <v>0</v>
      </c>
      <c r="E553" s="96"/>
      <c r="F553" s="96"/>
      <c r="G553" s="96"/>
      <c r="H553" s="96"/>
      <c r="I553" s="96"/>
      <c r="J553" s="96"/>
    </row>
    <row r="554" spans="1:38" hidden="1" x14ac:dyDescent="0.35">
      <c r="A554" s="69" t="s">
        <v>83</v>
      </c>
      <c r="B554" s="54">
        <v>2025</v>
      </c>
      <c r="C554" s="54">
        <v>2050</v>
      </c>
      <c r="D554" s="58">
        <v>0</v>
      </c>
      <c r="E554" s="96"/>
      <c r="F554" s="96"/>
      <c r="G554" s="96"/>
      <c r="H554" s="96"/>
      <c r="I554" s="96"/>
      <c r="J554" s="96"/>
    </row>
    <row r="555" spans="1:38" hidden="1" x14ac:dyDescent="0.35">
      <c r="A555" s="69" t="s">
        <v>144</v>
      </c>
      <c r="B555" s="54">
        <v>2025</v>
      </c>
      <c r="C555" s="54">
        <v>2050</v>
      </c>
      <c r="D555" s="58">
        <v>0</v>
      </c>
      <c r="E555" s="96"/>
      <c r="F555" s="96"/>
      <c r="G555" s="96"/>
      <c r="H555" s="96"/>
      <c r="I555" s="96"/>
      <c r="J555" s="96"/>
    </row>
    <row r="556" spans="1:38" hidden="1" x14ac:dyDescent="0.35">
      <c r="A556" s="69" t="s">
        <v>164</v>
      </c>
      <c r="B556" s="54">
        <v>2025</v>
      </c>
      <c r="C556" s="54">
        <v>2050</v>
      </c>
      <c r="D556" s="58">
        <v>0</v>
      </c>
      <c r="E556" s="96"/>
      <c r="F556" s="96"/>
      <c r="G556" s="96"/>
      <c r="H556" s="96"/>
      <c r="I556" s="96"/>
      <c r="J556" s="96"/>
    </row>
    <row r="557" spans="1:38" hidden="1" x14ac:dyDescent="0.35">
      <c r="A557" s="69" t="s">
        <v>145</v>
      </c>
      <c r="B557" s="54">
        <v>2025</v>
      </c>
      <c r="C557" s="54">
        <v>2050</v>
      </c>
      <c r="D557" s="58">
        <v>0</v>
      </c>
      <c r="E557" s="96"/>
      <c r="F557" s="96"/>
      <c r="G557" s="96"/>
      <c r="H557" s="96"/>
      <c r="I557" s="96"/>
      <c r="J557" s="96"/>
    </row>
    <row r="558" spans="1:38" hidden="1" x14ac:dyDescent="0.35">
      <c r="A558" s="69" t="s">
        <v>87</v>
      </c>
      <c r="B558" s="54">
        <v>2025</v>
      </c>
      <c r="C558" s="54">
        <v>2050</v>
      </c>
      <c r="D558" s="58">
        <v>0</v>
      </c>
      <c r="E558" s="96"/>
      <c r="F558" s="96"/>
      <c r="G558" s="96"/>
      <c r="H558" s="96"/>
      <c r="I558" s="96"/>
      <c r="J558" s="96"/>
    </row>
    <row r="559" spans="1:38" hidden="1" x14ac:dyDescent="0.35">
      <c r="A559" s="69" t="s">
        <v>146</v>
      </c>
      <c r="B559" s="54">
        <v>2025</v>
      </c>
      <c r="C559" s="54">
        <v>2050</v>
      </c>
      <c r="D559" s="58">
        <v>0</v>
      </c>
      <c r="E559" s="96"/>
      <c r="F559" s="96"/>
      <c r="G559" s="96"/>
      <c r="H559" s="96"/>
      <c r="I559" s="96"/>
      <c r="J559" s="96"/>
    </row>
    <row r="560" spans="1:38" hidden="1" x14ac:dyDescent="0.35">
      <c r="A560" s="69" t="s">
        <v>89</v>
      </c>
      <c r="B560" s="54">
        <v>2025</v>
      </c>
      <c r="C560" s="54">
        <v>2050</v>
      </c>
      <c r="D560" s="58">
        <v>0</v>
      </c>
      <c r="E560" s="96"/>
      <c r="F560" s="96"/>
      <c r="G560" s="96"/>
      <c r="H560" s="96"/>
      <c r="I560" s="96"/>
      <c r="J560" s="96"/>
    </row>
    <row r="561" spans="1:38" hidden="1" x14ac:dyDescent="0.35">
      <c r="A561" s="69" t="s">
        <v>90</v>
      </c>
      <c r="B561" s="54">
        <v>2025</v>
      </c>
      <c r="C561" s="54">
        <v>2050</v>
      </c>
      <c r="D561" s="58">
        <v>0</v>
      </c>
      <c r="E561" s="96"/>
      <c r="F561" s="96"/>
      <c r="G561" s="96"/>
      <c r="H561" s="96"/>
      <c r="I561" s="96"/>
      <c r="J561" s="96"/>
    </row>
    <row r="562" spans="1:38" hidden="1" x14ac:dyDescent="0.35">
      <c r="A562" s="96"/>
      <c r="B562" s="96"/>
      <c r="C562" s="96"/>
      <c r="D562" s="96"/>
      <c r="E562" s="96"/>
      <c r="F562" s="96"/>
      <c r="G562" s="96"/>
      <c r="H562" s="96"/>
      <c r="I562" s="96"/>
      <c r="J562" s="96"/>
    </row>
    <row r="563" spans="1:38" ht="28.75" hidden="1" customHeight="1" x14ac:dyDescent="0.35">
      <c r="A563" s="455" t="s">
        <v>1557</v>
      </c>
      <c r="B563" s="96"/>
      <c r="C563" s="96"/>
      <c r="D563" s="96"/>
      <c r="E563" s="96"/>
      <c r="F563" s="96"/>
      <c r="G563" s="96"/>
      <c r="H563" s="96"/>
      <c r="I563" s="96"/>
      <c r="J563" s="96"/>
    </row>
    <row r="564" spans="1:38" hidden="1" x14ac:dyDescent="0.35">
      <c r="A564" s="74" t="s">
        <v>1555</v>
      </c>
      <c r="B564" s="470">
        <v>2015</v>
      </c>
      <c r="C564" s="471">
        <v>2020</v>
      </c>
      <c r="D564" s="471">
        <v>2030</v>
      </c>
      <c r="E564" s="471">
        <v>2040</v>
      </c>
      <c r="F564" s="471">
        <v>2050</v>
      </c>
      <c r="G564" s="96"/>
      <c r="H564" s="96"/>
      <c r="I564" s="96"/>
      <c r="J564" s="96"/>
    </row>
    <row r="565" spans="1:38" hidden="1" x14ac:dyDescent="0.35">
      <c r="A565" s="69" t="s">
        <v>1553</v>
      </c>
      <c r="B565" s="58">
        <v>1</v>
      </c>
      <c r="C565" s="58">
        <v>0.5</v>
      </c>
      <c r="D565" s="58">
        <v>0.5</v>
      </c>
      <c r="E565" s="58">
        <v>0.5</v>
      </c>
      <c r="F565" s="58">
        <v>0.5</v>
      </c>
      <c r="G565" s="96"/>
      <c r="H565" s="96"/>
      <c r="I565" s="96"/>
      <c r="J565" s="96"/>
    </row>
    <row r="566" spans="1:38" hidden="1" x14ac:dyDescent="0.35">
      <c r="A566" s="69" t="s">
        <v>1554</v>
      </c>
      <c r="B566" s="58">
        <f>1-B565</f>
        <v>0</v>
      </c>
      <c r="C566" s="58">
        <f t="shared" ref="C566:F566" si="2">1-C565</f>
        <v>0.5</v>
      </c>
      <c r="D566" s="58">
        <f t="shared" si="2"/>
        <v>0.5</v>
      </c>
      <c r="E566" s="58">
        <f t="shared" si="2"/>
        <v>0.5</v>
      </c>
      <c r="F566" s="58">
        <f t="shared" si="2"/>
        <v>0.5</v>
      </c>
      <c r="G566" s="96"/>
      <c r="H566" s="96"/>
      <c r="I566" s="96"/>
      <c r="J566" s="96"/>
    </row>
    <row r="567" spans="1:38" hidden="1" x14ac:dyDescent="0.35">
      <c r="A567" s="96"/>
      <c r="B567" s="96"/>
      <c r="C567" s="96"/>
      <c r="D567" s="96"/>
      <c r="E567" s="96"/>
      <c r="F567" s="96"/>
      <c r="G567" s="96"/>
      <c r="H567" s="96"/>
      <c r="I567" s="96"/>
      <c r="J567" s="96"/>
    </row>
    <row r="568" spans="1:38" hidden="1" x14ac:dyDescent="0.35">
      <c r="A568" s="468" t="s">
        <v>1513</v>
      </c>
      <c r="B568" s="2"/>
      <c r="AL568"/>
    </row>
    <row r="569" spans="1:38" hidden="1" x14ac:dyDescent="0.35">
      <c r="A569" s="38" t="s">
        <v>168</v>
      </c>
      <c r="B569" s="9" t="s">
        <v>169</v>
      </c>
      <c r="AL569"/>
    </row>
    <row r="570" spans="1:38" ht="29" hidden="1" x14ac:dyDescent="0.35">
      <c r="A570" s="271">
        <v>0</v>
      </c>
      <c r="B570" s="469" t="s">
        <v>1514</v>
      </c>
      <c r="AL570"/>
    </row>
    <row r="571" spans="1:38" ht="29" hidden="1" x14ac:dyDescent="0.35">
      <c r="A571" s="271">
        <v>1</v>
      </c>
      <c r="B571" s="469" t="s">
        <v>1512</v>
      </c>
      <c r="AL571"/>
    </row>
    <row r="572" spans="1:38" hidden="1" x14ac:dyDescent="0.35">
      <c r="A572" s="39" t="s">
        <v>170</v>
      </c>
      <c r="B572" s="40">
        <v>1</v>
      </c>
      <c r="C572" s="96"/>
      <c r="D572" s="96"/>
      <c r="E572" s="96"/>
      <c r="F572" s="96"/>
      <c r="G572" s="96"/>
      <c r="H572" s="96"/>
      <c r="I572" s="96"/>
      <c r="J572" s="96"/>
    </row>
    <row r="573" spans="1:38" hidden="1" x14ac:dyDescent="0.35">
      <c r="A573" s="39"/>
      <c r="C573" s="96"/>
      <c r="D573" s="96"/>
      <c r="E573" s="96"/>
      <c r="F573" s="96"/>
      <c r="G573" s="96"/>
      <c r="H573" s="96"/>
      <c r="I573" s="96"/>
      <c r="J573" s="96"/>
    </row>
    <row r="574" spans="1:38" ht="29" hidden="1" x14ac:dyDescent="0.35">
      <c r="A574" s="455" t="s">
        <v>1515</v>
      </c>
      <c r="B574" s="52" t="s">
        <v>1311</v>
      </c>
      <c r="C574" s="52" t="s">
        <v>1312</v>
      </c>
      <c r="D574" s="52" t="s">
        <v>1314</v>
      </c>
      <c r="E574" s="96"/>
      <c r="F574" s="96"/>
      <c r="G574" s="96"/>
      <c r="H574" s="96"/>
      <c r="I574" s="96"/>
      <c r="J574" s="96"/>
    </row>
    <row r="575" spans="1:38" hidden="1" x14ac:dyDescent="0.35">
      <c r="A575" s="74" t="s">
        <v>378</v>
      </c>
      <c r="B575" s="66" t="s">
        <v>322</v>
      </c>
      <c r="C575" s="66" t="s">
        <v>322</v>
      </c>
      <c r="D575" s="66" t="s">
        <v>1089</v>
      </c>
      <c r="E575" s="96"/>
      <c r="F575" s="96"/>
      <c r="G575" s="96"/>
      <c r="H575" s="96"/>
      <c r="I575" s="96"/>
      <c r="J575" s="96"/>
    </row>
    <row r="576" spans="1:38" hidden="1" x14ac:dyDescent="0.35">
      <c r="A576" s="69" t="s">
        <v>143</v>
      </c>
      <c r="B576" s="54">
        <v>2025</v>
      </c>
      <c r="C576" s="54">
        <v>2050</v>
      </c>
      <c r="D576" s="58">
        <v>0</v>
      </c>
      <c r="E576" s="96"/>
      <c r="F576" s="96"/>
      <c r="G576" s="96"/>
      <c r="H576" s="96"/>
      <c r="I576" s="96"/>
      <c r="J576" s="96"/>
    </row>
    <row r="577" spans="1:10" hidden="1" x14ac:dyDescent="0.35">
      <c r="A577" s="69" t="s">
        <v>83</v>
      </c>
      <c r="B577" s="54">
        <v>2025</v>
      </c>
      <c r="C577" s="54">
        <v>2050</v>
      </c>
      <c r="D577" s="58">
        <v>0</v>
      </c>
      <c r="E577" s="96"/>
      <c r="F577" s="96"/>
      <c r="G577" s="96"/>
      <c r="H577" s="96"/>
      <c r="I577" s="96"/>
      <c r="J577" s="96"/>
    </row>
    <row r="578" spans="1:10" hidden="1" x14ac:dyDescent="0.35">
      <c r="A578" s="69" t="s">
        <v>144</v>
      </c>
      <c r="B578" s="54">
        <v>2025</v>
      </c>
      <c r="C578" s="54">
        <v>2050</v>
      </c>
      <c r="D578" s="58">
        <v>0</v>
      </c>
      <c r="E578" s="96"/>
      <c r="F578" s="96"/>
      <c r="G578" s="96"/>
      <c r="H578" s="96"/>
      <c r="I578" s="96"/>
      <c r="J578" s="96"/>
    </row>
    <row r="579" spans="1:10" hidden="1" x14ac:dyDescent="0.35">
      <c r="A579" s="69" t="s">
        <v>164</v>
      </c>
      <c r="B579" s="54">
        <v>2025</v>
      </c>
      <c r="C579" s="54">
        <v>2050</v>
      </c>
      <c r="D579" s="58">
        <v>0</v>
      </c>
      <c r="E579" s="96"/>
      <c r="F579" s="96"/>
      <c r="G579" s="96"/>
      <c r="H579" s="96"/>
      <c r="I579" s="96"/>
      <c r="J579" s="96"/>
    </row>
    <row r="580" spans="1:10" hidden="1" x14ac:dyDescent="0.35">
      <c r="A580" s="69" t="s">
        <v>145</v>
      </c>
      <c r="B580" s="54">
        <v>2025</v>
      </c>
      <c r="C580" s="54">
        <v>2050</v>
      </c>
      <c r="D580" s="58">
        <v>0</v>
      </c>
      <c r="E580" s="96"/>
      <c r="F580" s="96"/>
      <c r="G580" s="96"/>
      <c r="H580" s="96"/>
      <c r="I580" s="96"/>
      <c r="J580" s="96"/>
    </row>
    <row r="581" spans="1:10" hidden="1" x14ac:dyDescent="0.35">
      <c r="A581" s="69" t="s">
        <v>87</v>
      </c>
      <c r="B581" s="54">
        <v>2025</v>
      </c>
      <c r="C581" s="54">
        <v>2050</v>
      </c>
      <c r="D581" s="58">
        <v>0</v>
      </c>
      <c r="E581" s="96"/>
      <c r="F581" s="96"/>
      <c r="G581" s="96"/>
      <c r="H581" s="96"/>
      <c r="I581" s="96"/>
      <c r="J581" s="96"/>
    </row>
    <row r="582" spans="1:10" hidden="1" x14ac:dyDescent="0.35">
      <c r="A582" s="69" t="s">
        <v>146</v>
      </c>
      <c r="B582" s="54">
        <v>2025</v>
      </c>
      <c r="C582" s="54">
        <v>2050</v>
      </c>
      <c r="D582" s="58">
        <v>0</v>
      </c>
      <c r="E582" s="96"/>
      <c r="F582" s="96"/>
      <c r="G582" s="96"/>
      <c r="H582" s="96"/>
      <c r="I582" s="96"/>
      <c r="J582" s="96"/>
    </row>
    <row r="583" spans="1:10" hidden="1" x14ac:dyDescent="0.35">
      <c r="A583" s="69" t="s">
        <v>89</v>
      </c>
      <c r="B583" s="54">
        <v>2025</v>
      </c>
      <c r="C583" s="54">
        <v>2050</v>
      </c>
      <c r="D583" s="58">
        <v>0</v>
      </c>
      <c r="E583" s="96"/>
      <c r="F583" s="96"/>
      <c r="G583" s="96"/>
      <c r="H583" s="96"/>
      <c r="I583" s="96"/>
      <c r="J583" s="96"/>
    </row>
    <row r="584" spans="1:10" hidden="1" x14ac:dyDescent="0.35">
      <c r="A584" s="69" t="s">
        <v>90</v>
      </c>
      <c r="B584" s="54">
        <v>2025</v>
      </c>
      <c r="C584" s="54">
        <v>2050</v>
      </c>
      <c r="D584" s="58">
        <v>0</v>
      </c>
      <c r="E584" s="96"/>
      <c r="F584" s="96"/>
      <c r="G584" s="96"/>
      <c r="H584" s="96"/>
      <c r="I584" s="96"/>
      <c r="J584" s="96"/>
    </row>
    <row r="585" spans="1:10" hidden="1" x14ac:dyDescent="0.35">
      <c r="A585" s="96"/>
      <c r="B585" s="96"/>
      <c r="C585" s="96"/>
      <c r="D585" s="96"/>
      <c r="E585" s="96"/>
      <c r="F585" s="96"/>
      <c r="G585" s="96"/>
      <c r="H585" s="96"/>
      <c r="I585" s="96"/>
      <c r="J585" s="96"/>
    </row>
    <row r="586" spans="1:10" ht="28.75" hidden="1" customHeight="1" x14ac:dyDescent="0.35">
      <c r="A586" s="455" t="s">
        <v>1556</v>
      </c>
      <c r="B586" s="96"/>
      <c r="C586" s="96"/>
      <c r="D586" s="96"/>
      <c r="E586" s="96"/>
      <c r="F586" s="96"/>
      <c r="G586" s="96"/>
      <c r="H586" s="96"/>
      <c r="I586" s="96"/>
      <c r="J586" s="96"/>
    </row>
    <row r="587" spans="1:10" hidden="1" x14ac:dyDescent="0.35">
      <c r="A587" s="74" t="s">
        <v>1555</v>
      </c>
      <c r="B587" s="470">
        <v>2015</v>
      </c>
      <c r="C587" s="471">
        <v>2020</v>
      </c>
      <c r="D587" s="471">
        <v>2030</v>
      </c>
      <c r="E587" s="471">
        <v>2040</v>
      </c>
      <c r="F587" s="471">
        <v>2050</v>
      </c>
      <c r="G587" s="96"/>
      <c r="H587" s="96"/>
      <c r="I587" s="96"/>
      <c r="J587" s="96"/>
    </row>
    <row r="588" spans="1:10" hidden="1" x14ac:dyDescent="0.35">
      <c r="A588" s="69" t="s">
        <v>1553</v>
      </c>
      <c r="B588" s="58">
        <v>1</v>
      </c>
      <c r="C588" s="58">
        <v>0.5</v>
      </c>
      <c r="D588" s="58">
        <v>0.5</v>
      </c>
      <c r="E588" s="58">
        <v>0.5</v>
      </c>
      <c r="F588" s="58">
        <v>0.5</v>
      </c>
      <c r="G588" s="96"/>
      <c r="H588" s="96"/>
      <c r="I588" s="96"/>
      <c r="J588" s="96"/>
    </row>
    <row r="589" spans="1:10" hidden="1" x14ac:dyDescent="0.35">
      <c r="A589" s="69" t="s">
        <v>1554</v>
      </c>
      <c r="B589" s="58">
        <f>1-B588</f>
        <v>0</v>
      </c>
      <c r="C589" s="58">
        <f t="shared" ref="C589:F589" si="3">1-C588</f>
        <v>0.5</v>
      </c>
      <c r="D589" s="58">
        <f t="shared" si="3"/>
        <v>0.5</v>
      </c>
      <c r="E589" s="58">
        <f t="shared" si="3"/>
        <v>0.5</v>
      </c>
      <c r="F589" s="58">
        <f t="shared" si="3"/>
        <v>0.5</v>
      </c>
      <c r="G589" s="96"/>
      <c r="H589" s="96"/>
      <c r="I589" s="96"/>
      <c r="J589" s="96"/>
    </row>
    <row r="590" spans="1:10" hidden="1" x14ac:dyDescent="0.35">
      <c r="A590" s="96"/>
      <c r="B590" s="96"/>
      <c r="C590" s="96"/>
      <c r="D590" s="96"/>
      <c r="E590" s="96"/>
      <c r="F590" s="96"/>
      <c r="G590" s="96"/>
      <c r="H590" s="96"/>
      <c r="I590" s="96"/>
      <c r="J590" s="96"/>
    </row>
    <row r="591" spans="1:10" hidden="1" x14ac:dyDescent="0.35">
      <c r="A591" s="472" t="s">
        <v>1559</v>
      </c>
      <c r="B591" s="2"/>
      <c r="C591" s="96"/>
      <c r="D591" s="96"/>
      <c r="E591" s="96"/>
      <c r="F591" s="96"/>
      <c r="G591" s="96"/>
      <c r="H591" s="96"/>
      <c r="I591" s="96"/>
      <c r="J591" s="96"/>
    </row>
    <row r="592" spans="1:10" hidden="1" x14ac:dyDescent="0.35">
      <c r="A592" s="38" t="s">
        <v>168</v>
      </c>
      <c r="B592" s="9" t="s">
        <v>169</v>
      </c>
      <c r="C592" s="96"/>
      <c r="D592" s="96"/>
      <c r="E592" s="96"/>
      <c r="F592" s="96"/>
      <c r="G592" s="96"/>
      <c r="H592" s="96"/>
      <c r="I592" s="96"/>
      <c r="J592" s="96"/>
    </row>
    <row r="593" spans="1:10" hidden="1" x14ac:dyDescent="0.35">
      <c r="A593" s="271">
        <v>0</v>
      </c>
      <c r="B593" s="4" t="s">
        <v>1036</v>
      </c>
      <c r="C593" s="96"/>
      <c r="D593" s="96"/>
      <c r="E593" s="96"/>
      <c r="F593" s="96"/>
      <c r="G593" s="96"/>
      <c r="H593" s="96"/>
      <c r="I593" s="96"/>
      <c r="J593" s="96"/>
    </row>
    <row r="594" spans="1:10" hidden="1" x14ac:dyDescent="0.35">
      <c r="A594" s="271">
        <v>1</v>
      </c>
      <c r="B594" s="4" t="s">
        <v>1558</v>
      </c>
      <c r="C594" s="96"/>
      <c r="D594" s="96"/>
      <c r="E594" s="96"/>
      <c r="F594" s="96"/>
      <c r="G594" s="96"/>
      <c r="H594" s="96"/>
      <c r="I594" s="96"/>
      <c r="J594" s="96"/>
    </row>
    <row r="595" spans="1:10" hidden="1" x14ac:dyDescent="0.35">
      <c r="A595" s="271">
        <v>2</v>
      </c>
      <c r="B595" s="4" t="s">
        <v>1564</v>
      </c>
      <c r="C595" s="96"/>
      <c r="D595" s="96"/>
      <c r="E595" s="96"/>
      <c r="F595" s="96"/>
      <c r="G595" s="96"/>
      <c r="H595" s="96"/>
      <c r="I595" s="96"/>
      <c r="J595" s="96"/>
    </row>
    <row r="596" spans="1:10" hidden="1" x14ac:dyDescent="0.35">
      <c r="A596" s="39" t="s">
        <v>170</v>
      </c>
      <c r="B596" s="40">
        <v>0</v>
      </c>
      <c r="C596" s="96"/>
      <c r="D596" s="96"/>
      <c r="E596" s="96"/>
      <c r="F596" s="96"/>
      <c r="G596" s="96"/>
      <c r="H596" s="96"/>
      <c r="I596" s="96"/>
      <c r="J596" s="96"/>
    </row>
    <row r="597" spans="1:10" hidden="1" x14ac:dyDescent="0.35">
      <c r="A597" s="96"/>
      <c r="B597" s="96"/>
      <c r="C597" s="96"/>
      <c r="D597" s="96"/>
      <c r="E597" s="96"/>
      <c r="F597" s="96"/>
      <c r="G597" s="96"/>
      <c r="H597" s="96"/>
      <c r="I597" s="96"/>
      <c r="J597" s="96"/>
    </row>
    <row r="598" spans="1:10" hidden="1" x14ac:dyDescent="0.35">
      <c r="A598" s="37" t="s">
        <v>1566</v>
      </c>
      <c r="B598" s="24" t="s">
        <v>1568</v>
      </c>
      <c r="G598" s="96"/>
      <c r="H598" s="96"/>
      <c r="I598" s="96"/>
      <c r="J598" s="96"/>
    </row>
    <row r="599" spans="1:10" hidden="1" x14ac:dyDescent="0.35">
      <c r="A599" s="39" t="s">
        <v>1563</v>
      </c>
      <c r="B599" s="470">
        <v>2015</v>
      </c>
      <c r="C599" s="471">
        <v>2020</v>
      </c>
      <c r="D599" s="471">
        <v>2030</v>
      </c>
      <c r="E599" s="471">
        <v>2050</v>
      </c>
      <c r="G599" s="96"/>
      <c r="H599" s="96"/>
      <c r="I599" s="96"/>
      <c r="J599" s="96"/>
    </row>
    <row r="600" spans="1:10" hidden="1" x14ac:dyDescent="0.35">
      <c r="A600" s="37" t="s">
        <v>1553</v>
      </c>
      <c r="B600" s="473">
        <v>9.4</v>
      </c>
      <c r="C600" s="473">
        <v>9.4</v>
      </c>
      <c r="D600" s="473">
        <f>(E600-C600)/(E599-C599)*(D599-C599)+C600</f>
        <v>11.133333333333333</v>
      </c>
      <c r="E600" s="473">
        <v>14.6</v>
      </c>
      <c r="G600" s="96"/>
      <c r="H600" s="96"/>
      <c r="I600" s="96"/>
      <c r="J600" s="96"/>
    </row>
    <row r="601" spans="1:10" hidden="1" x14ac:dyDescent="0.35">
      <c r="A601" s="37" t="s">
        <v>1554</v>
      </c>
      <c r="B601" s="473">
        <v>7.8</v>
      </c>
      <c r="C601" s="473">
        <v>7.8</v>
      </c>
      <c r="D601" s="473">
        <f>(E601-C601)/(E600-C600)*(D600-C600)+C601</f>
        <v>10.066666666666666</v>
      </c>
      <c r="E601" s="473">
        <v>14.6</v>
      </c>
      <c r="G601" s="96"/>
      <c r="H601" s="96"/>
      <c r="I601" s="96"/>
      <c r="J601" s="96"/>
    </row>
    <row r="602" spans="1:10" hidden="1" x14ac:dyDescent="0.35">
      <c r="A602" s="96"/>
      <c r="B602" s="96"/>
      <c r="C602" s="96"/>
      <c r="D602" s="96"/>
      <c r="E602" s="96"/>
      <c r="F602" s="96"/>
      <c r="G602" s="96"/>
      <c r="H602" s="96"/>
      <c r="I602" s="96"/>
      <c r="J602" s="96"/>
    </row>
    <row r="603" spans="1:10" hidden="1" x14ac:dyDescent="0.35">
      <c r="A603" s="472" t="s">
        <v>1560</v>
      </c>
      <c r="B603" s="2"/>
      <c r="C603" s="96"/>
      <c r="D603" s="96"/>
      <c r="E603" s="96"/>
      <c r="F603" s="96"/>
      <c r="G603" s="96"/>
      <c r="H603" s="96"/>
      <c r="I603" s="96"/>
      <c r="J603" s="96"/>
    </row>
    <row r="604" spans="1:10" hidden="1" x14ac:dyDescent="0.35">
      <c r="A604" s="38" t="s">
        <v>168</v>
      </c>
      <c r="B604" s="9" t="s">
        <v>169</v>
      </c>
      <c r="C604" s="96"/>
      <c r="D604" s="96"/>
      <c r="E604" s="96"/>
      <c r="F604" s="96"/>
      <c r="G604" s="96"/>
      <c r="H604" s="96"/>
      <c r="I604" s="96"/>
      <c r="J604" s="96"/>
    </row>
    <row r="605" spans="1:10" hidden="1" x14ac:dyDescent="0.35">
      <c r="A605" s="271">
        <v>0</v>
      </c>
      <c r="B605" s="4" t="s">
        <v>1036</v>
      </c>
      <c r="C605" s="96"/>
      <c r="D605" s="96"/>
      <c r="E605" s="96"/>
      <c r="F605" s="96"/>
      <c r="G605" s="96"/>
      <c r="H605" s="96"/>
      <c r="I605" s="96"/>
      <c r="J605" s="96"/>
    </row>
    <row r="606" spans="1:10" hidden="1" x14ac:dyDescent="0.35">
      <c r="A606" s="271">
        <v>1</v>
      </c>
      <c r="B606" s="4" t="s">
        <v>1558</v>
      </c>
      <c r="C606" s="96"/>
      <c r="D606" s="96"/>
      <c r="E606" s="96"/>
      <c r="F606" s="96"/>
      <c r="G606" s="96"/>
      <c r="H606" s="96"/>
      <c r="I606" s="96"/>
      <c r="J606" s="96"/>
    </row>
    <row r="607" spans="1:10" hidden="1" x14ac:dyDescent="0.35">
      <c r="A607" s="271">
        <v>2</v>
      </c>
      <c r="B607" s="4" t="s">
        <v>1564</v>
      </c>
      <c r="C607" s="96"/>
      <c r="D607" s="96"/>
      <c r="E607" s="96"/>
      <c r="F607" s="96"/>
      <c r="G607" s="96"/>
      <c r="H607" s="96"/>
      <c r="I607" s="96"/>
      <c r="J607" s="96"/>
    </row>
    <row r="608" spans="1:10" hidden="1" x14ac:dyDescent="0.35">
      <c r="A608" s="39" t="s">
        <v>170</v>
      </c>
      <c r="B608" s="40">
        <v>0</v>
      </c>
      <c r="C608" s="96"/>
      <c r="D608" s="96"/>
      <c r="E608" s="96"/>
      <c r="F608" s="96"/>
      <c r="G608" s="96"/>
      <c r="H608" s="96"/>
      <c r="I608" s="96"/>
      <c r="J608" s="96"/>
    </row>
    <row r="609" spans="1:38" hidden="1" x14ac:dyDescent="0.35">
      <c r="A609" s="96"/>
      <c r="B609" s="96"/>
      <c r="C609" s="96"/>
      <c r="D609" s="96"/>
      <c r="E609" s="96"/>
      <c r="F609" s="96"/>
      <c r="G609" s="96"/>
      <c r="H609" s="96"/>
      <c r="I609" s="96"/>
      <c r="J609" s="96"/>
    </row>
    <row r="610" spans="1:38" hidden="1" x14ac:dyDescent="0.35">
      <c r="A610" s="37" t="s">
        <v>1567</v>
      </c>
      <c r="B610" s="24" t="s">
        <v>1569</v>
      </c>
      <c r="F610" s="96"/>
      <c r="G610" s="96"/>
      <c r="H610" s="96"/>
      <c r="I610" s="96"/>
      <c r="J610" s="96"/>
    </row>
    <row r="611" spans="1:38" hidden="1" x14ac:dyDescent="0.35">
      <c r="A611" s="39" t="s">
        <v>1565</v>
      </c>
      <c r="B611" s="470">
        <v>2015</v>
      </c>
      <c r="C611" s="471">
        <v>2020</v>
      </c>
      <c r="D611" s="471">
        <v>2030</v>
      </c>
      <c r="E611" s="471">
        <v>2050</v>
      </c>
      <c r="F611" s="96"/>
      <c r="G611" s="96"/>
      <c r="H611" s="96"/>
      <c r="I611" s="96"/>
      <c r="J611" s="96"/>
    </row>
    <row r="612" spans="1:38" hidden="1" x14ac:dyDescent="0.35">
      <c r="A612" s="37" t="s">
        <v>1553</v>
      </c>
      <c r="B612" s="367">
        <v>0.57699999999999996</v>
      </c>
      <c r="C612" s="367">
        <v>0.57699999999999996</v>
      </c>
      <c r="D612" s="367">
        <f>(E612-C612)/(E611-C611)*(D611-C611)+C612</f>
        <v>0.61133333333333328</v>
      </c>
      <c r="E612" s="367">
        <v>0.68</v>
      </c>
      <c r="F612" s="96"/>
      <c r="G612" s="96"/>
      <c r="H612" s="96"/>
      <c r="I612" s="96"/>
      <c r="J612" s="96"/>
    </row>
    <row r="613" spans="1:38" hidden="1" x14ac:dyDescent="0.35">
      <c r="A613" s="37" t="s">
        <v>1554</v>
      </c>
      <c r="B613" s="367">
        <v>0.57225000000000004</v>
      </c>
      <c r="C613" s="367">
        <v>0.57225000000000004</v>
      </c>
      <c r="D613" s="367">
        <f>(E613-C613)/(E612-C612)*(D612-C612)+C613</f>
        <v>0.60816666666666663</v>
      </c>
      <c r="E613" s="367">
        <v>0.68</v>
      </c>
      <c r="F613" s="96"/>
      <c r="G613" s="96"/>
      <c r="H613" s="96"/>
      <c r="I613" s="96"/>
      <c r="J613" s="96"/>
    </row>
    <row r="614" spans="1:38" x14ac:dyDescent="0.35">
      <c r="A614" s="96"/>
      <c r="B614" s="96"/>
      <c r="C614" s="96"/>
      <c r="D614" s="96"/>
      <c r="E614" s="96"/>
      <c r="F614" s="96"/>
      <c r="G614" s="96"/>
      <c r="H614" s="96"/>
      <c r="I614" s="96"/>
      <c r="J614" s="96"/>
    </row>
    <row r="615" spans="1:38" x14ac:dyDescent="0.35">
      <c r="A615" s="463" t="s">
        <v>370</v>
      </c>
      <c r="B615" s="2"/>
      <c r="AL615"/>
    </row>
    <row r="616" spans="1:38" x14ac:dyDescent="0.35">
      <c r="A616" s="474"/>
      <c r="B616" s="2"/>
      <c r="AL616"/>
    </row>
    <row r="617" spans="1:38" x14ac:dyDescent="0.35">
      <c r="A617" s="14" t="s">
        <v>125</v>
      </c>
      <c r="B617" s="52" t="s">
        <v>371</v>
      </c>
      <c r="C617" s="52" t="s">
        <v>372</v>
      </c>
      <c r="D617" s="52" t="s">
        <v>373</v>
      </c>
      <c r="E617" s="52" t="s">
        <v>374</v>
      </c>
      <c r="F617" s="52" t="s">
        <v>375</v>
      </c>
      <c r="AL617"/>
    </row>
    <row r="618" spans="1:38" x14ac:dyDescent="0.35">
      <c r="A618" s="74" t="s">
        <v>380</v>
      </c>
      <c r="B618" s="57" t="s">
        <v>128</v>
      </c>
      <c r="C618" s="57" t="s">
        <v>322</v>
      </c>
      <c r="D618" s="57" t="s">
        <v>322</v>
      </c>
      <c r="E618" s="57" t="s">
        <v>128</v>
      </c>
      <c r="F618" s="57" t="s">
        <v>128</v>
      </c>
      <c r="AL618"/>
    </row>
    <row r="619" spans="1:38" x14ac:dyDescent="0.35">
      <c r="A619" s="74" t="s">
        <v>127</v>
      </c>
      <c r="B619" s="36">
        <v>1</v>
      </c>
      <c r="C619" s="36">
        <v>2020</v>
      </c>
      <c r="D619" s="36">
        <v>2050</v>
      </c>
      <c r="E619" s="36">
        <v>0.25</v>
      </c>
      <c r="F619" s="36">
        <v>0</v>
      </c>
      <c r="AL619"/>
    </row>
    <row r="620" spans="1:38" x14ac:dyDescent="0.35">
      <c r="A620" s="56"/>
      <c r="B620" s="56"/>
      <c r="AL620"/>
    </row>
    <row r="621" spans="1:38" x14ac:dyDescent="0.35">
      <c r="A621" s="463" t="s">
        <v>364</v>
      </c>
      <c r="B621" s="2"/>
      <c r="AL621"/>
    </row>
    <row r="622" spans="1:38" x14ac:dyDescent="0.35">
      <c r="A622" s="474"/>
      <c r="B622" s="2"/>
      <c r="AL622"/>
    </row>
    <row r="623" spans="1:38" x14ac:dyDescent="0.35">
      <c r="A623" s="14" t="s">
        <v>125</v>
      </c>
      <c r="B623" s="52" t="s">
        <v>368</v>
      </c>
      <c r="C623" s="52" t="s">
        <v>365</v>
      </c>
      <c r="D623" s="52" t="s">
        <v>366</v>
      </c>
      <c r="E623" s="52" t="s">
        <v>367</v>
      </c>
      <c r="F623" s="52" t="s">
        <v>369</v>
      </c>
      <c r="AL623"/>
    </row>
    <row r="624" spans="1:38" x14ac:dyDescent="0.35">
      <c r="A624" s="74" t="s">
        <v>380</v>
      </c>
      <c r="B624" s="57" t="s">
        <v>128</v>
      </c>
      <c r="C624" s="57" t="s">
        <v>322</v>
      </c>
      <c r="D624" s="57" t="s">
        <v>322</v>
      </c>
      <c r="E624" s="57" t="s">
        <v>128</v>
      </c>
      <c r="F624" s="57" t="s">
        <v>128</v>
      </c>
      <c r="AL624"/>
    </row>
    <row r="625" spans="1:38" x14ac:dyDescent="0.35">
      <c r="A625" s="74" t="s">
        <v>127</v>
      </c>
      <c r="B625" s="36">
        <v>0</v>
      </c>
      <c r="C625" s="36">
        <v>2020</v>
      </c>
      <c r="D625" s="36">
        <v>2050</v>
      </c>
      <c r="E625" s="36">
        <v>0</v>
      </c>
      <c r="F625" s="36">
        <v>0</v>
      </c>
      <c r="AL625"/>
    </row>
    <row r="626" spans="1:38" x14ac:dyDescent="0.35">
      <c r="E626" s="96"/>
      <c r="F626" s="96"/>
      <c r="G626" s="96"/>
      <c r="H626" s="96"/>
      <c r="I626" s="96"/>
      <c r="J626" s="96"/>
    </row>
    <row r="627" spans="1:38" x14ac:dyDescent="0.35">
      <c r="A627" s="455" t="s">
        <v>790</v>
      </c>
      <c r="B627" s="96"/>
      <c r="C627" s="96"/>
      <c r="D627" s="96"/>
      <c r="E627" s="96"/>
      <c r="F627" s="96"/>
      <c r="G627" s="96"/>
      <c r="H627" s="96"/>
      <c r="I627" s="96"/>
      <c r="J627" s="96"/>
    </row>
    <row r="628" spans="1:38" x14ac:dyDescent="0.35">
      <c r="A628" s="475"/>
      <c r="B628" s="96"/>
      <c r="C628" s="96"/>
      <c r="D628" s="96"/>
      <c r="E628" s="96"/>
      <c r="F628" s="96"/>
      <c r="G628" s="96"/>
      <c r="H628" s="96"/>
      <c r="I628" s="96"/>
      <c r="J628" s="96"/>
    </row>
    <row r="629" spans="1:38" x14ac:dyDescent="0.35">
      <c r="A629" s="20" t="s">
        <v>323</v>
      </c>
      <c r="B629" s="476" t="s">
        <v>667</v>
      </c>
      <c r="C629" s="52" t="s">
        <v>668</v>
      </c>
      <c r="D629" s="52" t="s">
        <v>669</v>
      </c>
      <c r="E629" s="52" t="s">
        <v>670</v>
      </c>
      <c r="F629" s="96"/>
      <c r="G629" s="96"/>
      <c r="H629" s="96"/>
      <c r="I629" s="96"/>
      <c r="J629" s="96"/>
    </row>
    <row r="630" spans="1:38" x14ac:dyDescent="0.35">
      <c r="A630" s="5" t="s">
        <v>671</v>
      </c>
      <c r="B630" s="66" t="s">
        <v>128</v>
      </c>
      <c r="C630" s="66" t="s">
        <v>322</v>
      </c>
      <c r="D630" s="66" t="s">
        <v>322</v>
      </c>
      <c r="E630" s="66" t="s">
        <v>672</v>
      </c>
      <c r="F630" s="96"/>
      <c r="G630" s="96"/>
      <c r="H630" s="96"/>
      <c r="I630" s="96"/>
      <c r="J630" s="96"/>
    </row>
    <row r="631" spans="1:38" x14ac:dyDescent="0.35">
      <c r="A631" s="69" t="s">
        <v>143</v>
      </c>
      <c r="B631" s="54">
        <v>0</v>
      </c>
      <c r="C631" s="54">
        <v>2015</v>
      </c>
      <c r="D631" s="54">
        <v>2030</v>
      </c>
      <c r="E631" s="58">
        <v>1</v>
      </c>
      <c r="F631" s="96"/>
      <c r="G631" s="96"/>
      <c r="H631" s="96"/>
      <c r="I631" s="96"/>
      <c r="J631" s="96"/>
    </row>
    <row r="632" spans="1:38" x14ac:dyDescent="0.35">
      <c r="A632" s="69" t="s">
        <v>83</v>
      </c>
      <c r="B632" s="54">
        <v>0</v>
      </c>
      <c r="C632" s="54">
        <v>2015</v>
      </c>
      <c r="D632" s="54">
        <v>2030</v>
      </c>
      <c r="E632" s="58">
        <v>1</v>
      </c>
      <c r="F632" s="96"/>
      <c r="G632" s="96"/>
      <c r="H632" s="96"/>
      <c r="I632" s="96"/>
      <c r="J632" s="96"/>
    </row>
    <row r="633" spans="1:38" x14ac:dyDescent="0.35">
      <c r="A633" s="69" t="s">
        <v>144</v>
      </c>
      <c r="B633" s="54">
        <v>0</v>
      </c>
      <c r="C633" s="54">
        <v>2015</v>
      </c>
      <c r="D633" s="54">
        <v>2030</v>
      </c>
      <c r="E633" s="58">
        <v>1</v>
      </c>
      <c r="F633" s="96"/>
      <c r="G633" s="96"/>
      <c r="H633" s="96"/>
      <c r="I633" s="96"/>
      <c r="J633" s="96"/>
    </row>
    <row r="634" spans="1:38" x14ac:dyDescent="0.35">
      <c r="A634" s="69" t="s">
        <v>164</v>
      </c>
      <c r="B634" s="54">
        <v>0</v>
      </c>
      <c r="C634" s="54">
        <v>2015</v>
      </c>
      <c r="D634" s="54">
        <v>2030</v>
      </c>
      <c r="E634" s="58">
        <v>1</v>
      </c>
      <c r="F634" s="96"/>
      <c r="G634" s="96"/>
      <c r="H634" s="96"/>
      <c r="I634" s="96"/>
      <c r="J634" s="96"/>
    </row>
    <row r="635" spans="1:38" x14ac:dyDescent="0.35">
      <c r="A635" s="69" t="s">
        <v>145</v>
      </c>
      <c r="B635" s="54">
        <v>0</v>
      </c>
      <c r="C635" s="54">
        <v>2015</v>
      </c>
      <c r="D635" s="54">
        <v>2030</v>
      </c>
      <c r="E635" s="58">
        <v>1</v>
      </c>
      <c r="F635" s="96"/>
      <c r="G635" s="96"/>
      <c r="H635" s="96"/>
      <c r="I635" s="96"/>
      <c r="J635" s="96"/>
    </row>
    <row r="636" spans="1:38" x14ac:dyDescent="0.35">
      <c r="A636" s="69" t="s">
        <v>87</v>
      </c>
      <c r="B636" s="54">
        <v>0</v>
      </c>
      <c r="C636" s="54">
        <v>2015</v>
      </c>
      <c r="D636" s="54">
        <v>2030</v>
      </c>
      <c r="E636" s="58">
        <v>1</v>
      </c>
      <c r="F636" s="96"/>
      <c r="G636" s="96"/>
      <c r="H636" s="96"/>
      <c r="I636" s="96"/>
      <c r="J636" s="96"/>
    </row>
    <row r="637" spans="1:38" x14ac:dyDescent="0.35">
      <c r="A637" s="69" t="s">
        <v>146</v>
      </c>
      <c r="B637" s="54">
        <v>0</v>
      </c>
      <c r="C637" s="54">
        <v>2015</v>
      </c>
      <c r="D637" s="54">
        <v>2030</v>
      </c>
      <c r="E637" s="58">
        <v>1</v>
      </c>
      <c r="F637" s="96"/>
      <c r="G637" s="96"/>
      <c r="H637" s="96"/>
      <c r="I637" s="96"/>
      <c r="J637" s="96"/>
    </row>
    <row r="638" spans="1:38" x14ac:dyDescent="0.35">
      <c r="A638" s="69" t="s">
        <v>89</v>
      </c>
      <c r="B638" s="54">
        <v>0</v>
      </c>
      <c r="C638" s="54">
        <v>2015</v>
      </c>
      <c r="D638" s="54">
        <v>2030</v>
      </c>
      <c r="E638" s="58">
        <v>1</v>
      </c>
      <c r="F638" s="96"/>
      <c r="G638" s="96"/>
      <c r="H638" s="96"/>
      <c r="I638" s="96"/>
      <c r="J638" s="96"/>
    </row>
    <row r="639" spans="1:38" x14ac:dyDescent="0.35">
      <c r="A639" s="69" t="s">
        <v>90</v>
      </c>
      <c r="B639" s="54">
        <v>0</v>
      </c>
      <c r="C639" s="54">
        <v>2015</v>
      </c>
      <c r="D639" s="54">
        <v>2030</v>
      </c>
      <c r="E639" s="58">
        <v>1</v>
      </c>
      <c r="F639" s="96"/>
      <c r="G639" s="96"/>
      <c r="H639" s="96"/>
      <c r="I639" s="96"/>
      <c r="J639" s="96"/>
    </row>
    <row r="640" spans="1:38" x14ac:dyDescent="0.35">
      <c r="AL640"/>
    </row>
    <row r="641" spans="1:38" ht="29" x14ac:dyDescent="0.35">
      <c r="A641" s="477" t="s">
        <v>1493</v>
      </c>
      <c r="B641" s="52" t="s">
        <v>1494</v>
      </c>
      <c r="C641" s="52" t="s">
        <v>1495</v>
      </c>
      <c r="D641" s="52" t="s">
        <v>1496</v>
      </c>
      <c r="E641" s="443" t="s">
        <v>1497</v>
      </c>
    </row>
    <row r="642" spans="1:38" x14ac:dyDescent="0.35">
      <c r="A642" s="478" t="s">
        <v>1059</v>
      </c>
      <c r="B642" s="444" t="s">
        <v>128</v>
      </c>
      <c r="C642" s="444" t="s">
        <v>322</v>
      </c>
      <c r="D642" s="104" t="s">
        <v>322</v>
      </c>
      <c r="E642" s="104" t="s">
        <v>408</v>
      </c>
    </row>
    <row r="643" spans="1:38" x14ac:dyDescent="0.35">
      <c r="A643" s="359" t="s">
        <v>143</v>
      </c>
      <c r="B643" s="106">
        <v>0</v>
      </c>
      <c r="C643" s="107">
        <v>2025</v>
      </c>
      <c r="D643" s="142">
        <v>2040</v>
      </c>
      <c r="E643" s="142">
        <v>1</v>
      </c>
    </row>
    <row r="644" spans="1:38" x14ac:dyDescent="0.35">
      <c r="A644" s="359" t="s">
        <v>83</v>
      </c>
      <c r="B644" s="106">
        <v>0</v>
      </c>
      <c r="C644" s="107">
        <v>2025</v>
      </c>
      <c r="D644" s="142">
        <v>2040</v>
      </c>
      <c r="E644" s="142">
        <v>1</v>
      </c>
    </row>
    <row r="645" spans="1:38" x14ac:dyDescent="0.35">
      <c r="A645" s="359" t="s">
        <v>144</v>
      </c>
      <c r="B645" s="106">
        <v>0</v>
      </c>
      <c r="C645" s="107">
        <v>2025</v>
      </c>
      <c r="D645" s="142">
        <v>2040</v>
      </c>
      <c r="E645" s="142">
        <v>1</v>
      </c>
    </row>
    <row r="646" spans="1:38" x14ac:dyDescent="0.35">
      <c r="A646" s="359" t="s">
        <v>164</v>
      </c>
      <c r="B646" s="106">
        <v>0</v>
      </c>
      <c r="C646" s="107">
        <v>2025</v>
      </c>
      <c r="D646" s="142">
        <v>2040</v>
      </c>
      <c r="E646" s="142">
        <v>1</v>
      </c>
    </row>
    <row r="647" spans="1:38" x14ac:dyDescent="0.35">
      <c r="A647" s="359" t="s">
        <v>145</v>
      </c>
      <c r="B647" s="106">
        <v>0</v>
      </c>
      <c r="C647" s="107">
        <v>2025</v>
      </c>
      <c r="D647" s="142">
        <v>2040</v>
      </c>
      <c r="E647" s="142">
        <v>1</v>
      </c>
    </row>
    <row r="648" spans="1:38" x14ac:dyDescent="0.35">
      <c r="A648" s="359" t="s">
        <v>87</v>
      </c>
      <c r="B648" s="106">
        <v>0</v>
      </c>
      <c r="C648" s="107">
        <v>2025</v>
      </c>
      <c r="D648" s="142">
        <v>2040</v>
      </c>
      <c r="E648" s="142">
        <v>1</v>
      </c>
    </row>
    <row r="649" spans="1:38" x14ac:dyDescent="0.35">
      <c r="A649" s="359" t="s">
        <v>146</v>
      </c>
      <c r="B649" s="106">
        <v>0</v>
      </c>
      <c r="C649" s="107">
        <v>2025</v>
      </c>
      <c r="D649" s="142">
        <v>2040</v>
      </c>
      <c r="E649" s="142">
        <v>1</v>
      </c>
    </row>
    <row r="650" spans="1:38" x14ac:dyDescent="0.35">
      <c r="A650" s="359" t="s">
        <v>89</v>
      </c>
      <c r="B650" s="106">
        <v>0</v>
      </c>
      <c r="C650" s="107">
        <v>2025</v>
      </c>
      <c r="D650" s="142">
        <v>2040</v>
      </c>
      <c r="E650" s="142">
        <v>1</v>
      </c>
    </row>
    <row r="651" spans="1:38" x14ac:dyDescent="0.35">
      <c r="A651" s="359" t="s">
        <v>90</v>
      </c>
      <c r="B651" s="106">
        <v>0</v>
      </c>
      <c r="C651" s="107">
        <v>2025</v>
      </c>
      <c r="D651" s="142">
        <v>2040</v>
      </c>
      <c r="E651" s="142">
        <v>1</v>
      </c>
      <c r="F651" s="208"/>
    </row>
    <row r="652" spans="1:38" x14ac:dyDescent="0.35">
      <c r="AL652"/>
    </row>
    <row r="653" spans="1:38" ht="28.75" customHeight="1" x14ac:dyDescent="0.35">
      <c r="A653" s="477" t="s">
        <v>1093</v>
      </c>
      <c r="AE653" s="2"/>
      <c r="AL653"/>
    </row>
    <row r="654" spans="1:38" x14ac:dyDescent="0.35">
      <c r="A654" s="478" t="s">
        <v>2025</v>
      </c>
      <c r="B654" s="52" t="s">
        <v>1094</v>
      </c>
      <c r="AG654" s="2"/>
      <c r="AL654"/>
    </row>
    <row r="655" spans="1:38" x14ac:dyDescent="0.35">
      <c r="A655" s="359" t="s">
        <v>143</v>
      </c>
      <c r="B655" s="106">
        <v>0</v>
      </c>
      <c r="AG655" s="2"/>
      <c r="AL655"/>
    </row>
    <row r="656" spans="1:38" x14ac:dyDescent="0.35">
      <c r="A656" s="359" t="s">
        <v>83</v>
      </c>
      <c r="B656" s="106">
        <v>0</v>
      </c>
      <c r="AG656" s="2"/>
      <c r="AL656"/>
    </row>
    <row r="657" spans="1:38" x14ac:dyDescent="0.35">
      <c r="A657" s="359" t="s">
        <v>144</v>
      </c>
      <c r="B657" s="106">
        <v>0</v>
      </c>
      <c r="AG657" s="2"/>
      <c r="AL657"/>
    </row>
    <row r="658" spans="1:38" x14ac:dyDescent="0.35">
      <c r="A658" s="359" t="s">
        <v>164</v>
      </c>
      <c r="B658" s="106">
        <v>0</v>
      </c>
      <c r="AG658" s="2"/>
      <c r="AL658"/>
    </row>
    <row r="659" spans="1:38" x14ac:dyDescent="0.35">
      <c r="A659" s="359" t="s">
        <v>145</v>
      </c>
      <c r="B659" s="106">
        <v>0</v>
      </c>
      <c r="AG659" s="2"/>
      <c r="AL659"/>
    </row>
    <row r="660" spans="1:38" x14ac:dyDescent="0.35">
      <c r="A660" s="359" t="s">
        <v>87</v>
      </c>
      <c r="B660" s="106">
        <v>0</v>
      </c>
      <c r="AG660" s="2"/>
      <c r="AL660"/>
    </row>
    <row r="661" spans="1:38" x14ac:dyDescent="0.35">
      <c r="A661" s="359" t="s">
        <v>146</v>
      </c>
      <c r="B661" s="106">
        <v>0</v>
      </c>
      <c r="AG661" s="2"/>
      <c r="AL661"/>
    </row>
    <row r="662" spans="1:38" x14ac:dyDescent="0.35">
      <c r="A662" s="359" t="s">
        <v>89</v>
      </c>
      <c r="B662" s="106">
        <v>0</v>
      </c>
      <c r="AG662" s="2"/>
      <c r="AL662"/>
    </row>
    <row r="663" spans="1:38" x14ac:dyDescent="0.35">
      <c r="A663" s="359" t="s">
        <v>90</v>
      </c>
      <c r="B663" s="106">
        <v>0</v>
      </c>
      <c r="AG663" s="2"/>
      <c r="AL663"/>
    </row>
    <row r="664" spans="1:38" x14ac:dyDescent="0.35">
      <c r="AL664"/>
    </row>
    <row r="665" spans="1:38" x14ac:dyDescent="0.35">
      <c r="A665" s="448" t="s">
        <v>2026</v>
      </c>
      <c r="AL665"/>
    </row>
    <row r="666" spans="1:38" x14ac:dyDescent="0.35">
      <c r="A666" s="478" t="s">
        <v>2025</v>
      </c>
      <c r="B666" s="52">
        <v>2015</v>
      </c>
      <c r="C666" s="52">
        <v>2025</v>
      </c>
      <c r="D666" s="52">
        <v>2030</v>
      </c>
      <c r="E666" s="52">
        <v>2040</v>
      </c>
      <c r="F666" s="52">
        <v>2050</v>
      </c>
      <c r="G666" s="52">
        <v>2070</v>
      </c>
      <c r="AL666"/>
    </row>
    <row r="667" spans="1:38" x14ac:dyDescent="0.35">
      <c r="A667" s="359" t="s">
        <v>143</v>
      </c>
      <c r="B667" s="479">
        <v>0</v>
      </c>
      <c r="C667" s="479">
        <v>0</v>
      </c>
      <c r="D667" s="479">
        <v>0</v>
      </c>
      <c r="E667" s="479">
        <v>0</v>
      </c>
      <c r="F667" s="479">
        <v>0</v>
      </c>
      <c r="G667" s="479">
        <v>0</v>
      </c>
      <c r="AL667"/>
    </row>
    <row r="668" spans="1:38" x14ac:dyDescent="0.35">
      <c r="A668" s="359" t="s">
        <v>83</v>
      </c>
      <c r="B668" s="479">
        <v>0</v>
      </c>
      <c r="C668" s="479">
        <v>0</v>
      </c>
      <c r="D668" s="479">
        <v>0</v>
      </c>
      <c r="E668" s="479">
        <v>0</v>
      </c>
      <c r="F668" s="479">
        <v>0</v>
      </c>
      <c r="G668" s="479">
        <v>0</v>
      </c>
      <c r="AL668"/>
    </row>
    <row r="669" spans="1:38" x14ac:dyDescent="0.35">
      <c r="A669" s="359" t="s">
        <v>144</v>
      </c>
      <c r="B669" s="479">
        <v>0</v>
      </c>
      <c r="C669" s="479">
        <v>0</v>
      </c>
      <c r="D669" s="479">
        <v>0</v>
      </c>
      <c r="E669" s="479">
        <v>0</v>
      </c>
      <c r="F669" s="479">
        <v>0</v>
      </c>
      <c r="G669" s="479">
        <v>0</v>
      </c>
      <c r="AL669"/>
    </row>
    <row r="670" spans="1:38" x14ac:dyDescent="0.35">
      <c r="A670" s="359" t="s">
        <v>164</v>
      </c>
      <c r="B670" s="479">
        <v>0</v>
      </c>
      <c r="C670" s="479">
        <v>0</v>
      </c>
      <c r="D670" s="479">
        <v>0</v>
      </c>
      <c r="E670" s="479">
        <v>0</v>
      </c>
      <c r="F670" s="479">
        <v>0</v>
      </c>
      <c r="G670" s="479">
        <v>0</v>
      </c>
      <c r="AL670"/>
    </row>
    <row r="671" spans="1:38" x14ac:dyDescent="0.35">
      <c r="A671" s="359" t="s">
        <v>145</v>
      </c>
      <c r="B671" s="479">
        <v>0</v>
      </c>
      <c r="C671" s="479">
        <v>0</v>
      </c>
      <c r="D671" s="479">
        <v>0</v>
      </c>
      <c r="E671" s="479">
        <v>0</v>
      </c>
      <c r="F671" s="479">
        <v>0</v>
      </c>
      <c r="G671" s="479">
        <v>0</v>
      </c>
      <c r="AL671"/>
    </row>
    <row r="672" spans="1:38" x14ac:dyDescent="0.35">
      <c r="A672" s="359" t="s">
        <v>87</v>
      </c>
      <c r="B672" s="479">
        <v>0</v>
      </c>
      <c r="C672" s="479">
        <v>0</v>
      </c>
      <c r="D672" s="479">
        <v>0</v>
      </c>
      <c r="E672" s="479">
        <v>0</v>
      </c>
      <c r="F672" s="479">
        <v>0</v>
      </c>
      <c r="G672" s="479">
        <v>0</v>
      </c>
      <c r="AL672"/>
    </row>
    <row r="673" spans="1:38" x14ac:dyDescent="0.35">
      <c r="A673" s="359" t="s">
        <v>146</v>
      </c>
      <c r="B673" s="479">
        <v>0</v>
      </c>
      <c r="C673" s="479">
        <v>0</v>
      </c>
      <c r="D673" s="479">
        <v>0</v>
      </c>
      <c r="E673" s="479">
        <v>0</v>
      </c>
      <c r="F673" s="479">
        <v>0</v>
      </c>
      <c r="G673" s="479">
        <v>0</v>
      </c>
      <c r="AL673"/>
    </row>
    <row r="674" spans="1:38" x14ac:dyDescent="0.35">
      <c r="A674" s="359" t="s">
        <v>89</v>
      </c>
      <c r="B674" s="479">
        <v>0</v>
      </c>
      <c r="C674" s="479">
        <v>0</v>
      </c>
      <c r="D674" s="479">
        <v>0</v>
      </c>
      <c r="E674" s="479">
        <v>0</v>
      </c>
      <c r="F674" s="479">
        <v>0</v>
      </c>
      <c r="G674" s="479">
        <v>0</v>
      </c>
      <c r="AL674"/>
    </row>
    <row r="675" spans="1:38" x14ac:dyDescent="0.35">
      <c r="A675" s="359" t="s">
        <v>90</v>
      </c>
      <c r="B675" s="479">
        <v>0</v>
      </c>
      <c r="C675" s="479">
        <v>0</v>
      </c>
      <c r="D675" s="479">
        <v>0</v>
      </c>
      <c r="E675" s="479">
        <v>0</v>
      </c>
      <c r="F675" s="479">
        <v>0</v>
      </c>
      <c r="G675" s="479">
        <v>0</v>
      </c>
      <c r="AL675"/>
    </row>
    <row r="676" spans="1:38" x14ac:dyDescent="0.35">
      <c r="AL676"/>
    </row>
    <row r="677" spans="1:38" x14ac:dyDescent="0.35">
      <c r="A677" s="448" t="s">
        <v>2027</v>
      </c>
      <c r="AL677"/>
    </row>
    <row r="678" spans="1:38" x14ac:dyDescent="0.35">
      <c r="A678" s="478" t="s">
        <v>2025</v>
      </c>
      <c r="B678" s="52">
        <v>2015</v>
      </c>
      <c r="C678" s="52">
        <v>2025</v>
      </c>
      <c r="D678" s="52">
        <v>2030</v>
      </c>
      <c r="E678" s="52">
        <v>2040</v>
      </c>
      <c r="F678" s="52">
        <v>2050</v>
      </c>
      <c r="G678" s="52">
        <v>2070</v>
      </c>
      <c r="AL678"/>
    </row>
    <row r="679" spans="1:38" x14ac:dyDescent="0.35">
      <c r="A679" s="359" t="s">
        <v>143</v>
      </c>
      <c r="B679" s="479">
        <v>0</v>
      </c>
      <c r="C679" s="479">
        <v>0</v>
      </c>
      <c r="D679" s="479">
        <v>0</v>
      </c>
      <c r="E679" s="479">
        <v>0</v>
      </c>
      <c r="F679" s="479">
        <v>0</v>
      </c>
      <c r="G679" s="479">
        <v>0</v>
      </c>
      <c r="AL679"/>
    </row>
    <row r="680" spans="1:38" x14ac:dyDescent="0.35">
      <c r="A680" s="359" t="s">
        <v>83</v>
      </c>
      <c r="B680" s="479">
        <v>0</v>
      </c>
      <c r="C680" s="479">
        <v>0</v>
      </c>
      <c r="D680" s="479">
        <v>0</v>
      </c>
      <c r="E680" s="479">
        <v>0</v>
      </c>
      <c r="F680" s="479">
        <v>0</v>
      </c>
      <c r="G680" s="479">
        <v>0</v>
      </c>
      <c r="AL680"/>
    </row>
    <row r="681" spans="1:38" x14ac:dyDescent="0.35">
      <c r="A681" s="359" t="s">
        <v>144</v>
      </c>
      <c r="B681" s="479">
        <v>0</v>
      </c>
      <c r="C681" s="479">
        <v>0</v>
      </c>
      <c r="D681" s="479">
        <v>0</v>
      </c>
      <c r="E681" s="479">
        <v>0</v>
      </c>
      <c r="F681" s="479">
        <v>0</v>
      </c>
      <c r="G681" s="479">
        <v>0</v>
      </c>
      <c r="AL681"/>
    </row>
    <row r="682" spans="1:38" x14ac:dyDescent="0.35">
      <c r="A682" s="359" t="s">
        <v>164</v>
      </c>
      <c r="B682" s="479">
        <v>0</v>
      </c>
      <c r="C682" s="479">
        <v>0</v>
      </c>
      <c r="D682" s="479">
        <v>0</v>
      </c>
      <c r="E682" s="479">
        <v>0</v>
      </c>
      <c r="F682" s="479">
        <v>0</v>
      </c>
      <c r="G682" s="479">
        <v>0</v>
      </c>
      <c r="AL682"/>
    </row>
    <row r="683" spans="1:38" x14ac:dyDescent="0.35">
      <c r="A683" s="359" t="s">
        <v>145</v>
      </c>
      <c r="B683" s="479">
        <v>0</v>
      </c>
      <c r="C683" s="479">
        <v>0</v>
      </c>
      <c r="D683" s="479">
        <v>0</v>
      </c>
      <c r="E683" s="479">
        <v>0</v>
      </c>
      <c r="F683" s="479">
        <v>0</v>
      </c>
      <c r="G683" s="479">
        <v>0</v>
      </c>
      <c r="AL683"/>
    </row>
    <row r="684" spans="1:38" x14ac:dyDescent="0.35">
      <c r="A684" s="359" t="s">
        <v>87</v>
      </c>
      <c r="B684" s="479">
        <v>0</v>
      </c>
      <c r="C684" s="479">
        <v>0</v>
      </c>
      <c r="D684" s="479">
        <v>0</v>
      </c>
      <c r="E684" s="479">
        <v>0</v>
      </c>
      <c r="F684" s="479">
        <v>0</v>
      </c>
      <c r="G684" s="479">
        <v>0</v>
      </c>
      <c r="AL684"/>
    </row>
    <row r="685" spans="1:38" x14ac:dyDescent="0.35">
      <c r="A685" s="359" t="s">
        <v>146</v>
      </c>
      <c r="B685" s="479">
        <v>0</v>
      </c>
      <c r="C685" s="479">
        <v>0</v>
      </c>
      <c r="D685" s="479">
        <v>0</v>
      </c>
      <c r="E685" s="479">
        <v>0</v>
      </c>
      <c r="F685" s="479">
        <v>0</v>
      </c>
      <c r="G685" s="479">
        <v>0</v>
      </c>
      <c r="AL685"/>
    </row>
    <row r="686" spans="1:38" x14ac:dyDescent="0.35">
      <c r="A686" s="359" t="s">
        <v>89</v>
      </c>
      <c r="B686" s="479">
        <v>0</v>
      </c>
      <c r="C686" s="479">
        <v>0</v>
      </c>
      <c r="D686" s="479">
        <v>0</v>
      </c>
      <c r="E686" s="479">
        <v>0</v>
      </c>
      <c r="F686" s="479">
        <v>0</v>
      </c>
      <c r="G686" s="479">
        <v>0</v>
      </c>
      <c r="AL686"/>
    </row>
    <row r="687" spans="1:38" x14ac:dyDescent="0.35">
      <c r="A687" s="359" t="s">
        <v>90</v>
      </c>
      <c r="B687" s="479">
        <v>0</v>
      </c>
      <c r="C687" s="479">
        <v>0</v>
      </c>
      <c r="D687" s="479">
        <v>0</v>
      </c>
      <c r="E687" s="479">
        <v>0</v>
      </c>
      <c r="F687" s="479">
        <v>0</v>
      </c>
      <c r="G687" s="479">
        <v>0</v>
      </c>
      <c r="AL687"/>
    </row>
    <row r="688" spans="1:38" x14ac:dyDescent="0.35">
      <c r="AL688"/>
    </row>
    <row r="689" spans="1:10" x14ac:dyDescent="0.35">
      <c r="A689" s="14" t="s">
        <v>2144</v>
      </c>
      <c r="B689" s="2"/>
    </row>
    <row r="690" spans="1:10" x14ac:dyDescent="0.35">
      <c r="A690" s="38" t="s">
        <v>168</v>
      </c>
      <c r="B690" s="9" t="s">
        <v>169</v>
      </c>
    </row>
    <row r="691" spans="1:10" x14ac:dyDescent="0.35">
      <c r="A691" s="271">
        <v>0</v>
      </c>
      <c r="B691" s="4" t="s">
        <v>1077</v>
      </c>
      <c r="D691" s="25"/>
    </row>
    <row r="692" spans="1:10" x14ac:dyDescent="0.35">
      <c r="A692" s="271">
        <v>1</v>
      </c>
      <c r="B692" s="531" t="s">
        <v>1073</v>
      </c>
    </row>
    <row r="693" spans="1:10" x14ac:dyDescent="0.35">
      <c r="A693" s="271">
        <v>2</v>
      </c>
      <c r="B693" s="4" t="s">
        <v>1069</v>
      </c>
    </row>
    <row r="694" spans="1:10" x14ac:dyDescent="0.35">
      <c r="A694" s="271">
        <v>3</v>
      </c>
      <c r="B694" s="531" t="s">
        <v>1070</v>
      </c>
      <c r="C694" t="s">
        <v>2145</v>
      </c>
    </row>
    <row r="695" spans="1:10" x14ac:dyDescent="0.35">
      <c r="A695" s="271">
        <v>4</v>
      </c>
      <c r="B695" s="531" t="s">
        <v>1076</v>
      </c>
      <c r="D695" s="25"/>
    </row>
    <row r="696" spans="1:10" x14ac:dyDescent="0.35">
      <c r="A696" s="271">
        <v>5</v>
      </c>
      <c r="B696" s="5" t="s">
        <v>1075</v>
      </c>
    </row>
    <row r="697" spans="1:10" x14ac:dyDescent="0.35">
      <c r="A697" s="39" t="s">
        <v>170</v>
      </c>
      <c r="B697" s="480">
        <v>2</v>
      </c>
    </row>
    <row r="698" spans="1:10" x14ac:dyDescent="0.35">
      <c r="B698" s="209"/>
    </row>
    <row r="699" spans="1:10" x14ac:dyDescent="0.35">
      <c r="F699" s="96"/>
      <c r="G699" s="96"/>
      <c r="H699" s="96"/>
      <c r="I699" s="96"/>
      <c r="J699" s="96"/>
    </row>
    <row r="700" spans="1:10" x14ac:dyDescent="0.35">
      <c r="A700" s="441"/>
      <c r="B700" s="96"/>
      <c r="C700" s="96"/>
      <c r="D700" s="96"/>
      <c r="E700" s="96"/>
      <c r="F700" s="96"/>
      <c r="G700" s="96"/>
      <c r="H700" s="96"/>
      <c r="I700" s="96"/>
      <c r="J700" s="96"/>
    </row>
    <row r="701" spans="1:10" x14ac:dyDescent="0.35">
      <c r="A701" s="468" t="s">
        <v>633</v>
      </c>
      <c r="B701" s="2"/>
      <c r="C701" s="96"/>
      <c r="F701" s="96"/>
      <c r="G701" s="96"/>
      <c r="H701" s="96"/>
      <c r="I701" s="96"/>
      <c r="J701" s="96"/>
    </row>
    <row r="702" spans="1:10" x14ac:dyDescent="0.35">
      <c r="A702" s="38" t="s">
        <v>168</v>
      </c>
      <c r="B702" s="9" t="s">
        <v>169</v>
      </c>
      <c r="C702" s="96"/>
      <c r="F702" s="96"/>
      <c r="G702" s="96"/>
      <c r="H702" s="96"/>
      <c r="I702" s="96"/>
      <c r="J702" s="96"/>
    </row>
    <row r="703" spans="1:10" x14ac:dyDescent="0.35">
      <c r="A703" s="271">
        <v>0</v>
      </c>
      <c r="B703" s="469" t="s">
        <v>635</v>
      </c>
      <c r="C703" s="96"/>
      <c r="F703" s="96"/>
      <c r="G703" s="96"/>
      <c r="H703" s="96"/>
      <c r="I703" s="96"/>
      <c r="J703" s="96"/>
    </row>
    <row r="704" spans="1:10" x14ac:dyDescent="0.35">
      <c r="A704" s="271">
        <v>1</v>
      </c>
      <c r="B704" s="469" t="s">
        <v>634</v>
      </c>
      <c r="C704" s="96"/>
      <c r="F704" s="96"/>
      <c r="G704" s="96"/>
      <c r="H704" s="96"/>
      <c r="I704" s="96"/>
      <c r="J704" s="96"/>
    </row>
    <row r="705" spans="1:10" ht="91" customHeight="1" x14ac:dyDescent="0.35">
      <c r="A705" s="271">
        <v>2</v>
      </c>
      <c r="B705" s="469" t="s">
        <v>1552</v>
      </c>
      <c r="C705" s="96"/>
      <c r="F705" s="96"/>
      <c r="G705" s="96"/>
      <c r="H705" s="96"/>
      <c r="I705" s="96"/>
      <c r="J705" s="96"/>
    </row>
    <row r="706" spans="1:10" x14ac:dyDescent="0.35">
      <c r="A706" s="39" t="s">
        <v>170</v>
      </c>
      <c r="B706" s="40">
        <v>2</v>
      </c>
      <c r="C706" s="96"/>
      <c r="D706" s="96"/>
      <c r="E706" s="96"/>
      <c r="F706" s="96"/>
      <c r="G706" s="96"/>
      <c r="H706" s="96"/>
      <c r="I706" s="96"/>
      <c r="J706" s="96"/>
    </row>
    <row r="707" spans="1:10" x14ac:dyDescent="0.35">
      <c r="A707" s="441"/>
      <c r="B707" s="96"/>
      <c r="C707" s="96"/>
      <c r="D707" s="96"/>
      <c r="E707" s="96"/>
      <c r="F707" s="96"/>
      <c r="G707" s="96"/>
      <c r="H707" s="96"/>
      <c r="I707" s="96"/>
      <c r="J707" s="96"/>
    </row>
    <row r="708" spans="1:10" x14ac:dyDescent="0.35">
      <c r="A708" s="481"/>
      <c r="B708" s="96"/>
      <c r="C708" s="96"/>
      <c r="D708" s="96"/>
      <c r="E708" s="96"/>
      <c r="F708" s="96"/>
      <c r="G708" s="96"/>
      <c r="H708" s="96"/>
      <c r="I708" s="96"/>
      <c r="J708" s="96"/>
    </row>
    <row r="709" spans="1:10" x14ac:dyDescent="0.35">
      <c r="B709" s="96"/>
      <c r="C709" s="96"/>
      <c r="D709" s="96"/>
      <c r="E709" s="96"/>
      <c r="F709" s="96"/>
      <c r="G709" s="96"/>
      <c r="H709" s="96"/>
      <c r="I709" s="96"/>
      <c r="J709" s="96"/>
    </row>
    <row r="710" spans="1:10" x14ac:dyDescent="0.35">
      <c r="A710" s="482" t="s">
        <v>632</v>
      </c>
      <c r="B710" s="96"/>
      <c r="C710" s="96"/>
      <c r="D710" s="96"/>
      <c r="E710" s="96"/>
      <c r="F710" s="96"/>
      <c r="G710" s="96"/>
      <c r="H710" s="96"/>
      <c r="I710" s="96"/>
      <c r="J710" s="96"/>
    </row>
    <row r="711" spans="1:10" x14ac:dyDescent="0.35">
      <c r="A711" s="483" t="s">
        <v>631</v>
      </c>
      <c r="B711" s="94" t="s">
        <v>143</v>
      </c>
      <c r="C711" s="95" t="s">
        <v>83</v>
      </c>
      <c r="D711" s="95" t="s">
        <v>144</v>
      </c>
      <c r="E711" s="95" t="s">
        <v>164</v>
      </c>
      <c r="F711" s="95" t="s">
        <v>145</v>
      </c>
      <c r="G711" s="95" t="s">
        <v>87</v>
      </c>
      <c r="H711" s="95" t="s">
        <v>146</v>
      </c>
      <c r="I711" s="95" t="s">
        <v>89</v>
      </c>
      <c r="J711" s="95" t="s">
        <v>90</v>
      </c>
    </row>
    <row r="712" spans="1:10" x14ac:dyDescent="0.35">
      <c r="A712" s="484" t="s">
        <v>884</v>
      </c>
      <c r="B712" s="156">
        <v>0</v>
      </c>
      <c r="C712" s="156">
        <v>0</v>
      </c>
      <c r="D712" s="156">
        <v>0</v>
      </c>
      <c r="E712" s="156">
        <v>0</v>
      </c>
      <c r="F712" s="156">
        <v>0</v>
      </c>
      <c r="G712" s="156">
        <v>0</v>
      </c>
      <c r="H712" s="156">
        <v>0</v>
      </c>
      <c r="I712" s="156">
        <v>0</v>
      </c>
      <c r="J712" s="156">
        <v>0</v>
      </c>
    </row>
    <row r="713" spans="1:10" x14ac:dyDescent="0.35">
      <c r="A713" s="485" t="s">
        <v>556</v>
      </c>
      <c r="B713" s="380">
        <v>1.8374600000000001E-2</v>
      </c>
      <c r="C713" s="380">
        <v>2.49373E-3</v>
      </c>
      <c r="D713" s="380">
        <v>0</v>
      </c>
      <c r="E713" s="380">
        <v>4.66847E-4</v>
      </c>
      <c r="F713" s="380">
        <v>0</v>
      </c>
      <c r="G713" s="380">
        <v>0</v>
      </c>
      <c r="H713" s="380">
        <v>1.4511100000000001E-2</v>
      </c>
      <c r="I713" s="380">
        <v>6.8814899999999999E-4</v>
      </c>
      <c r="J713" s="380">
        <v>7.7705899999999997E-4</v>
      </c>
    </row>
    <row r="714" spans="1:10" x14ac:dyDescent="0.35">
      <c r="A714" s="486" t="s">
        <v>557</v>
      </c>
      <c r="B714" s="380">
        <v>10000</v>
      </c>
      <c r="C714" s="380">
        <v>10000</v>
      </c>
      <c r="D714" s="380">
        <v>10000</v>
      </c>
      <c r="E714" s="380">
        <v>10000</v>
      </c>
      <c r="F714" s="380">
        <v>10000</v>
      </c>
      <c r="G714" s="380">
        <v>10000</v>
      </c>
      <c r="H714" s="380">
        <v>10000</v>
      </c>
      <c r="I714" s="380">
        <v>10000</v>
      </c>
      <c r="J714" s="380">
        <v>10000</v>
      </c>
    </row>
    <row r="715" spans="1:10" x14ac:dyDescent="0.35">
      <c r="A715" s="486" t="s">
        <v>558</v>
      </c>
      <c r="B715" s="487">
        <v>0</v>
      </c>
      <c r="C715" s="487">
        <v>0</v>
      </c>
      <c r="D715" s="487">
        <v>0</v>
      </c>
      <c r="E715" s="487">
        <v>0</v>
      </c>
      <c r="F715" s="487">
        <v>0</v>
      </c>
      <c r="G715" s="487">
        <v>0</v>
      </c>
      <c r="H715" s="487">
        <v>0</v>
      </c>
      <c r="I715" s="487">
        <v>0</v>
      </c>
      <c r="J715" s="487">
        <v>0</v>
      </c>
    </row>
    <row r="716" spans="1:10" x14ac:dyDescent="0.35">
      <c r="A716" s="486" t="s">
        <v>560</v>
      </c>
      <c r="B716" s="380">
        <v>10000</v>
      </c>
      <c r="C716" s="380">
        <v>10000</v>
      </c>
      <c r="D716" s="380">
        <v>10000</v>
      </c>
      <c r="E716" s="380">
        <v>10000</v>
      </c>
      <c r="F716" s="380">
        <v>10000</v>
      </c>
      <c r="G716" s="380">
        <v>10000</v>
      </c>
      <c r="H716" s="380">
        <v>10000</v>
      </c>
      <c r="I716" s="380">
        <v>10000</v>
      </c>
      <c r="J716" s="380">
        <v>10000</v>
      </c>
    </row>
    <row r="717" spans="1:10" x14ac:dyDescent="0.35">
      <c r="A717" s="485" t="s">
        <v>561</v>
      </c>
      <c r="B717" s="380">
        <v>0.43200000000000005</v>
      </c>
      <c r="C717" s="380">
        <v>2.0000000000000004E-2</v>
      </c>
      <c r="D717" s="380">
        <v>0.77600000000000002</v>
      </c>
      <c r="E717" s="380">
        <v>1.0920000000000001</v>
      </c>
      <c r="F717" s="380">
        <v>0.20400000000000001</v>
      </c>
      <c r="G717" s="380">
        <v>1.6359999999999999</v>
      </c>
      <c r="H717" s="380">
        <v>0.88800000000000012</v>
      </c>
      <c r="I717" s="380">
        <v>0.8640000000000001</v>
      </c>
      <c r="J717" s="380">
        <v>1.6639999999999999</v>
      </c>
    </row>
    <row r="718" spans="1:10" x14ac:dyDescent="0.35">
      <c r="A718" s="484" t="s">
        <v>885</v>
      </c>
      <c r="B718" s="156">
        <v>0</v>
      </c>
      <c r="C718" s="156">
        <v>0</v>
      </c>
      <c r="D718" s="156">
        <v>0</v>
      </c>
      <c r="E718" s="156">
        <v>0</v>
      </c>
      <c r="F718" s="156">
        <v>0</v>
      </c>
      <c r="G718" s="156">
        <v>0</v>
      </c>
      <c r="H718" s="156">
        <v>0</v>
      </c>
      <c r="I718" s="156">
        <v>0</v>
      </c>
      <c r="J718" s="156">
        <v>0</v>
      </c>
    </row>
    <row r="719" spans="1:10" x14ac:dyDescent="0.35">
      <c r="A719" s="485" t="s">
        <v>565</v>
      </c>
      <c r="B719" s="380">
        <v>1.60772E-2</v>
      </c>
      <c r="C719" s="380">
        <v>2.20341E-5</v>
      </c>
      <c r="D719" s="380">
        <v>7.8355600000000001E-3</v>
      </c>
      <c r="E719" s="380">
        <v>6.6772700000000001E-4</v>
      </c>
      <c r="F719" s="380">
        <v>0</v>
      </c>
      <c r="G719" s="380">
        <v>0</v>
      </c>
      <c r="H719" s="380">
        <v>1.2566300000000001E-2</v>
      </c>
      <c r="I719" s="380">
        <v>1.1267E-4</v>
      </c>
      <c r="J719" s="380">
        <v>1.5325199999999999E-4</v>
      </c>
    </row>
    <row r="720" spans="1:10" x14ac:dyDescent="0.35">
      <c r="A720" s="486" t="s">
        <v>566</v>
      </c>
      <c r="B720" s="380">
        <v>10000</v>
      </c>
      <c r="C720" s="380">
        <v>10000</v>
      </c>
      <c r="D720" s="380">
        <v>10000</v>
      </c>
      <c r="E720" s="380">
        <v>10000</v>
      </c>
      <c r="F720" s="380">
        <v>10000</v>
      </c>
      <c r="G720" s="380">
        <v>10000</v>
      </c>
      <c r="H720" s="380">
        <v>10000</v>
      </c>
      <c r="I720" s="380">
        <v>10000</v>
      </c>
      <c r="J720" s="380">
        <v>10000</v>
      </c>
    </row>
    <row r="721" spans="1:10" x14ac:dyDescent="0.35">
      <c r="A721" s="486" t="s">
        <v>567</v>
      </c>
      <c r="B721" s="487">
        <v>0</v>
      </c>
      <c r="C721" s="487">
        <v>0</v>
      </c>
      <c r="D721" s="487">
        <v>0</v>
      </c>
      <c r="E721" s="487">
        <v>0</v>
      </c>
      <c r="F721" s="487">
        <v>0</v>
      </c>
      <c r="G721" s="487">
        <v>0</v>
      </c>
      <c r="H721" s="487">
        <v>0</v>
      </c>
      <c r="I721" s="487">
        <v>0</v>
      </c>
      <c r="J721" s="487">
        <v>0</v>
      </c>
    </row>
    <row r="722" spans="1:10" x14ac:dyDescent="0.35">
      <c r="A722" s="485" t="s">
        <v>570</v>
      </c>
      <c r="B722" s="380">
        <v>0.13500000000000001</v>
      </c>
      <c r="C722" s="380">
        <v>6.2500000000000003E-3</v>
      </c>
      <c r="D722" s="380">
        <v>0.24250000000000002</v>
      </c>
      <c r="E722" s="380">
        <v>0.34125</v>
      </c>
      <c r="F722" s="380">
        <v>6.3750000000000001E-2</v>
      </c>
      <c r="G722" s="380">
        <v>0.51124999999999998</v>
      </c>
      <c r="H722" s="380">
        <v>0.27750000000000008</v>
      </c>
      <c r="I722" s="380">
        <v>0.27</v>
      </c>
      <c r="J722" s="380">
        <v>0.52000000000000013</v>
      </c>
    </row>
    <row r="723" spans="1:10" x14ac:dyDescent="0.35">
      <c r="A723" s="485" t="s">
        <v>571</v>
      </c>
      <c r="B723" s="380">
        <v>1.3248</v>
      </c>
      <c r="C723" s="380">
        <v>2.2787999999999999E-2</v>
      </c>
      <c r="D723" s="380">
        <v>4.2300000000000004</v>
      </c>
      <c r="E723" s="380">
        <v>1.7172000000000001</v>
      </c>
      <c r="F723" s="380">
        <v>1.0116000000000001</v>
      </c>
      <c r="G723" s="380">
        <v>4.9752000000000001</v>
      </c>
      <c r="H723" s="380">
        <v>0.66600000000000004</v>
      </c>
      <c r="I723" s="380">
        <v>3.0924</v>
      </c>
      <c r="J723" s="380">
        <v>8.1684000000000001</v>
      </c>
    </row>
    <row r="724" spans="1:10" x14ac:dyDescent="0.35">
      <c r="A724" s="485" t="s">
        <v>572</v>
      </c>
      <c r="B724" s="380">
        <v>0.432</v>
      </c>
      <c r="C724" s="380">
        <v>1.1879999999999998E-2</v>
      </c>
      <c r="D724" s="380">
        <v>0.58320000000000005</v>
      </c>
      <c r="E724" s="380">
        <v>0.80640000000000001</v>
      </c>
      <c r="F724" s="380">
        <v>0.4572</v>
      </c>
      <c r="G724" s="380">
        <v>1.0512000000000001</v>
      </c>
      <c r="H724" s="380">
        <v>7.8120000000000009E-2</v>
      </c>
      <c r="I724" s="380">
        <v>0.6372000000000001</v>
      </c>
      <c r="J724" s="380">
        <v>2.448</v>
      </c>
    </row>
    <row r="725" spans="1:10" x14ac:dyDescent="0.35">
      <c r="A725" s="485" t="s">
        <v>576</v>
      </c>
      <c r="B725" s="380">
        <v>0</v>
      </c>
      <c r="C725" s="380">
        <v>0</v>
      </c>
      <c r="D725" s="380">
        <v>0</v>
      </c>
      <c r="E725" s="380">
        <v>0</v>
      </c>
      <c r="F725" s="380">
        <v>0</v>
      </c>
      <c r="G725" s="380">
        <v>0</v>
      </c>
      <c r="H725" s="380">
        <v>0</v>
      </c>
      <c r="I725" s="380">
        <v>0</v>
      </c>
      <c r="J725" s="380">
        <v>0</v>
      </c>
    </row>
    <row r="726" spans="1:10" x14ac:dyDescent="0.35">
      <c r="A726" s="485" t="s">
        <v>630</v>
      </c>
      <c r="B726" s="380">
        <v>0</v>
      </c>
      <c r="C726" s="380">
        <v>0</v>
      </c>
      <c r="D726" s="380">
        <v>3.77E-4</v>
      </c>
      <c r="E726" s="380">
        <v>1.3200000000000001E-6</v>
      </c>
      <c r="F726" s="380">
        <v>2.285E-4</v>
      </c>
      <c r="G726" s="380">
        <v>0</v>
      </c>
      <c r="H726" s="380">
        <v>0</v>
      </c>
      <c r="I726" s="380">
        <v>1.8140000000000001E-3</v>
      </c>
      <c r="J726" s="380">
        <v>3.8265499999999997E-4</v>
      </c>
    </row>
    <row r="727" spans="1:10" x14ac:dyDescent="0.35">
      <c r="A727" s="488" t="s">
        <v>578</v>
      </c>
      <c r="B727" s="380">
        <v>10000</v>
      </c>
      <c r="C727" s="380">
        <v>10000</v>
      </c>
      <c r="D727" s="380">
        <v>10000</v>
      </c>
      <c r="E727" s="380">
        <v>10000</v>
      </c>
      <c r="F727" s="380">
        <v>10000</v>
      </c>
      <c r="G727" s="380">
        <v>10000</v>
      </c>
      <c r="H727" s="380">
        <v>10000</v>
      </c>
      <c r="I727" s="380">
        <v>10000</v>
      </c>
      <c r="J727" s="380">
        <v>10000</v>
      </c>
    </row>
    <row r="728" spans="1:10" x14ac:dyDescent="0.35">
      <c r="A728" s="484" t="s">
        <v>861</v>
      </c>
      <c r="B728" s="156">
        <v>0</v>
      </c>
      <c r="C728" s="156">
        <v>0</v>
      </c>
      <c r="D728" s="156">
        <v>0</v>
      </c>
      <c r="E728" s="156">
        <v>0</v>
      </c>
      <c r="F728" s="156">
        <v>0</v>
      </c>
      <c r="G728" s="156">
        <v>0</v>
      </c>
      <c r="H728" s="156">
        <v>0</v>
      </c>
      <c r="I728" s="156">
        <v>0</v>
      </c>
      <c r="J728" s="156">
        <v>0</v>
      </c>
    </row>
    <row r="729" spans="1:10" x14ac:dyDescent="0.35">
      <c r="A729" s="485" t="s">
        <v>582</v>
      </c>
      <c r="B729" s="380">
        <v>1.3764700000000001E-3</v>
      </c>
      <c r="C729" s="380">
        <v>3.9225300000000001E-4</v>
      </c>
      <c r="D729" s="380">
        <v>3.9787399999999997E-3</v>
      </c>
      <c r="E729" s="380">
        <v>2.2298800000000001E-3</v>
      </c>
      <c r="F729" s="380">
        <v>2.4516199999999999E-4</v>
      </c>
      <c r="G729" s="380">
        <v>4.3498000000000003E-6</v>
      </c>
      <c r="H729" s="380">
        <v>0</v>
      </c>
      <c r="I729" s="380">
        <v>1.13843E-3</v>
      </c>
      <c r="J729" s="380">
        <v>4.4651199999999998E-4</v>
      </c>
    </row>
    <row r="730" spans="1:10" x14ac:dyDescent="0.35">
      <c r="A730" s="485" t="s">
        <v>583</v>
      </c>
      <c r="B730" s="487">
        <v>0</v>
      </c>
      <c r="C730" s="487">
        <v>0</v>
      </c>
      <c r="D730" s="487">
        <v>0</v>
      </c>
      <c r="E730" s="487">
        <v>0</v>
      </c>
      <c r="F730" s="487">
        <v>0</v>
      </c>
      <c r="G730" s="487">
        <v>0</v>
      </c>
      <c r="H730" s="487">
        <v>0</v>
      </c>
      <c r="I730" s="487">
        <v>0</v>
      </c>
      <c r="J730" s="487">
        <v>0</v>
      </c>
    </row>
    <row r="731" spans="1:10" x14ac:dyDescent="0.35">
      <c r="A731" s="488" t="s">
        <v>585</v>
      </c>
      <c r="B731" s="380">
        <v>10000</v>
      </c>
      <c r="C731" s="380">
        <v>10000</v>
      </c>
      <c r="D731" s="380">
        <v>10000</v>
      </c>
      <c r="E731" s="380">
        <v>10000</v>
      </c>
      <c r="F731" s="380">
        <v>10000</v>
      </c>
      <c r="G731" s="380">
        <v>10000</v>
      </c>
      <c r="H731" s="380">
        <v>10000</v>
      </c>
      <c r="I731" s="380">
        <v>10000</v>
      </c>
      <c r="J731" s="380">
        <v>10000</v>
      </c>
    </row>
    <row r="732" spans="1:10" x14ac:dyDescent="0.35">
      <c r="A732" s="488" t="s">
        <v>584</v>
      </c>
      <c r="B732" s="380">
        <v>10000</v>
      </c>
      <c r="C732" s="380">
        <v>10000</v>
      </c>
      <c r="D732" s="380">
        <v>10000</v>
      </c>
      <c r="E732" s="380">
        <v>10000</v>
      </c>
      <c r="F732" s="380">
        <v>10000</v>
      </c>
      <c r="G732" s="380">
        <v>10000</v>
      </c>
      <c r="H732" s="380">
        <v>10000</v>
      </c>
      <c r="I732" s="380">
        <v>10000</v>
      </c>
      <c r="J732" s="380">
        <v>10000</v>
      </c>
    </row>
    <row r="733" spans="1:10" x14ac:dyDescent="0.35">
      <c r="A733" s="441"/>
      <c r="B733" s="96"/>
      <c r="C733" s="96"/>
      <c r="D733" s="96"/>
      <c r="E733" s="96"/>
      <c r="F733" s="96"/>
      <c r="G733" s="96"/>
      <c r="H733" s="96"/>
      <c r="I733" s="96"/>
      <c r="J733" s="96"/>
    </row>
    <row r="734" spans="1:10" x14ac:dyDescent="0.35">
      <c r="A734" s="441"/>
      <c r="B734" s="96"/>
      <c r="C734" s="96"/>
      <c r="D734" s="96"/>
      <c r="E734" s="96"/>
      <c r="F734" s="96"/>
      <c r="G734" s="96"/>
      <c r="H734" s="96"/>
      <c r="I734" s="96"/>
      <c r="J734" s="96"/>
    </row>
    <row r="735" spans="1:10" x14ac:dyDescent="0.35">
      <c r="A735" s="455" t="s">
        <v>749</v>
      </c>
      <c r="B735" s="96"/>
      <c r="C735" s="96"/>
      <c r="D735" s="96"/>
      <c r="E735" s="96"/>
      <c r="F735" s="96"/>
      <c r="G735" s="96"/>
      <c r="H735" s="96"/>
      <c r="I735" s="96"/>
      <c r="J735" s="96"/>
    </row>
    <row r="736" spans="1:10" x14ac:dyDescent="0.35">
      <c r="A736" s="441"/>
      <c r="B736" s="96"/>
      <c r="C736" s="96"/>
      <c r="D736" s="96"/>
      <c r="E736" s="96"/>
      <c r="F736" s="96"/>
      <c r="G736" s="96"/>
      <c r="H736" s="96"/>
      <c r="I736" s="96"/>
      <c r="J736" s="96"/>
    </row>
    <row r="737" spans="1:38" x14ac:dyDescent="0.35">
      <c r="A737" s="280" t="s">
        <v>749</v>
      </c>
      <c r="B737" s="2"/>
      <c r="C737" s="96"/>
      <c r="D737" s="96"/>
      <c r="E737" s="96"/>
      <c r="F737" s="96"/>
      <c r="G737" s="96"/>
      <c r="H737" s="96"/>
      <c r="I737" s="96"/>
      <c r="J737" s="96"/>
    </row>
    <row r="738" spans="1:38" x14ac:dyDescent="0.35">
      <c r="A738" s="38" t="s">
        <v>168</v>
      </c>
      <c r="B738" s="9" t="s">
        <v>169</v>
      </c>
      <c r="C738" s="96"/>
      <c r="D738" s="96"/>
      <c r="E738" s="96"/>
      <c r="F738" s="96"/>
      <c r="G738" s="96"/>
      <c r="H738" s="96"/>
      <c r="I738" s="96"/>
      <c r="J738" s="96"/>
    </row>
    <row r="739" spans="1:38" x14ac:dyDescent="0.35">
      <c r="A739" s="271">
        <v>0</v>
      </c>
      <c r="B739" s="271" t="s">
        <v>750</v>
      </c>
      <c r="C739" s="132"/>
      <c r="D739" s="96"/>
      <c r="E739" s="96"/>
      <c r="F739" s="96"/>
      <c r="G739" s="96"/>
      <c r="H739" s="96"/>
      <c r="I739" s="96"/>
      <c r="J739" s="96"/>
    </row>
    <row r="740" spans="1:38" x14ac:dyDescent="0.35">
      <c r="A740" s="271">
        <v>1</v>
      </c>
      <c r="B740" s="271" t="s">
        <v>751</v>
      </c>
      <c r="C740" s="96"/>
      <c r="D740" s="96"/>
      <c r="E740" s="96"/>
      <c r="F740" s="96"/>
      <c r="G740" s="96"/>
      <c r="H740" s="96"/>
      <c r="I740" s="96"/>
      <c r="J740" s="96"/>
    </row>
    <row r="741" spans="1:38" x14ac:dyDescent="0.35">
      <c r="A741" s="271">
        <v>2</v>
      </c>
      <c r="B741" s="271" t="s">
        <v>752</v>
      </c>
      <c r="C741" s="96"/>
      <c r="D741" s="96"/>
      <c r="E741" s="96"/>
      <c r="F741" s="96"/>
      <c r="G741" s="96"/>
      <c r="H741" s="96"/>
      <c r="I741" s="96"/>
      <c r="J741" s="96"/>
    </row>
    <row r="742" spans="1:38" x14ac:dyDescent="0.35">
      <c r="A742" s="271">
        <v>3</v>
      </c>
      <c r="B742" s="271" t="s">
        <v>753</v>
      </c>
      <c r="C742" s="96"/>
      <c r="D742" s="96"/>
      <c r="E742" s="96"/>
      <c r="F742" s="96"/>
      <c r="G742" s="96"/>
      <c r="H742" s="96"/>
      <c r="I742" s="96"/>
      <c r="J742" s="96"/>
    </row>
    <row r="743" spans="1:38" x14ac:dyDescent="0.35">
      <c r="A743" s="271">
        <v>4</v>
      </c>
      <c r="B743" s="271" t="s">
        <v>754</v>
      </c>
      <c r="C743" s="96"/>
      <c r="D743" s="96"/>
      <c r="E743" s="96"/>
      <c r="F743" s="96"/>
      <c r="G743" s="96"/>
      <c r="H743" s="96"/>
      <c r="I743" s="96"/>
      <c r="J743" s="96"/>
    </row>
    <row r="744" spans="1:38" x14ac:dyDescent="0.35">
      <c r="A744" s="271">
        <v>5</v>
      </c>
      <c r="B744" s="489" t="s">
        <v>755</v>
      </c>
      <c r="C744" s="96"/>
      <c r="D744" s="96"/>
      <c r="E744" s="96"/>
      <c r="F744" s="96"/>
      <c r="G744" s="96"/>
      <c r="H744" s="96"/>
      <c r="I744" s="96"/>
      <c r="J744" s="96"/>
    </row>
    <row r="745" spans="1:38" x14ac:dyDescent="0.35">
      <c r="A745" s="39" t="s">
        <v>170</v>
      </c>
      <c r="B745" s="40">
        <v>2</v>
      </c>
      <c r="C745" s="96"/>
      <c r="D745" s="96"/>
      <c r="E745" s="96"/>
      <c r="F745" s="96"/>
      <c r="G745" s="96"/>
      <c r="H745" s="96"/>
      <c r="I745" s="96"/>
      <c r="J745" s="96"/>
    </row>
    <row r="746" spans="1:38" x14ac:dyDescent="0.35">
      <c r="C746" s="96"/>
      <c r="D746" s="96"/>
      <c r="E746" s="96"/>
      <c r="F746" s="96"/>
      <c r="G746" s="96"/>
      <c r="H746" s="96"/>
      <c r="I746" s="96"/>
      <c r="J746" s="96"/>
    </row>
    <row r="747" spans="1:38" x14ac:dyDescent="0.35">
      <c r="A747" s="280" t="s">
        <v>819</v>
      </c>
      <c r="G747" s="96"/>
      <c r="H747" s="96"/>
      <c r="I747" s="96"/>
      <c r="J747" s="96"/>
      <c r="AL747" s="490" t="s">
        <v>756</v>
      </c>
    </row>
    <row r="748" spans="1:38" x14ac:dyDescent="0.35">
      <c r="A748" s="491" t="s">
        <v>818</v>
      </c>
      <c r="B748" s="492">
        <v>0.14599999999999999</v>
      </c>
      <c r="C748" s="492">
        <v>0.14799999999999999</v>
      </c>
      <c r="D748" s="492">
        <v>0.15</v>
      </c>
      <c r="E748" s="493">
        <v>0.152</v>
      </c>
      <c r="F748" s="492">
        <v>0.154</v>
      </c>
      <c r="G748" s="494">
        <v>0.156</v>
      </c>
      <c r="H748" s="492">
        <v>0.158</v>
      </c>
      <c r="I748" s="492">
        <v>0.16</v>
      </c>
      <c r="J748" s="492">
        <v>0.16200000000000001</v>
      </c>
      <c r="K748" s="492">
        <v>0.16400000000000001</v>
      </c>
      <c r="L748" s="492">
        <v>0.16500000000000001</v>
      </c>
      <c r="M748" s="492">
        <v>0.16700000000000001</v>
      </c>
      <c r="N748" s="492">
        <v>0.16900000000000001</v>
      </c>
      <c r="O748" s="492">
        <v>0.17100000000000001</v>
      </c>
      <c r="P748" s="492">
        <v>0.17299999999999999</v>
      </c>
      <c r="Q748" s="492">
        <v>0.17499999999999999</v>
      </c>
      <c r="R748" s="492">
        <v>0.17699999999999999</v>
      </c>
      <c r="S748" s="492">
        <v>0.17899999999999999</v>
      </c>
      <c r="T748" s="492">
        <v>0.18099999999999999</v>
      </c>
      <c r="U748" s="492">
        <v>0.183</v>
      </c>
      <c r="V748" s="492">
        <v>0.185</v>
      </c>
      <c r="W748" s="492">
        <v>0.187</v>
      </c>
      <c r="X748" s="492">
        <v>0.188</v>
      </c>
      <c r="Y748" s="492">
        <v>0.19</v>
      </c>
      <c r="Z748" s="492">
        <v>0.192</v>
      </c>
      <c r="AA748" s="492">
        <v>0.19400000000000001</v>
      </c>
      <c r="AB748" s="492">
        <v>0.19600000000000001</v>
      </c>
      <c r="AC748" s="492">
        <v>0.19800000000000001</v>
      </c>
      <c r="AD748" s="492">
        <v>0.2</v>
      </c>
      <c r="AE748" s="492">
        <v>0.20200000000000001</v>
      </c>
      <c r="AF748" s="492">
        <v>0.20300000000000001</v>
      </c>
      <c r="AG748" s="492">
        <v>0.20499999999999999</v>
      </c>
      <c r="AH748" s="492">
        <v>0.20699999999999999</v>
      </c>
      <c r="AI748" s="492">
        <v>0.20899999999999999</v>
      </c>
      <c r="AJ748" s="492">
        <v>0.21099999999999999</v>
      </c>
      <c r="AK748" s="492">
        <v>0.21299999999999999</v>
      </c>
      <c r="AL748" s="9" t="s">
        <v>757</v>
      </c>
    </row>
    <row r="749" spans="1:38" x14ac:dyDescent="0.35">
      <c r="A749" s="361" t="s">
        <v>49</v>
      </c>
      <c r="B749" s="36">
        <v>0</v>
      </c>
      <c r="C749" s="36">
        <v>0</v>
      </c>
      <c r="D749" s="36">
        <v>0</v>
      </c>
      <c r="E749" s="36">
        <v>0</v>
      </c>
      <c r="F749" s="362">
        <v>0</v>
      </c>
      <c r="G749" s="36">
        <v>0</v>
      </c>
      <c r="H749" s="36">
        <v>0</v>
      </c>
      <c r="I749" s="36">
        <v>0</v>
      </c>
      <c r="J749" s="36">
        <v>0</v>
      </c>
      <c r="K749" s="36">
        <v>0</v>
      </c>
      <c r="L749" s="36">
        <v>0</v>
      </c>
      <c r="M749" s="36">
        <v>0</v>
      </c>
      <c r="N749" s="36">
        <v>0</v>
      </c>
      <c r="O749" s="36">
        <v>0</v>
      </c>
      <c r="P749" s="36">
        <v>0</v>
      </c>
      <c r="Q749" s="36">
        <v>0</v>
      </c>
      <c r="R749" s="36">
        <v>0</v>
      </c>
      <c r="S749" s="36">
        <v>0</v>
      </c>
      <c r="T749" s="36">
        <v>0</v>
      </c>
      <c r="U749" s="36">
        <v>0</v>
      </c>
      <c r="V749" s="36">
        <v>0</v>
      </c>
      <c r="W749" s="36">
        <v>0</v>
      </c>
      <c r="X749" s="36">
        <v>0</v>
      </c>
      <c r="Y749" s="36">
        <v>0</v>
      </c>
      <c r="Z749" s="36">
        <v>0</v>
      </c>
      <c r="AA749" s="36">
        <v>0</v>
      </c>
      <c r="AB749" s="36">
        <v>0</v>
      </c>
      <c r="AC749" s="36">
        <v>0</v>
      </c>
      <c r="AD749" s="36">
        <v>0</v>
      </c>
      <c r="AE749" s="36">
        <v>0</v>
      </c>
      <c r="AF749" s="36">
        <v>0</v>
      </c>
      <c r="AG749" s="36">
        <v>0</v>
      </c>
      <c r="AH749" s="36">
        <v>0</v>
      </c>
      <c r="AI749" s="36">
        <v>0</v>
      </c>
      <c r="AJ749" s="36">
        <v>0</v>
      </c>
      <c r="AK749" s="36">
        <v>0</v>
      </c>
      <c r="AL749" s="36">
        <v>0</v>
      </c>
    </row>
    <row r="750" spans="1:38" x14ac:dyDescent="0.35">
      <c r="A750" s="495" t="s">
        <v>57</v>
      </c>
      <c r="B750" s="36">
        <v>0</v>
      </c>
      <c r="C750" s="36">
        <v>0</v>
      </c>
      <c r="D750" s="36">
        <v>0</v>
      </c>
      <c r="E750" s="36">
        <v>0</v>
      </c>
      <c r="F750" s="36">
        <v>0</v>
      </c>
      <c r="G750" s="36">
        <v>0</v>
      </c>
      <c r="H750" s="36">
        <v>0</v>
      </c>
      <c r="I750" s="36">
        <v>0</v>
      </c>
      <c r="J750" s="36">
        <v>0</v>
      </c>
      <c r="K750" s="36">
        <v>0</v>
      </c>
      <c r="L750" s="36">
        <v>0</v>
      </c>
      <c r="M750" s="36">
        <v>0</v>
      </c>
      <c r="N750" s="36">
        <v>0</v>
      </c>
      <c r="O750" s="36">
        <v>0</v>
      </c>
      <c r="P750" s="36">
        <v>0</v>
      </c>
      <c r="Q750" s="36">
        <v>0</v>
      </c>
      <c r="R750" s="36">
        <v>0</v>
      </c>
      <c r="S750" s="36">
        <v>0</v>
      </c>
      <c r="T750" s="36">
        <v>0</v>
      </c>
      <c r="U750" s="36">
        <v>0</v>
      </c>
      <c r="V750" s="36">
        <v>0</v>
      </c>
      <c r="W750" s="36">
        <v>0</v>
      </c>
      <c r="X750" s="36">
        <v>0</v>
      </c>
      <c r="Y750" s="36">
        <v>0</v>
      </c>
      <c r="Z750" s="36">
        <v>0</v>
      </c>
      <c r="AA750" s="36">
        <v>0</v>
      </c>
      <c r="AB750" s="36">
        <v>0</v>
      </c>
      <c r="AC750" s="36">
        <v>0</v>
      </c>
      <c r="AD750" s="36">
        <v>0</v>
      </c>
      <c r="AE750" s="36">
        <v>0</v>
      </c>
      <c r="AF750" s="36">
        <v>0</v>
      </c>
      <c r="AG750" s="36">
        <v>0</v>
      </c>
      <c r="AH750" s="36">
        <v>0</v>
      </c>
      <c r="AI750" s="36">
        <v>0</v>
      </c>
      <c r="AJ750" s="36">
        <v>0</v>
      </c>
      <c r="AK750" s="36">
        <v>0</v>
      </c>
      <c r="AL750" s="36">
        <v>0</v>
      </c>
    </row>
    <row r="751" spans="1:38" x14ac:dyDescent="0.35">
      <c r="A751" s="495" t="s">
        <v>58</v>
      </c>
      <c r="B751" s="36">
        <v>0</v>
      </c>
      <c r="C751" s="36">
        <v>0</v>
      </c>
      <c r="D751" s="36">
        <v>0</v>
      </c>
      <c r="E751" s="36">
        <v>0</v>
      </c>
      <c r="F751" s="36">
        <v>0</v>
      </c>
      <c r="G751" s="36">
        <v>0</v>
      </c>
      <c r="H751" s="36">
        <v>0</v>
      </c>
      <c r="I751" s="36">
        <v>0</v>
      </c>
      <c r="J751" s="36">
        <v>0</v>
      </c>
      <c r="K751" s="36">
        <v>0</v>
      </c>
      <c r="L751" s="36">
        <v>0</v>
      </c>
      <c r="M751" s="36">
        <v>0</v>
      </c>
      <c r="N751" s="36">
        <v>0</v>
      </c>
      <c r="O751" s="36">
        <v>0</v>
      </c>
      <c r="P751" s="36">
        <v>0</v>
      </c>
      <c r="Q751" s="36">
        <v>0</v>
      </c>
      <c r="R751" s="36">
        <v>0</v>
      </c>
      <c r="S751" s="36">
        <v>0</v>
      </c>
      <c r="T751" s="36">
        <v>0</v>
      </c>
      <c r="U751" s="36">
        <v>0</v>
      </c>
      <c r="V751" s="36">
        <v>0</v>
      </c>
      <c r="W751" s="36">
        <v>0</v>
      </c>
      <c r="X751" s="36">
        <v>0</v>
      </c>
      <c r="Y751" s="36">
        <v>0</v>
      </c>
      <c r="Z751" s="36">
        <v>0</v>
      </c>
      <c r="AA751" s="36">
        <v>0</v>
      </c>
      <c r="AB751" s="36">
        <v>0</v>
      </c>
      <c r="AC751" s="36">
        <v>0</v>
      </c>
      <c r="AD751" s="36">
        <v>0</v>
      </c>
      <c r="AE751" s="36">
        <v>0</v>
      </c>
      <c r="AF751" s="36">
        <v>0</v>
      </c>
      <c r="AG751" s="36">
        <v>0</v>
      </c>
      <c r="AH751" s="36">
        <v>0</v>
      </c>
      <c r="AI751" s="36">
        <v>0</v>
      </c>
      <c r="AJ751" s="36">
        <v>0</v>
      </c>
      <c r="AK751" s="36">
        <v>0</v>
      </c>
      <c r="AL751" s="36">
        <v>0</v>
      </c>
    </row>
    <row r="752" spans="1:38" x14ac:dyDescent="0.35">
      <c r="A752" s="495" t="s">
        <v>59</v>
      </c>
      <c r="B752" s="36">
        <v>0</v>
      </c>
      <c r="C752" s="36">
        <v>0</v>
      </c>
      <c r="D752" s="36">
        <v>0</v>
      </c>
      <c r="E752" s="36">
        <v>0</v>
      </c>
      <c r="F752" s="36">
        <v>0</v>
      </c>
      <c r="G752" s="36">
        <v>0</v>
      </c>
      <c r="H752" s="36">
        <v>0</v>
      </c>
      <c r="I752" s="36">
        <v>0</v>
      </c>
      <c r="J752" s="36">
        <v>0</v>
      </c>
      <c r="K752" s="36">
        <v>0</v>
      </c>
      <c r="L752" s="36">
        <v>0</v>
      </c>
      <c r="M752" s="36">
        <v>0</v>
      </c>
      <c r="N752" s="36">
        <v>0</v>
      </c>
      <c r="O752" s="36">
        <v>0</v>
      </c>
      <c r="P752" s="36">
        <v>0</v>
      </c>
      <c r="Q752" s="36">
        <v>0</v>
      </c>
      <c r="R752" s="36">
        <v>0</v>
      </c>
      <c r="S752" s="36">
        <v>0</v>
      </c>
      <c r="T752" s="36">
        <v>0</v>
      </c>
      <c r="U752" s="36">
        <v>0</v>
      </c>
      <c r="V752" s="36">
        <v>0</v>
      </c>
      <c r="W752" s="36">
        <v>0</v>
      </c>
      <c r="X752" s="36">
        <v>0</v>
      </c>
      <c r="Y752" s="36">
        <v>0</v>
      </c>
      <c r="Z752" s="36">
        <v>0</v>
      </c>
      <c r="AA752" s="36">
        <v>0</v>
      </c>
      <c r="AB752" s="36">
        <v>0</v>
      </c>
      <c r="AC752" s="36">
        <v>0</v>
      </c>
      <c r="AD752" s="36">
        <v>0</v>
      </c>
      <c r="AE752" s="36">
        <v>0</v>
      </c>
      <c r="AF752" s="36">
        <v>0</v>
      </c>
      <c r="AG752" s="36">
        <v>0</v>
      </c>
      <c r="AH752" s="36">
        <v>0</v>
      </c>
      <c r="AI752" s="36">
        <v>0</v>
      </c>
      <c r="AJ752" s="36">
        <v>0</v>
      </c>
      <c r="AK752" s="36">
        <v>0</v>
      </c>
      <c r="AL752" s="36">
        <v>0</v>
      </c>
    </row>
    <row r="753" spans="1:38" x14ac:dyDescent="0.35">
      <c r="A753" s="495" t="s">
        <v>60</v>
      </c>
      <c r="B753" s="36">
        <v>0</v>
      </c>
      <c r="C753" s="36">
        <v>0</v>
      </c>
      <c r="D753" s="36">
        <v>0</v>
      </c>
      <c r="E753" s="36">
        <v>0</v>
      </c>
      <c r="F753" s="36">
        <v>0</v>
      </c>
      <c r="G753" s="36">
        <v>0</v>
      </c>
      <c r="H753" s="36">
        <v>0</v>
      </c>
      <c r="I753" s="36">
        <v>0</v>
      </c>
      <c r="J753" s="36">
        <v>0</v>
      </c>
      <c r="K753" s="36">
        <v>0</v>
      </c>
      <c r="L753" s="36">
        <v>0</v>
      </c>
      <c r="M753" s="36">
        <v>0</v>
      </c>
      <c r="N753" s="36">
        <v>0</v>
      </c>
      <c r="O753" s="36">
        <v>0</v>
      </c>
      <c r="P753" s="36">
        <v>0</v>
      </c>
      <c r="Q753" s="36">
        <v>0</v>
      </c>
      <c r="R753" s="36">
        <v>0</v>
      </c>
      <c r="S753" s="36">
        <v>0</v>
      </c>
      <c r="T753" s="36">
        <v>0</v>
      </c>
      <c r="U753" s="36">
        <v>0</v>
      </c>
      <c r="V753" s="36">
        <v>0</v>
      </c>
      <c r="W753" s="36">
        <v>0</v>
      </c>
      <c r="X753" s="36">
        <v>0</v>
      </c>
      <c r="Y753" s="36">
        <v>0</v>
      </c>
      <c r="Z753" s="36">
        <v>0</v>
      </c>
      <c r="AA753" s="36">
        <v>0</v>
      </c>
      <c r="AB753" s="36">
        <v>0</v>
      </c>
      <c r="AC753" s="36">
        <v>0</v>
      </c>
      <c r="AD753" s="36">
        <v>0</v>
      </c>
      <c r="AE753" s="36">
        <v>0</v>
      </c>
      <c r="AF753" s="36">
        <v>0</v>
      </c>
      <c r="AG753" s="36">
        <v>0</v>
      </c>
      <c r="AH753" s="36">
        <v>0</v>
      </c>
      <c r="AI753" s="36">
        <v>0</v>
      </c>
      <c r="AJ753" s="36">
        <v>0</v>
      </c>
      <c r="AK753" s="36">
        <v>0</v>
      </c>
      <c r="AL753" s="36">
        <v>0</v>
      </c>
    </row>
    <row r="754" spans="1:38" x14ac:dyDescent="0.35">
      <c r="A754" s="495" t="s">
        <v>61</v>
      </c>
      <c r="B754" s="36">
        <v>0</v>
      </c>
      <c r="C754" s="36">
        <v>0</v>
      </c>
      <c r="D754" s="36">
        <v>0</v>
      </c>
      <c r="E754" s="36">
        <v>0</v>
      </c>
      <c r="F754" s="36">
        <v>0</v>
      </c>
      <c r="G754" s="36">
        <v>0</v>
      </c>
      <c r="H754" s="36">
        <v>0</v>
      </c>
      <c r="I754" s="36">
        <v>0</v>
      </c>
      <c r="J754" s="36">
        <v>0</v>
      </c>
      <c r="K754" s="36">
        <v>0</v>
      </c>
      <c r="L754" s="36">
        <v>0</v>
      </c>
      <c r="M754" s="36">
        <v>0</v>
      </c>
      <c r="N754" s="36">
        <v>0</v>
      </c>
      <c r="O754" s="36">
        <v>0</v>
      </c>
      <c r="P754" s="36">
        <v>0</v>
      </c>
      <c r="Q754" s="36">
        <v>0</v>
      </c>
      <c r="R754" s="36">
        <v>0</v>
      </c>
      <c r="S754" s="36">
        <v>0</v>
      </c>
      <c r="T754" s="36">
        <v>0</v>
      </c>
      <c r="U754" s="36">
        <v>0</v>
      </c>
      <c r="V754" s="36">
        <v>0</v>
      </c>
      <c r="W754" s="36">
        <v>0</v>
      </c>
      <c r="X754" s="36">
        <v>0</v>
      </c>
      <c r="Y754" s="36">
        <v>0</v>
      </c>
      <c r="Z754" s="36">
        <v>0</v>
      </c>
      <c r="AA754" s="36">
        <v>0</v>
      </c>
      <c r="AB754" s="36">
        <v>0</v>
      </c>
      <c r="AC754" s="36">
        <v>0</v>
      </c>
      <c r="AD754" s="36">
        <v>0</v>
      </c>
      <c r="AE754" s="36">
        <v>0</v>
      </c>
      <c r="AF754" s="36">
        <v>0</v>
      </c>
      <c r="AG754" s="36">
        <v>0</v>
      </c>
      <c r="AH754" s="36">
        <v>0</v>
      </c>
      <c r="AI754" s="36">
        <v>0</v>
      </c>
      <c r="AJ754" s="36">
        <v>0</v>
      </c>
      <c r="AK754" s="36">
        <v>0</v>
      </c>
      <c r="AL754" s="36">
        <v>0</v>
      </c>
    </row>
    <row r="755" spans="1:38" x14ac:dyDescent="0.35">
      <c r="A755" s="495" t="s">
        <v>62</v>
      </c>
      <c r="B755" s="36">
        <v>0</v>
      </c>
      <c r="C755" s="36">
        <v>0</v>
      </c>
      <c r="D755" s="36">
        <v>0</v>
      </c>
      <c r="E755" s="36">
        <v>0</v>
      </c>
      <c r="F755" s="36">
        <v>0</v>
      </c>
      <c r="G755" s="36">
        <v>0</v>
      </c>
      <c r="H755" s="36">
        <v>0</v>
      </c>
      <c r="I755" s="36">
        <v>0</v>
      </c>
      <c r="J755" s="36">
        <v>0</v>
      </c>
      <c r="K755" s="36">
        <v>0</v>
      </c>
      <c r="L755" s="36">
        <v>0</v>
      </c>
      <c r="M755" s="36">
        <v>0</v>
      </c>
      <c r="N755" s="36">
        <v>0</v>
      </c>
      <c r="O755" s="36">
        <v>0</v>
      </c>
      <c r="P755" s="36">
        <v>0</v>
      </c>
      <c r="Q755" s="36">
        <v>0</v>
      </c>
      <c r="R755" s="36">
        <v>0</v>
      </c>
      <c r="S755" s="36">
        <v>0</v>
      </c>
      <c r="T755" s="36">
        <v>0</v>
      </c>
      <c r="U755" s="36">
        <v>0</v>
      </c>
      <c r="V755" s="36">
        <v>0</v>
      </c>
      <c r="W755" s="36">
        <v>0</v>
      </c>
      <c r="X755" s="36">
        <v>0</v>
      </c>
      <c r="Y755" s="36">
        <v>0</v>
      </c>
      <c r="Z755" s="36">
        <v>0</v>
      </c>
      <c r="AA755" s="36">
        <v>0</v>
      </c>
      <c r="AB755" s="36">
        <v>0</v>
      </c>
      <c r="AC755" s="36">
        <v>0</v>
      </c>
      <c r="AD755" s="36">
        <v>0</v>
      </c>
      <c r="AE755" s="36">
        <v>0</v>
      </c>
      <c r="AF755" s="36">
        <v>0</v>
      </c>
      <c r="AG755" s="36">
        <v>0</v>
      </c>
      <c r="AH755" s="36">
        <v>0</v>
      </c>
      <c r="AI755" s="36">
        <v>0</v>
      </c>
      <c r="AJ755" s="36">
        <v>0</v>
      </c>
      <c r="AK755" s="36">
        <v>0</v>
      </c>
      <c r="AL755" s="36">
        <v>0</v>
      </c>
    </row>
    <row r="756" spans="1:38" x14ac:dyDescent="0.35">
      <c r="A756" s="495" t="s">
        <v>63</v>
      </c>
      <c r="B756" s="36">
        <v>0</v>
      </c>
      <c r="C756" s="36">
        <v>0</v>
      </c>
      <c r="D756" s="36">
        <v>0</v>
      </c>
      <c r="E756" s="36">
        <v>0</v>
      </c>
      <c r="F756" s="36">
        <v>0</v>
      </c>
      <c r="G756" s="36">
        <v>0</v>
      </c>
      <c r="H756" s="36">
        <v>0</v>
      </c>
      <c r="I756" s="36">
        <v>0</v>
      </c>
      <c r="J756" s="36">
        <v>0</v>
      </c>
      <c r="K756" s="36">
        <v>0</v>
      </c>
      <c r="L756" s="36">
        <v>0</v>
      </c>
      <c r="M756" s="36">
        <v>0</v>
      </c>
      <c r="N756" s="36">
        <v>0</v>
      </c>
      <c r="O756" s="36">
        <v>0</v>
      </c>
      <c r="P756" s="36">
        <v>0</v>
      </c>
      <c r="Q756" s="36">
        <v>0</v>
      </c>
      <c r="R756" s="36">
        <v>0</v>
      </c>
      <c r="S756" s="36">
        <v>0</v>
      </c>
      <c r="T756" s="36">
        <v>0</v>
      </c>
      <c r="U756" s="36">
        <v>0</v>
      </c>
      <c r="V756" s="36">
        <v>0</v>
      </c>
      <c r="W756" s="36">
        <v>0</v>
      </c>
      <c r="X756" s="36">
        <v>0</v>
      </c>
      <c r="Y756" s="36">
        <v>0</v>
      </c>
      <c r="Z756" s="36">
        <v>0</v>
      </c>
      <c r="AA756" s="36">
        <v>0</v>
      </c>
      <c r="AB756" s="36">
        <v>0</v>
      </c>
      <c r="AC756" s="36">
        <v>0</v>
      </c>
      <c r="AD756" s="36">
        <v>0</v>
      </c>
      <c r="AE756" s="36">
        <v>0</v>
      </c>
      <c r="AF756" s="36">
        <v>0</v>
      </c>
      <c r="AG756" s="36">
        <v>0</v>
      </c>
      <c r="AH756" s="36">
        <v>0</v>
      </c>
      <c r="AI756" s="36">
        <v>0</v>
      </c>
      <c r="AJ756" s="36">
        <v>0</v>
      </c>
      <c r="AK756" s="36">
        <v>0</v>
      </c>
      <c r="AL756" s="36">
        <v>0</v>
      </c>
    </row>
    <row r="757" spans="1:38" x14ac:dyDescent="0.35">
      <c r="A757" s="495" t="s">
        <v>64</v>
      </c>
      <c r="B757" s="36">
        <v>0</v>
      </c>
      <c r="C757" s="36">
        <v>0</v>
      </c>
      <c r="D757" s="36">
        <v>0</v>
      </c>
      <c r="E757" s="36">
        <v>0</v>
      </c>
      <c r="F757" s="36">
        <v>0</v>
      </c>
      <c r="G757" s="36">
        <v>0</v>
      </c>
      <c r="H757" s="36">
        <v>0</v>
      </c>
      <c r="I757" s="36">
        <v>0</v>
      </c>
      <c r="J757" s="36">
        <v>0</v>
      </c>
      <c r="K757" s="36">
        <v>0</v>
      </c>
      <c r="L757" s="36">
        <v>0</v>
      </c>
      <c r="M757" s="36">
        <v>0</v>
      </c>
      <c r="N757" s="36">
        <v>0</v>
      </c>
      <c r="O757" s="36">
        <v>0</v>
      </c>
      <c r="P757" s="36">
        <v>0</v>
      </c>
      <c r="Q757" s="36">
        <v>0</v>
      </c>
      <c r="R757" s="36">
        <v>0</v>
      </c>
      <c r="S757" s="36">
        <v>0</v>
      </c>
      <c r="T757" s="36">
        <v>0</v>
      </c>
      <c r="U757" s="36">
        <v>0</v>
      </c>
      <c r="V757" s="36">
        <v>0</v>
      </c>
      <c r="W757" s="36">
        <v>0</v>
      </c>
      <c r="X757" s="36">
        <v>0</v>
      </c>
      <c r="Y757" s="36">
        <v>0</v>
      </c>
      <c r="Z757" s="36">
        <v>0</v>
      </c>
      <c r="AA757" s="36">
        <v>0</v>
      </c>
      <c r="AB757" s="36">
        <v>0</v>
      </c>
      <c r="AC757" s="36">
        <v>0</v>
      </c>
      <c r="AD757" s="36">
        <v>0</v>
      </c>
      <c r="AE757" s="36">
        <v>0</v>
      </c>
      <c r="AF757" s="36">
        <v>0</v>
      </c>
      <c r="AG757" s="36">
        <v>0</v>
      </c>
      <c r="AH757" s="36">
        <v>0</v>
      </c>
      <c r="AI757" s="36">
        <v>0</v>
      </c>
      <c r="AJ757" s="36">
        <v>0</v>
      </c>
      <c r="AK757" s="36">
        <v>0</v>
      </c>
      <c r="AL757" s="36">
        <v>0</v>
      </c>
    </row>
    <row r="758" spans="1:38" x14ac:dyDescent="0.35">
      <c r="A758" s="495" t="s">
        <v>65</v>
      </c>
      <c r="B758" s="36">
        <v>0</v>
      </c>
      <c r="C758" s="36">
        <v>0</v>
      </c>
      <c r="D758" s="36">
        <v>0</v>
      </c>
      <c r="E758" s="36">
        <v>0</v>
      </c>
      <c r="F758" s="36">
        <v>0</v>
      </c>
      <c r="G758" s="36">
        <v>0</v>
      </c>
      <c r="H758" s="36">
        <v>0</v>
      </c>
      <c r="I758" s="36">
        <v>0</v>
      </c>
      <c r="J758" s="36">
        <v>0</v>
      </c>
      <c r="K758" s="36">
        <v>0</v>
      </c>
      <c r="L758" s="36">
        <v>0</v>
      </c>
      <c r="M758" s="36">
        <v>0</v>
      </c>
      <c r="N758" s="36">
        <v>0</v>
      </c>
      <c r="O758" s="36">
        <v>0</v>
      </c>
      <c r="P758" s="36">
        <v>0</v>
      </c>
      <c r="Q758" s="36">
        <v>0</v>
      </c>
      <c r="R758" s="36">
        <v>0</v>
      </c>
      <c r="S758" s="36">
        <v>0</v>
      </c>
      <c r="T758" s="36">
        <v>0</v>
      </c>
      <c r="U758" s="36">
        <v>0</v>
      </c>
      <c r="V758" s="36">
        <v>0</v>
      </c>
      <c r="W758" s="36">
        <v>0</v>
      </c>
      <c r="X758" s="36">
        <v>0</v>
      </c>
      <c r="Y758" s="36">
        <v>0</v>
      </c>
      <c r="Z758" s="36">
        <v>0</v>
      </c>
      <c r="AA758" s="36">
        <v>0</v>
      </c>
      <c r="AB758" s="36">
        <v>0</v>
      </c>
      <c r="AC758" s="36">
        <v>0</v>
      </c>
      <c r="AD758" s="36">
        <v>0</v>
      </c>
      <c r="AE758" s="36">
        <v>0</v>
      </c>
      <c r="AF758" s="36">
        <v>0</v>
      </c>
      <c r="AG758" s="36">
        <v>0</v>
      </c>
      <c r="AH758" s="36">
        <v>0</v>
      </c>
      <c r="AI758" s="36">
        <v>0</v>
      </c>
      <c r="AJ758" s="36">
        <v>0</v>
      </c>
      <c r="AK758" s="36">
        <v>0</v>
      </c>
      <c r="AL758" s="36">
        <v>0</v>
      </c>
    </row>
    <row r="759" spans="1:38" x14ac:dyDescent="0.35">
      <c r="A759" s="495" t="s">
        <v>66</v>
      </c>
      <c r="B759" s="36">
        <v>0</v>
      </c>
      <c r="C759" s="36">
        <v>0</v>
      </c>
      <c r="D759" s="36">
        <v>0</v>
      </c>
      <c r="E759" s="36">
        <v>0</v>
      </c>
      <c r="F759" s="36">
        <v>0</v>
      </c>
      <c r="G759" s="36">
        <v>0</v>
      </c>
      <c r="H759" s="36">
        <v>0</v>
      </c>
      <c r="I759" s="36">
        <v>0</v>
      </c>
      <c r="J759" s="36">
        <v>0</v>
      </c>
      <c r="K759" s="36">
        <v>0</v>
      </c>
      <c r="L759" s="36">
        <v>0</v>
      </c>
      <c r="M759" s="36">
        <v>0</v>
      </c>
      <c r="N759" s="36">
        <v>0</v>
      </c>
      <c r="O759" s="36">
        <v>0</v>
      </c>
      <c r="P759" s="36">
        <v>0</v>
      </c>
      <c r="Q759" s="36">
        <v>0</v>
      </c>
      <c r="R759" s="36">
        <v>0</v>
      </c>
      <c r="S759" s="36">
        <v>0</v>
      </c>
      <c r="T759" s="36">
        <v>0</v>
      </c>
      <c r="U759" s="36">
        <v>0</v>
      </c>
      <c r="V759" s="36">
        <v>0</v>
      </c>
      <c r="W759" s="36">
        <v>0</v>
      </c>
      <c r="X759" s="36">
        <v>0</v>
      </c>
      <c r="Y759" s="36">
        <v>0</v>
      </c>
      <c r="Z759" s="36">
        <v>0</v>
      </c>
      <c r="AA759" s="36">
        <v>0</v>
      </c>
      <c r="AB759" s="36">
        <v>0</v>
      </c>
      <c r="AC759" s="36">
        <v>0</v>
      </c>
      <c r="AD759" s="36">
        <v>0</v>
      </c>
      <c r="AE759" s="36">
        <v>0</v>
      </c>
      <c r="AF759" s="36">
        <v>0</v>
      </c>
      <c r="AG759" s="36">
        <v>0</v>
      </c>
      <c r="AH759" s="36">
        <v>0</v>
      </c>
      <c r="AI759" s="36">
        <v>0</v>
      </c>
      <c r="AJ759" s="36">
        <v>0</v>
      </c>
      <c r="AK759" s="36">
        <v>0</v>
      </c>
      <c r="AL759" s="36">
        <v>0</v>
      </c>
    </row>
    <row r="760" spans="1:38" x14ac:dyDescent="0.35">
      <c r="A760" s="495" t="s">
        <v>67</v>
      </c>
      <c r="B760" s="36">
        <v>0</v>
      </c>
      <c r="C760" s="36">
        <v>0</v>
      </c>
      <c r="D760" s="36">
        <v>0</v>
      </c>
      <c r="E760" s="36">
        <v>0</v>
      </c>
      <c r="F760" s="36">
        <v>0</v>
      </c>
      <c r="G760" s="36">
        <v>0</v>
      </c>
      <c r="H760" s="36">
        <v>0</v>
      </c>
      <c r="I760" s="36">
        <v>0</v>
      </c>
      <c r="J760" s="36">
        <v>0</v>
      </c>
      <c r="K760" s="36">
        <v>0</v>
      </c>
      <c r="L760" s="36">
        <v>0</v>
      </c>
      <c r="M760" s="36">
        <v>0</v>
      </c>
      <c r="N760" s="36">
        <v>0</v>
      </c>
      <c r="O760" s="36">
        <v>0</v>
      </c>
      <c r="P760" s="36">
        <v>0</v>
      </c>
      <c r="Q760" s="36">
        <v>0</v>
      </c>
      <c r="R760" s="36">
        <v>0</v>
      </c>
      <c r="S760" s="36">
        <v>0</v>
      </c>
      <c r="T760" s="36">
        <v>0</v>
      </c>
      <c r="U760" s="36">
        <v>0</v>
      </c>
      <c r="V760" s="36">
        <v>0</v>
      </c>
      <c r="W760" s="36">
        <v>0</v>
      </c>
      <c r="X760" s="36">
        <v>0</v>
      </c>
      <c r="Y760" s="36">
        <v>0</v>
      </c>
      <c r="Z760" s="36">
        <v>0</v>
      </c>
      <c r="AA760" s="36">
        <v>0</v>
      </c>
      <c r="AB760" s="36">
        <v>0</v>
      </c>
      <c r="AC760" s="36">
        <v>0</v>
      </c>
      <c r="AD760" s="36">
        <v>0</v>
      </c>
      <c r="AE760" s="36">
        <v>0</v>
      </c>
      <c r="AF760" s="36">
        <v>0</v>
      </c>
      <c r="AG760" s="36">
        <v>0</v>
      </c>
      <c r="AH760" s="36">
        <v>0</v>
      </c>
      <c r="AI760" s="36">
        <v>0</v>
      </c>
      <c r="AJ760" s="36">
        <v>0</v>
      </c>
      <c r="AK760" s="36">
        <v>0</v>
      </c>
      <c r="AL760" s="36">
        <v>0</v>
      </c>
    </row>
    <row r="761" spans="1:38" x14ac:dyDescent="0.35">
      <c r="A761" s="495" t="s">
        <v>68</v>
      </c>
      <c r="B761" s="36">
        <v>0</v>
      </c>
      <c r="C761" s="36">
        <v>0</v>
      </c>
      <c r="D761" s="36">
        <v>0</v>
      </c>
      <c r="E761" s="36">
        <v>0</v>
      </c>
      <c r="F761" s="36">
        <v>0</v>
      </c>
      <c r="G761" s="36">
        <v>0</v>
      </c>
      <c r="H761" s="36">
        <v>0</v>
      </c>
      <c r="I761" s="36">
        <v>0</v>
      </c>
      <c r="J761" s="36">
        <v>0</v>
      </c>
      <c r="K761" s="36">
        <v>0</v>
      </c>
      <c r="L761" s="36">
        <v>0</v>
      </c>
      <c r="M761" s="36">
        <v>0</v>
      </c>
      <c r="N761" s="36">
        <v>0</v>
      </c>
      <c r="O761" s="36">
        <v>0</v>
      </c>
      <c r="P761" s="36">
        <v>0</v>
      </c>
      <c r="Q761" s="36">
        <v>0</v>
      </c>
      <c r="R761" s="36">
        <v>0</v>
      </c>
      <c r="S761" s="36">
        <v>0</v>
      </c>
      <c r="T761" s="36">
        <v>0</v>
      </c>
      <c r="U761" s="36">
        <v>0</v>
      </c>
      <c r="V761" s="36">
        <v>0</v>
      </c>
      <c r="W761" s="36">
        <v>0</v>
      </c>
      <c r="X761" s="36">
        <v>0</v>
      </c>
      <c r="Y761" s="36">
        <v>0</v>
      </c>
      <c r="Z761" s="36">
        <v>0</v>
      </c>
      <c r="AA761" s="36">
        <v>0</v>
      </c>
      <c r="AB761" s="36">
        <v>0</v>
      </c>
      <c r="AC761" s="36">
        <v>0</v>
      </c>
      <c r="AD761" s="36">
        <v>0</v>
      </c>
      <c r="AE761" s="36">
        <v>0</v>
      </c>
      <c r="AF761" s="36">
        <v>0</v>
      </c>
      <c r="AG761" s="36">
        <v>0</v>
      </c>
      <c r="AH761" s="36">
        <v>0</v>
      </c>
      <c r="AI761" s="36">
        <v>0</v>
      </c>
      <c r="AJ761" s="36">
        <v>0</v>
      </c>
      <c r="AK761" s="36">
        <v>0</v>
      </c>
      <c r="AL761" s="36">
        <v>0</v>
      </c>
    </row>
    <row r="762" spans="1:38" x14ac:dyDescent="0.35">
      <c r="A762" s="495" t="s">
        <v>69</v>
      </c>
      <c r="B762" s="36">
        <v>0</v>
      </c>
      <c r="C762" s="36">
        <v>0</v>
      </c>
      <c r="D762" s="36">
        <v>0</v>
      </c>
      <c r="E762" s="36">
        <v>0</v>
      </c>
      <c r="F762" s="36">
        <v>0</v>
      </c>
      <c r="G762" s="36">
        <v>0</v>
      </c>
      <c r="H762" s="36">
        <v>0</v>
      </c>
      <c r="I762" s="36">
        <v>0</v>
      </c>
      <c r="J762" s="36">
        <v>0</v>
      </c>
      <c r="K762" s="36">
        <v>0</v>
      </c>
      <c r="L762" s="36">
        <v>0</v>
      </c>
      <c r="M762" s="36">
        <v>0</v>
      </c>
      <c r="N762" s="36">
        <v>0</v>
      </c>
      <c r="O762" s="36">
        <v>0</v>
      </c>
      <c r="P762" s="36">
        <v>0</v>
      </c>
      <c r="Q762" s="36">
        <v>0</v>
      </c>
      <c r="R762" s="36">
        <v>0</v>
      </c>
      <c r="S762" s="36">
        <v>0</v>
      </c>
      <c r="T762" s="36">
        <v>0</v>
      </c>
      <c r="U762" s="36">
        <v>0</v>
      </c>
      <c r="V762" s="36">
        <v>0</v>
      </c>
      <c r="W762" s="36">
        <v>0</v>
      </c>
      <c r="X762" s="36">
        <v>0</v>
      </c>
      <c r="Y762" s="36">
        <v>0</v>
      </c>
      <c r="Z762" s="36">
        <v>0</v>
      </c>
      <c r="AA762" s="36">
        <v>0</v>
      </c>
      <c r="AB762" s="36">
        <v>0</v>
      </c>
      <c r="AC762" s="36">
        <v>0</v>
      </c>
      <c r="AD762" s="36">
        <v>0</v>
      </c>
      <c r="AE762" s="36">
        <v>0</v>
      </c>
      <c r="AF762" s="36">
        <v>0</v>
      </c>
      <c r="AG762" s="36">
        <v>0</v>
      </c>
      <c r="AH762" s="36">
        <v>0</v>
      </c>
      <c r="AI762" s="36">
        <v>0</v>
      </c>
      <c r="AJ762" s="36">
        <v>0</v>
      </c>
      <c r="AK762" s="36">
        <v>0</v>
      </c>
      <c r="AL762" s="36">
        <v>0</v>
      </c>
    </row>
    <row r="763" spans="1:38" x14ac:dyDescent="0.35">
      <c r="A763" s="495" t="s">
        <v>70</v>
      </c>
      <c r="B763" s="36">
        <v>0</v>
      </c>
      <c r="C763" s="36">
        <v>0</v>
      </c>
      <c r="D763" s="36">
        <v>0</v>
      </c>
      <c r="E763" s="36">
        <v>0</v>
      </c>
      <c r="F763" s="36">
        <v>0</v>
      </c>
      <c r="G763" s="36">
        <v>0</v>
      </c>
      <c r="H763" s="36">
        <v>0</v>
      </c>
      <c r="I763" s="36">
        <v>0</v>
      </c>
      <c r="J763" s="36">
        <v>0</v>
      </c>
      <c r="K763" s="36">
        <v>0</v>
      </c>
      <c r="L763" s="36">
        <v>0</v>
      </c>
      <c r="M763" s="36">
        <v>0</v>
      </c>
      <c r="N763" s="36">
        <v>0</v>
      </c>
      <c r="O763" s="36">
        <v>0</v>
      </c>
      <c r="P763" s="36">
        <v>0</v>
      </c>
      <c r="Q763" s="36">
        <v>0</v>
      </c>
      <c r="R763" s="36">
        <v>0</v>
      </c>
      <c r="S763" s="36">
        <v>0</v>
      </c>
      <c r="T763" s="36">
        <v>0</v>
      </c>
      <c r="U763" s="36">
        <v>0</v>
      </c>
      <c r="V763" s="36">
        <v>0</v>
      </c>
      <c r="W763" s="36">
        <v>0</v>
      </c>
      <c r="X763" s="36">
        <v>0</v>
      </c>
      <c r="Y763" s="36">
        <v>0</v>
      </c>
      <c r="Z763" s="36">
        <v>0</v>
      </c>
      <c r="AA763" s="36">
        <v>0</v>
      </c>
      <c r="AB763" s="36">
        <v>0</v>
      </c>
      <c r="AC763" s="36">
        <v>0</v>
      </c>
      <c r="AD763" s="36">
        <v>0</v>
      </c>
      <c r="AE763" s="36">
        <v>0</v>
      </c>
      <c r="AF763" s="36">
        <v>0</v>
      </c>
      <c r="AG763" s="36">
        <v>0</v>
      </c>
      <c r="AH763" s="36">
        <v>0</v>
      </c>
      <c r="AI763" s="36">
        <v>0</v>
      </c>
      <c r="AJ763" s="36">
        <v>0</v>
      </c>
      <c r="AK763" s="36">
        <v>0</v>
      </c>
      <c r="AL763" s="36">
        <v>0</v>
      </c>
    </row>
    <row r="764" spans="1:38" x14ac:dyDescent="0.35">
      <c r="A764" s="495" t="s">
        <v>71</v>
      </c>
      <c r="B764" s="36">
        <v>0</v>
      </c>
      <c r="C764" s="36">
        <v>0</v>
      </c>
      <c r="D764" s="36">
        <v>0</v>
      </c>
      <c r="E764" s="36">
        <v>0</v>
      </c>
      <c r="F764" s="36">
        <v>0</v>
      </c>
      <c r="G764" s="36">
        <v>0</v>
      </c>
      <c r="H764" s="36">
        <v>0</v>
      </c>
      <c r="I764" s="36">
        <v>0</v>
      </c>
      <c r="J764" s="36">
        <v>0</v>
      </c>
      <c r="K764" s="36">
        <v>0</v>
      </c>
      <c r="L764" s="36">
        <v>0</v>
      </c>
      <c r="M764" s="36">
        <v>0</v>
      </c>
      <c r="N764" s="36">
        <v>0</v>
      </c>
      <c r="O764" s="36">
        <v>0</v>
      </c>
      <c r="P764" s="36">
        <v>0</v>
      </c>
      <c r="Q764" s="36">
        <v>0</v>
      </c>
      <c r="R764" s="36">
        <v>0</v>
      </c>
      <c r="S764" s="36">
        <v>0</v>
      </c>
      <c r="T764" s="36">
        <v>0</v>
      </c>
      <c r="U764" s="36">
        <v>0</v>
      </c>
      <c r="V764" s="36">
        <v>0</v>
      </c>
      <c r="W764" s="36">
        <v>0</v>
      </c>
      <c r="X764" s="36">
        <v>0</v>
      </c>
      <c r="Y764" s="36">
        <v>0</v>
      </c>
      <c r="Z764" s="36">
        <v>0</v>
      </c>
      <c r="AA764" s="36">
        <v>0</v>
      </c>
      <c r="AB764" s="36">
        <v>0</v>
      </c>
      <c r="AC764" s="36">
        <v>0</v>
      </c>
      <c r="AD764" s="36">
        <v>0</v>
      </c>
      <c r="AE764" s="36">
        <v>0</v>
      </c>
      <c r="AF764" s="36">
        <v>0</v>
      </c>
      <c r="AG764" s="36">
        <v>0</v>
      </c>
      <c r="AH764" s="36">
        <v>0</v>
      </c>
      <c r="AI764" s="36">
        <v>0</v>
      </c>
      <c r="AJ764" s="36">
        <v>0</v>
      </c>
      <c r="AK764" s="36">
        <v>0</v>
      </c>
      <c r="AL764" s="36">
        <v>0</v>
      </c>
    </row>
    <row r="765" spans="1:38" x14ac:dyDescent="0.35">
      <c r="A765" s="495" t="s">
        <v>72</v>
      </c>
      <c r="B765" s="36">
        <v>0</v>
      </c>
      <c r="C765" s="36">
        <v>0</v>
      </c>
      <c r="D765" s="36">
        <v>0</v>
      </c>
      <c r="E765" s="36">
        <v>0</v>
      </c>
      <c r="F765" s="36">
        <v>0</v>
      </c>
      <c r="G765" s="36">
        <v>0</v>
      </c>
      <c r="H765" s="36">
        <v>0</v>
      </c>
      <c r="I765" s="36">
        <v>0</v>
      </c>
      <c r="J765" s="36">
        <v>0</v>
      </c>
      <c r="K765" s="36">
        <v>0</v>
      </c>
      <c r="L765" s="36">
        <v>0</v>
      </c>
      <c r="M765" s="36">
        <v>0</v>
      </c>
      <c r="N765" s="36">
        <v>0</v>
      </c>
      <c r="O765" s="36">
        <v>0</v>
      </c>
      <c r="P765" s="36">
        <v>0</v>
      </c>
      <c r="Q765" s="36">
        <v>0</v>
      </c>
      <c r="R765" s="36">
        <v>0</v>
      </c>
      <c r="S765" s="36">
        <v>0</v>
      </c>
      <c r="T765" s="36">
        <v>0</v>
      </c>
      <c r="U765" s="36">
        <v>0</v>
      </c>
      <c r="V765" s="36">
        <v>0</v>
      </c>
      <c r="W765" s="36">
        <v>0</v>
      </c>
      <c r="X765" s="36">
        <v>0</v>
      </c>
      <c r="Y765" s="36">
        <v>0</v>
      </c>
      <c r="Z765" s="36">
        <v>0</v>
      </c>
      <c r="AA765" s="36">
        <v>0</v>
      </c>
      <c r="AB765" s="36">
        <v>0</v>
      </c>
      <c r="AC765" s="36">
        <v>0</v>
      </c>
      <c r="AD765" s="36">
        <v>0</v>
      </c>
      <c r="AE765" s="36">
        <v>0</v>
      </c>
      <c r="AF765" s="36">
        <v>0</v>
      </c>
      <c r="AG765" s="36">
        <v>0</v>
      </c>
      <c r="AH765" s="36">
        <v>0</v>
      </c>
      <c r="AI765" s="36">
        <v>0</v>
      </c>
      <c r="AJ765" s="36">
        <v>0</v>
      </c>
      <c r="AK765" s="36">
        <v>0</v>
      </c>
      <c r="AL765" s="36">
        <v>0</v>
      </c>
    </row>
    <row r="766" spans="1:38" x14ac:dyDescent="0.35">
      <c r="A766" s="495" t="s">
        <v>73</v>
      </c>
      <c r="B766" s="36">
        <v>0</v>
      </c>
      <c r="C766" s="36">
        <v>0</v>
      </c>
      <c r="D766" s="36">
        <v>0</v>
      </c>
      <c r="E766" s="36">
        <v>0</v>
      </c>
      <c r="F766" s="36">
        <v>0</v>
      </c>
      <c r="G766" s="36">
        <v>0</v>
      </c>
      <c r="H766" s="36">
        <v>0</v>
      </c>
      <c r="I766" s="36">
        <v>0</v>
      </c>
      <c r="J766" s="36">
        <v>0</v>
      </c>
      <c r="K766" s="36">
        <v>0</v>
      </c>
      <c r="L766" s="36">
        <v>0</v>
      </c>
      <c r="M766" s="36">
        <v>0</v>
      </c>
      <c r="N766" s="36">
        <v>0</v>
      </c>
      <c r="O766" s="36">
        <v>0</v>
      </c>
      <c r="P766" s="36">
        <v>0</v>
      </c>
      <c r="Q766" s="36">
        <v>0</v>
      </c>
      <c r="R766" s="36">
        <v>0</v>
      </c>
      <c r="S766" s="36">
        <v>0</v>
      </c>
      <c r="T766" s="36">
        <v>0</v>
      </c>
      <c r="U766" s="36">
        <v>0</v>
      </c>
      <c r="V766" s="36">
        <v>0</v>
      </c>
      <c r="W766" s="36">
        <v>0</v>
      </c>
      <c r="X766" s="36">
        <v>0</v>
      </c>
      <c r="Y766" s="36">
        <v>0</v>
      </c>
      <c r="Z766" s="36">
        <v>0</v>
      </c>
      <c r="AA766" s="36">
        <v>0</v>
      </c>
      <c r="AB766" s="36">
        <v>0</v>
      </c>
      <c r="AC766" s="36">
        <v>0</v>
      </c>
      <c r="AD766" s="36">
        <v>0</v>
      </c>
      <c r="AE766" s="36">
        <v>0</v>
      </c>
      <c r="AF766" s="36">
        <v>0</v>
      </c>
      <c r="AG766" s="36">
        <v>0</v>
      </c>
      <c r="AH766" s="36">
        <v>0</v>
      </c>
      <c r="AI766" s="36">
        <v>0</v>
      </c>
      <c r="AJ766" s="36">
        <v>0</v>
      </c>
      <c r="AK766" s="36">
        <v>0</v>
      </c>
      <c r="AL766" s="36">
        <v>0</v>
      </c>
    </row>
    <row r="767" spans="1:38" x14ac:dyDescent="0.35">
      <c r="A767" s="495" t="s">
        <v>74</v>
      </c>
      <c r="B767" s="36">
        <v>0</v>
      </c>
      <c r="C767" s="36">
        <v>0</v>
      </c>
      <c r="D767" s="36">
        <v>0</v>
      </c>
      <c r="E767" s="36">
        <v>0</v>
      </c>
      <c r="F767" s="36">
        <v>0</v>
      </c>
      <c r="G767" s="36">
        <v>0</v>
      </c>
      <c r="H767" s="36">
        <v>0</v>
      </c>
      <c r="I767" s="36">
        <v>0</v>
      </c>
      <c r="J767" s="36">
        <v>0</v>
      </c>
      <c r="K767" s="36">
        <v>0</v>
      </c>
      <c r="L767" s="36">
        <v>0</v>
      </c>
      <c r="M767" s="36">
        <v>0</v>
      </c>
      <c r="N767" s="36">
        <v>0</v>
      </c>
      <c r="O767" s="36">
        <v>0</v>
      </c>
      <c r="P767" s="36">
        <v>0</v>
      </c>
      <c r="Q767" s="36">
        <v>0</v>
      </c>
      <c r="R767" s="36">
        <v>0</v>
      </c>
      <c r="S767" s="36">
        <v>0</v>
      </c>
      <c r="T767" s="36">
        <v>0</v>
      </c>
      <c r="U767" s="36">
        <v>0</v>
      </c>
      <c r="V767" s="36">
        <v>0</v>
      </c>
      <c r="W767" s="36">
        <v>0</v>
      </c>
      <c r="X767" s="36">
        <v>0</v>
      </c>
      <c r="Y767" s="36">
        <v>0</v>
      </c>
      <c r="Z767" s="36">
        <v>0</v>
      </c>
      <c r="AA767" s="36">
        <v>0</v>
      </c>
      <c r="AB767" s="36">
        <v>0</v>
      </c>
      <c r="AC767" s="36">
        <v>0</v>
      </c>
      <c r="AD767" s="36">
        <v>0</v>
      </c>
      <c r="AE767" s="36">
        <v>0</v>
      </c>
      <c r="AF767" s="36">
        <v>0</v>
      </c>
      <c r="AG767" s="36">
        <v>0</v>
      </c>
      <c r="AH767" s="36">
        <v>0</v>
      </c>
      <c r="AI767" s="36">
        <v>0</v>
      </c>
      <c r="AJ767" s="36">
        <v>0</v>
      </c>
      <c r="AK767" s="36">
        <v>0</v>
      </c>
      <c r="AL767" s="36">
        <v>0</v>
      </c>
    </row>
    <row r="768" spans="1:38" x14ac:dyDescent="0.35">
      <c r="A768" s="495" t="s">
        <v>75</v>
      </c>
      <c r="B768" s="36">
        <v>0</v>
      </c>
      <c r="C768" s="36">
        <v>0</v>
      </c>
      <c r="D768" s="36">
        <v>0</v>
      </c>
      <c r="E768" s="36">
        <v>0</v>
      </c>
      <c r="F768" s="36">
        <v>0</v>
      </c>
      <c r="G768" s="36">
        <v>0</v>
      </c>
      <c r="H768" s="36">
        <v>0</v>
      </c>
      <c r="I768" s="36">
        <v>0</v>
      </c>
      <c r="J768" s="36">
        <v>0</v>
      </c>
      <c r="K768" s="36">
        <v>0</v>
      </c>
      <c r="L768" s="36">
        <v>0</v>
      </c>
      <c r="M768" s="36">
        <v>0</v>
      </c>
      <c r="N768" s="36">
        <v>0</v>
      </c>
      <c r="O768" s="36">
        <v>0</v>
      </c>
      <c r="P768" s="36">
        <v>0</v>
      </c>
      <c r="Q768" s="36">
        <v>0</v>
      </c>
      <c r="R768" s="36">
        <v>0</v>
      </c>
      <c r="S768" s="36">
        <v>0</v>
      </c>
      <c r="T768" s="36">
        <v>0</v>
      </c>
      <c r="U768" s="36">
        <v>0</v>
      </c>
      <c r="V768" s="36">
        <v>0</v>
      </c>
      <c r="W768" s="36">
        <v>0</v>
      </c>
      <c r="X768" s="36">
        <v>0</v>
      </c>
      <c r="Y768" s="36">
        <v>0</v>
      </c>
      <c r="Z768" s="36">
        <v>0</v>
      </c>
      <c r="AA768" s="36">
        <v>0</v>
      </c>
      <c r="AB768" s="36">
        <v>0</v>
      </c>
      <c r="AC768" s="36">
        <v>0</v>
      </c>
      <c r="AD768" s="36">
        <v>0</v>
      </c>
      <c r="AE768" s="36">
        <v>0</v>
      </c>
      <c r="AF768" s="36">
        <v>0</v>
      </c>
      <c r="AG768" s="36">
        <v>0</v>
      </c>
      <c r="AH768" s="36">
        <v>0</v>
      </c>
      <c r="AI768" s="36">
        <v>0</v>
      </c>
      <c r="AJ768" s="36">
        <v>0</v>
      </c>
      <c r="AK768" s="36">
        <v>0</v>
      </c>
      <c r="AL768" s="36">
        <v>0</v>
      </c>
    </row>
    <row r="769" spans="1:38" x14ac:dyDescent="0.35">
      <c r="A769" s="495" t="s">
        <v>76</v>
      </c>
      <c r="B769" s="36">
        <v>0</v>
      </c>
      <c r="C769" s="36">
        <v>0</v>
      </c>
      <c r="D769" s="36">
        <v>0</v>
      </c>
      <c r="E769" s="36">
        <v>0</v>
      </c>
      <c r="F769" s="36">
        <v>0</v>
      </c>
      <c r="G769" s="36">
        <v>0</v>
      </c>
      <c r="H769" s="36">
        <v>0</v>
      </c>
      <c r="I769" s="36">
        <v>0</v>
      </c>
      <c r="J769" s="36">
        <v>0</v>
      </c>
      <c r="K769" s="36">
        <v>0</v>
      </c>
      <c r="L769" s="36">
        <v>0</v>
      </c>
      <c r="M769" s="36">
        <v>0</v>
      </c>
      <c r="N769" s="36">
        <v>0</v>
      </c>
      <c r="O769" s="36">
        <v>0</v>
      </c>
      <c r="P769" s="36">
        <v>0</v>
      </c>
      <c r="Q769" s="36">
        <v>0</v>
      </c>
      <c r="R769" s="36">
        <v>0</v>
      </c>
      <c r="S769" s="36">
        <v>0</v>
      </c>
      <c r="T769" s="36">
        <v>0</v>
      </c>
      <c r="U769" s="36">
        <v>0</v>
      </c>
      <c r="V769" s="36">
        <v>0</v>
      </c>
      <c r="W769" s="36">
        <v>0</v>
      </c>
      <c r="X769" s="36">
        <v>0</v>
      </c>
      <c r="Y769" s="36">
        <v>0</v>
      </c>
      <c r="Z769" s="36">
        <v>0</v>
      </c>
      <c r="AA769" s="36">
        <v>0</v>
      </c>
      <c r="AB769" s="36">
        <v>0</v>
      </c>
      <c r="AC769" s="36">
        <v>0</v>
      </c>
      <c r="AD769" s="36">
        <v>0</v>
      </c>
      <c r="AE769" s="36">
        <v>0</v>
      </c>
      <c r="AF769" s="36">
        <v>0</v>
      </c>
      <c r="AG769" s="36">
        <v>0</v>
      </c>
      <c r="AH769" s="36">
        <v>0</v>
      </c>
      <c r="AI769" s="36">
        <v>0</v>
      </c>
      <c r="AJ769" s="36">
        <v>0</v>
      </c>
      <c r="AK769" s="36">
        <v>0</v>
      </c>
      <c r="AL769" s="36">
        <v>0</v>
      </c>
    </row>
    <row r="770" spans="1:38" x14ac:dyDescent="0.35">
      <c r="A770" s="495" t="s">
        <v>77</v>
      </c>
      <c r="B770" s="36">
        <v>0</v>
      </c>
      <c r="C770" s="36">
        <v>0</v>
      </c>
      <c r="D770" s="36">
        <v>0</v>
      </c>
      <c r="E770" s="36">
        <v>0</v>
      </c>
      <c r="F770" s="36">
        <v>0</v>
      </c>
      <c r="G770" s="36">
        <v>0</v>
      </c>
      <c r="H770" s="36">
        <v>0</v>
      </c>
      <c r="I770" s="36">
        <v>0</v>
      </c>
      <c r="J770" s="36">
        <v>0</v>
      </c>
      <c r="K770" s="36">
        <v>0</v>
      </c>
      <c r="L770" s="36">
        <v>0</v>
      </c>
      <c r="M770" s="36">
        <v>0</v>
      </c>
      <c r="N770" s="36">
        <v>0</v>
      </c>
      <c r="O770" s="36">
        <v>0</v>
      </c>
      <c r="P770" s="36">
        <v>0</v>
      </c>
      <c r="Q770" s="36">
        <v>0</v>
      </c>
      <c r="R770" s="36">
        <v>0</v>
      </c>
      <c r="S770" s="36">
        <v>0</v>
      </c>
      <c r="T770" s="36">
        <v>0</v>
      </c>
      <c r="U770" s="36">
        <v>0</v>
      </c>
      <c r="V770" s="36">
        <v>0</v>
      </c>
      <c r="W770" s="36">
        <v>0</v>
      </c>
      <c r="X770" s="36">
        <v>0</v>
      </c>
      <c r="Y770" s="36">
        <v>0</v>
      </c>
      <c r="Z770" s="36">
        <v>0</v>
      </c>
      <c r="AA770" s="36">
        <v>0</v>
      </c>
      <c r="AB770" s="36">
        <v>0</v>
      </c>
      <c r="AC770" s="36">
        <v>0</v>
      </c>
      <c r="AD770" s="36">
        <v>0</v>
      </c>
      <c r="AE770" s="36">
        <v>0</v>
      </c>
      <c r="AF770" s="36">
        <v>0</v>
      </c>
      <c r="AG770" s="36">
        <v>0</v>
      </c>
      <c r="AH770" s="36">
        <v>0</v>
      </c>
      <c r="AI770" s="36">
        <v>0</v>
      </c>
      <c r="AJ770" s="36">
        <v>0</v>
      </c>
      <c r="AK770" s="36">
        <v>0</v>
      </c>
      <c r="AL770" s="36">
        <v>0</v>
      </c>
    </row>
    <row r="771" spans="1:38" x14ac:dyDescent="0.35">
      <c r="A771" s="495" t="s">
        <v>78</v>
      </c>
      <c r="B771" s="36">
        <v>0</v>
      </c>
      <c r="C771" s="36">
        <v>0</v>
      </c>
      <c r="D771" s="36">
        <v>0</v>
      </c>
      <c r="E771" s="36">
        <v>0</v>
      </c>
      <c r="F771" s="36">
        <v>0</v>
      </c>
      <c r="G771" s="36">
        <v>0</v>
      </c>
      <c r="H771" s="36">
        <v>0</v>
      </c>
      <c r="I771" s="36">
        <v>0</v>
      </c>
      <c r="J771" s="36">
        <v>0</v>
      </c>
      <c r="K771" s="36">
        <v>0</v>
      </c>
      <c r="L771" s="36">
        <v>0</v>
      </c>
      <c r="M771" s="36">
        <v>0</v>
      </c>
      <c r="N771" s="36">
        <v>0</v>
      </c>
      <c r="O771" s="36">
        <v>0</v>
      </c>
      <c r="P771" s="36">
        <v>0</v>
      </c>
      <c r="Q771" s="36">
        <v>0</v>
      </c>
      <c r="R771" s="36">
        <v>0</v>
      </c>
      <c r="S771" s="36">
        <v>0</v>
      </c>
      <c r="T771" s="36">
        <v>0</v>
      </c>
      <c r="U771" s="36">
        <v>0</v>
      </c>
      <c r="V771" s="36">
        <v>0</v>
      </c>
      <c r="W771" s="36">
        <v>0</v>
      </c>
      <c r="X771" s="36">
        <v>0</v>
      </c>
      <c r="Y771" s="36">
        <v>0</v>
      </c>
      <c r="Z771" s="36">
        <v>0</v>
      </c>
      <c r="AA771" s="36">
        <v>0</v>
      </c>
      <c r="AB771" s="36">
        <v>0</v>
      </c>
      <c r="AC771" s="36">
        <v>0</v>
      </c>
      <c r="AD771" s="36">
        <v>0</v>
      </c>
      <c r="AE771" s="36">
        <v>0</v>
      </c>
      <c r="AF771" s="36">
        <v>0</v>
      </c>
      <c r="AG771" s="36">
        <v>0</v>
      </c>
      <c r="AH771" s="36">
        <v>0</v>
      </c>
      <c r="AI771" s="36">
        <v>0</v>
      </c>
      <c r="AJ771" s="36">
        <v>0</v>
      </c>
      <c r="AK771" s="36">
        <v>0</v>
      </c>
      <c r="AL771" s="36">
        <v>0</v>
      </c>
    </row>
    <row r="772" spans="1:38" x14ac:dyDescent="0.35">
      <c r="A772" s="495" t="s">
        <v>79</v>
      </c>
      <c r="B772" s="36">
        <v>0</v>
      </c>
      <c r="C772" s="36">
        <v>0</v>
      </c>
      <c r="D772" s="36">
        <v>0</v>
      </c>
      <c r="E772" s="36">
        <v>0</v>
      </c>
      <c r="F772" s="36">
        <v>0</v>
      </c>
      <c r="G772" s="36">
        <v>0</v>
      </c>
      <c r="H772" s="36">
        <v>0</v>
      </c>
      <c r="I772" s="36">
        <v>0</v>
      </c>
      <c r="J772" s="36">
        <v>0</v>
      </c>
      <c r="K772" s="36">
        <v>0</v>
      </c>
      <c r="L772" s="36">
        <v>0</v>
      </c>
      <c r="M772" s="36">
        <v>0</v>
      </c>
      <c r="N772" s="36">
        <v>0</v>
      </c>
      <c r="O772" s="36">
        <v>0</v>
      </c>
      <c r="P772" s="36">
        <v>0</v>
      </c>
      <c r="Q772" s="36">
        <v>0</v>
      </c>
      <c r="R772" s="36">
        <v>0</v>
      </c>
      <c r="S772" s="36">
        <v>0</v>
      </c>
      <c r="T772" s="36">
        <v>0</v>
      </c>
      <c r="U772" s="36">
        <v>0</v>
      </c>
      <c r="V772" s="36">
        <v>0</v>
      </c>
      <c r="W772" s="36">
        <v>0</v>
      </c>
      <c r="X772" s="36">
        <v>0</v>
      </c>
      <c r="Y772" s="36">
        <v>0</v>
      </c>
      <c r="Z772" s="36">
        <v>0</v>
      </c>
      <c r="AA772" s="36">
        <v>0</v>
      </c>
      <c r="AB772" s="36">
        <v>0</v>
      </c>
      <c r="AC772" s="36">
        <v>0</v>
      </c>
      <c r="AD772" s="36">
        <v>0</v>
      </c>
      <c r="AE772" s="36">
        <v>0</v>
      </c>
      <c r="AF772" s="36">
        <v>0</v>
      </c>
      <c r="AG772" s="36">
        <v>0</v>
      </c>
      <c r="AH772" s="36">
        <v>0</v>
      </c>
      <c r="AI772" s="36">
        <v>0</v>
      </c>
      <c r="AJ772" s="36">
        <v>0</v>
      </c>
      <c r="AK772" s="36">
        <v>0</v>
      </c>
      <c r="AL772" s="36">
        <v>0</v>
      </c>
    </row>
    <row r="773" spans="1:38" x14ac:dyDescent="0.35">
      <c r="A773" s="495" t="s">
        <v>80</v>
      </c>
      <c r="B773" s="36">
        <v>0</v>
      </c>
      <c r="C773" s="36">
        <v>0</v>
      </c>
      <c r="D773" s="36">
        <v>0</v>
      </c>
      <c r="E773" s="36">
        <v>0</v>
      </c>
      <c r="F773" s="36">
        <v>0</v>
      </c>
      <c r="G773" s="36">
        <v>0</v>
      </c>
      <c r="H773" s="36">
        <v>0</v>
      </c>
      <c r="I773" s="36">
        <v>0</v>
      </c>
      <c r="J773" s="36">
        <v>0</v>
      </c>
      <c r="K773" s="36">
        <v>0</v>
      </c>
      <c r="L773" s="36">
        <v>0</v>
      </c>
      <c r="M773" s="36">
        <v>0</v>
      </c>
      <c r="N773" s="36">
        <v>0</v>
      </c>
      <c r="O773" s="36">
        <v>0</v>
      </c>
      <c r="P773" s="36">
        <v>0</v>
      </c>
      <c r="Q773" s="36">
        <v>0</v>
      </c>
      <c r="R773" s="36">
        <v>0</v>
      </c>
      <c r="S773" s="36">
        <v>0</v>
      </c>
      <c r="T773" s="36">
        <v>0</v>
      </c>
      <c r="U773" s="36">
        <v>0</v>
      </c>
      <c r="V773" s="36">
        <v>0</v>
      </c>
      <c r="W773" s="36">
        <v>0</v>
      </c>
      <c r="X773" s="36">
        <v>0</v>
      </c>
      <c r="Y773" s="36">
        <v>0</v>
      </c>
      <c r="Z773" s="36">
        <v>0</v>
      </c>
      <c r="AA773" s="36">
        <v>0</v>
      </c>
      <c r="AB773" s="36">
        <v>0</v>
      </c>
      <c r="AC773" s="36">
        <v>0</v>
      </c>
      <c r="AD773" s="36">
        <v>0</v>
      </c>
      <c r="AE773" s="36">
        <v>0</v>
      </c>
      <c r="AF773" s="36">
        <v>0</v>
      </c>
      <c r="AG773" s="36">
        <v>0</v>
      </c>
      <c r="AH773" s="36">
        <v>0</v>
      </c>
      <c r="AI773" s="36">
        <v>0</v>
      </c>
      <c r="AJ773" s="36">
        <v>0</v>
      </c>
      <c r="AK773" s="36">
        <v>0</v>
      </c>
      <c r="AL773" s="36">
        <v>0</v>
      </c>
    </row>
    <row r="774" spans="1:38" x14ac:dyDescent="0.35">
      <c r="A774" s="495" t="s">
        <v>81</v>
      </c>
      <c r="B774" s="36">
        <v>0</v>
      </c>
      <c r="C774" s="36">
        <v>0</v>
      </c>
      <c r="D774" s="36">
        <v>0</v>
      </c>
      <c r="E774" s="36">
        <v>0</v>
      </c>
      <c r="F774" s="36">
        <v>0</v>
      </c>
      <c r="G774" s="36">
        <v>0</v>
      </c>
      <c r="H774" s="36">
        <v>0</v>
      </c>
      <c r="I774" s="36">
        <v>0</v>
      </c>
      <c r="J774" s="36">
        <v>0</v>
      </c>
      <c r="K774" s="36">
        <v>0</v>
      </c>
      <c r="L774" s="36">
        <v>0</v>
      </c>
      <c r="M774" s="36">
        <v>0</v>
      </c>
      <c r="N774" s="36">
        <v>0</v>
      </c>
      <c r="O774" s="36">
        <v>0</v>
      </c>
      <c r="P774" s="36">
        <v>0</v>
      </c>
      <c r="Q774" s="36">
        <v>0</v>
      </c>
      <c r="R774" s="36">
        <v>0</v>
      </c>
      <c r="S774" s="36">
        <v>0</v>
      </c>
      <c r="T774" s="36">
        <v>0</v>
      </c>
      <c r="U774" s="36">
        <v>0</v>
      </c>
      <c r="V774" s="36">
        <v>0</v>
      </c>
      <c r="W774" s="36">
        <v>0</v>
      </c>
      <c r="X774" s="36">
        <v>0</v>
      </c>
      <c r="Y774" s="36">
        <v>0</v>
      </c>
      <c r="Z774" s="36">
        <v>0</v>
      </c>
      <c r="AA774" s="36">
        <v>0</v>
      </c>
      <c r="AB774" s="36">
        <v>0</v>
      </c>
      <c r="AC774" s="36">
        <v>0</v>
      </c>
      <c r="AD774" s="36">
        <v>0</v>
      </c>
      <c r="AE774" s="36">
        <v>0</v>
      </c>
      <c r="AF774" s="36">
        <v>0</v>
      </c>
      <c r="AG774" s="36">
        <v>0</v>
      </c>
      <c r="AH774" s="36">
        <v>0</v>
      </c>
      <c r="AI774" s="36">
        <v>0</v>
      </c>
      <c r="AJ774" s="36">
        <v>0</v>
      </c>
      <c r="AK774" s="36">
        <v>0</v>
      </c>
      <c r="AL774" s="36">
        <v>0</v>
      </c>
    </row>
    <row r="775" spans="1:38" x14ac:dyDescent="0.35">
      <c r="A775" s="495" t="s">
        <v>82</v>
      </c>
      <c r="B775" s="36">
        <v>0</v>
      </c>
      <c r="C775" s="36">
        <v>0</v>
      </c>
      <c r="D775" s="36">
        <v>0</v>
      </c>
      <c r="E775" s="36">
        <v>0</v>
      </c>
      <c r="F775" s="36">
        <v>0</v>
      </c>
      <c r="G775" s="36">
        <v>0</v>
      </c>
      <c r="H775" s="36">
        <v>0</v>
      </c>
      <c r="I775" s="36">
        <v>0</v>
      </c>
      <c r="J775" s="36">
        <v>0</v>
      </c>
      <c r="K775" s="36">
        <v>0</v>
      </c>
      <c r="L775" s="36">
        <v>0</v>
      </c>
      <c r="M775" s="36">
        <v>0</v>
      </c>
      <c r="N775" s="36">
        <v>0</v>
      </c>
      <c r="O775" s="36">
        <v>0</v>
      </c>
      <c r="P775" s="36">
        <v>0</v>
      </c>
      <c r="Q775" s="36">
        <v>0</v>
      </c>
      <c r="R775" s="36">
        <v>0</v>
      </c>
      <c r="S775" s="36">
        <v>0</v>
      </c>
      <c r="T775" s="36">
        <v>0</v>
      </c>
      <c r="U775" s="36">
        <v>0</v>
      </c>
      <c r="V775" s="36">
        <v>0</v>
      </c>
      <c r="W775" s="36">
        <v>0</v>
      </c>
      <c r="X775" s="36">
        <v>0</v>
      </c>
      <c r="Y775" s="36">
        <v>0</v>
      </c>
      <c r="Z775" s="36">
        <v>0</v>
      </c>
      <c r="AA775" s="36">
        <v>0</v>
      </c>
      <c r="AB775" s="36">
        <v>0</v>
      </c>
      <c r="AC775" s="36">
        <v>0</v>
      </c>
      <c r="AD775" s="36">
        <v>0</v>
      </c>
      <c r="AE775" s="36">
        <v>0</v>
      </c>
      <c r="AF775" s="36">
        <v>0</v>
      </c>
      <c r="AG775" s="36">
        <v>0</v>
      </c>
      <c r="AH775" s="36">
        <v>0</v>
      </c>
      <c r="AI775" s="36">
        <v>0</v>
      </c>
      <c r="AJ775" s="36">
        <v>0</v>
      </c>
      <c r="AK775" s="36">
        <v>0</v>
      </c>
      <c r="AL775" s="36">
        <v>0</v>
      </c>
    </row>
    <row r="776" spans="1:38" x14ac:dyDescent="0.35">
      <c r="A776" s="495" t="s">
        <v>143</v>
      </c>
      <c r="B776" s="36">
        <v>0</v>
      </c>
      <c r="C776" s="36">
        <v>0</v>
      </c>
      <c r="D776" s="36">
        <v>0</v>
      </c>
      <c r="E776" s="36">
        <v>0</v>
      </c>
      <c r="F776" s="36">
        <v>0</v>
      </c>
      <c r="G776" s="36">
        <v>0</v>
      </c>
      <c r="H776" s="36">
        <v>0</v>
      </c>
      <c r="I776" s="36">
        <v>0</v>
      </c>
      <c r="J776" s="36">
        <v>0</v>
      </c>
      <c r="K776" s="36">
        <v>0</v>
      </c>
      <c r="L776" s="36">
        <v>0</v>
      </c>
      <c r="M776" s="36">
        <v>0</v>
      </c>
      <c r="N776" s="36">
        <v>0</v>
      </c>
      <c r="O776" s="36">
        <v>0</v>
      </c>
      <c r="P776" s="36">
        <v>0</v>
      </c>
      <c r="Q776" s="36">
        <v>0</v>
      </c>
      <c r="R776" s="36">
        <v>0</v>
      </c>
      <c r="S776" s="36">
        <v>0</v>
      </c>
      <c r="T776" s="36">
        <v>0</v>
      </c>
      <c r="U776" s="36">
        <v>0</v>
      </c>
      <c r="V776" s="36">
        <v>0</v>
      </c>
      <c r="W776" s="36">
        <v>0</v>
      </c>
      <c r="X776" s="36">
        <v>0</v>
      </c>
      <c r="Y776" s="36">
        <v>0</v>
      </c>
      <c r="Z776" s="36">
        <v>0</v>
      </c>
      <c r="AA776" s="36">
        <v>0</v>
      </c>
      <c r="AB776" s="36">
        <v>0</v>
      </c>
      <c r="AC776" s="36">
        <v>0</v>
      </c>
      <c r="AD776" s="36">
        <v>0</v>
      </c>
      <c r="AE776" s="36">
        <v>0</v>
      </c>
      <c r="AF776" s="36">
        <v>0</v>
      </c>
      <c r="AG776" s="36">
        <v>0</v>
      </c>
      <c r="AH776" s="36">
        <v>0</v>
      </c>
      <c r="AI776" s="36">
        <v>0</v>
      </c>
      <c r="AJ776" s="36">
        <v>0</v>
      </c>
      <c r="AK776" s="36">
        <v>0</v>
      </c>
      <c r="AL776" s="36">
        <v>0</v>
      </c>
    </row>
    <row r="777" spans="1:38" x14ac:dyDescent="0.35">
      <c r="A777" s="495" t="s">
        <v>83</v>
      </c>
      <c r="B777" s="36">
        <v>0</v>
      </c>
      <c r="C777" s="36">
        <v>0</v>
      </c>
      <c r="D777" s="36">
        <v>0</v>
      </c>
      <c r="E777" s="36">
        <v>0</v>
      </c>
      <c r="F777" s="36">
        <v>0</v>
      </c>
      <c r="G777" s="36">
        <v>0</v>
      </c>
      <c r="H777" s="36">
        <v>0</v>
      </c>
      <c r="I777" s="36">
        <v>0</v>
      </c>
      <c r="J777" s="36">
        <v>0</v>
      </c>
      <c r="K777" s="36">
        <v>0</v>
      </c>
      <c r="L777" s="36">
        <v>0</v>
      </c>
      <c r="M777" s="36">
        <v>0</v>
      </c>
      <c r="N777" s="36">
        <v>0</v>
      </c>
      <c r="O777" s="36">
        <v>0</v>
      </c>
      <c r="P777" s="36">
        <v>0</v>
      </c>
      <c r="Q777" s="36">
        <v>0</v>
      </c>
      <c r="R777" s="36">
        <v>0</v>
      </c>
      <c r="S777" s="36">
        <v>0</v>
      </c>
      <c r="T777" s="36">
        <v>0</v>
      </c>
      <c r="U777" s="36">
        <v>0</v>
      </c>
      <c r="V777" s="36">
        <v>0</v>
      </c>
      <c r="W777" s="36">
        <v>0</v>
      </c>
      <c r="X777" s="36">
        <v>0</v>
      </c>
      <c r="Y777" s="36">
        <v>0</v>
      </c>
      <c r="Z777" s="36">
        <v>0</v>
      </c>
      <c r="AA777" s="36">
        <v>0</v>
      </c>
      <c r="AB777" s="36">
        <v>0</v>
      </c>
      <c r="AC777" s="36">
        <v>0</v>
      </c>
      <c r="AD777" s="36">
        <v>0</v>
      </c>
      <c r="AE777" s="36">
        <v>0</v>
      </c>
      <c r="AF777" s="36">
        <v>0</v>
      </c>
      <c r="AG777" s="36">
        <v>0</v>
      </c>
      <c r="AH777" s="36">
        <v>0</v>
      </c>
      <c r="AI777" s="36">
        <v>0</v>
      </c>
      <c r="AJ777" s="36">
        <v>0</v>
      </c>
      <c r="AK777" s="36">
        <v>0</v>
      </c>
      <c r="AL777" s="36">
        <v>0</v>
      </c>
    </row>
    <row r="778" spans="1:38" x14ac:dyDescent="0.35">
      <c r="A778" s="495" t="s">
        <v>758</v>
      </c>
      <c r="B778" s="36">
        <v>0</v>
      </c>
      <c r="C778" s="36">
        <v>0</v>
      </c>
      <c r="D778" s="36">
        <v>0</v>
      </c>
      <c r="E778" s="36">
        <v>0</v>
      </c>
      <c r="F778" s="36">
        <v>0</v>
      </c>
      <c r="G778" s="36">
        <v>0</v>
      </c>
      <c r="H778" s="36">
        <v>0</v>
      </c>
      <c r="I778" s="36">
        <v>0</v>
      </c>
      <c r="J778" s="36">
        <v>0</v>
      </c>
      <c r="K778" s="36">
        <v>0</v>
      </c>
      <c r="L778" s="36">
        <v>0</v>
      </c>
      <c r="M778" s="36">
        <v>0</v>
      </c>
      <c r="N778" s="36">
        <v>0</v>
      </c>
      <c r="O778" s="36">
        <v>0</v>
      </c>
      <c r="P778" s="36">
        <v>0</v>
      </c>
      <c r="Q778" s="36">
        <v>0</v>
      </c>
      <c r="R778" s="36">
        <v>0</v>
      </c>
      <c r="S778" s="36">
        <v>0</v>
      </c>
      <c r="T778" s="36">
        <v>0</v>
      </c>
      <c r="U778" s="36">
        <v>0</v>
      </c>
      <c r="V778" s="36">
        <v>0</v>
      </c>
      <c r="W778" s="36">
        <v>0</v>
      </c>
      <c r="X778" s="36">
        <v>0</v>
      </c>
      <c r="Y778" s="36">
        <v>0</v>
      </c>
      <c r="Z778" s="36">
        <v>0</v>
      </c>
      <c r="AA778" s="36">
        <v>0</v>
      </c>
      <c r="AB778" s="36">
        <v>0</v>
      </c>
      <c r="AC778" s="36">
        <v>0</v>
      </c>
      <c r="AD778" s="36">
        <v>0</v>
      </c>
      <c r="AE778" s="36">
        <v>0</v>
      </c>
      <c r="AF778" s="36">
        <v>0</v>
      </c>
      <c r="AG778" s="36">
        <v>0</v>
      </c>
      <c r="AH778" s="36">
        <v>0</v>
      </c>
      <c r="AI778" s="36">
        <v>0</v>
      </c>
      <c r="AJ778" s="36">
        <v>0</v>
      </c>
      <c r="AK778" s="36">
        <v>0</v>
      </c>
      <c r="AL778" s="36">
        <v>0</v>
      </c>
    </row>
    <row r="779" spans="1:38" x14ac:dyDescent="0.35">
      <c r="A779" s="495" t="s">
        <v>164</v>
      </c>
      <c r="B779" s="36">
        <v>0</v>
      </c>
      <c r="C779" s="36">
        <v>0</v>
      </c>
      <c r="D779" s="36">
        <v>0</v>
      </c>
      <c r="E779" s="36">
        <v>0</v>
      </c>
      <c r="F779" s="36">
        <v>0</v>
      </c>
      <c r="G779" s="36">
        <v>0</v>
      </c>
      <c r="H779" s="36">
        <v>0</v>
      </c>
      <c r="I779" s="36">
        <v>0</v>
      </c>
      <c r="J779" s="36">
        <v>0</v>
      </c>
      <c r="K779" s="36">
        <v>0</v>
      </c>
      <c r="L779" s="36">
        <v>0</v>
      </c>
      <c r="M779" s="36">
        <v>0</v>
      </c>
      <c r="N779" s="36">
        <v>0</v>
      </c>
      <c r="O779" s="36">
        <v>0</v>
      </c>
      <c r="P779" s="36">
        <v>0</v>
      </c>
      <c r="Q779" s="36">
        <v>0</v>
      </c>
      <c r="R779" s="36">
        <v>0</v>
      </c>
      <c r="S779" s="36">
        <v>0</v>
      </c>
      <c r="T779" s="36">
        <v>0</v>
      </c>
      <c r="U779" s="36">
        <v>0</v>
      </c>
      <c r="V779" s="36">
        <v>0</v>
      </c>
      <c r="W779" s="36">
        <v>0</v>
      </c>
      <c r="X779" s="36">
        <v>0</v>
      </c>
      <c r="Y779" s="36">
        <v>0</v>
      </c>
      <c r="Z779" s="36">
        <v>0</v>
      </c>
      <c r="AA779" s="36">
        <v>0</v>
      </c>
      <c r="AB779" s="36">
        <v>0</v>
      </c>
      <c r="AC779" s="36">
        <v>0</v>
      </c>
      <c r="AD779" s="36">
        <v>0</v>
      </c>
      <c r="AE779" s="36">
        <v>0</v>
      </c>
      <c r="AF779" s="36">
        <v>0</v>
      </c>
      <c r="AG779" s="36">
        <v>0</v>
      </c>
      <c r="AH779" s="36">
        <v>0</v>
      </c>
      <c r="AI779" s="36">
        <v>0</v>
      </c>
      <c r="AJ779" s="36">
        <v>0</v>
      </c>
      <c r="AK779" s="36">
        <v>0</v>
      </c>
      <c r="AL779" s="36">
        <v>0</v>
      </c>
    </row>
    <row r="780" spans="1:38" x14ac:dyDescent="0.35">
      <c r="A780" s="495" t="s">
        <v>759</v>
      </c>
      <c r="B780" s="36">
        <v>0</v>
      </c>
      <c r="C780" s="36">
        <v>0</v>
      </c>
      <c r="D780" s="36">
        <v>0</v>
      </c>
      <c r="E780" s="36">
        <v>0</v>
      </c>
      <c r="F780" s="36">
        <v>0</v>
      </c>
      <c r="G780" s="36">
        <v>0</v>
      </c>
      <c r="H780" s="36">
        <v>0</v>
      </c>
      <c r="I780" s="36">
        <v>0</v>
      </c>
      <c r="J780" s="36">
        <v>0</v>
      </c>
      <c r="K780" s="36">
        <v>0</v>
      </c>
      <c r="L780" s="36">
        <v>0</v>
      </c>
      <c r="M780" s="36">
        <v>0</v>
      </c>
      <c r="N780" s="36">
        <v>0</v>
      </c>
      <c r="O780" s="36">
        <v>0</v>
      </c>
      <c r="P780" s="36">
        <v>0</v>
      </c>
      <c r="Q780" s="36">
        <v>0</v>
      </c>
      <c r="R780" s="36">
        <v>0</v>
      </c>
      <c r="S780" s="36">
        <v>0</v>
      </c>
      <c r="T780" s="36">
        <v>0</v>
      </c>
      <c r="U780" s="36">
        <v>0</v>
      </c>
      <c r="V780" s="36">
        <v>0</v>
      </c>
      <c r="W780" s="36">
        <v>0</v>
      </c>
      <c r="X780" s="36">
        <v>0</v>
      </c>
      <c r="Y780" s="36">
        <v>0</v>
      </c>
      <c r="Z780" s="36">
        <v>0</v>
      </c>
      <c r="AA780" s="36">
        <v>0</v>
      </c>
      <c r="AB780" s="36">
        <v>0</v>
      </c>
      <c r="AC780" s="36">
        <v>0</v>
      </c>
      <c r="AD780" s="36">
        <v>0</v>
      </c>
      <c r="AE780" s="36">
        <v>0</v>
      </c>
      <c r="AF780" s="36">
        <v>0</v>
      </c>
      <c r="AG780" s="36">
        <v>0</v>
      </c>
      <c r="AH780" s="36">
        <v>0</v>
      </c>
      <c r="AI780" s="36">
        <v>0</v>
      </c>
      <c r="AJ780" s="36">
        <v>0</v>
      </c>
      <c r="AK780" s="36">
        <v>0</v>
      </c>
      <c r="AL780" s="36">
        <v>0</v>
      </c>
    </row>
    <row r="781" spans="1:38" x14ac:dyDescent="0.35">
      <c r="A781" s="495" t="s">
        <v>87</v>
      </c>
      <c r="B781" s="36">
        <v>0</v>
      </c>
      <c r="C781" s="36">
        <v>0</v>
      </c>
      <c r="D781" s="36">
        <v>0</v>
      </c>
      <c r="E781" s="36">
        <v>0</v>
      </c>
      <c r="F781" s="36">
        <v>0</v>
      </c>
      <c r="G781" s="36">
        <v>0</v>
      </c>
      <c r="H781" s="36">
        <v>0</v>
      </c>
      <c r="I781" s="36">
        <v>0</v>
      </c>
      <c r="J781" s="36">
        <v>0</v>
      </c>
      <c r="K781" s="36">
        <v>0</v>
      </c>
      <c r="L781" s="36">
        <v>0</v>
      </c>
      <c r="M781" s="36">
        <v>0</v>
      </c>
      <c r="N781" s="36">
        <v>0</v>
      </c>
      <c r="O781" s="36">
        <v>0</v>
      </c>
      <c r="P781" s="36">
        <v>0</v>
      </c>
      <c r="Q781" s="36">
        <v>0</v>
      </c>
      <c r="R781" s="36">
        <v>0</v>
      </c>
      <c r="S781" s="36">
        <v>0</v>
      </c>
      <c r="T781" s="36">
        <v>0</v>
      </c>
      <c r="U781" s="36">
        <v>0</v>
      </c>
      <c r="V781" s="36">
        <v>0</v>
      </c>
      <c r="W781" s="36">
        <v>0</v>
      </c>
      <c r="X781" s="36">
        <v>0</v>
      </c>
      <c r="Y781" s="36">
        <v>0</v>
      </c>
      <c r="Z781" s="36">
        <v>0</v>
      </c>
      <c r="AA781" s="36">
        <v>0</v>
      </c>
      <c r="AB781" s="36">
        <v>0</v>
      </c>
      <c r="AC781" s="36">
        <v>0</v>
      </c>
      <c r="AD781" s="36">
        <v>0</v>
      </c>
      <c r="AE781" s="36">
        <v>0</v>
      </c>
      <c r="AF781" s="36">
        <v>0</v>
      </c>
      <c r="AG781" s="36">
        <v>0</v>
      </c>
      <c r="AH781" s="36">
        <v>0</v>
      </c>
      <c r="AI781" s="36">
        <v>0</v>
      </c>
      <c r="AJ781" s="36">
        <v>0</v>
      </c>
      <c r="AK781" s="36">
        <v>0</v>
      </c>
      <c r="AL781" s="36">
        <v>0</v>
      </c>
    </row>
    <row r="782" spans="1:38" x14ac:dyDescent="0.35">
      <c r="A782" s="495" t="s">
        <v>760</v>
      </c>
      <c r="B782" s="36">
        <v>0</v>
      </c>
      <c r="C782" s="36">
        <v>0</v>
      </c>
      <c r="D782" s="36">
        <v>0</v>
      </c>
      <c r="E782" s="36">
        <v>0</v>
      </c>
      <c r="F782" s="36">
        <v>0</v>
      </c>
      <c r="G782" s="36">
        <v>0</v>
      </c>
      <c r="H782" s="36">
        <v>0</v>
      </c>
      <c r="I782" s="36">
        <v>0</v>
      </c>
      <c r="J782" s="36">
        <v>0</v>
      </c>
      <c r="K782" s="36">
        <v>0</v>
      </c>
      <c r="L782" s="36">
        <v>0</v>
      </c>
      <c r="M782" s="36">
        <v>0</v>
      </c>
      <c r="N782" s="36">
        <v>0</v>
      </c>
      <c r="O782" s="36">
        <v>0</v>
      </c>
      <c r="P782" s="36">
        <v>0</v>
      </c>
      <c r="Q782" s="36">
        <v>0</v>
      </c>
      <c r="R782" s="36">
        <v>0</v>
      </c>
      <c r="S782" s="36">
        <v>0</v>
      </c>
      <c r="T782" s="36">
        <v>0</v>
      </c>
      <c r="U782" s="36">
        <v>0</v>
      </c>
      <c r="V782" s="36">
        <v>0</v>
      </c>
      <c r="W782" s="36">
        <v>0</v>
      </c>
      <c r="X782" s="36">
        <v>0</v>
      </c>
      <c r="Y782" s="36">
        <v>0</v>
      </c>
      <c r="Z782" s="36">
        <v>0</v>
      </c>
      <c r="AA782" s="36">
        <v>0</v>
      </c>
      <c r="AB782" s="36">
        <v>0</v>
      </c>
      <c r="AC782" s="36">
        <v>0</v>
      </c>
      <c r="AD782" s="36">
        <v>0</v>
      </c>
      <c r="AE782" s="36">
        <v>0</v>
      </c>
      <c r="AF782" s="36">
        <v>0</v>
      </c>
      <c r="AG782" s="36">
        <v>0</v>
      </c>
      <c r="AH782" s="36">
        <v>0</v>
      </c>
      <c r="AI782" s="36">
        <v>0</v>
      </c>
      <c r="AJ782" s="36">
        <v>0</v>
      </c>
      <c r="AK782" s="36">
        <v>0</v>
      </c>
      <c r="AL782" s="36">
        <v>0</v>
      </c>
    </row>
    <row r="783" spans="1:38" x14ac:dyDescent="0.35">
      <c r="A783" s="495" t="s">
        <v>89</v>
      </c>
      <c r="B783" s="36">
        <v>0</v>
      </c>
      <c r="C783" s="36">
        <v>0</v>
      </c>
      <c r="D783" s="36">
        <v>0</v>
      </c>
      <c r="E783" s="36">
        <v>0</v>
      </c>
      <c r="F783" s="36">
        <v>0</v>
      </c>
      <c r="G783" s="36">
        <v>0</v>
      </c>
      <c r="H783" s="36">
        <v>0</v>
      </c>
      <c r="I783" s="36">
        <v>0</v>
      </c>
      <c r="J783" s="36">
        <v>0</v>
      </c>
      <c r="K783" s="36">
        <v>0</v>
      </c>
      <c r="L783" s="36">
        <v>0</v>
      </c>
      <c r="M783" s="36">
        <v>0</v>
      </c>
      <c r="N783" s="36">
        <v>0</v>
      </c>
      <c r="O783" s="36">
        <v>0</v>
      </c>
      <c r="P783" s="36">
        <v>0</v>
      </c>
      <c r="Q783" s="36">
        <v>0</v>
      </c>
      <c r="R783" s="36">
        <v>0</v>
      </c>
      <c r="S783" s="36">
        <v>0</v>
      </c>
      <c r="T783" s="36">
        <v>0</v>
      </c>
      <c r="U783" s="36">
        <v>0</v>
      </c>
      <c r="V783" s="36">
        <v>0</v>
      </c>
      <c r="W783" s="36">
        <v>0</v>
      </c>
      <c r="X783" s="36">
        <v>0</v>
      </c>
      <c r="Y783" s="36">
        <v>0</v>
      </c>
      <c r="Z783" s="36">
        <v>0</v>
      </c>
      <c r="AA783" s="36">
        <v>0</v>
      </c>
      <c r="AB783" s="36">
        <v>0</v>
      </c>
      <c r="AC783" s="36">
        <v>0</v>
      </c>
      <c r="AD783" s="36">
        <v>0</v>
      </c>
      <c r="AE783" s="36">
        <v>0</v>
      </c>
      <c r="AF783" s="36">
        <v>0</v>
      </c>
      <c r="AG783" s="36">
        <v>0</v>
      </c>
      <c r="AH783" s="36">
        <v>0</v>
      </c>
      <c r="AI783" s="36">
        <v>0</v>
      </c>
      <c r="AJ783" s="36">
        <v>0</v>
      </c>
      <c r="AK783" s="36">
        <v>0</v>
      </c>
      <c r="AL783" s="36">
        <v>0</v>
      </c>
    </row>
    <row r="784" spans="1:38" x14ac:dyDescent="0.35">
      <c r="A784" s="495" t="s">
        <v>90</v>
      </c>
      <c r="B784" s="36">
        <v>0</v>
      </c>
      <c r="C784" s="36">
        <v>0</v>
      </c>
      <c r="D784" s="36">
        <v>0</v>
      </c>
      <c r="E784" s="36">
        <v>0</v>
      </c>
      <c r="F784" s="36">
        <v>0</v>
      </c>
      <c r="G784" s="36">
        <v>0</v>
      </c>
      <c r="H784" s="36">
        <v>0</v>
      </c>
      <c r="I784" s="36">
        <v>0</v>
      </c>
      <c r="J784" s="36">
        <v>0</v>
      </c>
      <c r="K784" s="36">
        <v>0</v>
      </c>
      <c r="L784" s="36">
        <v>0</v>
      </c>
      <c r="M784" s="36">
        <v>0</v>
      </c>
      <c r="N784" s="36">
        <v>0</v>
      </c>
      <c r="O784" s="36">
        <v>0</v>
      </c>
      <c r="P784" s="36">
        <v>0</v>
      </c>
      <c r="Q784" s="36">
        <v>0</v>
      </c>
      <c r="R784" s="36">
        <v>0</v>
      </c>
      <c r="S784" s="36">
        <v>0</v>
      </c>
      <c r="T784" s="36">
        <v>0</v>
      </c>
      <c r="U784" s="36">
        <v>0</v>
      </c>
      <c r="V784" s="36">
        <v>0</v>
      </c>
      <c r="W784" s="36">
        <v>0</v>
      </c>
      <c r="X784" s="36">
        <v>0</v>
      </c>
      <c r="Y784" s="36">
        <v>0</v>
      </c>
      <c r="Z784" s="36">
        <v>0</v>
      </c>
      <c r="AA784" s="36">
        <v>0</v>
      </c>
      <c r="AB784" s="36">
        <v>0</v>
      </c>
      <c r="AC784" s="36">
        <v>0</v>
      </c>
      <c r="AD784" s="36">
        <v>0</v>
      </c>
      <c r="AE784" s="36">
        <v>0</v>
      </c>
      <c r="AF784" s="36">
        <v>0</v>
      </c>
      <c r="AG784" s="36">
        <v>0</v>
      </c>
      <c r="AH784" s="36">
        <v>0</v>
      </c>
      <c r="AI784" s="36">
        <v>0</v>
      </c>
      <c r="AJ784" s="36">
        <v>0</v>
      </c>
      <c r="AK784" s="36">
        <v>0</v>
      </c>
      <c r="AL784" s="36">
        <v>0</v>
      </c>
    </row>
    <row r="785" spans="1:10" x14ac:dyDescent="0.35">
      <c r="A785" s="441"/>
      <c r="B785" s="96"/>
      <c r="C785" s="96"/>
      <c r="D785" s="96"/>
      <c r="E785" s="96"/>
      <c r="F785" s="96"/>
      <c r="G785" s="96"/>
      <c r="H785" s="96"/>
      <c r="I785" s="96"/>
      <c r="J785" s="96"/>
    </row>
    <row r="786" spans="1:10" x14ac:dyDescent="0.35">
      <c r="A786" s="381" t="s">
        <v>873</v>
      </c>
      <c r="B786" s="2"/>
      <c r="C786" s="96"/>
      <c r="D786" s="96"/>
      <c r="E786" s="96"/>
      <c r="F786" s="96"/>
      <c r="G786" s="96"/>
      <c r="H786" s="96"/>
      <c r="I786" s="96"/>
      <c r="J786" s="96"/>
    </row>
    <row r="787" spans="1:10" x14ac:dyDescent="0.35">
      <c r="A787" s="38" t="s">
        <v>168</v>
      </c>
      <c r="B787" s="9" t="s">
        <v>169</v>
      </c>
      <c r="C787" s="96"/>
      <c r="D787" s="96"/>
      <c r="E787" s="96"/>
      <c r="F787" s="96"/>
      <c r="G787" s="96"/>
      <c r="H787" s="96"/>
      <c r="I787" s="96"/>
      <c r="J787" s="96"/>
    </row>
    <row r="788" spans="1:10" x14ac:dyDescent="0.35">
      <c r="A788" s="271">
        <v>0</v>
      </c>
      <c r="B788" s="271" t="s">
        <v>808</v>
      </c>
      <c r="C788" s="96"/>
      <c r="D788" s="96"/>
      <c r="E788" s="96"/>
      <c r="F788" s="96"/>
      <c r="G788" s="96"/>
      <c r="H788" s="96"/>
      <c r="I788" s="96"/>
      <c r="J788" s="96"/>
    </row>
    <row r="789" spans="1:10" x14ac:dyDescent="0.35">
      <c r="A789" s="271">
        <v>2</v>
      </c>
      <c r="B789" s="271" t="s">
        <v>807</v>
      </c>
      <c r="C789" s="96"/>
      <c r="D789" s="96"/>
      <c r="E789" s="96"/>
      <c r="F789" s="96"/>
      <c r="G789" s="96"/>
      <c r="H789" s="96"/>
      <c r="I789" s="96"/>
      <c r="J789" s="96"/>
    </row>
    <row r="790" spans="1:10" x14ac:dyDescent="0.35">
      <c r="A790" s="271">
        <v>3</v>
      </c>
      <c r="B790" s="271" t="s">
        <v>809</v>
      </c>
      <c r="C790" s="96"/>
      <c r="D790" s="96"/>
      <c r="E790" s="96"/>
      <c r="F790" s="96"/>
      <c r="G790" s="96"/>
      <c r="H790" s="96"/>
      <c r="I790" s="96"/>
      <c r="J790" s="96"/>
    </row>
    <row r="791" spans="1:10" x14ac:dyDescent="0.35">
      <c r="A791" s="271">
        <v>5</v>
      </c>
      <c r="B791" s="271" t="s">
        <v>810</v>
      </c>
      <c r="C791" s="96"/>
      <c r="D791" s="96"/>
      <c r="E791" s="96"/>
      <c r="F791" s="96"/>
      <c r="G791" s="96"/>
      <c r="H791" s="96"/>
      <c r="I791" s="96"/>
      <c r="J791" s="96"/>
    </row>
    <row r="792" spans="1:10" x14ac:dyDescent="0.35">
      <c r="A792" s="271">
        <v>8</v>
      </c>
      <c r="B792" s="271" t="s">
        <v>811</v>
      </c>
      <c r="C792" s="96"/>
      <c r="D792" s="96"/>
      <c r="E792" s="96"/>
      <c r="F792" s="96"/>
      <c r="G792" s="96"/>
      <c r="H792" s="96"/>
      <c r="I792" s="96"/>
      <c r="J792" s="96"/>
    </row>
    <row r="793" spans="1:10" x14ac:dyDescent="0.35">
      <c r="A793" s="271">
        <v>10</v>
      </c>
      <c r="B793" s="271" t="s">
        <v>812</v>
      </c>
      <c r="C793" s="96"/>
      <c r="D793" s="96"/>
      <c r="E793" s="96"/>
      <c r="F793" s="96"/>
      <c r="G793" s="96"/>
      <c r="H793" s="96"/>
      <c r="I793" s="96"/>
      <c r="J793" s="96"/>
    </row>
    <row r="794" spans="1:10" x14ac:dyDescent="0.35">
      <c r="A794" s="271">
        <v>12</v>
      </c>
      <c r="B794" s="271" t="s">
        <v>876</v>
      </c>
      <c r="C794" s="96"/>
      <c r="E794" s="96"/>
      <c r="F794" s="96"/>
      <c r="G794" s="96"/>
      <c r="H794" s="96"/>
      <c r="I794" s="96"/>
      <c r="J794" s="96"/>
    </row>
    <row r="795" spans="1:10" x14ac:dyDescent="0.35">
      <c r="A795" s="271">
        <v>15</v>
      </c>
      <c r="B795" s="271" t="s">
        <v>877</v>
      </c>
      <c r="C795" s="96"/>
      <c r="F795" s="96"/>
      <c r="G795" s="96"/>
      <c r="H795" s="96"/>
      <c r="I795" s="96"/>
      <c r="J795" s="96"/>
    </row>
    <row r="796" spans="1:10" x14ac:dyDescent="0.35">
      <c r="A796" s="39" t="s">
        <v>170</v>
      </c>
      <c r="B796" s="40">
        <v>5</v>
      </c>
      <c r="C796" s="96"/>
      <c r="F796" s="96"/>
      <c r="G796" s="96"/>
      <c r="H796" s="96"/>
      <c r="I796" s="96"/>
      <c r="J796" s="96"/>
    </row>
    <row r="797" spans="1:10" x14ac:dyDescent="0.35">
      <c r="A797" s="441"/>
      <c r="B797" s="96"/>
      <c r="C797" s="96"/>
      <c r="E797" s="96"/>
      <c r="F797" s="96"/>
      <c r="G797" s="96"/>
      <c r="H797" s="96"/>
      <c r="I797" s="96"/>
      <c r="J797" s="96"/>
    </row>
    <row r="798" spans="1:10" x14ac:dyDescent="0.35">
      <c r="A798" s="381" t="s">
        <v>1604</v>
      </c>
      <c r="B798" s="96"/>
      <c r="D798" s="96"/>
      <c r="E798" s="96"/>
      <c r="F798" s="96"/>
      <c r="G798" s="96"/>
      <c r="H798" s="96"/>
      <c r="I798" s="96"/>
      <c r="J798" s="96"/>
    </row>
    <row r="799" spans="1:10" x14ac:dyDescent="0.35">
      <c r="A799" s="441" t="s">
        <v>168</v>
      </c>
      <c r="B799" s="96"/>
      <c r="C799" s="96"/>
      <c r="D799" s="96"/>
      <c r="E799" s="96"/>
      <c r="F799" s="96"/>
      <c r="G799" s="96"/>
      <c r="H799" s="96"/>
      <c r="I799" s="96"/>
      <c r="J799" s="96"/>
    </row>
    <row r="800" spans="1:10" x14ac:dyDescent="0.35">
      <c r="A800" s="271">
        <v>0</v>
      </c>
      <c r="B800" s="271" t="s">
        <v>1595</v>
      </c>
      <c r="D800" s="96"/>
      <c r="E800" s="96"/>
      <c r="F800" s="96"/>
      <c r="G800" s="96"/>
      <c r="H800" s="96"/>
      <c r="I800" s="96"/>
      <c r="J800" s="96"/>
    </row>
    <row r="801" spans="1:38" ht="29" x14ac:dyDescent="0.35">
      <c r="A801" s="271">
        <v>1</v>
      </c>
      <c r="B801" s="489" t="s">
        <v>1596</v>
      </c>
      <c r="C801" s="279" t="s">
        <v>1608</v>
      </c>
      <c r="D801" s="96"/>
      <c r="E801" s="96"/>
      <c r="F801" s="96"/>
      <c r="G801" s="96"/>
      <c r="H801" s="96"/>
      <c r="I801" s="96"/>
      <c r="J801" s="96"/>
    </row>
    <row r="802" spans="1:38" x14ac:dyDescent="0.35">
      <c r="A802" s="39" t="s">
        <v>170</v>
      </c>
      <c r="B802" s="40">
        <v>1</v>
      </c>
      <c r="C802" s="36">
        <v>0.1</v>
      </c>
      <c r="D802" s="96"/>
      <c r="E802" s="96"/>
      <c r="F802" s="96"/>
      <c r="G802" s="96"/>
      <c r="H802" s="96"/>
      <c r="I802" s="96"/>
      <c r="J802" s="96"/>
    </row>
    <row r="803" spans="1:38" x14ac:dyDescent="0.35">
      <c r="AL803"/>
    </row>
    <row r="804" spans="1:38" x14ac:dyDescent="0.35">
      <c r="A804" s="381" t="s">
        <v>1607</v>
      </c>
      <c r="B804" t="s">
        <v>1621</v>
      </c>
      <c r="AL804"/>
    </row>
    <row r="805" spans="1:38" x14ac:dyDescent="0.35">
      <c r="B805" s="483" t="s">
        <v>1565</v>
      </c>
      <c r="AL805"/>
    </row>
    <row r="806" spans="1:38" x14ac:dyDescent="0.35">
      <c r="A806" s="5" t="s">
        <v>127</v>
      </c>
      <c r="B806" s="40">
        <v>0.25</v>
      </c>
      <c r="AL806"/>
    </row>
    <row r="807" spans="1:38" x14ac:dyDescent="0.35">
      <c r="A807" s="441"/>
      <c r="B807" s="96"/>
      <c r="C807" s="96"/>
      <c r="D807" s="96"/>
      <c r="E807" s="96"/>
      <c r="F807" s="96"/>
      <c r="G807" s="96"/>
      <c r="H807" s="96"/>
      <c r="I807" s="96"/>
      <c r="J807" s="96"/>
    </row>
    <row r="808" spans="1:38" x14ac:dyDescent="0.35">
      <c r="A808" s="496" t="s">
        <v>245</v>
      </c>
      <c r="B808" s="96"/>
      <c r="C808" s="47"/>
      <c r="D808" s="96"/>
      <c r="E808" s="96"/>
      <c r="F808" s="96"/>
      <c r="G808" s="96"/>
      <c r="H808" s="96"/>
      <c r="I808" s="96"/>
      <c r="J808" s="96"/>
    </row>
    <row r="809" spans="1:38" x14ac:dyDescent="0.35">
      <c r="A809" s="5" t="s">
        <v>380</v>
      </c>
      <c r="B809" s="5" t="s">
        <v>408</v>
      </c>
      <c r="C809" s="47"/>
      <c r="D809" s="96"/>
      <c r="E809" s="96"/>
      <c r="F809" s="96"/>
      <c r="G809" s="96"/>
      <c r="H809" s="96"/>
      <c r="I809" s="96"/>
      <c r="J809" s="96"/>
    </row>
    <row r="810" spans="1:38" x14ac:dyDescent="0.35">
      <c r="A810" s="5" t="s">
        <v>127</v>
      </c>
      <c r="B810" s="36">
        <v>0.5</v>
      </c>
    </row>
    <row r="812" spans="1:38" x14ac:dyDescent="0.35">
      <c r="A812" s="202" t="s">
        <v>256</v>
      </c>
    </row>
    <row r="813" spans="1:38" x14ac:dyDescent="0.35">
      <c r="A813" s="14" t="s">
        <v>125</v>
      </c>
      <c r="B813" s="34" t="s">
        <v>256</v>
      </c>
      <c r="C813" s="34" t="s">
        <v>248</v>
      </c>
    </row>
    <row r="814" spans="1:38" x14ac:dyDescent="0.35">
      <c r="A814" s="5" t="s">
        <v>126</v>
      </c>
      <c r="B814" s="35" t="s">
        <v>244</v>
      </c>
      <c r="C814" s="35" t="s">
        <v>12</v>
      </c>
    </row>
    <row r="815" spans="1:38" x14ac:dyDescent="0.35">
      <c r="A815" s="5" t="s">
        <v>127</v>
      </c>
      <c r="B815" s="333">
        <v>2.5500000000000002E-3</v>
      </c>
      <c r="C815" s="36">
        <v>2021</v>
      </c>
    </row>
    <row r="818" spans="1:6" x14ac:dyDescent="0.35">
      <c r="A818" s="472" t="s">
        <v>1032</v>
      </c>
      <c r="B818" s="2"/>
    </row>
    <row r="819" spans="1:6" x14ac:dyDescent="0.35">
      <c r="A819" s="38" t="s">
        <v>168</v>
      </c>
      <c r="B819" s="9" t="s">
        <v>169</v>
      </c>
    </row>
    <row r="820" spans="1:6" x14ac:dyDescent="0.35">
      <c r="A820" s="271">
        <v>0</v>
      </c>
      <c r="B820" s="4" t="s">
        <v>1036</v>
      </c>
    </row>
    <row r="821" spans="1:6" x14ac:dyDescent="0.35">
      <c r="A821" s="271">
        <v>1</v>
      </c>
      <c r="B821" s="4" t="s">
        <v>1037</v>
      </c>
    </row>
    <row r="822" spans="1:6" x14ac:dyDescent="0.35">
      <c r="A822" s="271">
        <v>2</v>
      </c>
      <c r="B822" s="4" t="s">
        <v>1038</v>
      </c>
    </row>
    <row r="823" spans="1:6" x14ac:dyDescent="0.35">
      <c r="A823" s="271">
        <v>3</v>
      </c>
      <c r="B823" s="4" t="s">
        <v>1039</v>
      </c>
    </row>
    <row r="824" spans="1:6" x14ac:dyDescent="0.35">
      <c r="A824" s="271">
        <v>4</v>
      </c>
      <c r="B824" s="4" t="s">
        <v>1281</v>
      </c>
      <c r="C824" s="291"/>
    </row>
    <row r="825" spans="1:6" x14ac:dyDescent="0.35">
      <c r="A825" s="39" t="s">
        <v>170</v>
      </c>
      <c r="B825" s="40">
        <v>0</v>
      </c>
    </row>
    <row r="827" spans="1:6" x14ac:dyDescent="0.35">
      <c r="A827" s="14" t="s">
        <v>1040</v>
      </c>
    </row>
    <row r="828" spans="1:6" x14ac:dyDescent="0.35">
      <c r="A828" s="4" t="s">
        <v>1041</v>
      </c>
      <c r="B828" s="470">
        <v>2015</v>
      </c>
      <c r="C828" s="471">
        <v>2020</v>
      </c>
      <c r="D828" s="471">
        <v>2030</v>
      </c>
      <c r="E828" s="471">
        <v>2040</v>
      </c>
      <c r="F828" s="471">
        <v>2050</v>
      </c>
    </row>
    <row r="829" spans="1:6" x14ac:dyDescent="0.35">
      <c r="A829" s="497" t="s">
        <v>549</v>
      </c>
      <c r="B829" s="125">
        <v>0.6657080470788731</v>
      </c>
      <c r="C829" s="125">
        <v>0.65461291296089186</v>
      </c>
      <c r="D829" s="125">
        <v>0.62132751060694824</v>
      </c>
      <c r="E829" s="125">
        <v>0.59913724237098576</v>
      </c>
      <c r="F829" s="125">
        <v>0.57694697413502338</v>
      </c>
    </row>
    <row r="830" spans="1:6" x14ac:dyDescent="0.35">
      <c r="A830" s="280" t="s">
        <v>550</v>
      </c>
      <c r="B830" s="125">
        <v>0.99856207061830959</v>
      </c>
      <c r="C830" s="125">
        <v>0.98191936944133773</v>
      </c>
      <c r="D830" s="125">
        <v>0.93199126591042236</v>
      </c>
      <c r="E830" s="125">
        <v>0.89870586355647863</v>
      </c>
      <c r="F830" s="125">
        <v>0.86542046120253513</v>
      </c>
    </row>
    <row r="831" spans="1:6" x14ac:dyDescent="0.35">
      <c r="A831" s="280" t="s">
        <v>1042</v>
      </c>
      <c r="B831" s="125">
        <v>5.7694697413502336</v>
      </c>
      <c r="C831" s="125">
        <v>5.6585184001704212</v>
      </c>
      <c r="D831" s="125">
        <v>5.3256643766309848</v>
      </c>
      <c r="E831" s="125">
        <v>5.1037616942713599</v>
      </c>
      <c r="F831" s="125">
        <v>4.659956329552112</v>
      </c>
    </row>
    <row r="832" spans="1:6" x14ac:dyDescent="0.35">
      <c r="A832" s="497" t="s">
        <v>552</v>
      </c>
      <c r="B832" s="125">
        <v>2.2079316894782623</v>
      </c>
      <c r="C832" s="125">
        <v>2.2079316894782623</v>
      </c>
      <c r="D832" s="125">
        <v>2.1080754824164312</v>
      </c>
      <c r="E832" s="125">
        <v>2.1080754824164312</v>
      </c>
      <c r="F832" s="125">
        <v>2.0082192753546004</v>
      </c>
    </row>
    <row r="833" spans="1:6" x14ac:dyDescent="0.35">
      <c r="A833" s="280" t="s">
        <v>553</v>
      </c>
      <c r="B833" s="125">
        <v>3.3118975342173935</v>
      </c>
      <c r="C833" s="125">
        <v>3.3118975342173935</v>
      </c>
      <c r="D833" s="125">
        <v>3.1621132236246465</v>
      </c>
      <c r="E833" s="125">
        <v>3.1621132236246465</v>
      </c>
      <c r="F833" s="125">
        <v>3.0123289130319009</v>
      </c>
    </row>
    <row r="834" spans="1:6" x14ac:dyDescent="0.35">
      <c r="A834" s="497" t="s">
        <v>554</v>
      </c>
      <c r="B834" s="125">
        <v>2.1413608847703749</v>
      </c>
      <c r="C834" s="125">
        <v>2.1080754824164312</v>
      </c>
      <c r="D834" s="125">
        <v>2.0636949459445066</v>
      </c>
      <c r="E834" s="125">
        <v>2.0193144094725817</v>
      </c>
      <c r="F834" s="125">
        <v>1.9749338730006569</v>
      </c>
    </row>
    <row r="835" spans="1:6" x14ac:dyDescent="0.35">
      <c r="A835" s="280" t="s">
        <v>555</v>
      </c>
      <c r="B835" s="125">
        <v>3.2120413271555623</v>
      </c>
      <c r="C835" s="125">
        <v>3.1621132236246465</v>
      </c>
      <c r="D835" s="125">
        <v>3.09554241891676</v>
      </c>
      <c r="E835" s="125">
        <v>3.0289716142088725</v>
      </c>
      <c r="F835" s="125">
        <v>2.9624008095009855</v>
      </c>
    </row>
    <row r="836" spans="1:6" x14ac:dyDescent="0.35">
      <c r="A836" s="497" t="s">
        <v>556</v>
      </c>
      <c r="B836" s="125">
        <v>9.2921748238092707</v>
      </c>
      <c r="C836" s="125">
        <v>9.0647245743906542</v>
      </c>
      <c r="D836" s="125">
        <v>8.5931813743764529</v>
      </c>
      <c r="E836" s="125">
        <v>8.0495198025953734</v>
      </c>
      <c r="F836" s="125">
        <v>7.5058582308142947</v>
      </c>
    </row>
    <row r="837" spans="1:6" x14ac:dyDescent="0.35">
      <c r="A837" s="497" t="s">
        <v>557</v>
      </c>
      <c r="B837" s="125">
        <v>3.4986656252034103</v>
      </c>
      <c r="C837" s="125">
        <v>3.4099045522595604</v>
      </c>
      <c r="D837" s="125">
        <v>3.2360807844111883</v>
      </c>
      <c r="E837" s="125">
        <v>3.1075621475445727</v>
      </c>
      <c r="F837" s="125">
        <v>2.9790435106779571</v>
      </c>
    </row>
    <row r="838" spans="1:6" x14ac:dyDescent="0.35">
      <c r="A838" s="280" t="s">
        <v>558</v>
      </c>
      <c r="B838" s="125">
        <v>5.2479984378051157</v>
      </c>
      <c r="C838" s="125">
        <v>5.1148568283893407</v>
      </c>
      <c r="D838" s="125">
        <v>4.8541211766167827</v>
      </c>
      <c r="E838" s="125">
        <v>4.6613432213168586</v>
      </c>
      <c r="F838" s="125">
        <v>4.4685652660169355</v>
      </c>
    </row>
    <row r="839" spans="1:6" x14ac:dyDescent="0.35">
      <c r="A839" s="497" t="s">
        <v>559</v>
      </c>
      <c r="B839" s="125">
        <v>0.11095134117981219</v>
      </c>
      <c r="C839" s="125">
        <v>0.11095134117981219</v>
      </c>
      <c r="D839" s="125">
        <v>0.11095134117981219</v>
      </c>
      <c r="E839" s="125">
        <v>0.11095134117981219</v>
      </c>
      <c r="F839" s="125">
        <v>0.11095134117981219</v>
      </c>
    </row>
    <row r="840" spans="1:6" x14ac:dyDescent="0.35">
      <c r="A840" s="497" t="s">
        <v>560</v>
      </c>
      <c r="B840" s="125">
        <v>0.65461291296089186</v>
      </c>
      <c r="C840" s="125">
        <v>0.63797021178391999</v>
      </c>
      <c r="D840" s="125">
        <v>0.610232376488967</v>
      </c>
      <c r="E840" s="125">
        <v>0.58526832472350931</v>
      </c>
      <c r="F840" s="125">
        <v>0.56030427295805152</v>
      </c>
    </row>
    <row r="841" spans="1:6" x14ac:dyDescent="0.35">
      <c r="A841" s="497" t="s">
        <v>561</v>
      </c>
      <c r="B841" s="125">
        <v>2.7760025563189004</v>
      </c>
      <c r="C841" s="125">
        <v>2.7760025563189004</v>
      </c>
      <c r="D841" s="125">
        <v>2.5829472226660273</v>
      </c>
      <c r="E841" s="125">
        <v>2.5119383643109479</v>
      </c>
      <c r="F841" s="125">
        <v>2.443148532779464</v>
      </c>
    </row>
    <row r="842" spans="1:6" x14ac:dyDescent="0.35">
      <c r="A842" s="497" t="s">
        <v>562</v>
      </c>
      <c r="B842" s="125">
        <v>0.1331416094157746</v>
      </c>
      <c r="C842" s="125">
        <v>0.1331416094157746</v>
      </c>
      <c r="D842" s="125">
        <v>0.1331416094157746</v>
      </c>
      <c r="E842" s="125">
        <v>0.1331416094157746</v>
      </c>
      <c r="F842" s="125">
        <v>0.1331416094157746</v>
      </c>
    </row>
    <row r="843" spans="1:6" x14ac:dyDescent="0.35">
      <c r="A843" s="280" t="s">
        <v>1043</v>
      </c>
      <c r="B843" s="125">
        <v>0.34394915765741774</v>
      </c>
      <c r="C843" s="125">
        <v>0.34394915765741774</v>
      </c>
      <c r="D843" s="125">
        <v>0.33285402353943655</v>
      </c>
      <c r="E843" s="125">
        <v>0.32175888942145536</v>
      </c>
      <c r="F843" s="125">
        <v>0.31066375530347412</v>
      </c>
    </row>
    <row r="844" spans="1:6" x14ac:dyDescent="0.35">
      <c r="A844" s="497" t="s">
        <v>564</v>
      </c>
      <c r="B844" s="125">
        <v>0.58915162166480273</v>
      </c>
      <c r="C844" s="125">
        <v>0.57417319060552796</v>
      </c>
      <c r="D844" s="125">
        <v>0.54920913884007039</v>
      </c>
      <c r="E844" s="125">
        <v>0.52674149225115841</v>
      </c>
      <c r="F844" s="125">
        <v>0.50427384566224642</v>
      </c>
    </row>
    <row r="845" spans="1:6" x14ac:dyDescent="0.35">
      <c r="A845" s="497" t="s">
        <v>565</v>
      </c>
      <c r="B845" s="125">
        <v>1.9749338730006569</v>
      </c>
      <c r="C845" s="125">
        <v>1.930553336528732</v>
      </c>
      <c r="D845" s="125">
        <v>1.8972679341747882</v>
      </c>
      <c r="E845" s="125">
        <v>1.8029592941719479</v>
      </c>
      <c r="F845" s="125">
        <v>1.7086506541691076</v>
      </c>
    </row>
    <row r="846" spans="1:6" x14ac:dyDescent="0.35">
      <c r="A846" s="497" t="s">
        <v>566</v>
      </c>
      <c r="B846" s="125">
        <v>2.427043406752492</v>
      </c>
      <c r="C846" s="125">
        <v>2.3528156958540465</v>
      </c>
      <c r="D846" s="125">
        <v>2.3528156958540465</v>
      </c>
      <c r="E846" s="125">
        <v>2.3528156958540465</v>
      </c>
      <c r="F846" s="125">
        <v>2.3528156958540465</v>
      </c>
    </row>
    <row r="847" spans="1:6" x14ac:dyDescent="0.35">
      <c r="A847" s="280" t="s">
        <v>567</v>
      </c>
      <c r="B847" s="125">
        <v>3.6405651101287377</v>
      </c>
      <c r="C847" s="125">
        <v>3.5292235437810699</v>
      </c>
      <c r="D847" s="125">
        <v>3.5292235437810699</v>
      </c>
      <c r="E847" s="125">
        <v>3.5292235437810699</v>
      </c>
      <c r="F847" s="125">
        <v>3.5292235437810699</v>
      </c>
    </row>
    <row r="848" spans="1:6" x14ac:dyDescent="0.35">
      <c r="A848" s="497" t="s">
        <v>568</v>
      </c>
      <c r="B848" s="125">
        <v>0.99856207061830959</v>
      </c>
      <c r="C848" s="125">
        <v>0.97637180238234722</v>
      </c>
      <c r="D848" s="125">
        <v>0.92089613179244101</v>
      </c>
      <c r="E848" s="125">
        <v>0.90425343061546926</v>
      </c>
      <c r="F848" s="125">
        <v>0.8876107294384975</v>
      </c>
    </row>
    <row r="849" spans="1:6" x14ac:dyDescent="0.35">
      <c r="A849" s="280" t="s">
        <v>569</v>
      </c>
      <c r="B849" s="125">
        <v>1.4978431059274644</v>
      </c>
      <c r="C849" s="125">
        <v>1.4645577035735209</v>
      </c>
      <c r="D849" s="125">
        <v>1.3813441976886616</v>
      </c>
      <c r="E849" s="125">
        <v>1.3563801459232039</v>
      </c>
      <c r="F849" s="125">
        <v>1.3314160941577462</v>
      </c>
    </row>
    <row r="850" spans="1:6" x14ac:dyDescent="0.35">
      <c r="A850" s="497" t="s">
        <v>570</v>
      </c>
      <c r="B850" s="125">
        <v>3.2735661951505786</v>
      </c>
      <c r="C850" s="125">
        <v>3.1109279307466919</v>
      </c>
      <c r="D850" s="125">
        <v>3.1109279307466919</v>
      </c>
      <c r="E850" s="125">
        <v>3.1109279307466919</v>
      </c>
      <c r="F850" s="125">
        <v>3.1109279307466919</v>
      </c>
    </row>
    <row r="851" spans="1:6" x14ac:dyDescent="0.35">
      <c r="A851" s="497" t="s">
        <v>571</v>
      </c>
      <c r="B851" s="125">
        <v>1.3403590077107761</v>
      </c>
      <c r="C851" s="125">
        <v>1.7273684131555427</v>
      </c>
      <c r="D851" s="125">
        <v>1.7273684131555427</v>
      </c>
      <c r="E851" s="125">
        <v>1.7273684131555427</v>
      </c>
      <c r="F851" s="125">
        <v>1.7273684131555427</v>
      </c>
    </row>
    <row r="852" spans="1:6" x14ac:dyDescent="0.35">
      <c r="A852" s="497" t="s">
        <v>572</v>
      </c>
      <c r="B852" s="125">
        <v>1.6678772830515183</v>
      </c>
      <c r="C852" s="125">
        <v>2.2752387620477772</v>
      </c>
      <c r="D852" s="125">
        <v>2.2752387620477772</v>
      </c>
      <c r="E852" s="125">
        <v>2.2752387620477772</v>
      </c>
      <c r="F852" s="125">
        <v>2.2752387620477772</v>
      </c>
    </row>
    <row r="853" spans="1:6" x14ac:dyDescent="0.35">
      <c r="A853" s="497" t="s">
        <v>573</v>
      </c>
      <c r="B853" s="125">
        <v>0.3883296941293426</v>
      </c>
      <c r="C853" s="125">
        <v>0.37723456001136146</v>
      </c>
      <c r="D853" s="125">
        <v>0.37723456001136146</v>
      </c>
      <c r="E853" s="125">
        <v>0.37723456001136146</v>
      </c>
      <c r="F853" s="125">
        <v>0.37723456001136146</v>
      </c>
    </row>
    <row r="854" spans="1:6" x14ac:dyDescent="0.35">
      <c r="A854" s="280" t="s">
        <v>574</v>
      </c>
      <c r="B854" s="125">
        <v>0.58249454119401389</v>
      </c>
      <c r="C854" s="125">
        <v>0.56585184001704225</v>
      </c>
      <c r="D854" s="125">
        <v>0.56585184001704225</v>
      </c>
      <c r="E854" s="125">
        <v>0.56585184001704225</v>
      </c>
      <c r="F854" s="125">
        <v>0.56585184001704225</v>
      </c>
    </row>
    <row r="855" spans="1:6" x14ac:dyDescent="0.35">
      <c r="A855" s="497" t="s">
        <v>575</v>
      </c>
      <c r="B855" s="125">
        <v>8.8568351587683232</v>
      </c>
      <c r="C855" s="125">
        <v>8.8568351587683232</v>
      </c>
      <c r="D855" s="125">
        <v>8.8568351587683232</v>
      </c>
      <c r="E855" s="125">
        <v>8.8568351587683232</v>
      </c>
      <c r="F855" s="125">
        <v>8.8568351587683232</v>
      </c>
    </row>
    <row r="856" spans="1:6" x14ac:dyDescent="0.35">
      <c r="A856" s="497" t="s">
        <v>576</v>
      </c>
      <c r="B856" s="125">
        <v>7.10088583550798</v>
      </c>
      <c r="C856" s="125">
        <v>7.10088583550798</v>
      </c>
      <c r="D856" s="125">
        <v>5.3256643766309972</v>
      </c>
      <c r="E856" s="125">
        <v>3.5504429177539771</v>
      </c>
      <c r="F856" s="125">
        <v>1.775221458876995</v>
      </c>
    </row>
    <row r="857" spans="1:6" x14ac:dyDescent="0.35">
      <c r="A857" s="497" t="s">
        <v>577</v>
      </c>
      <c r="B857" s="125">
        <v>6.8930605356673658</v>
      </c>
      <c r="C857" s="125">
        <v>4.2388422078274308</v>
      </c>
      <c r="D857" s="125">
        <v>4.2388422078274308</v>
      </c>
      <c r="E857" s="125">
        <v>4.2388422078274308</v>
      </c>
      <c r="F857" s="125">
        <v>4.2388422078274308</v>
      </c>
    </row>
    <row r="858" spans="1:6" x14ac:dyDescent="0.35">
      <c r="A858" s="497" t="s">
        <v>578</v>
      </c>
      <c r="B858" s="125">
        <v>1.7197457882870888</v>
      </c>
      <c r="C858" s="125">
        <v>0.62132751060694824</v>
      </c>
      <c r="D858" s="125">
        <v>0.42161509648328627</v>
      </c>
      <c r="E858" s="125">
        <v>0.35504429177539898</v>
      </c>
      <c r="F858" s="125">
        <v>0.32175888942145531</v>
      </c>
    </row>
    <row r="859" spans="1:6" x14ac:dyDescent="0.35">
      <c r="A859" s="497" t="s">
        <v>579</v>
      </c>
      <c r="B859" s="125">
        <v>1.8528873977028633</v>
      </c>
      <c r="C859" s="125">
        <v>1.3757966306296709</v>
      </c>
      <c r="D859" s="125">
        <v>0.93199126591042225</v>
      </c>
      <c r="E859" s="125">
        <v>0.77665938825868519</v>
      </c>
      <c r="F859" s="125">
        <v>0.71008858355079796</v>
      </c>
    </row>
    <row r="860" spans="1:6" x14ac:dyDescent="0.35">
      <c r="A860" s="497" t="s">
        <v>580</v>
      </c>
      <c r="B860" s="125">
        <v>4.2777122690909826</v>
      </c>
      <c r="C860" s="125">
        <v>4.2777122690909826</v>
      </c>
      <c r="D860" s="125">
        <v>4.2777122690909826</v>
      </c>
      <c r="E860" s="125">
        <v>4.2777122690909826</v>
      </c>
      <c r="F860" s="125">
        <v>4.2777122690909826</v>
      </c>
    </row>
    <row r="861" spans="1:6" x14ac:dyDescent="0.35">
      <c r="A861" s="280" t="s">
        <v>581</v>
      </c>
      <c r="B861" s="125">
        <v>6.4165684036364734</v>
      </c>
      <c r="C861" s="125">
        <v>6.4165684036364734</v>
      </c>
      <c r="D861" s="125">
        <v>6.4165684036364734</v>
      </c>
      <c r="E861" s="125">
        <v>6.4165684036364734</v>
      </c>
      <c r="F861" s="125">
        <v>6.4165684036364734</v>
      </c>
    </row>
    <row r="862" spans="1:6" x14ac:dyDescent="0.35">
      <c r="A862" s="497" t="s">
        <v>582</v>
      </c>
      <c r="B862" s="125">
        <v>8.3629573414283431</v>
      </c>
      <c r="C862" s="125">
        <v>8.1582521169515889</v>
      </c>
      <c r="D862" s="125">
        <v>7.7338632369388076</v>
      </c>
      <c r="E862" s="125">
        <v>7.2445678223358358</v>
      </c>
      <c r="F862" s="125">
        <v>6.755272407732865</v>
      </c>
    </row>
    <row r="863" spans="1:6" x14ac:dyDescent="0.35">
      <c r="A863" s="280" t="s">
        <v>583</v>
      </c>
      <c r="B863" s="125">
        <v>12.544436012142516</v>
      </c>
      <c r="C863" s="125">
        <v>12.237378175427384</v>
      </c>
      <c r="D863" s="125">
        <v>11.600794855408211</v>
      </c>
      <c r="E863" s="125">
        <v>10.866851733503754</v>
      </c>
      <c r="F863" s="125">
        <v>10.132908611599298</v>
      </c>
    </row>
    <row r="864" spans="1:6" x14ac:dyDescent="0.35">
      <c r="A864" s="497" t="s">
        <v>584</v>
      </c>
      <c r="B864" s="125">
        <v>2.539121442900127</v>
      </c>
      <c r="C864" s="125">
        <v>2.3521684330120185</v>
      </c>
      <c r="D864" s="125">
        <v>1.9971241412366192</v>
      </c>
      <c r="E864" s="125">
        <v>1.8639825318208445</v>
      </c>
      <c r="F864" s="125">
        <v>1.8196019953489195</v>
      </c>
    </row>
    <row r="865" spans="1:6" x14ac:dyDescent="0.35">
      <c r="A865" s="497" t="s">
        <v>585</v>
      </c>
      <c r="B865" s="125">
        <v>1.4756528376915021</v>
      </c>
      <c r="C865" s="125">
        <v>1.2426550212138965</v>
      </c>
      <c r="D865" s="125">
        <v>1.1538939482700468</v>
      </c>
      <c r="E865" s="125">
        <v>1.0873231435621593</v>
      </c>
      <c r="F865" s="125">
        <v>1.0651328753261968</v>
      </c>
    </row>
    <row r="867" spans="1:6" x14ac:dyDescent="0.35">
      <c r="A867" s="14" t="s">
        <v>1056</v>
      </c>
    </row>
    <row r="868" spans="1:6" x14ac:dyDescent="0.35">
      <c r="A868" s="4" t="s">
        <v>1057</v>
      </c>
      <c r="B868" s="498">
        <v>2015</v>
      </c>
      <c r="C868" s="499">
        <v>2020</v>
      </c>
      <c r="D868" s="499">
        <v>2030</v>
      </c>
      <c r="E868" s="499">
        <v>2040</v>
      </c>
      <c r="F868" s="499">
        <v>2050</v>
      </c>
    </row>
    <row r="869" spans="1:6" x14ac:dyDescent="0.35">
      <c r="A869" s="497" t="s">
        <v>1049</v>
      </c>
      <c r="B869" s="125">
        <v>1.0962444315438751</v>
      </c>
      <c r="C869" s="125">
        <v>1.0962444315438751</v>
      </c>
      <c r="D869" s="125">
        <v>0.96365265561632996</v>
      </c>
      <c r="E869" s="125">
        <v>0.92091135459206308</v>
      </c>
      <c r="F869" s="125">
        <v>0.87817005356779598</v>
      </c>
    </row>
    <row r="870" spans="1:6" x14ac:dyDescent="0.35">
      <c r="A870" s="497" t="s">
        <v>1050</v>
      </c>
      <c r="B870" s="125">
        <v>0.50461524465345431</v>
      </c>
      <c r="C870" s="125">
        <v>0.50461524465345431</v>
      </c>
      <c r="D870" s="125">
        <v>0.47735699098968393</v>
      </c>
      <c r="E870" s="125">
        <v>0.45586012489538374</v>
      </c>
      <c r="F870" s="125">
        <v>0.43436325880108362</v>
      </c>
    </row>
    <row r="871" spans="1:6" x14ac:dyDescent="0.35">
      <c r="A871" s="497" t="s">
        <v>1051</v>
      </c>
      <c r="B871" s="125">
        <v>1.3430493591575825</v>
      </c>
      <c r="C871" s="125">
        <v>1.1335883690512247</v>
      </c>
      <c r="D871" s="125">
        <v>0.78605839549700329</v>
      </c>
      <c r="E871" s="125">
        <v>0.70172281503682243</v>
      </c>
      <c r="F871" s="125">
        <v>0.61738723457664157</v>
      </c>
    </row>
    <row r="872" spans="1:6" x14ac:dyDescent="0.35">
      <c r="A872" s="497" t="s">
        <v>1091</v>
      </c>
      <c r="B872" s="125">
        <v>0.78595097570247074</v>
      </c>
      <c r="C872" s="125">
        <v>0.78595097570247074</v>
      </c>
      <c r="D872" s="125">
        <v>0.78595097570247074</v>
      </c>
      <c r="E872" s="125">
        <v>0.78595097570247074</v>
      </c>
      <c r="F872" s="125">
        <v>0.78595097570247074</v>
      </c>
    </row>
    <row r="873" spans="1:6" x14ac:dyDescent="0.35">
      <c r="A873" s="497" t="s">
        <v>1092</v>
      </c>
      <c r="B873" s="125">
        <v>2.4930511202860588</v>
      </c>
      <c r="C873" s="125">
        <v>2.4930511202860588</v>
      </c>
      <c r="D873" s="125">
        <v>2.4930511202860588</v>
      </c>
      <c r="E873" s="125">
        <v>2.4930511202860588</v>
      </c>
      <c r="F873" s="125">
        <v>2.4930511202860588</v>
      </c>
    </row>
    <row r="874" spans="1:6" x14ac:dyDescent="0.35">
      <c r="A874" s="497" t="s">
        <v>1054</v>
      </c>
      <c r="B874" s="125">
        <v>0.37845705967976712</v>
      </c>
      <c r="C874" s="125">
        <v>0.37845705967976712</v>
      </c>
      <c r="D874" s="125">
        <v>0.16795431642593214</v>
      </c>
      <c r="E874" s="125">
        <v>0.13772253946926435</v>
      </c>
      <c r="F874" s="125">
        <v>0.1175680214981525</v>
      </c>
    </row>
    <row r="875" spans="1:6" x14ac:dyDescent="0.35">
      <c r="A875" s="497" t="s">
        <v>1058</v>
      </c>
      <c r="B875" s="125">
        <v>2.1060615664913365E-2</v>
      </c>
      <c r="C875" s="125">
        <v>2.1060615664913365E-2</v>
      </c>
      <c r="D875" s="125">
        <v>2.1060615664913365E-2</v>
      </c>
      <c r="E875" s="125">
        <v>2.1060615664913365E-2</v>
      </c>
      <c r="F875" s="125">
        <v>2.1060615664913365E-2</v>
      </c>
    </row>
    <row r="876" spans="1:6" x14ac:dyDescent="0.35">
      <c r="A876" s="207"/>
      <c r="B876" s="208"/>
      <c r="C876" s="208"/>
      <c r="D876" s="208"/>
      <c r="E876" s="208"/>
    </row>
    <row r="879" spans="1:6" x14ac:dyDescent="0.35">
      <c r="A879" s="532" t="s">
        <v>2146</v>
      </c>
      <c r="B879" s="2"/>
    </row>
    <row r="880" spans="1:6" x14ac:dyDescent="0.35">
      <c r="A880" s="533" t="s">
        <v>168</v>
      </c>
      <c r="B880" s="534" t="s">
        <v>169</v>
      </c>
    </row>
    <row r="881" spans="1:2" x14ac:dyDescent="0.35">
      <c r="A881" s="237">
        <v>0</v>
      </c>
      <c r="B881" s="230" t="s">
        <v>2147</v>
      </c>
    </row>
    <row r="882" spans="1:2" x14ac:dyDescent="0.35">
      <c r="A882" s="237">
        <v>1</v>
      </c>
      <c r="B882" s="230" t="s">
        <v>2148</v>
      </c>
    </row>
    <row r="883" spans="1:2" x14ac:dyDescent="0.35">
      <c r="A883" s="237">
        <v>2</v>
      </c>
      <c r="B883" s="230" t="s">
        <v>2149</v>
      </c>
    </row>
    <row r="884" spans="1:2" x14ac:dyDescent="0.35">
      <c r="A884" s="237">
        <v>3</v>
      </c>
      <c r="B884" s="230" t="s">
        <v>2150</v>
      </c>
    </row>
    <row r="885" spans="1:2" x14ac:dyDescent="0.35">
      <c r="A885" s="238" t="s">
        <v>170</v>
      </c>
      <c r="B885" s="239">
        <v>2</v>
      </c>
    </row>
  </sheetData>
  <mergeCells count="1">
    <mergeCell ref="A1:C1"/>
  </mergeCells>
  <conditionalFormatting sqref="A105">
    <cfRule type="colorScale" priority="16">
      <colorScale>
        <cfvo type="min"/>
        <cfvo type="percentile" val="50"/>
        <cfvo type="max"/>
        <color theme="0"/>
        <color rgb="FFFFEB84"/>
        <color rgb="FFF8696B"/>
      </colorScale>
    </cfRule>
  </conditionalFormatting>
  <conditionalFormatting sqref="A143">
    <cfRule type="colorScale" priority="12">
      <colorScale>
        <cfvo type="min"/>
        <cfvo type="percentile" val="50"/>
        <cfvo type="max"/>
        <color theme="0"/>
        <color rgb="FFFFEB84"/>
        <color rgb="FFF8696B"/>
      </colorScale>
    </cfRule>
  </conditionalFormatting>
  <conditionalFormatting sqref="A181">
    <cfRule type="colorScale" priority="11">
      <colorScale>
        <cfvo type="min"/>
        <cfvo type="percentile" val="50"/>
        <cfvo type="max"/>
        <color theme="0"/>
        <color rgb="FFFFEB84"/>
        <color rgb="FFF8696B"/>
      </colorScale>
    </cfRule>
  </conditionalFormatting>
  <conditionalFormatting sqref="A219">
    <cfRule type="colorScale" priority="1">
      <colorScale>
        <cfvo type="min"/>
        <cfvo type="percentile" val="50"/>
        <cfvo type="max"/>
        <color theme="0"/>
        <color rgb="FFFFEB84"/>
        <color rgb="FFF8696B"/>
      </colorScale>
    </cfRule>
  </conditionalFormatting>
  <conditionalFormatting sqref="A224">
    <cfRule type="colorScale" priority="2">
      <colorScale>
        <cfvo type="min"/>
        <cfvo type="percentile" val="50"/>
        <cfvo type="max"/>
        <color theme="0"/>
        <color rgb="FFFFEB84"/>
        <color rgb="FFF8696B"/>
      </colorScale>
    </cfRule>
  </conditionalFormatting>
  <conditionalFormatting sqref="A236">
    <cfRule type="colorScale" priority="3">
      <colorScale>
        <cfvo type="min"/>
        <cfvo type="percentile" val="50"/>
        <cfvo type="max"/>
        <color theme="0"/>
        <color rgb="FFFFEB84"/>
        <color rgb="FFF8696B"/>
      </colorScale>
    </cfRule>
  </conditionalFormatting>
  <conditionalFormatting sqref="A653:A663">
    <cfRule type="colorScale" priority="17">
      <colorScale>
        <cfvo type="min"/>
        <cfvo type="percentile" val="50"/>
        <cfvo type="max"/>
        <color theme="0"/>
        <color rgb="FFFFEB84"/>
        <color rgb="FFF8696B"/>
      </colorScale>
    </cfRule>
  </conditionalFormatting>
  <conditionalFormatting sqref="A665">
    <cfRule type="colorScale" priority="6">
      <colorScale>
        <cfvo type="min"/>
        <cfvo type="percentile" val="50"/>
        <cfvo type="max"/>
        <color theme="0"/>
        <color rgb="FFFFEB84"/>
        <color rgb="FFF8696B"/>
      </colorScale>
    </cfRule>
  </conditionalFormatting>
  <conditionalFormatting sqref="A666:A675">
    <cfRule type="colorScale" priority="7">
      <colorScale>
        <cfvo type="min"/>
        <cfvo type="percentile" val="50"/>
        <cfvo type="max"/>
        <color theme="0"/>
        <color rgb="FFFFEB84"/>
        <color rgb="FFF8696B"/>
      </colorScale>
    </cfRule>
  </conditionalFormatting>
  <conditionalFormatting sqref="A677">
    <cfRule type="colorScale" priority="4">
      <colorScale>
        <cfvo type="min"/>
        <cfvo type="percentile" val="50"/>
        <cfvo type="max"/>
        <color theme="0"/>
        <color rgb="FFFFEB84"/>
        <color rgb="FFF8696B"/>
      </colorScale>
    </cfRule>
  </conditionalFormatting>
  <conditionalFormatting sqref="A678:A687">
    <cfRule type="colorScale" priority="5">
      <colorScale>
        <cfvo type="min"/>
        <cfvo type="percentile" val="50"/>
        <cfvo type="max"/>
        <color theme="0"/>
        <color rgb="FFFFEB84"/>
        <color rgb="FFF8696B"/>
      </colorScale>
    </cfRule>
  </conditionalFormatting>
  <conditionalFormatting sqref="A829 A832 A844:A846 A834 A836:A837 A839:A842 A848 A850:A853 A862 A864:A865 A855:A860">
    <cfRule type="colorScale" priority="19">
      <colorScale>
        <cfvo type="min"/>
        <cfvo type="percentile" val="50"/>
        <cfvo type="max"/>
        <color theme="0"/>
        <color rgb="FFFFEB84"/>
        <color rgb="FFF8696B"/>
      </colorScale>
    </cfRule>
  </conditionalFormatting>
  <conditionalFormatting sqref="A869:A876 A641:A651">
    <cfRule type="colorScale" priority="20">
      <colorScale>
        <cfvo type="min"/>
        <cfvo type="percentile" val="50"/>
        <cfvo type="max"/>
        <color theme="0"/>
        <color rgb="FFFFEB84"/>
        <color rgb="FFF8696B"/>
      </colorScale>
    </cfRule>
  </conditionalFormatting>
  <conditionalFormatting sqref="E105">
    <cfRule type="colorScale" priority="21">
      <colorScale>
        <cfvo type="min"/>
        <cfvo type="percentile" val="50"/>
        <cfvo type="max"/>
        <color theme="0"/>
        <color rgb="FFFFEB84"/>
        <color rgb="FFF8696B"/>
      </colorScale>
    </cfRule>
  </conditionalFormatting>
  <conditionalFormatting sqref="E143">
    <cfRule type="colorScale" priority="13">
      <colorScale>
        <cfvo type="min"/>
        <cfvo type="percentile" val="50"/>
        <cfvo type="max"/>
        <color theme="0"/>
        <color rgb="FFFFEB84"/>
        <color rgb="FFF8696B"/>
      </colorScale>
    </cfRule>
  </conditionalFormatting>
  <conditionalFormatting sqref="E181">
    <cfRule type="colorScale" priority="8">
      <colorScale>
        <cfvo type="min"/>
        <cfvo type="percentile" val="50"/>
        <cfvo type="max"/>
        <color theme="0"/>
        <color rgb="FFFFEB84"/>
        <color rgb="FFF8696B"/>
      </colorScale>
    </cfRule>
  </conditionalFormatting>
  <conditionalFormatting sqref="E641">
    <cfRule type="colorScale" priority="18">
      <colorScale>
        <cfvo type="min"/>
        <cfvo type="percentile" val="50"/>
        <cfvo type="max"/>
        <color theme="0"/>
        <color rgb="FFFFEB84"/>
        <color rgb="FFF8696B"/>
      </colorScale>
    </cfRule>
  </conditionalFormatting>
  <conditionalFormatting sqref="F105">
    <cfRule type="colorScale" priority="15">
      <colorScale>
        <cfvo type="min"/>
        <cfvo type="percentile" val="50"/>
        <cfvo type="max"/>
        <color theme="0"/>
        <color rgb="FFFFEB84"/>
        <color rgb="FFF8696B"/>
      </colorScale>
    </cfRule>
  </conditionalFormatting>
  <conditionalFormatting sqref="F181">
    <cfRule type="colorScale" priority="10">
      <colorScale>
        <cfvo type="min"/>
        <cfvo type="percentile" val="50"/>
        <cfvo type="max"/>
        <color theme="0"/>
        <color rgb="FFFFEB84"/>
        <color rgb="FFF8696B"/>
      </colorScale>
    </cfRule>
  </conditionalFormatting>
  <conditionalFormatting sqref="G105">
    <cfRule type="colorScale" priority="14">
      <colorScale>
        <cfvo type="min"/>
        <cfvo type="percentile" val="50"/>
        <cfvo type="max"/>
        <color theme="0"/>
        <color rgb="FFFFEB84"/>
        <color rgb="FFF8696B"/>
      </colorScale>
    </cfRule>
  </conditionalFormatting>
  <conditionalFormatting sqref="G181">
    <cfRule type="colorScale" priority="9">
      <colorScale>
        <cfvo type="min"/>
        <cfvo type="percentile" val="50"/>
        <cfvo type="max"/>
        <color theme="0"/>
        <color rgb="FFFFEB84"/>
        <color rgb="FFF8696B"/>
      </colorScale>
    </cfRule>
  </conditionalFormatting>
  <dataValidations count="1">
    <dataValidation type="decimal" allowBlank="1" showInputMessage="1" showErrorMessage="1" sqref="B252:J293 B454:K454 B353:J394" xr:uid="{47BB561A-0542-4A67-8471-3DA886B6C7BE}">
      <formula1>0</formula1>
      <formula2>1</formula2>
    </dataValidation>
  </dataValidations>
  <pageMargins left="0.7" right="0.7" top="0.75" bottom="0.75" header="0.3" footer="0.3"/>
  <pageSetup paperSize="9" orientation="portrait" horizontalDpi="4294967293" verticalDpi="4294967293"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836E-D50B-41A7-8864-AABB7C508645}">
  <sheetPr>
    <tabColor rgb="FFFFC000"/>
  </sheetPr>
  <dimension ref="A1:BR487"/>
  <sheetViews>
    <sheetView zoomScale="70" zoomScaleNormal="70" workbookViewId="0">
      <selection sqref="A1:X1"/>
    </sheetView>
  </sheetViews>
  <sheetFormatPr baseColWidth="10" defaultColWidth="8.81640625" defaultRowHeight="14.5" x14ac:dyDescent="0.35"/>
  <cols>
    <col min="1" max="1" width="51.1796875" customWidth="1"/>
    <col min="2" max="2" width="32.81640625" customWidth="1"/>
    <col min="5" max="5" width="15.1796875" customWidth="1"/>
    <col min="9" max="9" width="12.54296875" customWidth="1"/>
  </cols>
  <sheetData>
    <row r="1" spans="1:24" s="224" customFormat="1" ht="123" customHeight="1" x14ac:dyDescent="0.7">
      <c r="A1" s="605" t="s">
        <v>1704</v>
      </c>
      <c r="B1" s="605"/>
      <c r="C1" s="605"/>
      <c r="D1" s="605"/>
      <c r="E1" s="605"/>
      <c r="F1" s="605"/>
      <c r="G1" s="605"/>
      <c r="H1" s="605"/>
      <c r="I1" s="605"/>
      <c r="J1" s="605"/>
      <c r="K1" s="605"/>
      <c r="L1" s="605"/>
      <c r="M1" s="605"/>
      <c r="N1" s="605"/>
      <c r="O1" s="605"/>
      <c r="P1" s="605"/>
      <c r="Q1" s="605"/>
      <c r="R1" s="605"/>
      <c r="S1" s="605"/>
      <c r="T1" s="605"/>
      <c r="U1" s="605"/>
      <c r="V1" s="605"/>
      <c r="W1" s="605"/>
      <c r="X1" s="605"/>
    </row>
    <row r="2" spans="1:24" s="224" customFormat="1" x14ac:dyDescent="0.35"/>
    <row r="3" spans="1:24" s="224" customFormat="1" ht="28.5" x14ac:dyDescent="0.65">
      <c r="A3" s="374" t="s">
        <v>1705</v>
      </c>
    </row>
    <row r="4" spans="1:24" ht="28.5" x14ac:dyDescent="0.65">
      <c r="A4" s="374" t="s">
        <v>1706</v>
      </c>
      <c r="B4" s="224"/>
      <c r="C4" s="224"/>
      <c r="D4" s="224"/>
      <c r="E4" s="224"/>
      <c r="F4" s="224"/>
      <c r="G4" s="224"/>
      <c r="H4" s="224"/>
    </row>
    <row r="10" spans="1:24" x14ac:dyDescent="0.35">
      <c r="A10" s="375" t="s">
        <v>1650</v>
      </c>
    </row>
    <row r="11" spans="1:24" x14ac:dyDescent="0.35">
      <c r="A11" s="376" t="s">
        <v>1707</v>
      </c>
      <c r="B11" s="376" t="s">
        <v>1708</v>
      </c>
      <c r="C11" s="376" t="s">
        <v>1709</v>
      </c>
      <c r="D11" s="377" t="s">
        <v>1710</v>
      </c>
      <c r="E11" s="279" t="s">
        <v>1711</v>
      </c>
      <c r="F11" s="279" t="s">
        <v>1712</v>
      </c>
    </row>
    <row r="12" spans="1:24" x14ac:dyDescent="0.35">
      <c r="A12" s="376" t="s">
        <v>126</v>
      </c>
      <c r="B12" s="376"/>
      <c r="C12" s="376" t="s">
        <v>13</v>
      </c>
      <c r="D12" s="376" t="s">
        <v>1713</v>
      </c>
      <c r="E12" s="376"/>
      <c r="F12" s="376"/>
    </row>
    <row r="13" spans="1:24" x14ac:dyDescent="0.35">
      <c r="A13" s="376" t="s">
        <v>1714</v>
      </c>
      <c r="B13" s="378">
        <v>0</v>
      </c>
      <c r="C13" s="379">
        <v>0</v>
      </c>
      <c r="D13" s="378">
        <v>0</v>
      </c>
      <c r="E13" s="93">
        <v>2025</v>
      </c>
      <c r="F13" s="93">
        <v>2050</v>
      </c>
      <c r="G13" t="s">
        <v>1715</v>
      </c>
    </row>
    <row r="14" spans="1:24" x14ac:dyDescent="0.35">
      <c r="A14" s="376" t="s">
        <v>1716</v>
      </c>
      <c r="B14" s="378">
        <v>0</v>
      </c>
      <c r="C14" s="379">
        <v>0.16</v>
      </c>
      <c r="D14" s="380">
        <v>94.350000000000009</v>
      </c>
      <c r="E14" s="93">
        <v>2025</v>
      </c>
      <c r="F14" s="93">
        <v>2050</v>
      </c>
    </row>
    <row r="15" spans="1:24" x14ac:dyDescent="0.35">
      <c r="A15" s="376" t="s">
        <v>1717</v>
      </c>
      <c r="B15" s="378">
        <v>0</v>
      </c>
      <c r="C15" s="379">
        <v>0.69</v>
      </c>
      <c r="D15" s="380">
        <v>255.3</v>
      </c>
      <c r="E15" s="93">
        <v>2025</v>
      </c>
      <c r="F15" s="93">
        <v>2050</v>
      </c>
    </row>
    <row r="16" spans="1:24" x14ac:dyDescent="0.35">
      <c r="A16" s="376" t="s">
        <v>1718</v>
      </c>
      <c r="B16" s="378">
        <v>0</v>
      </c>
      <c r="C16" s="379">
        <v>0.76</v>
      </c>
      <c r="D16" s="380">
        <v>327.45000000000005</v>
      </c>
      <c r="E16" s="93">
        <v>2025</v>
      </c>
      <c r="F16" s="93">
        <v>2050</v>
      </c>
    </row>
    <row r="17" spans="1:70" x14ac:dyDescent="0.35">
      <c r="B17" s="13"/>
    </row>
    <row r="18" spans="1:70" x14ac:dyDescent="0.35">
      <c r="A18" s="381" t="s">
        <v>1653</v>
      </c>
    </row>
    <row r="19" spans="1:70" x14ac:dyDescent="0.35">
      <c r="A19" s="376" t="s">
        <v>126</v>
      </c>
      <c r="B19" s="376" t="s">
        <v>1563</v>
      </c>
    </row>
    <row r="20" spans="1:70" x14ac:dyDescent="0.35">
      <c r="A20" s="376" t="s">
        <v>1653</v>
      </c>
      <c r="B20" s="380">
        <v>10</v>
      </c>
      <c r="C20" t="s">
        <v>1719</v>
      </c>
    </row>
    <row r="23" spans="1:70" x14ac:dyDescent="0.35">
      <c r="A23" s="381" t="s">
        <v>1655</v>
      </c>
      <c r="B23" s="13"/>
    </row>
    <row r="24" spans="1:70" x14ac:dyDescent="0.35">
      <c r="B24" s="376" t="s">
        <v>1720</v>
      </c>
      <c r="C24" s="376" t="s">
        <v>1655</v>
      </c>
      <c r="D24" s="279" t="s">
        <v>1721</v>
      </c>
      <c r="E24" s="279" t="s">
        <v>1722</v>
      </c>
    </row>
    <row r="25" spans="1:70" x14ac:dyDescent="0.35">
      <c r="A25" s="376" t="s">
        <v>126</v>
      </c>
      <c r="B25" s="376"/>
      <c r="C25" s="376" t="s">
        <v>13</v>
      </c>
      <c r="D25" s="376"/>
      <c r="E25" s="376"/>
    </row>
    <row r="26" spans="1:70" x14ac:dyDescent="0.35">
      <c r="A26" s="376" t="s">
        <v>1723</v>
      </c>
      <c r="B26" s="380">
        <v>0</v>
      </c>
      <c r="C26" s="382">
        <v>0.1</v>
      </c>
      <c r="D26" s="93">
        <v>2025</v>
      </c>
      <c r="E26" s="93">
        <v>2050</v>
      </c>
      <c r="F26" t="s">
        <v>1724</v>
      </c>
    </row>
    <row r="28" spans="1:70" x14ac:dyDescent="0.35">
      <c r="A28" s="143" t="s">
        <v>1657</v>
      </c>
    </row>
    <row r="29" spans="1:70" ht="14.25" customHeight="1" x14ac:dyDescent="0.35">
      <c r="A29" s="383" t="s">
        <v>1725</v>
      </c>
      <c r="D29" s="25" t="s">
        <v>1726</v>
      </c>
      <c r="I29" s="94" t="s">
        <v>1727</v>
      </c>
    </row>
    <row r="30" spans="1:70" ht="14.25" customHeight="1" x14ac:dyDescent="0.35">
      <c r="A30" s="39" t="s">
        <v>1728</v>
      </c>
      <c r="B30" s="123" t="s">
        <v>1729</v>
      </c>
      <c r="D30" s="39" t="s">
        <v>1232</v>
      </c>
      <c r="E30" s="279" t="s">
        <v>1730</v>
      </c>
      <c r="F30" s="279" t="s">
        <v>1731</v>
      </c>
      <c r="G30" s="279" t="s">
        <v>1732</v>
      </c>
      <c r="I30" s="39" t="s">
        <v>1232</v>
      </c>
      <c r="J30" s="97" t="s">
        <v>927</v>
      </c>
      <c r="K30" s="97" t="s">
        <v>928</v>
      </c>
      <c r="L30" s="97" t="s">
        <v>929</v>
      </c>
      <c r="M30" s="97" t="s">
        <v>930</v>
      </c>
      <c r="N30" s="97" t="s">
        <v>931</v>
      </c>
      <c r="O30" s="97" t="s">
        <v>932</v>
      </c>
      <c r="P30" s="97" t="s">
        <v>933</v>
      </c>
      <c r="Q30" s="97" t="s">
        <v>934</v>
      </c>
      <c r="R30" s="97" t="s">
        <v>935</v>
      </c>
      <c r="S30" s="97" t="s">
        <v>936</v>
      </c>
      <c r="T30" s="97" t="s">
        <v>937</v>
      </c>
      <c r="U30" s="97" t="s">
        <v>938</v>
      </c>
      <c r="V30" s="97" t="s">
        <v>939</v>
      </c>
      <c r="W30" s="97" t="s">
        <v>940</v>
      </c>
      <c r="X30" s="97" t="s">
        <v>941</v>
      </c>
      <c r="Y30" s="97" t="s">
        <v>942</v>
      </c>
      <c r="Z30" s="97" t="s">
        <v>943</v>
      </c>
      <c r="AA30" s="97" t="s">
        <v>944</v>
      </c>
      <c r="AB30" s="97" t="s">
        <v>945</v>
      </c>
      <c r="AC30" s="97" t="s">
        <v>946</v>
      </c>
      <c r="AD30" s="97" t="s">
        <v>947</v>
      </c>
      <c r="AE30" s="97" t="s">
        <v>948</v>
      </c>
      <c r="AF30" s="97" t="s">
        <v>949</v>
      </c>
      <c r="AG30" s="97" t="s">
        <v>950</v>
      </c>
      <c r="AH30" s="97" t="s">
        <v>951</v>
      </c>
      <c r="AI30" s="97" t="s">
        <v>952</v>
      </c>
      <c r="AJ30" s="97" t="s">
        <v>953</v>
      </c>
      <c r="AK30" s="97" t="s">
        <v>954</v>
      </c>
      <c r="AL30" s="97" t="s">
        <v>955</v>
      </c>
      <c r="AM30" s="97" t="s">
        <v>956</v>
      </c>
      <c r="AN30" s="97" t="s">
        <v>957</v>
      </c>
      <c r="AO30" s="97" t="s">
        <v>958</v>
      </c>
      <c r="AP30" s="97" t="s">
        <v>959</v>
      </c>
      <c r="AQ30" s="97" t="s">
        <v>960</v>
      </c>
      <c r="AR30" s="97" t="s">
        <v>961</v>
      </c>
      <c r="AS30" s="97" t="s">
        <v>962</v>
      </c>
      <c r="AT30" s="97" t="s">
        <v>963</v>
      </c>
      <c r="AU30" s="97" t="s">
        <v>964</v>
      </c>
      <c r="AV30" s="97" t="s">
        <v>965</v>
      </c>
      <c r="AW30" s="97" t="s">
        <v>966</v>
      </c>
      <c r="AX30" s="97" t="s">
        <v>967</v>
      </c>
      <c r="AY30" s="97" t="s">
        <v>968</v>
      </c>
      <c r="AZ30" s="97" t="s">
        <v>969</v>
      </c>
      <c r="BA30" s="97" t="s">
        <v>970</v>
      </c>
      <c r="BB30" s="97" t="s">
        <v>971</v>
      </c>
      <c r="BC30" s="97" t="s">
        <v>972</v>
      </c>
      <c r="BD30" s="97" t="s">
        <v>973</v>
      </c>
      <c r="BE30" s="97" t="s">
        <v>974</v>
      </c>
      <c r="BF30" s="97" t="s">
        <v>975</v>
      </c>
      <c r="BG30" s="97" t="s">
        <v>976</v>
      </c>
      <c r="BH30" s="97" t="s">
        <v>977</v>
      </c>
      <c r="BI30" s="97" t="s">
        <v>978</v>
      </c>
      <c r="BJ30" s="97" t="s">
        <v>979</v>
      </c>
      <c r="BK30" s="97" t="s">
        <v>980</v>
      </c>
      <c r="BL30" s="97" t="s">
        <v>981</v>
      </c>
      <c r="BM30" s="97" t="s">
        <v>982</v>
      </c>
      <c r="BN30" s="97" t="s">
        <v>983</v>
      </c>
      <c r="BO30" s="97" t="s">
        <v>984</v>
      </c>
      <c r="BP30" s="97" t="s">
        <v>985</v>
      </c>
      <c r="BQ30" s="97" t="s">
        <v>986</v>
      </c>
      <c r="BR30" s="97" t="s">
        <v>987</v>
      </c>
    </row>
    <row r="31" spans="1:70" ht="14.25" customHeight="1" x14ac:dyDescent="0.35">
      <c r="A31" s="4" t="s">
        <v>433</v>
      </c>
      <c r="B31" s="384">
        <v>9359.52</v>
      </c>
      <c r="C31" s="385"/>
      <c r="D31" s="45" t="s">
        <v>228</v>
      </c>
      <c r="E31" s="93">
        <v>0</v>
      </c>
      <c r="F31" s="93">
        <v>2025</v>
      </c>
      <c r="G31" s="93">
        <v>2050</v>
      </c>
      <c r="I31" s="45" t="s">
        <v>228</v>
      </c>
      <c r="J31" s="286">
        <v>0</v>
      </c>
      <c r="K31" s="286">
        <v>0</v>
      </c>
      <c r="L31" s="286">
        <v>0</v>
      </c>
      <c r="M31" s="286">
        <v>0</v>
      </c>
      <c r="N31" s="286">
        <v>0</v>
      </c>
      <c r="O31" s="286">
        <v>0</v>
      </c>
      <c r="P31" s="286">
        <v>0</v>
      </c>
      <c r="Q31" s="286">
        <v>0</v>
      </c>
      <c r="R31" s="286">
        <v>0</v>
      </c>
      <c r="S31" s="286">
        <v>0</v>
      </c>
      <c r="T31" s="286">
        <v>0</v>
      </c>
      <c r="U31" s="286">
        <v>0</v>
      </c>
      <c r="V31" s="286">
        <v>0</v>
      </c>
      <c r="W31" s="286">
        <v>0</v>
      </c>
      <c r="X31" s="286">
        <v>0</v>
      </c>
      <c r="Y31" s="286">
        <v>0</v>
      </c>
      <c r="Z31" s="286">
        <v>0</v>
      </c>
      <c r="AA31" s="286">
        <v>0</v>
      </c>
      <c r="AB31" s="286">
        <v>0</v>
      </c>
      <c r="AC31" s="286">
        <v>0</v>
      </c>
      <c r="AD31" s="286">
        <v>0</v>
      </c>
      <c r="AE31" s="286">
        <v>0</v>
      </c>
      <c r="AF31" s="286">
        <v>0</v>
      </c>
      <c r="AG31" s="286">
        <v>0</v>
      </c>
      <c r="AH31" s="286">
        <v>0</v>
      </c>
      <c r="AI31" s="286">
        <v>0</v>
      </c>
      <c r="AJ31" s="286">
        <v>0</v>
      </c>
      <c r="AK31" s="286">
        <v>0</v>
      </c>
      <c r="AL31" s="286">
        <v>0</v>
      </c>
      <c r="AM31" s="286">
        <v>0</v>
      </c>
      <c r="AN31" s="286">
        <v>0</v>
      </c>
      <c r="AO31" s="286">
        <v>0</v>
      </c>
      <c r="AP31" s="286">
        <v>0</v>
      </c>
      <c r="AQ31" s="286">
        <v>0</v>
      </c>
      <c r="AR31" s="286">
        <v>0</v>
      </c>
      <c r="AS31" s="286">
        <v>0</v>
      </c>
      <c r="AT31" s="286">
        <v>0</v>
      </c>
      <c r="AU31" s="286">
        <v>0</v>
      </c>
      <c r="AV31" s="286">
        <v>0</v>
      </c>
      <c r="AW31" s="286">
        <v>0</v>
      </c>
      <c r="AX31" s="286">
        <v>0</v>
      </c>
      <c r="AY31" s="286">
        <v>0</v>
      </c>
      <c r="AZ31" s="286">
        <v>0</v>
      </c>
      <c r="BA31" s="286">
        <v>0</v>
      </c>
      <c r="BB31" s="286">
        <v>0</v>
      </c>
      <c r="BC31" s="286">
        <v>0</v>
      </c>
      <c r="BD31" s="286">
        <v>0</v>
      </c>
      <c r="BE31" s="286">
        <v>0</v>
      </c>
      <c r="BF31" s="286">
        <v>0</v>
      </c>
      <c r="BG31" s="286">
        <v>0</v>
      </c>
      <c r="BH31" s="286">
        <v>0</v>
      </c>
      <c r="BI31" s="286">
        <v>0</v>
      </c>
      <c r="BJ31" s="286">
        <v>0</v>
      </c>
      <c r="BK31" s="286">
        <v>0</v>
      </c>
      <c r="BL31" s="286">
        <v>0</v>
      </c>
      <c r="BM31" s="286">
        <v>0</v>
      </c>
      <c r="BN31" s="286">
        <v>0</v>
      </c>
      <c r="BO31" s="286">
        <v>0</v>
      </c>
      <c r="BP31" s="286">
        <v>0</v>
      </c>
      <c r="BQ31" s="286">
        <v>0</v>
      </c>
      <c r="BR31" s="281">
        <v>0.1</v>
      </c>
    </row>
    <row r="32" spans="1:70" ht="14.25" customHeight="1" x14ac:dyDescent="0.35">
      <c r="A32" s="4" t="s">
        <v>434</v>
      </c>
      <c r="B32" s="384">
        <v>8624.5334999999995</v>
      </c>
      <c r="C32" s="385"/>
      <c r="D32" s="41" t="s">
        <v>95</v>
      </c>
      <c r="E32" s="93">
        <v>0</v>
      </c>
      <c r="F32" s="93">
        <v>2025</v>
      </c>
      <c r="G32" s="93">
        <v>2050</v>
      </c>
      <c r="I32" s="41" t="s">
        <v>95</v>
      </c>
      <c r="J32" s="281">
        <v>0.1</v>
      </c>
      <c r="K32" s="281">
        <v>0.1</v>
      </c>
      <c r="L32" s="281">
        <v>0.1</v>
      </c>
      <c r="M32" s="281">
        <v>0.1</v>
      </c>
      <c r="N32" s="281">
        <v>0.1</v>
      </c>
      <c r="O32" s="281">
        <v>0.1</v>
      </c>
      <c r="P32" s="281">
        <v>0.1</v>
      </c>
      <c r="Q32" s="281">
        <v>0.1</v>
      </c>
      <c r="R32" s="281">
        <v>0.1</v>
      </c>
      <c r="S32" s="281">
        <v>0.1</v>
      </c>
      <c r="T32" s="281">
        <v>0.1</v>
      </c>
      <c r="U32" s="281">
        <v>0.1</v>
      </c>
      <c r="V32" s="281">
        <v>0.1</v>
      </c>
      <c r="W32" s="281">
        <v>0.1</v>
      </c>
      <c r="X32" s="281">
        <v>0.1</v>
      </c>
      <c r="Y32" s="281">
        <v>0.1</v>
      </c>
      <c r="Z32" s="281">
        <v>0.1</v>
      </c>
      <c r="AA32" s="281">
        <v>0.1</v>
      </c>
      <c r="AB32" s="281">
        <v>0.1</v>
      </c>
      <c r="AC32" s="281">
        <v>0.1</v>
      </c>
      <c r="AD32" s="281">
        <v>0.1</v>
      </c>
      <c r="AE32" s="281">
        <v>0.1</v>
      </c>
      <c r="AF32" s="281">
        <v>0.1</v>
      </c>
      <c r="AG32" s="281">
        <v>0.1</v>
      </c>
      <c r="AH32" s="281">
        <v>0.1</v>
      </c>
      <c r="AI32" s="281">
        <v>0.1</v>
      </c>
      <c r="AJ32" s="281">
        <v>0.1</v>
      </c>
      <c r="AK32" s="281">
        <v>0.1</v>
      </c>
      <c r="AL32" s="281">
        <v>0.1</v>
      </c>
      <c r="AM32" s="281">
        <v>0.1</v>
      </c>
      <c r="AN32" s="281">
        <v>0.1</v>
      </c>
      <c r="AO32" s="281">
        <v>0.1</v>
      </c>
      <c r="AP32" s="281">
        <v>0.1</v>
      </c>
      <c r="AQ32" s="281">
        <v>0.1</v>
      </c>
      <c r="AR32" s="281">
        <v>0.1</v>
      </c>
      <c r="AS32" s="281">
        <v>0.1</v>
      </c>
      <c r="AT32" s="281">
        <v>0.1</v>
      </c>
      <c r="AU32" s="281">
        <v>0.1</v>
      </c>
      <c r="AV32" s="281">
        <v>0.1</v>
      </c>
      <c r="AW32" s="281">
        <v>0.1</v>
      </c>
      <c r="AX32" s="281">
        <v>0.1</v>
      </c>
      <c r="AY32" s="281">
        <v>0.1</v>
      </c>
      <c r="AZ32" s="281">
        <v>0.1</v>
      </c>
      <c r="BA32" s="281">
        <v>0.1</v>
      </c>
      <c r="BB32" s="281">
        <v>0.1</v>
      </c>
      <c r="BC32" s="281">
        <v>0.1</v>
      </c>
      <c r="BD32" s="281">
        <v>0.1</v>
      </c>
      <c r="BE32" s="281">
        <v>0.1</v>
      </c>
      <c r="BF32" s="281">
        <v>0.1</v>
      </c>
      <c r="BG32" s="281">
        <v>0.1</v>
      </c>
      <c r="BH32" s="281">
        <v>0.1</v>
      </c>
      <c r="BI32" s="281">
        <v>0.1</v>
      </c>
      <c r="BJ32" s="281">
        <v>0.1</v>
      </c>
      <c r="BK32" s="281">
        <v>0.1</v>
      </c>
      <c r="BL32" s="281">
        <v>0.1</v>
      </c>
      <c r="BM32" s="281">
        <v>0.1</v>
      </c>
      <c r="BN32" s="281">
        <v>0.1</v>
      </c>
      <c r="BO32" s="281">
        <v>0.1</v>
      </c>
      <c r="BP32" s="281">
        <v>0.1</v>
      </c>
      <c r="BQ32" s="281">
        <v>0.1</v>
      </c>
      <c r="BR32" s="286">
        <v>0</v>
      </c>
    </row>
    <row r="33" spans="1:70" ht="14.25" customHeight="1" x14ac:dyDescent="0.35">
      <c r="A33" s="4" t="s">
        <v>435</v>
      </c>
      <c r="B33" s="384">
        <v>6903.5895</v>
      </c>
      <c r="C33" s="385"/>
      <c r="D33" s="41" t="s">
        <v>96</v>
      </c>
      <c r="E33" s="93">
        <v>0</v>
      </c>
      <c r="F33" s="93">
        <v>2025</v>
      </c>
      <c r="G33" s="93">
        <v>2050</v>
      </c>
      <c r="I33" s="41" t="s">
        <v>96</v>
      </c>
      <c r="J33" s="281">
        <v>0.1</v>
      </c>
      <c r="K33" s="281">
        <v>0.1</v>
      </c>
      <c r="L33" s="281">
        <v>0.1</v>
      </c>
      <c r="M33" s="281">
        <v>0.1</v>
      </c>
      <c r="N33" s="281">
        <v>0.1</v>
      </c>
      <c r="O33" s="281">
        <v>0.1</v>
      </c>
      <c r="P33" s="281">
        <v>0.1</v>
      </c>
      <c r="Q33" s="281">
        <v>0.1</v>
      </c>
      <c r="R33" s="281">
        <v>0.1</v>
      </c>
      <c r="S33" s="281">
        <v>0.1</v>
      </c>
      <c r="T33" s="281">
        <v>0.1</v>
      </c>
      <c r="U33" s="281">
        <v>0.1</v>
      </c>
      <c r="V33" s="281">
        <v>0.1</v>
      </c>
      <c r="W33" s="281">
        <v>0.1</v>
      </c>
      <c r="X33" s="281">
        <v>0.1</v>
      </c>
      <c r="Y33" s="281">
        <v>0.1</v>
      </c>
      <c r="Z33" s="281">
        <v>0.1</v>
      </c>
      <c r="AA33" s="281">
        <v>0.1</v>
      </c>
      <c r="AB33" s="281">
        <v>0.1</v>
      </c>
      <c r="AC33" s="281">
        <v>0.1</v>
      </c>
      <c r="AD33" s="281">
        <v>0.1</v>
      </c>
      <c r="AE33" s="281">
        <v>0.1</v>
      </c>
      <c r="AF33" s="281">
        <v>0.1</v>
      </c>
      <c r="AG33" s="281">
        <v>0.1</v>
      </c>
      <c r="AH33" s="281">
        <v>0.1</v>
      </c>
      <c r="AI33" s="281">
        <v>0.1</v>
      </c>
      <c r="AJ33" s="281">
        <v>0.1</v>
      </c>
      <c r="AK33" s="281">
        <v>0.1</v>
      </c>
      <c r="AL33" s="281">
        <v>0.1</v>
      </c>
      <c r="AM33" s="281">
        <v>0.1</v>
      </c>
      <c r="AN33" s="281">
        <v>0.1</v>
      </c>
      <c r="AO33" s="281">
        <v>0.1</v>
      </c>
      <c r="AP33" s="281">
        <v>0.1</v>
      </c>
      <c r="AQ33" s="281">
        <v>0.1</v>
      </c>
      <c r="AR33" s="281">
        <v>0.1</v>
      </c>
      <c r="AS33" s="281">
        <v>0.1</v>
      </c>
      <c r="AT33" s="281">
        <v>0.1</v>
      </c>
      <c r="AU33" s="281">
        <v>0.1</v>
      </c>
      <c r="AV33" s="281">
        <v>0.1</v>
      </c>
      <c r="AW33" s="281">
        <v>0.1</v>
      </c>
      <c r="AX33" s="281">
        <v>0.1</v>
      </c>
      <c r="AY33" s="281">
        <v>0.1</v>
      </c>
      <c r="AZ33" s="281">
        <v>0.1</v>
      </c>
      <c r="BA33" s="281">
        <v>0.1</v>
      </c>
      <c r="BB33" s="281">
        <v>0.1</v>
      </c>
      <c r="BC33" s="281">
        <v>0.1</v>
      </c>
      <c r="BD33" s="281">
        <v>0.1</v>
      </c>
      <c r="BE33" s="281">
        <v>0.1</v>
      </c>
      <c r="BF33" s="281">
        <v>0.1</v>
      </c>
      <c r="BG33" s="281">
        <v>0.1</v>
      </c>
      <c r="BH33" s="281">
        <v>0.1</v>
      </c>
      <c r="BI33" s="281">
        <v>0.1</v>
      </c>
      <c r="BJ33" s="281">
        <v>0.1</v>
      </c>
      <c r="BK33" s="281">
        <v>0.1</v>
      </c>
      <c r="BL33" s="281">
        <v>0.1</v>
      </c>
      <c r="BM33" s="281">
        <v>0.1</v>
      </c>
      <c r="BN33" s="281">
        <v>0.1</v>
      </c>
      <c r="BO33" s="281">
        <v>0.1</v>
      </c>
      <c r="BP33" s="281">
        <v>0.1</v>
      </c>
      <c r="BQ33" s="281">
        <v>0.1</v>
      </c>
      <c r="BR33" s="286">
        <v>0</v>
      </c>
    </row>
    <row r="34" spans="1:70" ht="14.25" customHeight="1" x14ac:dyDescent="0.35">
      <c r="A34" s="4" t="s">
        <v>436</v>
      </c>
      <c r="B34" s="384">
        <v>7897.0949999999993</v>
      </c>
      <c r="C34" s="385"/>
      <c r="D34" s="41" t="s">
        <v>97</v>
      </c>
      <c r="E34" s="93">
        <v>0</v>
      </c>
      <c r="F34" s="93">
        <v>2025</v>
      </c>
      <c r="G34" s="93">
        <v>2050</v>
      </c>
      <c r="I34" s="41" t="s">
        <v>97</v>
      </c>
      <c r="J34" s="281">
        <v>0.1</v>
      </c>
      <c r="K34" s="281">
        <v>0.1</v>
      </c>
      <c r="L34" s="281">
        <v>0.1</v>
      </c>
      <c r="M34" s="281">
        <v>0.1</v>
      </c>
      <c r="N34" s="281">
        <v>0.1</v>
      </c>
      <c r="O34" s="281">
        <v>0.1</v>
      </c>
      <c r="P34" s="281">
        <v>0.1</v>
      </c>
      <c r="Q34" s="281">
        <v>0.1</v>
      </c>
      <c r="R34" s="281">
        <v>0.1</v>
      </c>
      <c r="S34" s="281">
        <v>0.1</v>
      </c>
      <c r="T34" s="281">
        <v>0.1</v>
      </c>
      <c r="U34" s="281">
        <v>0.1</v>
      </c>
      <c r="V34" s="281">
        <v>0.1</v>
      </c>
      <c r="W34" s="281">
        <v>0.1</v>
      </c>
      <c r="X34" s="281">
        <v>0.1</v>
      </c>
      <c r="Y34" s="281">
        <v>0.1</v>
      </c>
      <c r="Z34" s="281">
        <v>0.1</v>
      </c>
      <c r="AA34" s="281">
        <v>0.1</v>
      </c>
      <c r="AB34" s="281">
        <v>0.1</v>
      </c>
      <c r="AC34" s="281">
        <v>0.1</v>
      </c>
      <c r="AD34" s="281">
        <v>0.1</v>
      </c>
      <c r="AE34" s="281">
        <v>0.1</v>
      </c>
      <c r="AF34" s="281">
        <v>0.1</v>
      </c>
      <c r="AG34" s="281">
        <v>0.1</v>
      </c>
      <c r="AH34" s="281">
        <v>0.1</v>
      </c>
      <c r="AI34" s="281">
        <v>0.1</v>
      </c>
      <c r="AJ34" s="281">
        <v>0.1</v>
      </c>
      <c r="AK34" s="281">
        <v>0.1</v>
      </c>
      <c r="AL34" s="281">
        <v>0.1</v>
      </c>
      <c r="AM34" s="281">
        <v>0.1</v>
      </c>
      <c r="AN34" s="281">
        <v>0.1</v>
      </c>
      <c r="AO34" s="281">
        <v>0.1</v>
      </c>
      <c r="AP34" s="281">
        <v>0.1</v>
      </c>
      <c r="AQ34" s="281">
        <v>0.1</v>
      </c>
      <c r="AR34" s="281">
        <v>0.1</v>
      </c>
      <c r="AS34" s="281">
        <v>0.1</v>
      </c>
      <c r="AT34" s="281">
        <v>0.1</v>
      </c>
      <c r="AU34" s="281">
        <v>0.1</v>
      </c>
      <c r="AV34" s="281">
        <v>0.1</v>
      </c>
      <c r="AW34" s="281">
        <v>0.1</v>
      </c>
      <c r="AX34" s="281">
        <v>0.1</v>
      </c>
      <c r="AY34" s="281">
        <v>0.1</v>
      </c>
      <c r="AZ34" s="281">
        <v>0.1</v>
      </c>
      <c r="BA34" s="281">
        <v>0.1</v>
      </c>
      <c r="BB34" s="281">
        <v>0.1</v>
      </c>
      <c r="BC34" s="281">
        <v>0.1</v>
      </c>
      <c r="BD34" s="281">
        <v>0.1</v>
      </c>
      <c r="BE34" s="281">
        <v>0.1</v>
      </c>
      <c r="BF34" s="281">
        <v>0.1</v>
      </c>
      <c r="BG34" s="281">
        <v>0.1</v>
      </c>
      <c r="BH34" s="281">
        <v>0.1</v>
      </c>
      <c r="BI34" s="281">
        <v>0.1</v>
      </c>
      <c r="BJ34" s="281">
        <v>0.1</v>
      </c>
      <c r="BK34" s="281">
        <v>0.1</v>
      </c>
      <c r="BL34" s="281">
        <v>0.1</v>
      </c>
      <c r="BM34" s="281">
        <v>0.1</v>
      </c>
      <c r="BN34" s="281">
        <v>0.1</v>
      </c>
      <c r="BO34" s="281">
        <v>0.1</v>
      </c>
      <c r="BP34" s="281">
        <v>0.1</v>
      </c>
      <c r="BQ34" s="281">
        <v>0.1</v>
      </c>
      <c r="BR34" s="286">
        <v>0</v>
      </c>
    </row>
    <row r="35" spans="1:70" ht="14.25" customHeight="1" x14ac:dyDescent="0.35">
      <c r="A35" s="4" t="s">
        <v>437</v>
      </c>
      <c r="B35" s="384">
        <v>13776.987000000001</v>
      </c>
      <c r="C35" s="385"/>
      <c r="D35" s="41" t="s">
        <v>98</v>
      </c>
      <c r="E35" s="93">
        <v>0</v>
      </c>
      <c r="F35" s="93">
        <v>2025</v>
      </c>
      <c r="G35" s="93">
        <v>2050</v>
      </c>
      <c r="I35" s="41" t="s">
        <v>98</v>
      </c>
      <c r="J35" s="281">
        <v>0.1</v>
      </c>
      <c r="K35" s="281">
        <v>0.1</v>
      </c>
      <c r="L35" s="281">
        <v>0.1</v>
      </c>
      <c r="M35" s="281">
        <v>0.1</v>
      </c>
      <c r="N35" s="281">
        <v>0.1</v>
      </c>
      <c r="O35" s="281">
        <v>0.1</v>
      </c>
      <c r="P35" s="281">
        <v>0.1</v>
      </c>
      <c r="Q35" s="281">
        <v>0.1</v>
      </c>
      <c r="R35" s="281">
        <v>0.1</v>
      </c>
      <c r="S35" s="281">
        <v>0.1</v>
      </c>
      <c r="T35" s="281">
        <v>0.1</v>
      </c>
      <c r="U35" s="281">
        <v>0.1</v>
      </c>
      <c r="V35" s="281">
        <v>0.1</v>
      </c>
      <c r="W35" s="281">
        <v>0.1</v>
      </c>
      <c r="X35" s="281">
        <v>0.1</v>
      </c>
      <c r="Y35" s="281">
        <v>0.1</v>
      </c>
      <c r="Z35" s="281">
        <v>0.1</v>
      </c>
      <c r="AA35" s="281">
        <v>0.1</v>
      </c>
      <c r="AB35" s="281">
        <v>0.1</v>
      </c>
      <c r="AC35" s="281">
        <v>0.1</v>
      </c>
      <c r="AD35" s="281">
        <v>0.1</v>
      </c>
      <c r="AE35" s="281">
        <v>0.1</v>
      </c>
      <c r="AF35" s="281">
        <v>0.1</v>
      </c>
      <c r="AG35" s="281">
        <v>0.1</v>
      </c>
      <c r="AH35" s="281">
        <v>0.1</v>
      </c>
      <c r="AI35" s="281">
        <v>0.1</v>
      </c>
      <c r="AJ35" s="281">
        <v>0.1</v>
      </c>
      <c r="AK35" s="281">
        <v>0.1</v>
      </c>
      <c r="AL35" s="281">
        <v>0.1</v>
      </c>
      <c r="AM35" s="281">
        <v>0.1</v>
      </c>
      <c r="AN35" s="281">
        <v>0.1</v>
      </c>
      <c r="AO35" s="281">
        <v>0.1</v>
      </c>
      <c r="AP35" s="281">
        <v>0.1</v>
      </c>
      <c r="AQ35" s="281">
        <v>0.1</v>
      </c>
      <c r="AR35" s="281">
        <v>0.1</v>
      </c>
      <c r="AS35" s="281">
        <v>0.1</v>
      </c>
      <c r="AT35" s="281">
        <v>0.1</v>
      </c>
      <c r="AU35" s="281">
        <v>0.1</v>
      </c>
      <c r="AV35" s="281">
        <v>0.1</v>
      </c>
      <c r="AW35" s="281">
        <v>0.1</v>
      </c>
      <c r="AX35" s="281">
        <v>0.1</v>
      </c>
      <c r="AY35" s="281">
        <v>0.1</v>
      </c>
      <c r="AZ35" s="281">
        <v>0.1</v>
      </c>
      <c r="BA35" s="281">
        <v>0.1</v>
      </c>
      <c r="BB35" s="281">
        <v>0.1</v>
      </c>
      <c r="BC35" s="281">
        <v>0.1</v>
      </c>
      <c r="BD35" s="281">
        <v>0.1</v>
      </c>
      <c r="BE35" s="281">
        <v>0.1</v>
      </c>
      <c r="BF35" s="281">
        <v>0.1</v>
      </c>
      <c r="BG35" s="281">
        <v>0.1</v>
      </c>
      <c r="BH35" s="281">
        <v>0.1</v>
      </c>
      <c r="BI35" s="281">
        <v>0.1</v>
      </c>
      <c r="BJ35" s="281">
        <v>0.1</v>
      </c>
      <c r="BK35" s="281">
        <v>0.1</v>
      </c>
      <c r="BL35" s="281">
        <v>0.1</v>
      </c>
      <c r="BM35" s="281">
        <v>0.1</v>
      </c>
      <c r="BN35" s="281">
        <v>0.1</v>
      </c>
      <c r="BO35" s="281">
        <v>0.1</v>
      </c>
      <c r="BP35" s="281">
        <v>0.1</v>
      </c>
      <c r="BQ35" s="281">
        <v>0.1</v>
      </c>
      <c r="BR35" s="286">
        <v>0</v>
      </c>
    </row>
    <row r="36" spans="1:70" ht="14.25" customHeight="1" x14ac:dyDescent="0.35">
      <c r="A36" s="4" t="s">
        <v>438</v>
      </c>
      <c r="B36" s="384">
        <v>7489.5029999999988</v>
      </c>
      <c r="C36" s="385"/>
      <c r="D36" s="41" t="s">
        <v>163</v>
      </c>
      <c r="E36" s="93">
        <v>0</v>
      </c>
      <c r="F36" s="93">
        <v>2025</v>
      </c>
      <c r="G36" s="93">
        <v>2050</v>
      </c>
      <c r="I36" s="41" t="s">
        <v>163</v>
      </c>
      <c r="J36" s="281">
        <v>0.1</v>
      </c>
      <c r="K36" s="281">
        <v>0.1</v>
      </c>
      <c r="L36" s="281">
        <v>0.1</v>
      </c>
      <c r="M36" s="281">
        <v>0.1</v>
      </c>
      <c r="N36" s="281">
        <v>0.1</v>
      </c>
      <c r="O36" s="281">
        <v>0.1</v>
      </c>
      <c r="P36" s="281">
        <v>0.1</v>
      </c>
      <c r="Q36" s="281">
        <v>0.1</v>
      </c>
      <c r="R36" s="281">
        <v>0.1</v>
      </c>
      <c r="S36" s="281">
        <v>0.1</v>
      </c>
      <c r="T36" s="281">
        <v>0.1</v>
      </c>
      <c r="U36" s="281">
        <v>0.1</v>
      </c>
      <c r="V36" s="281">
        <v>0.1</v>
      </c>
      <c r="W36" s="281">
        <v>0.1</v>
      </c>
      <c r="X36" s="281">
        <v>0.1</v>
      </c>
      <c r="Y36" s="281">
        <v>0.1</v>
      </c>
      <c r="Z36" s="281">
        <v>0.1</v>
      </c>
      <c r="AA36" s="281">
        <v>0.1</v>
      </c>
      <c r="AB36" s="281">
        <v>0.1</v>
      </c>
      <c r="AC36" s="281">
        <v>0.1</v>
      </c>
      <c r="AD36" s="281">
        <v>0.1</v>
      </c>
      <c r="AE36" s="281">
        <v>0.1</v>
      </c>
      <c r="AF36" s="281">
        <v>0.1</v>
      </c>
      <c r="AG36" s="281">
        <v>0.1</v>
      </c>
      <c r="AH36" s="281">
        <v>0.1</v>
      </c>
      <c r="AI36" s="281">
        <v>0.1</v>
      </c>
      <c r="AJ36" s="281">
        <v>0.1</v>
      </c>
      <c r="AK36" s="281">
        <v>0.1</v>
      </c>
      <c r="AL36" s="281">
        <v>0.1</v>
      </c>
      <c r="AM36" s="281">
        <v>0.1</v>
      </c>
      <c r="AN36" s="281">
        <v>0.1</v>
      </c>
      <c r="AO36" s="281">
        <v>0.1</v>
      </c>
      <c r="AP36" s="281">
        <v>0.1</v>
      </c>
      <c r="AQ36" s="281">
        <v>0.1</v>
      </c>
      <c r="AR36" s="281">
        <v>0.1</v>
      </c>
      <c r="AS36" s="281">
        <v>0.1</v>
      </c>
      <c r="AT36" s="281">
        <v>0.1</v>
      </c>
      <c r="AU36" s="281">
        <v>0.1</v>
      </c>
      <c r="AV36" s="281">
        <v>0.1</v>
      </c>
      <c r="AW36" s="281">
        <v>0.1</v>
      </c>
      <c r="AX36" s="281">
        <v>0.1</v>
      </c>
      <c r="AY36" s="281">
        <v>0.1</v>
      </c>
      <c r="AZ36" s="281">
        <v>0.1</v>
      </c>
      <c r="BA36" s="281">
        <v>0.1</v>
      </c>
      <c r="BB36" s="281">
        <v>0.1</v>
      </c>
      <c r="BC36" s="281">
        <v>0.1</v>
      </c>
      <c r="BD36" s="281">
        <v>0.1</v>
      </c>
      <c r="BE36" s="281">
        <v>0.1</v>
      </c>
      <c r="BF36" s="281">
        <v>0.1</v>
      </c>
      <c r="BG36" s="281">
        <v>0.1</v>
      </c>
      <c r="BH36" s="281">
        <v>0.1</v>
      </c>
      <c r="BI36" s="281">
        <v>0.1</v>
      </c>
      <c r="BJ36" s="281">
        <v>0.1</v>
      </c>
      <c r="BK36" s="281">
        <v>0.1</v>
      </c>
      <c r="BL36" s="281">
        <v>0.1</v>
      </c>
      <c r="BM36" s="281">
        <v>0.1</v>
      </c>
      <c r="BN36" s="281">
        <v>0.1</v>
      </c>
      <c r="BO36" s="281">
        <v>0.1</v>
      </c>
      <c r="BP36" s="281">
        <v>0.1</v>
      </c>
      <c r="BQ36" s="281">
        <v>0.1</v>
      </c>
      <c r="BR36" s="286">
        <v>0</v>
      </c>
    </row>
    <row r="37" spans="1:70" ht="14.25" customHeight="1" x14ac:dyDescent="0.35">
      <c r="A37" s="4" t="s">
        <v>439</v>
      </c>
      <c r="B37" s="384">
        <v>11166.322499999998</v>
      </c>
      <c r="C37" s="385"/>
      <c r="D37" s="41" t="s">
        <v>100</v>
      </c>
      <c r="E37" s="93">
        <v>0</v>
      </c>
      <c r="F37" s="93">
        <v>2025</v>
      </c>
      <c r="G37" s="93">
        <v>2050</v>
      </c>
      <c r="I37" s="41" t="s">
        <v>100</v>
      </c>
      <c r="J37" s="281">
        <v>0.1</v>
      </c>
      <c r="K37" s="281">
        <v>0.1</v>
      </c>
      <c r="L37" s="281">
        <v>0.1</v>
      </c>
      <c r="M37" s="281">
        <v>0.1</v>
      </c>
      <c r="N37" s="281">
        <v>0.1</v>
      </c>
      <c r="O37" s="281">
        <v>0.1</v>
      </c>
      <c r="P37" s="281">
        <v>0.1</v>
      </c>
      <c r="Q37" s="281">
        <v>0.1</v>
      </c>
      <c r="R37" s="281">
        <v>0.1</v>
      </c>
      <c r="S37" s="281">
        <v>0.1</v>
      </c>
      <c r="T37" s="281">
        <v>0.1</v>
      </c>
      <c r="U37" s="281">
        <v>0.1</v>
      </c>
      <c r="V37" s="281">
        <v>0.1</v>
      </c>
      <c r="W37" s="281">
        <v>0.1</v>
      </c>
      <c r="X37" s="281">
        <v>0.1</v>
      </c>
      <c r="Y37" s="281">
        <v>0.1</v>
      </c>
      <c r="Z37" s="281">
        <v>0.1</v>
      </c>
      <c r="AA37" s="281">
        <v>0.1</v>
      </c>
      <c r="AB37" s="281">
        <v>0.1</v>
      </c>
      <c r="AC37" s="281">
        <v>0.1</v>
      </c>
      <c r="AD37" s="281">
        <v>0.1</v>
      </c>
      <c r="AE37" s="281">
        <v>0.1</v>
      </c>
      <c r="AF37" s="281">
        <v>0.1</v>
      </c>
      <c r="AG37" s="281">
        <v>0.1</v>
      </c>
      <c r="AH37" s="281">
        <v>0.1</v>
      </c>
      <c r="AI37" s="281">
        <v>0.1</v>
      </c>
      <c r="AJ37" s="281">
        <v>0.1</v>
      </c>
      <c r="AK37" s="281">
        <v>0.1</v>
      </c>
      <c r="AL37" s="281">
        <v>0.1</v>
      </c>
      <c r="AM37" s="281">
        <v>0.1</v>
      </c>
      <c r="AN37" s="281">
        <v>0.1</v>
      </c>
      <c r="AO37" s="281">
        <v>0.1</v>
      </c>
      <c r="AP37" s="281">
        <v>0.1</v>
      </c>
      <c r="AQ37" s="281">
        <v>0.1</v>
      </c>
      <c r="AR37" s="281">
        <v>0.1</v>
      </c>
      <c r="AS37" s="281">
        <v>0.1</v>
      </c>
      <c r="AT37" s="281">
        <v>0.1</v>
      </c>
      <c r="AU37" s="281">
        <v>0.1</v>
      </c>
      <c r="AV37" s="281">
        <v>0.1</v>
      </c>
      <c r="AW37" s="281">
        <v>0.1</v>
      </c>
      <c r="AX37" s="281">
        <v>0.1</v>
      </c>
      <c r="AY37" s="281">
        <v>0.1</v>
      </c>
      <c r="AZ37" s="281">
        <v>0.1</v>
      </c>
      <c r="BA37" s="281">
        <v>0.1</v>
      </c>
      <c r="BB37" s="281">
        <v>0.1</v>
      </c>
      <c r="BC37" s="281">
        <v>0.1</v>
      </c>
      <c r="BD37" s="281">
        <v>0.1</v>
      </c>
      <c r="BE37" s="281">
        <v>0.1</v>
      </c>
      <c r="BF37" s="281">
        <v>0.1</v>
      </c>
      <c r="BG37" s="281">
        <v>0.1</v>
      </c>
      <c r="BH37" s="281">
        <v>0.1</v>
      </c>
      <c r="BI37" s="281">
        <v>0.1</v>
      </c>
      <c r="BJ37" s="281">
        <v>0.1</v>
      </c>
      <c r="BK37" s="281">
        <v>0.1</v>
      </c>
      <c r="BL37" s="281">
        <v>0.1</v>
      </c>
      <c r="BM37" s="281">
        <v>0.1</v>
      </c>
      <c r="BN37" s="281">
        <v>0.1</v>
      </c>
      <c r="BO37" s="281">
        <v>0.1</v>
      </c>
      <c r="BP37" s="281">
        <v>0.1</v>
      </c>
      <c r="BQ37" s="281">
        <v>0.1</v>
      </c>
      <c r="BR37" s="286">
        <v>0</v>
      </c>
    </row>
    <row r="38" spans="1:70" ht="14.25" customHeight="1" x14ac:dyDescent="0.35">
      <c r="A38" s="4" t="s">
        <v>440</v>
      </c>
      <c r="B38" s="384">
        <v>5859.1350000000002</v>
      </c>
      <c r="C38" s="385"/>
      <c r="D38" s="41" t="s">
        <v>101</v>
      </c>
      <c r="E38" s="93">
        <v>0</v>
      </c>
      <c r="F38" s="93">
        <v>2025</v>
      </c>
      <c r="G38" s="93">
        <v>2050</v>
      </c>
      <c r="I38" s="41" t="s">
        <v>101</v>
      </c>
      <c r="J38" s="281">
        <v>0.1</v>
      </c>
      <c r="K38" s="281">
        <v>0.1</v>
      </c>
      <c r="L38" s="281">
        <v>0.1</v>
      </c>
      <c r="M38" s="281">
        <v>0.1</v>
      </c>
      <c r="N38" s="281">
        <v>0.1</v>
      </c>
      <c r="O38" s="281">
        <v>0.1</v>
      </c>
      <c r="P38" s="281">
        <v>0.1</v>
      </c>
      <c r="Q38" s="281">
        <v>0.1</v>
      </c>
      <c r="R38" s="281">
        <v>0.1</v>
      </c>
      <c r="S38" s="281">
        <v>0.1</v>
      </c>
      <c r="T38" s="281">
        <v>0.1</v>
      </c>
      <c r="U38" s="281">
        <v>0.1</v>
      </c>
      <c r="V38" s="281">
        <v>0.1</v>
      </c>
      <c r="W38" s="281">
        <v>0.1</v>
      </c>
      <c r="X38" s="281">
        <v>0.1</v>
      </c>
      <c r="Y38" s="281">
        <v>0.1</v>
      </c>
      <c r="Z38" s="281">
        <v>0.1</v>
      </c>
      <c r="AA38" s="281">
        <v>0.1</v>
      </c>
      <c r="AB38" s="281">
        <v>0.1</v>
      </c>
      <c r="AC38" s="281">
        <v>0.1</v>
      </c>
      <c r="AD38" s="281">
        <v>0.1</v>
      </c>
      <c r="AE38" s="281">
        <v>0.1</v>
      </c>
      <c r="AF38" s="281">
        <v>0.1</v>
      </c>
      <c r="AG38" s="281">
        <v>0.1</v>
      </c>
      <c r="AH38" s="281">
        <v>0.1</v>
      </c>
      <c r="AI38" s="281">
        <v>0.1</v>
      </c>
      <c r="AJ38" s="281">
        <v>0.1</v>
      </c>
      <c r="AK38" s="281">
        <v>0.1</v>
      </c>
      <c r="AL38" s="281">
        <v>0.1</v>
      </c>
      <c r="AM38" s="281">
        <v>0.1</v>
      </c>
      <c r="AN38" s="281">
        <v>0.1</v>
      </c>
      <c r="AO38" s="281">
        <v>0.1</v>
      </c>
      <c r="AP38" s="281">
        <v>0.1</v>
      </c>
      <c r="AQ38" s="281">
        <v>0.1</v>
      </c>
      <c r="AR38" s="281">
        <v>0.1</v>
      </c>
      <c r="AS38" s="281">
        <v>0.1</v>
      </c>
      <c r="AT38" s="281">
        <v>0.1</v>
      </c>
      <c r="AU38" s="281">
        <v>0.1</v>
      </c>
      <c r="AV38" s="281">
        <v>0.1</v>
      </c>
      <c r="AW38" s="281">
        <v>0.1</v>
      </c>
      <c r="AX38" s="281">
        <v>0.1</v>
      </c>
      <c r="AY38" s="281">
        <v>0.1</v>
      </c>
      <c r="AZ38" s="281">
        <v>0.1</v>
      </c>
      <c r="BA38" s="281">
        <v>0.1</v>
      </c>
      <c r="BB38" s="281">
        <v>0.1</v>
      </c>
      <c r="BC38" s="281">
        <v>0.1</v>
      </c>
      <c r="BD38" s="281">
        <v>0.1</v>
      </c>
      <c r="BE38" s="281">
        <v>0.1</v>
      </c>
      <c r="BF38" s="281">
        <v>0.1</v>
      </c>
      <c r="BG38" s="281">
        <v>0.1</v>
      </c>
      <c r="BH38" s="281">
        <v>0.1</v>
      </c>
      <c r="BI38" s="281">
        <v>0.1</v>
      </c>
      <c r="BJ38" s="281">
        <v>0.1</v>
      </c>
      <c r="BK38" s="281">
        <v>0.1</v>
      </c>
      <c r="BL38" s="281">
        <v>0.1</v>
      </c>
      <c r="BM38" s="281">
        <v>0.1</v>
      </c>
      <c r="BN38" s="281">
        <v>0.1</v>
      </c>
      <c r="BO38" s="281">
        <v>0.1</v>
      </c>
      <c r="BP38" s="281">
        <v>0.1</v>
      </c>
      <c r="BQ38" s="281">
        <v>0.1</v>
      </c>
      <c r="BR38" s="286">
        <v>0</v>
      </c>
    </row>
    <row r="39" spans="1:70" ht="14.25" customHeight="1" x14ac:dyDescent="0.35">
      <c r="A39" s="4" t="s">
        <v>441</v>
      </c>
      <c r="B39" s="384">
        <v>9591.6209999999992</v>
      </c>
      <c r="C39" s="385"/>
      <c r="D39" s="41" t="s">
        <v>102</v>
      </c>
      <c r="E39" s="93">
        <v>0</v>
      </c>
      <c r="F39" s="93">
        <v>2025</v>
      </c>
      <c r="G39" s="93">
        <v>2050</v>
      </c>
      <c r="I39" s="41" t="s">
        <v>102</v>
      </c>
      <c r="J39" s="281">
        <v>0.1</v>
      </c>
      <c r="K39" s="281">
        <v>0.1</v>
      </c>
      <c r="L39" s="281">
        <v>0.1</v>
      </c>
      <c r="M39" s="281">
        <v>0.1</v>
      </c>
      <c r="N39" s="281">
        <v>0.1</v>
      </c>
      <c r="O39" s="281">
        <v>0.1</v>
      </c>
      <c r="P39" s="281">
        <v>0.1</v>
      </c>
      <c r="Q39" s="281">
        <v>0.1</v>
      </c>
      <c r="R39" s="281">
        <v>0.1</v>
      </c>
      <c r="S39" s="281">
        <v>0.1</v>
      </c>
      <c r="T39" s="281">
        <v>0.1</v>
      </c>
      <c r="U39" s="281">
        <v>0.1</v>
      </c>
      <c r="V39" s="281">
        <v>0.1</v>
      </c>
      <c r="W39" s="281">
        <v>0.1</v>
      </c>
      <c r="X39" s="281">
        <v>0.1</v>
      </c>
      <c r="Y39" s="281">
        <v>0.1</v>
      </c>
      <c r="Z39" s="281">
        <v>0.1</v>
      </c>
      <c r="AA39" s="281">
        <v>0.1</v>
      </c>
      <c r="AB39" s="281">
        <v>0.1</v>
      </c>
      <c r="AC39" s="281">
        <v>0.1</v>
      </c>
      <c r="AD39" s="281">
        <v>0.1</v>
      </c>
      <c r="AE39" s="281">
        <v>0.1</v>
      </c>
      <c r="AF39" s="281">
        <v>0.1</v>
      </c>
      <c r="AG39" s="281">
        <v>0.1</v>
      </c>
      <c r="AH39" s="281">
        <v>0.1</v>
      </c>
      <c r="AI39" s="281">
        <v>0.1</v>
      </c>
      <c r="AJ39" s="281">
        <v>0.1</v>
      </c>
      <c r="AK39" s="281">
        <v>0.1</v>
      </c>
      <c r="AL39" s="281">
        <v>0.1</v>
      </c>
      <c r="AM39" s="281">
        <v>0.1</v>
      </c>
      <c r="AN39" s="281">
        <v>0.1</v>
      </c>
      <c r="AO39" s="281">
        <v>0.1</v>
      </c>
      <c r="AP39" s="281">
        <v>0.1</v>
      </c>
      <c r="AQ39" s="281">
        <v>0.1</v>
      </c>
      <c r="AR39" s="281">
        <v>0.1</v>
      </c>
      <c r="AS39" s="281">
        <v>0.1</v>
      </c>
      <c r="AT39" s="281">
        <v>0.1</v>
      </c>
      <c r="AU39" s="281">
        <v>0.1</v>
      </c>
      <c r="AV39" s="281">
        <v>0.1</v>
      </c>
      <c r="AW39" s="281">
        <v>0.1</v>
      </c>
      <c r="AX39" s="281">
        <v>0.1</v>
      </c>
      <c r="AY39" s="281">
        <v>0.1</v>
      </c>
      <c r="AZ39" s="281">
        <v>0.1</v>
      </c>
      <c r="BA39" s="281">
        <v>0.1</v>
      </c>
      <c r="BB39" s="281">
        <v>0.1</v>
      </c>
      <c r="BC39" s="281">
        <v>0.1</v>
      </c>
      <c r="BD39" s="281">
        <v>0.1</v>
      </c>
      <c r="BE39" s="281">
        <v>0.1</v>
      </c>
      <c r="BF39" s="281">
        <v>0.1</v>
      </c>
      <c r="BG39" s="281">
        <v>0.1</v>
      </c>
      <c r="BH39" s="281">
        <v>0.1</v>
      </c>
      <c r="BI39" s="281">
        <v>0.1</v>
      </c>
      <c r="BJ39" s="281">
        <v>0.1</v>
      </c>
      <c r="BK39" s="281">
        <v>0.1</v>
      </c>
      <c r="BL39" s="281">
        <v>0.1</v>
      </c>
      <c r="BM39" s="281">
        <v>0.1</v>
      </c>
      <c r="BN39" s="281">
        <v>0.1</v>
      </c>
      <c r="BO39" s="281">
        <v>0.1</v>
      </c>
      <c r="BP39" s="281">
        <v>0.1</v>
      </c>
      <c r="BQ39" s="281">
        <v>0.1</v>
      </c>
      <c r="BR39" s="286">
        <v>0</v>
      </c>
    </row>
    <row r="40" spans="1:70" ht="14.25" customHeight="1" x14ac:dyDescent="0.35">
      <c r="A40" s="4" t="s">
        <v>442</v>
      </c>
      <c r="B40" s="384">
        <v>8616.0419999999995</v>
      </c>
      <c r="C40" s="385"/>
      <c r="D40" s="41" t="s">
        <v>103</v>
      </c>
      <c r="E40" s="93">
        <v>0</v>
      </c>
      <c r="F40" s="93">
        <v>2025</v>
      </c>
      <c r="G40" s="93">
        <v>2050</v>
      </c>
      <c r="I40" s="41" t="s">
        <v>103</v>
      </c>
      <c r="J40" s="281">
        <v>0.1</v>
      </c>
      <c r="K40" s="281">
        <v>0.1</v>
      </c>
      <c r="L40" s="281">
        <v>0.1</v>
      </c>
      <c r="M40" s="281">
        <v>0.1</v>
      </c>
      <c r="N40" s="281">
        <v>0.1</v>
      </c>
      <c r="O40" s="281">
        <v>0.1</v>
      </c>
      <c r="P40" s="281">
        <v>0.1</v>
      </c>
      <c r="Q40" s="281">
        <v>0.1</v>
      </c>
      <c r="R40" s="281">
        <v>0.1</v>
      </c>
      <c r="S40" s="281">
        <v>0.1</v>
      </c>
      <c r="T40" s="281">
        <v>0.1</v>
      </c>
      <c r="U40" s="281">
        <v>0.1</v>
      </c>
      <c r="V40" s="281">
        <v>0.1</v>
      </c>
      <c r="W40" s="281">
        <v>0.1</v>
      </c>
      <c r="X40" s="281">
        <v>0.1</v>
      </c>
      <c r="Y40" s="281">
        <v>0.1</v>
      </c>
      <c r="Z40" s="281">
        <v>0.1</v>
      </c>
      <c r="AA40" s="281">
        <v>0.1</v>
      </c>
      <c r="AB40" s="281">
        <v>0.1</v>
      </c>
      <c r="AC40" s="281">
        <v>0.1</v>
      </c>
      <c r="AD40" s="281">
        <v>0.1</v>
      </c>
      <c r="AE40" s="281">
        <v>0.1</v>
      </c>
      <c r="AF40" s="281">
        <v>0.1</v>
      </c>
      <c r="AG40" s="281">
        <v>0.1</v>
      </c>
      <c r="AH40" s="281">
        <v>0.1</v>
      </c>
      <c r="AI40" s="281">
        <v>0.1</v>
      </c>
      <c r="AJ40" s="281">
        <v>0.1</v>
      </c>
      <c r="AK40" s="281">
        <v>0.1</v>
      </c>
      <c r="AL40" s="281">
        <v>0.1</v>
      </c>
      <c r="AM40" s="281">
        <v>0.1</v>
      </c>
      <c r="AN40" s="281">
        <v>0.1</v>
      </c>
      <c r="AO40" s="281">
        <v>0.1</v>
      </c>
      <c r="AP40" s="281">
        <v>0.1</v>
      </c>
      <c r="AQ40" s="281">
        <v>0.1</v>
      </c>
      <c r="AR40" s="281">
        <v>0.1</v>
      </c>
      <c r="AS40" s="281">
        <v>0.1</v>
      </c>
      <c r="AT40" s="281">
        <v>0.1</v>
      </c>
      <c r="AU40" s="281">
        <v>0.1</v>
      </c>
      <c r="AV40" s="281">
        <v>0.1</v>
      </c>
      <c r="AW40" s="281">
        <v>0.1</v>
      </c>
      <c r="AX40" s="281">
        <v>0.1</v>
      </c>
      <c r="AY40" s="281">
        <v>0.1</v>
      </c>
      <c r="AZ40" s="281">
        <v>0.1</v>
      </c>
      <c r="BA40" s="281">
        <v>0.1</v>
      </c>
      <c r="BB40" s="281">
        <v>0.1</v>
      </c>
      <c r="BC40" s="281">
        <v>0.1</v>
      </c>
      <c r="BD40" s="281">
        <v>0.1</v>
      </c>
      <c r="BE40" s="281">
        <v>0.1</v>
      </c>
      <c r="BF40" s="281">
        <v>0.1</v>
      </c>
      <c r="BG40" s="281">
        <v>0.1</v>
      </c>
      <c r="BH40" s="281">
        <v>0.1</v>
      </c>
      <c r="BI40" s="281">
        <v>0.1</v>
      </c>
      <c r="BJ40" s="281">
        <v>0.1</v>
      </c>
      <c r="BK40" s="281">
        <v>0.1</v>
      </c>
      <c r="BL40" s="281">
        <v>0.1</v>
      </c>
      <c r="BM40" s="281">
        <v>0.1</v>
      </c>
      <c r="BN40" s="281">
        <v>0.1</v>
      </c>
      <c r="BO40" s="281">
        <v>0.1</v>
      </c>
      <c r="BP40" s="281">
        <v>0.1</v>
      </c>
      <c r="BQ40" s="281">
        <v>0.1</v>
      </c>
      <c r="BR40" s="286">
        <v>0</v>
      </c>
    </row>
    <row r="41" spans="1:70" ht="14.25" customHeight="1" x14ac:dyDescent="0.35">
      <c r="A41" s="4" t="s">
        <v>443</v>
      </c>
      <c r="B41" s="384">
        <v>8642.4599999999991</v>
      </c>
      <c r="C41" s="385"/>
      <c r="D41" s="41" t="s">
        <v>104</v>
      </c>
      <c r="E41" s="93">
        <v>0</v>
      </c>
      <c r="F41" s="93">
        <v>2025</v>
      </c>
      <c r="G41" s="93">
        <v>2050</v>
      </c>
      <c r="I41" s="41" t="s">
        <v>104</v>
      </c>
      <c r="J41" s="281">
        <v>0.1</v>
      </c>
      <c r="K41" s="281">
        <v>0.1</v>
      </c>
      <c r="L41" s="281">
        <v>0.1</v>
      </c>
      <c r="M41" s="281">
        <v>0.1</v>
      </c>
      <c r="N41" s="281">
        <v>0.1</v>
      </c>
      <c r="O41" s="281">
        <v>0.1</v>
      </c>
      <c r="P41" s="281">
        <v>0.1</v>
      </c>
      <c r="Q41" s="281">
        <v>0.1</v>
      </c>
      <c r="R41" s="281">
        <v>0.1</v>
      </c>
      <c r="S41" s="281">
        <v>0.1</v>
      </c>
      <c r="T41" s="281">
        <v>0.1</v>
      </c>
      <c r="U41" s="281">
        <v>0.1</v>
      </c>
      <c r="V41" s="281">
        <v>0.1</v>
      </c>
      <c r="W41" s="281">
        <v>0.1</v>
      </c>
      <c r="X41" s="281">
        <v>0.1</v>
      </c>
      <c r="Y41" s="281">
        <v>0.1</v>
      </c>
      <c r="Z41" s="281">
        <v>0.1</v>
      </c>
      <c r="AA41" s="281">
        <v>0.1</v>
      </c>
      <c r="AB41" s="281">
        <v>0.1</v>
      </c>
      <c r="AC41" s="281">
        <v>0.1</v>
      </c>
      <c r="AD41" s="281">
        <v>0.1</v>
      </c>
      <c r="AE41" s="281">
        <v>0.1</v>
      </c>
      <c r="AF41" s="281">
        <v>0.1</v>
      </c>
      <c r="AG41" s="281">
        <v>0.1</v>
      </c>
      <c r="AH41" s="281">
        <v>0.1</v>
      </c>
      <c r="AI41" s="281">
        <v>0.1</v>
      </c>
      <c r="AJ41" s="281">
        <v>0.1</v>
      </c>
      <c r="AK41" s="281">
        <v>0.1</v>
      </c>
      <c r="AL41" s="281">
        <v>0.1</v>
      </c>
      <c r="AM41" s="281">
        <v>0.1</v>
      </c>
      <c r="AN41" s="281">
        <v>0.1</v>
      </c>
      <c r="AO41" s="281">
        <v>0.1</v>
      </c>
      <c r="AP41" s="281">
        <v>0.1</v>
      </c>
      <c r="AQ41" s="281">
        <v>0.1</v>
      </c>
      <c r="AR41" s="281">
        <v>0.1</v>
      </c>
      <c r="AS41" s="281">
        <v>0.1</v>
      </c>
      <c r="AT41" s="281">
        <v>0.1</v>
      </c>
      <c r="AU41" s="281">
        <v>0.1</v>
      </c>
      <c r="AV41" s="281">
        <v>0.1</v>
      </c>
      <c r="AW41" s="281">
        <v>0.1</v>
      </c>
      <c r="AX41" s="281">
        <v>0.1</v>
      </c>
      <c r="AY41" s="281">
        <v>0.1</v>
      </c>
      <c r="AZ41" s="281">
        <v>0.1</v>
      </c>
      <c r="BA41" s="281">
        <v>0.1</v>
      </c>
      <c r="BB41" s="281">
        <v>0.1</v>
      </c>
      <c r="BC41" s="281">
        <v>0.1</v>
      </c>
      <c r="BD41" s="281">
        <v>0.1</v>
      </c>
      <c r="BE41" s="281">
        <v>0.1</v>
      </c>
      <c r="BF41" s="281">
        <v>0.1</v>
      </c>
      <c r="BG41" s="281">
        <v>0.1</v>
      </c>
      <c r="BH41" s="281">
        <v>0.1</v>
      </c>
      <c r="BI41" s="281">
        <v>0.1</v>
      </c>
      <c r="BJ41" s="281">
        <v>0.1</v>
      </c>
      <c r="BK41" s="281">
        <v>0.1</v>
      </c>
      <c r="BL41" s="281">
        <v>0.1</v>
      </c>
      <c r="BM41" s="281">
        <v>0.1</v>
      </c>
      <c r="BN41" s="281">
        <v>0.1</v>
      </c>
      <c r="BO41" s="281">
        <v>0.1</v>
      </c>
      <c r="BP41" s="281">
        <v>0.1</v>
      </c>
      <c r="BQ41" s="281">
        <v>0.1</v>
      </c>
      <c r="BR41" s="286">
        <v>0</v>
      </c>
    </row>
    <row r="42" spans="1:70" ht="14.25" customHeight="1" x14ac:dyDescent="0.35">
      <c r="A42" s="4" t="s">
        <v>444</v>
      </c>
      <c r="B42" s="384">
        <v>8302.7999999999993</v>
      </c>
      <c r="C42" s="385"/>
      <c r="D42" s="41" t="s">
        <v>105</v>
      </c>
      <c r="E42" s="93">
        <v>0</v>
      </c>
      <c r="F42" s="93">
        <v>2025</v>
      </c>
      <c r="G42" s="93">
        <v>2050</v>
      </c>
      <c r="I42" s="41" t="s">
        <v>105</v>
      </c>
      <c r="J42" s="281">
        <v>0.1</v>
      </c>
      <c r="K42" s="281">
        <v>0.1</v>
      </c>
      <c r="L42" s="281">
        <v>0.1</v>
      </c>
      <c r="M42" s="281">
        <v>0.1</v>
      </c>
      <c r="N42" s="281">
        <v>0.1</v>
      </c>
      <c r="O42" s="281">
        <v>0.1</v>
      </c>
      <c r="P42" s="281">
        <v>0.1</v>
      </c>
      <c r="Q42" s="281">
        <v>0.1</v>
      </c>
      <c r="R42" s="281">
        <v>0.1</v>
      </c>
      <c r="S42" s="281">
        <v>0.1</v>
      </c>
      <c r="T42" s="281">
        <v>0.1</v>
      </c>
      <c r="U42" s="281">
        <v>0.1</v>
      </c>
      <c r="V42" s="281">
        <v>0.1</v>
      </c>
      <c r="W42" s="281">
        <v>0.1</v>
      </c>
      <c r="X42" s="281">
        <v>0.1</v>
      </c>
      <c r="Y42" s="281">
        <v>0.1</v>
      </c>
      <c r="Z42" s="281">
        <v>0.1</v>
      </c>
      <c r="AA42" s="281">
        <v>0.1</v>
      </c>
      <c r="AB42" s="281">
        <v>0.1</v>
      </c>
      <c r="AC42" s="281">
        <v>0.1</v>
      </c>
      <c r="AD42" s="281">
        <v>0.1</v>
      </c>
      <c r="AE42" s="281">
        <v>0.1</v>
      </c>
      <c r="AF42" s="281">
        <v>0.1</v>
      </c>
      <c r="AG42" s="281">
        <v>0.1</v>
      </c>
      <c r="AH42" s="281">
        <v>0.1</v>
      </c>
      <c r="AI42" s="281">
        <v>0.1</v>
      </c>
      <c r="AJ42" s="281">
        <v>0.1</v>
      </c>
      <c r="AK42" s="281">
        <v>0.1</v>
      </c>
      <c r="AL42" s="281">
        <v>0.1</v>
      </c>
      <c r="AM42" s="281">
        <v>0.1</v>
      </c>
      <c r="AN42" s="281">
        <v>0.1</v>
      </c>
      <c r="AO42" s="281">
        <v>0.1</v>
      </c>
      <c r="AP42" s="281">
        <v>0.1</v>
      </c>
      <c r="AQ42" s="281">
        <v>0.1</v>
      </c>
      <c r="AR42" s="281">
        <v>0.1</v>
      </c>
      <c r="AS42" s="281">
        <v>0.1</v>
      </c>
      <c r="AT42" s="281">
        <v>0.1</v>
      </c>
      <c r="AU42" s="281">
        <v>0.1</v>
      </c>
      <c r="AV42" s="281">
        <v>0.1</v>
      </c>
      <c r="AW42" s="281">
        <v>0.1</v>
      </c>
      <c r="AX42" s="281">
        <v>0.1</v>
      </c>
      <c r="AY42" s="281">
        <v>0.1</v>
      </c>
      <c r="AZ42" s="281">
        <v>0.1</v>
      </c>
      <c r="BA42" s="281">
        <v>0.1</v>
      </c>
      <c r="BB42" s="281">
        <v>0.1</v>
      </c>
      <c r="BC42" s="281">
        <v>0.1</v>
      </c>
      <c r="BD42" s="281">
        <v>0.1</v>
      </c>
      <c r="BE42" s="281">
        <v>0.1</v>
      </c>
      <c r="BF42" s="281">
        <v>0.1</v>
      </c>
      <c r="BG42" s="281">
        <v>0.1</v>
      </c>
      <c r="BH42" s="281">
        <v>0.1</v>
      </c>
      <c r="BI42" s="281">
        <v>0.1</v>
      </c>
      <c r="BJ42" s="281">
        <v>0.1</v>
      </c>
      <c r="BK42" s="281">
        <v>0.1</v>
      </c>
      <c r="BL42" s="281">
        <v>0.1</v>
      </c>
      <c r="BM42" s="281">
        <v>0.1</v>
      </c>
      <c r="BN42" s="281">
        <v>0.1</v>
      </c>
      <c r="BO42" s="281">
        <v>0.1</v>
      </c>
      <c r="BP42" s="281">
        <v>0.1</v>
      </c>
      <c r="BQ42" s="281">
        <v>0.1</v>
      </c>
      <c r="BR42" s="286">
        <v>0</v>
      </c>
    </row>
    <row r="43" spans="1:70" ht="14.25" customHeight="1" x14ac:dyDescent="0.35">
      <c r="A43" s="4" t="s">
        <v>445</v>
      </c>
      <c r="B43" s="384">
        <v>7359.2999999999993</v>
      </c>
      <c r="C43" s="385"/>
      <c r="D43" s="41" t="s">
        <v>106</v>
      </c>
      <c r="E43" s="93">
        <v>0</v>
      </c>
      <c r="F43" s="93">
        <v>2025</v>
      </c>
      <c r="G43" s="93">
        <v>2050</v>
      </c>
      <c r="I43" s="41" t="s">
        <v>106</v>
      </c>
      <c r="J43" s="281">
        <v>0.1</v>
      </c>
      <c r="K43" s="281">
        <v>0.1</v>
      </c>
      <c r="L43" s="281">
        <v>0.1</v>
      </c>
      <c r="M43" s="281">
        <v>0.1</v>
      </c>
      <c r="N43" s="281">
        <v>0.1</v>
      </c>
      <c r="O43" s="281">
        <v>0.1</v>
      </c>
      <c r="P43" s="281">
        <v>0.1</v>
      </c>
      <c r="Q43" s="281">
        <v>0.1</v>
      </c>
      <c r="R43" s="281">
        <v>0.1</v>
      </c>
      <c r="S43" s="281">
        <v>0.1</v>
      </c>
      <c r="T43" s="281">
        <v>0.1</v>
      </c>
      <c r="U43" s="281">
        <v>0.1</v>
      </c>
      <c r="V43" s="281">
        <v>0.1</v>
      </c>
      <c r="W43" s="281">
        <v>0.1</v>
      </c>
      <c r="X43" s="281">
        <v>0.1</v>
      </c>
      <c r="Y43" s="281">
        <v>0.1</v>
      </c>
      <c r="Z43" s="281">
        <v>0.1</v>
      </c>
      <c r="AA43" s="281">
        <v>0.1</v>
      </c>
      <c r="AB43" s="281">
        <v>0.1</v>
      </c>
      <c r="AC43" s="281">
        <v>0.1</v>
      </c>
      <c r="AD43" s="281">
        <v>0.1</v>
      </c>
      <c r="AE43" s="281">
        <v>0.1</v>
      </c>
      <c r="AF43" s="281">
        <v>0.1</v>
      </c>
      <c r="AG43" s="281">
        <v>0.1</v>
      </c>
      <c r="AH43" s="281">
        <v>0.1</v>
      </c>
      <c r="AI43" s="281">
        <v>0.1</v>
      </c>
      <c r="AJ43" s="281">
        <v>0.1</v>
      </c>
      <c r="AK43" s="281">
        <v>0.1</v>
      </c>
      <c r="AL43" s="281">
        <v>0.1</v>
      </c>
      <c r="AM43" s="281">
        <v>0.1</v>
      </c>
      <c r="AN43" s="281">
        <v>0.1</v>
      </c>
      <c r="AO43" s="281">
        <v>0.1</v>
      </c>
      <c r="AP43" s="281">
        <v>0.1</v>
      </c>
      <c r="AQ43" s="281">
        <v>0.1</v>
      </c>
      <c r="AR43" s="281">
        <v>0.1</v>
      </c>
      <c r="AS43" s="281">
        <v>0.1</v>
      </c>
      <c r="AT43" s="281">
        <v>0.1</v>
      </c>
      <c r="AU43" s="281">
        <v>0.1</v>
      </c>
      <c r="AV43" s="281">
        <v>0.1</v>
      </c>
      <c r="AW43" s="281">
        <v>0.1</v>
      </c>
      <c r="AX43" s="281">
        <v>0.1</v>
      </c>
      <c r="AY43" s="281">
        <v>0.1</v>
      </c>
      <c r="AZ43" s="281">
        <v>0.1</v>
      </c>
      <c r="BA43" s="281">
        <v>0.1</v>
      </c>
      <c r="BB43" s="281">
        <v>0.1</v>
      </c>
      <c r="BC43" s="281">
        <v>0.1</v>
      </c>
      <c r="BD43" s="281">
        <v>0.1</v>
      </c>
      <c r="BE43" s="281">
        <v>0.1</v>
      </c>
      <c r="BF43" s="281">
        <v>0.1</v>
      </c>
      <c r="BG43" s="281">
        <v>0.1</v>
      </c>
      <c r="BH43" s="281">
        <v>0.1</v>
      </c>
      <c r="BI43" s="281">
        <v>0.1</v>
      </c>
      <c r="BJ43" s="281">
        <v>0.1</v>
      </c>
      <c r="BK43" s="281">
        <v>0.1</v>
      </c>
      <c r="BL43" s="281">
        <v>0.1</v>
      </c>
      <c r="BM43" s="281">
        <v>0.1</v>
      </c>
      <c r="BN43" s="281">
        <v>0.1</v>
      </c>
      <c r="BO43" s="281">
        <v>0.1</v>
      </c>
      <c r="BP43" s="281">
        <v>0.1</v>
      </c>
      <c r="BQ43" s="281">
        <v>0.1</v>
      </c>
      <c r="BR43" s="286">
        <v>0</v>
      </c>
    </row>
    <row r="44" spans="1:70" ht="14.25" customHeight="1" x14ac:dyDescent="0.35">
      <c r="A44" s="4" t="s">
        <v>446</v>
      </c>
      <c r="B44" s="384">
        <v>11354.079</v>
      </c>
      <c r="C44" s="385"/>
      <c r="D44" s="41" t="s">
        <v>107</v>
      </c>
      <c r="E44" s="93">
        <v>0</v>
      </c>
      <c r="F44" s="93">
        <v>2025</v>
      </c>
      <c r="G44" s="93">
        <v>2050</v>
      </c>
      <c r="I44" s="41" t="s">
        <v>107</v>
      </c>
      <c r="J44" s="281">
        <v>0.1</v>
      </c>
      <c r="K44" s="281">
        <v>0.1</v>
      </c>
      <c r="L44" s="281">
        <v>0.1</v>
      </c>
      <c r="M44" s="281">
        <v>0.1</v>
      </c>
      <c r="N44" s="281">
        <v>0.1</v>
      </c>
      <c r="O44" s="281">
        <v>0.1</v>
      </c>
      <c r="P44" s="281">
        <v>0.1</v>
      </c>
      <c r="Q44" s="281">
        <v>0.1</v>
      </c>
      <c r="R44" s="281">
        <v>0.1</v>
      </c>
      <c r="S44" s="281">
        <v>0.1</v>
      </c>
      <c r="T44" s="281">
        <v>0.1</v>
      </c>
      <c r="U44" s="281">
        <v>0.1</v>
      </c>
      <c r="V44" s="281">
        <v>0.1</v>
      </c>
      <c r="W44" s="281">
        <v>0.1</v>
      </c>
      <c r="X44" s="281">
        <v>0.1</v>
      </c>
      <c r="Y44" s="281">
        <v>0.1</v>
      </c>
      <c r="Z44" s="281">
        <v>0.1</v>
      </c>
      <c r="AA44" s="281">
        <v>0.1</v>
      </c>
      <c r="AB44" s="281">
        <v>0.1</v>
      </c>
      <c r="AC44" s="281">
        <v>0.1</v>
      </c>
      <c r="AD44" s="281">
        <v>0.1</v>
      </c>
      <c r="AE44" s="281">
        <v>0.1</v>
      </c>
      <c r="AF44" s="281">
        <v>0.1</v>
      </c>
      <c r="AG44" s="281">
        <v>0.1</v>
      </c>
      <c r="AH44" s="281">
        <v>0.1</v>
      </c>
      <c r="AI44" s="281">
        <v>0.1</v>
      </c>
      <c r="AJ44" s="281">
        <v>0.1</v>
      </c>
      <c r="AK44" s="281">
        <v>0.1</v>
      </c>
      <c r="AL44" s="281">
        <v>0.1</v>
      </c>
      <c r="AM44" s="281">
        <v>0.1</v>
      </c>
      <c r="AN44" s="281">
        <v>0.1</v>
      </c>
      <c r="AO44" s="281">
        <v>0.1</v>
      </c>
      <c r="AP44" s="281">
        <v>0.1</v>
      </c>
      <c r="AQ44" s="281">
        <v>0.1</v>
      </c>
      <c r="AR44" s="281">
        <v>0.1</v>
      </c>
      <c r="AS44" s="281">
        <v>0.1</v>
      </c>
      <c r="AT44" s="281">
        <v>0.1</v>
      </c>
      <c r="AU44" s="281">
        <v>0.1</v>
      </c>
      <c r="AV44" s="281">
        <v>0.1</v>
      </c>
      <c r="AW44" s="281">
        <v>0.1</v>
      </c>
      <c r="AX44" s="281">
        <v>0.1</v>
      </c>
      <c r="AY44" s="281">
        <v>0.1</v>
      </c>
      <c r="AZ44" s="281">
        <v>0.1</v>
      </c>
      <c r="BA44" s="281">
        <v>0.1</v>
      </c>
      <c r="BB44" s="281">
        <v>0.1</v>
      </c>
      <c r="BC44" s="281">
        <v>0.1</v>
      </c>
      <c r="BD44" s="281">
        <v>0.1</v>
      </c>
      <c r="BE44" s="281">
        <v>0.1</v>
      </c>
      <c r="BF44" s="281">
        <v>0.1</v>
      </c>
      <c r="BG44" s="281">
        <v>0.1</v>
      </c>
      <c r="BH44" s="281">
        <v>0.1</v>
      </c>
      <c r="BI44" s="281">
        <v>0.1</v>
      </c>
      <c r="BJ44" s="281">
        <v>0.1</v>
      </c>
      <c r="BK44" s="281">
        <v>0.1</v>
      </c>
      <c r="BL44" s="281">
        <v>0.1</v>
      </c>
      <c r="BM44" s="281">
        <v>0.1</v>
      </c>
      <c r="BN44" s="281">
        <v>0.1</v>
      </c>
      <c r="BO44" s="281">
        <v>0.1</v>
      </c>
      <c r="BP44" s="281">
        <v>0.1</v>
      </c>
      <c r="BQ44" s="281">
        <v>0.1</v>
      </c>
      <c r="BR44" s="286">
        <v>0</v>
      </c>
    </row>
    <row r="45" spans="1:70" ht="14.25" customHeight="1" x14ac:dyDescent="0.35">
      <c r="A45" s="4" t="s">
        <v>447</v>
      </c>
      <c r="B45" s="384">
        <v>8772.6630000000005</v>
      </c>
      <c r="C45" s="385"/>
      <c r="D45" s="41" t="s">
        <v>108</v>
      </c>
      <c r="E45" s="93">
        <v>0</v>
      </c>
      <c r="F45" s="93">
        <v>2025</v>
      </c>
      <c r="G45" s="93">
        <v>2050</v>
      </c>
      <c r="I45" s="41" t="s">
        <v>108</v>
      </c>
      <c r="J45" s="286">
        <v>0</v>
      </c>
      <c r="K45" s="286">
        <v>0</v>
      </c>
      <c r="L45" s="286">
        <v>0</v>
      </c>
      <c r="M45" s="286">
        <v>0</v>
      </c>
      <c r="N45" s="286">
        <v>0</v>
      </c>
      <c r="O45" s="286">
        <v>0</v>
      </c>
      <c r="P45" s="286">
        <v>0</v>
      </c>
      <c r="Q45" s="286">
        <v>0</v>
      </c>
      <c r="R45" s="286">
        <v>0</v>
      </c>
      <c r="S45" s="286">
        <v>0</v>
      </c>
      <c r="T45" s="286">
        <v>0</v>
      </c>
      <c r="U45" s="286">
        <v>0</v>
      </c>
      <c r="V45" s="286">
        <v>0</v>
      </c>
      <c r="W45" s="286">
        <v>0</v>
      </c>
      <c r="X45" s="286">
        <v>0</v>
      </c>
      <c r="Y45" s="286">
        <v>0</v>
      </c>
      <c r="Z45" s="286">
        <v>0</v>
      </c>
      <c r="AA45" s="286">
        <v>0</v>
      </c>
      <c r="AB45" s="286">
        <v>0</v>
      </c>
      <c r="AC45" s="286">
        <v>0</v>
      </c>
      <c r="AD45" s="286">
        <v>0</v>
      </c>
      <c r="AE45" s="286">
        <v>0</v>
      </c>
      <c r="AF45" s="286">
        <v>0</v>
      </c>
      <c r="AG45" s="286">
        <v>0</v>
      </c>
      <c r="AH45" s="286">
        <v>0</v>
      </c>
      <c r="AI45" s="286">
        <v>0</v>
      </c>
      <c r="AJ45" s="286">
        <v>0</v>
      </c>
      <c r="AK45" s="286">
        <v>0</v>
      </c>
      <c r="AL45" s="286">
        <v>0</v>
      </c>
      <c r="AM45" s="286">
        <v>0</v>
      </c>
      <c r="AN45" s="286">
        <v>0</v>
      </c>
      <c r="AO45" s="286">
        <v>0</v>
      </c>
      <c r="AP45" s="286">
        <v>0</v>
      </c>
      <c r="AQ45" s="286">
        <v>0</v>
      </c>
      <c r="AR45" s="286">
        <v>0</v>
      </c>
      <c r="AS45" s="286">
        <v>0</v>
      </c>
      <c r="AT45" s="286">
        <v>0</v>
      </c>
      <c r="AU45" s="286">
        <v>0</v>
      </c>
      <c r="AV45" s="286">
        <v>0</v>
      </c>
      <c r="AW45" s="286">
        <v>0</v>
      </c>
      <c r="AX45" s="286">
        <v>0</v>
      </c>
      <c r="AY45" s="286">
        <v>0</v>
      </c>
      <c r="AZ45" s="286">
        <v>0</v>
      </c>
      <c r="BA45" s="286">
        <v>0</v>
      </c>
      <c r="BB45" s="286">
        <v>0</v>
      </c>
      <c r="BC45" s="286">
        <v>0</v>
      </c>
      <c r="BD45" s="286">
        <v>0</v>
      </c>
      <c r="BE45" s="286">
        <v>0</v>
      </c>
      <c r="BF45" s="286">
        <v>0</v>
      </c>
      <c r="BG45" s="286">
        <v>0</v>
      </c>
      <c r="BH45" s="286">
        <v>0</v>
      </c>
      <c r="BI45" s="286">
        <v>0</v>
      </c>
      <c r="BJ45" s="286">
        <v>0</v>
      </c>
      <c r="BK45" s="286">
        <v>0</v>
      </c>
      <c r="BL45" s="286">
        <v>0</v>
      </c>
      <c r="BM45" s="286">
        <v>0</v>
      </c>
      <c r="BN45" s="286">
        <v>0</v>
      </c>
      <c r="BO45" s="286">
        <v>0</v>
      </c>
      <c r="BP45" s="286">
        <v>0</v>
      </c>
      <c r="BQ45" s="286">
        <v>0</v>
      </c>
      <c r="BR45" s="281">
        <v>0.1</v>
      </c>
    </row>
    <row r="46" spans="1:70" ht="14.25" customHeight="1" x14ac:dyDescent="0.35">
      <c r="A46" s="4" t="s">
        <v>448</v>
      </c>
      <c r="B46" s="384">
        <v>6264.84</v>
      </c>
      <c r="C46" s="385"/>
      <c r="D46" s="41" t="s">
        <v>109</v>
      </c>
      <c r="E46" s="93">
        <v>0</v>
      </c>
      <c r="F46" s="93">
        <v>2025</v>
      </c>
      <c r="G46" s="93">
        <v>2050</v>
      </c>
      <c r="I46" s="41" t="s">
        <v>109</v>
      </c>
      <c r="J46" s="281">
        <v>0.1</v>
      </c>
      <c r="K46" s="281">
        <v>0.1</v>
      </c>
      <c r="L46" s="281">
        <v>0.1</v>
      </c>
      <c r="M46" s="281">
        <v>0.1</v>
      </c>
      <c r="N46" s="281">
        <v>0.1</v>
      </c>
      <c r="O46" s="281">
        <v>0.1</v>
      </c>
      <c r="P46" s="281">
        <v>0.1</v>
      </c>
      <c r="Q46" s="281">
        <v>0.1</v>
      </c>
      <c r="R46" s="281">
        <v>0.1</v>
      </c>
      <c r="S46" s="281">
        <v>0.1</v>
      </c>
      <c r="T46" s="281">
        <v>0.1</v>
      </c>
      <c r="U46" s="281">
        <v>0.1</v>
      </c>
      <c r="V46" s="281">
        <v>0.1</v>
      </c>
      <c r="W46" s="281">
        <v>0.1</v>
      </c>
      <c r="X46" s="281">
        <v>0.1</v>
      </c>
      <c r="Y46" s="281">
        <v>0.1</v>
      </c>
      <c r="Z46" s="281">
        <v>0.1</v>
      </c>
      <c r="AA46" s="281">
        <v>0.1</v>
      </c>
      <c r="AB46" s="281">
        <v>0.1</v>
      </c>
      <c r="AC46" s="281">
        <v>0.1</v>
      </c>
      <c r="AD46" s="281">
        <v>0.1</v>
      </c>
      <c r="AE46" s="281">
        <v>0.1</v>
      </c>
      <c r="AF46" s="281">
        <v>0.1</v>
      </c>
      <c r="AG46" s="281">
        <v>0.1</v>
      </c>
      <c r="AH46" s="281">
        <v>0.1</v>
      </c>
      <c r="AI46" s="281">
        <v>0.1</v>
      </c>
      <c r="AJ46" s="281">
        <v>0.1</v>
      </c>
      <c r="AK46" s="281">
        <v>0.1</v>
      </c>
      <c r="AL46" s="281">
        <v>0.1</v>
      </c>
      <c r="AM46" s="281">
        <v>0.1</v>
      </c>
      <c r="AN46" s="281">
        <v>0.1</v>
      </c>
      <c r="AO46" s="281">
        <v>0.1</v>
      </c>
      <c r="AP46" s="281">
        <v>0.1</v>
      </c>
      <c r="AQ46" s="281">
        <v>0.1</v>
      </c>
      <c r="AR46" s="281">
        <v>0.1</v>
      </c>
      <c r="AS46" s="281">
        <v>0.1</v>
      </c>
      <c r="AT46" s="281">
        <v>0.1</v>
      </c>
      <c r="AU46" s="281">
        <v>0.1</v>
      </c>
      <c r="AV46" s="281">
        <v>0.1</v>
      </c>
      <c r="AW46" s="281">
        <v>0.1</v>
      </c>
      <c r="AX46" s="281">
        <v>0.1</v>
      </c>
      <c r="AY46" s="281">
        <v>0.1</v>
      </c>
      <c r="AZ46" s="281">
        <v>0.1</v>
      </c>
      <c r="BA46" s="281">
        <v>0.1</v>
      </c>
      <c r="BB46" s="281">
        <v>0.1</v>
      </c>
      <c r="BC46" s="281">
        <v>0.1</v>
      </c>
      <c r="BD46" s="281">
        <v>0.1</v>
      </c>
      <c r="BE46" s="281">
        <v>0.1</v>
      </c>
      <c r="BF46" s="281">
        <v>0.1</v>
      </c>
      <c r="BG46" s="281">
        <v>0.1</v>
      </c>
      <c r="BH46" s="281">
        <v>0.1</v>
      </c>
      <c r="BI46" s="281">
        <v>0.1</v>
      </c>
      <c r="BJ46" s="281">
        <v>0.1</v>
      </c>
      <c r="BK46" s="281">
        <v>0.1</v>
      </c>
      <c r="BL46" s="281">
        <v>0.1</v>
      </c>
      <c r="BM46" s="281">
        <v>0.1</v>
      </c>
      <c r="BN46" s="281">
        <v>0.1</v>
      </c>
      <c r="BO46" s="281">
        <v>0.1</v>
      </c>
      <c r="BP46" s="281">
        <v>0.1</v>
      </c>
      <c r="BQ46" s="281">
        <v>0.1</v>
      </c>
      <c r="BR46" s="286">
        <v>0</v>
      </c>
    </row>
    <row r="47" spans="1:70" ht="14.25" customHeight="1" x14ac:dyDescent="0.35">
      <c r="A47" s="4" t="s">
        <v>449</v>
      </c>
      <c r="B47" s="384">
        <v>6368.625</v>
      </c>
      <c r="C47" s="385"/>
      <c r="D47" s="41" t="s">
        <v>229</v>
      </c>
      <c r="E47" s="93">
        <v>0</v>
      </c>
      <c r="F47" s="93">
        <v>2025</v>
      </c>
      <c r="G47" s="93">
        <v>2050</v>
      </c>
      <c r="I47" s="41" t="s">
        <v>229</v>
      </c>
      <c r="J47" s="281">
        <v>0.1</v>
      </c>
      <c r="K47" s="281">
        <v>0.1</v>
      </c>
      <c r="L47" s="281">
        <v>0.1</v>
      </c>
      <c r="M47" s="281">
        <v>0.1</v>
      </c>
      <c r="N47" s="281">
        <v>0.1</v>
      </c>
      <c r="O47" s="281">
        <v>0.1</v>
      </c>
      <c r="P47" s="281">
        <v>0.1</v>
      </c>
      <c r="Q47" s="281">
        <v>0.1</v>
      </c>
      <c r="R47" s="281">
        <v>0.1</v>
      </c>
      <c r="S47" s="281">
        <v>0.1</v>
      </c>
      <c r="T47" s="281">
        <v>0.1</v>
      </c>
      <c r="U47" s="281">
        <v>0.1</v>
      </c>
      <c r="V47" s="281">
        <v>0.1</v>
      </c>
      <c r="W47" s="281">
        <v>0.1</v>
      </c>
      <c r="X47" s="281">
        <v>0.1</v>
      </c>
      <c r="Y47" s="281">
        <v>0.1</v>
      </c>
      <c r="Z47" s="281">
        <v>0.1</v>
      </c>
      <c r="AA47" s="281">
        <v>0.1</v>
      </c>
      <c r="AB47" s="281">
        <v>0.1</v>
      </c>
      <c r="AC47" s="281">
        <v>0.1</v>
      </c>
      <c r="AD47" s="281">
        <v>0.1</v>
      </c>
      <c r="AE47" s="281">
        <v>0.1</v>
      </c>
      <c r="AF47" s="281">
        <v>0.1</v>
      </c>
      <c r="AG47" s="281">
        <v>0.1</v>
      </c>
      <c r="AH47" s="281">
        <v>0.1</v>
      </c>
      <c r="AI47" s="281">
        <v>0.1</v>
      </c>
      <c r="AJ47" s="281">
        <v>0.1</v>
      </c>
      <c r="AK47" s="281">
        <v>0.1</v>
      </c>
      <c r="AL47" s="281">
        <v>0.1</v>
      </c>
      <c r="AM47" s="281">
        <v>0.1</v>
      </c>
      <c r="AN47" s="281">
        <v>0.1</v>
      </c>
      <c r="AO47" s="281">
        <v>0.1</v>
      </c>
      <c r="AP47" s="281">
        <v>0.1</v>
      </c>
      <c r="AQ47" s="281">
        <v>0.1</v>
      </c>
      <c r="AR47" s="281">
        <v>0.1</v>
      </c>
      <c r="AS47" s="281">
        <v>0.1</v>
      </c>
      <c r="AT47" s="281">
        <v>0.1</v>
      </c>
      <c r="AU47" s="281">
        <v>0.1</v>
      </c>
      <c r="AV47" s="281">
        <v>0.1</v>
      </c>
      <c r="AW47" s="281">
        <v>0.1</v>
      </c>
      <c r="AX47" s="281">
        <v>0.1</v>
      </c>
      <c r="AY47" s="281">
        <v>0.1</v>
      </c>
      <c r="AZ47" s="281">
        <v>0.1</v>
      </c>
      <c r="BA47" s="281">
        <v>0.1</v>
      </c>
      <c r="BB47" s="281">
        <v>0.1</v>
      </c>
      <c r="BC47" s="281">
        <v>0.1</v>
      </c>
      <c r="BD47" s="281">
        <v>0.1</v>
      </c>
      <c r="BE47" s="281">
        <v>0.1</v>
      </c>
      <c r="BF47" s="281">
        <v>0.1</v>
      </c>
      <c r="BG47" s="281">
        <v>0.1</v>
      </c>
      <c r="BH47" s="281">
        <v>0.1</v>
      </c>
      <c r="BI47" s="281">
        <v>0.1</v>
      </c>
      <c r="BJ47" s="281">
        <v>0.1</v>
      </c>
      <c r="BK47" s="281">
        <v>0.1</v>
      </c>
      <c r="BL47" s="281">
        <v>0.1</v>
      </c>
      <c r="BM47" s="281">
        <v>0.1</v>
      </c>
      <c r="BN47" s="281">
        <v>0.1</v>
      </c>
      <c r="BO47" s="281">
        <v>0.1</v>
      </c>
      <c r="BP47" s="281">
        <v>0.1</v>
      </c>
      <c r="BQ47" s="281">
        <v>0.1</v>
      </c>
      <c r="BR47" s="286">
        <v>0</v>
      </c>
    </row>
    <row r="48" spans="1:70" ht="14.25" customHeight="1" x14ac:dyDescent="0.35">
      <c r="A48" s="4" t="s">
        <v>450</v>
      </c>
      <c r="B48" s="384">
        <v>12454.199999999999</v>
      </c>
      <c r="C48" s="385"/>
      <c r="D48" s="41" t="s">
        <v>111</v>
      </c>
      <c r="E48" s="93">
        <v>0</v>
      </c>
      <c r="F48" s="93">
        <v>2025</v>
      </c>
      <c r="G48" s="93">
        <v>2050</v>
      </c>
      <c r="I48" s="41" t="s">
        <v>111</v>
      </c>
      <c r="J48" s="281">
        <v>0.1</v>
      </c>
      <c r="K48" s="281">
        <v>0.1</v>
      </c>
      <c r="L48" s="281">
        <v>0.1</v>
      </c>
      <c r="M48" s="281">
        <v>0.1</v>
      </c>
      <c r="N48" s="281">
        <v>0.1</v>
      </c>
      <c r="O48" s="281">
        <v>0.1</v>
      </c>
      <c r="P48" s="281">
        <v>0.1</v>
      </c>
      <c r="Q48" s="281">
        <v>0.1</v>
      </c>
      <c r="R48" s="281">
        <v>0.1</v>
      </c>
      <c r="S48" s="281">
        <v>0.1</v>
      </c>
      <c r="T48" s="281">
        <v>0.1</v>
      </c>
      <c r="U48" s="281">
        <v>0.1</v>
      </c>
      <c r="V48" s="281">
        <v>0.1</v>
      </c>
      <c r="W48" s="281">
        <v>0.1</v>
      </c>
      <c r="X48" s="281">
        <v>0.1</v>
      </c>
      <c r="Y48" s="281">
        <v>0.1</v>
      </c>
      <c r="Z48" s="281">
        <v>0.1</v>
      </c>
      <c r="AA48" s="281">
        <v>0.1</v>
      </c>
      <c r="AB48" s="281">
        <v>0.1</v>
      </c>
      <c r="AC48" s="281">
        <v>0.1</v>
      </c>
      <c r="AD48" s="281">
        <v>0.1</v>
      </c>
      <c r="AE48" s="281">
        <v>0.1</v>
      </c>
      <c r="AF48" s="281">
        <v>0.1</v>
      </c>
      <c r="AG48" s="281">
        <v>0.1</v>
      </c>
      <c r="AH48" s="281">
        <v>0.1</v>
      </c>
      <c r="AI48" s="281">
        <v>0.1</v>
      </c>
      <c r="AJ48" s="281">
        <v>0.1</v>
      </c>
      <c r="AK48" s="281">
        <v>0.1</v>
      </c>
      <c r="AL48" s="281">
        <v>0.1</v>
      </c>
      <c r="AM48" s="281">
        <v>0.1</v>
      </c>
      <c r="AN48" s="281">
        <v>0.1</v>
      </c>
      <c r="AO48" s="281">
        <v>0.1</v>
      </c>
      <c r="AP48" s="281">
        <v>0.1</v>
      </c>
      <c r="AQ48" s="281">
        <v>0.1</v>
      </c>
      <c r="AR48" s="281">
        <v>0.1</v>
      </c>
      <c r="AS48" s="281">
        <v>0.1</v>
      </c>
      <c r="AT48" s="281">
        <v>0.1</v>
      </c>
      <c r="AU48" s="281">
        <v>0.1</v>
      </c>
      <c r="AV48" s="281">
        <v>0.1</v>
      </c>
      <c r="AW48" s="281">
        <v>0.1</v>
      </c>
      <c r="AX48" s="281">
        <v>0.1</v>
      </c>
      <c r="AY48" s="281">
        <v>0.1</v>
      </c>
      <c r="AZ48" s="281">
        <v>0.1</v>
      </c>
      <c r="BA48" s="281">
        <v>0.1</v>
      </c>
      <c r="BB48" s="281">
        <v>0.1</v>
      </c>
      <c r="BC48" s="281">
        <v>0.1</v>
      </c>
      <c r="BD48" s="281">
        <v>0.1</v>
      </c>
      <c r="BE48" s="281">
        <v>0.1</v>
      </c>
      <c r="BF48" s="281">
        <v>0.1</v>
      </c>
      <c r="BG48" s="281">
        <v>0.1</v>
      </c>
      <c r="BH48" s="281">
        <v>0.1</v>
      </c>
      <c r="BI48" s="281">
        <v>0.1</v>
      </c>
      <c r="BJ48" s="281">
        <v>0.1</v>
      </c>
      <c r="BK48" s="281">
        <v>0.1</v>
      </c>
      <c r="BL48" s="281">
        <v>0.1</v>
      </c>
      <c r="BM48" s="281">
        <v>0.1</v>
      </c>
      <c r="BN48" s="281">
        <v>0.1</v>
      </c>
      <c r="BO48" s="281">
        <v>0.1</v>
      </c>
      <c r="BP48" s="281">
        <v>0.1</v>
      </c>
      <c r="BQ48" s="281">
        <v>0.1</v>
      </c>
      <c r="BR48" s="286">
        <v>0</v>
      </c>
    </row>
    <row r="49" spans="1:70" ht="14.25" customHeight="1" x14ac:dyDescent="0.35">
      <c r="A49" s="4" t="s">
        <v>451</v>
      </c>
      <c r="B49" s="384">
        <v>10038.84</v>
      </c>
      <c r="C49" s="385"/>
      <c r="D49" s="41" t="s">
        <v>112</v>
      </c>
      <c r="E49" s="93">
        <v>0</v>
      </c>
      <c r="F49" s="93">
        <v>2025</v>
      </c>
      <c r="G49" s="93">
        <v>2050</v>
      </c>
      <c r="I49" s="41" t="s">
        <v>112</v>
      </c>
      <c r="J49" s="286">
        <v>0</v>
      </c>
      <c r="K49" s="286">
        <v>0</v>
      </c>
      <c r="L49" s="286">
        <v>0</v>
      </c>
      <c r="M49" s="286">
        <v>0</v>
      </c>
      <c r="N49" s="286">
        <v>0</v>
      </c>
      <c r="O49" s="286">
        <v>0</v>
      </c>
      <c r="P49" s="286">
        <v>0</v>
      </c>
      <c r="Q49" s="286">
        <v>0</v>
      </c>
      <c r="R49" s="286">
        <v>0</v>
      </c>
      <c r="S49" s="286">
        <v>0</v>
      </c>
      <c r="T49" s="286">
        <v>0</v>
      </c>
      <c r="U49" s="286">
        <v>0</v>
      </c>
      <c r="V49" s="286">
        <v>0</v>
      </c>
      <c r="W49" s="286">
        <v>0</v>
      </c>
      <c r="X49" s="286">
        <v>0</v>
      </c>
      <c r="Y49" s="286">
        <v>0</v>
      </c>
      <c r="Z49" s="286">
        <v>0</v>
      </c>
      <c r="AA49" s="286">
        <v>0</v>
      </c>
      <c r="AB49" s="286">
        <v>0</v>
      </c>
      <c r="AC49" s="286">
        <v>0</v>
      </c>
      <c r="AD49" s="286">
        <v>0</v>
      </c>
      <c r="AE49" s="286">
        <v>0</v>
      </c>
      <c r="AF49" s="286">
        <v>0</v>
      </c>
      <c r="AG49" s="286">
        <v>0</v>
      </c>
      <c r="AH49" s="286">
        <v>0</v>
      </c>
      <c r="AI49" s="286">
        <v>0</v>
      </c>
      <c r="AJ49" s="286">
        <v>0</v>
      </c>
      <c r="AK49" s="286">
        <v>0</v>
      </c>
      <c r="AL49" s="286">
        <v>0</v>
      </c>
      <c r="AM49" s="286">
        <v>0</v>
      </c>
      <c r="AN49" s="286">
        <v>0</v>
      </c>
      <c r="AO49" s="286">
        <v>0</v>
      </c>
      <c r="AP49" s="286">
        <v>0</v>
      </c>
      <c r="AQ49" s="286">
        <v>0</v>
      </c>
      <c r="AR49" s="286">
        <v>0</v>
      </c>
      <c r="AS49" s="286">
        <v>0</v>
      </c>
      <c r="AT49" s="286">
        <v>0</v>
      </c>
      <c r="AU49" s="286">
        <v>0</v>
      </c>
      <c r="AV49" s="286">
        <v>0</v>
      </c>
      <c r="AW49" s="286">
        <v>0</v>
      </c>
      <c r="AX49" s="286">
        <v>0</v>
      </c>
      <c r="AY49" s="286">
        <v>0</v>
      </c>
      <c r="AZ49" s="286">
        <v>0</v>
      </c>
      <c r="BA49" s="286">
        <v>0</v>
      </c>
      <c r="BB49" s="286">
        <v>0</v>
      </c>
      <c r="BC49" s="286">
        <v>0</v>
      </c>
      <c r="BD49" s="286">
        <v>0</v>
      </c>
      <c r="BE49" s="286">
        <v>0</v>
      </c>
      <c r="BF49" s="286">
        <v>0</v>
      </c>
      <c r="BG49" s="286">
        <v>0</v>
      </c>
      <c r="BH49" s="286">
        <v>0</v>
      </c>
      <c r="BI49" s="286">
        <v>0</v>
      </c>
      <c r="BJ49" s="286">
        <v>0</v>
      </c>
      <c r="BK49" s="286">
        <v>0</v>
      </c>
      <c r="BL49" s="286">
        <v>0</v>
      </c>
      <c r="BM49" s="286">
        <v>0</v>
      </c>
      <c r="BN49" s="286">
        <v>0</v>
      </c>
      <c r="BO49" s="286">
        <v>0</v>
      </c>
      <c r="BP49" s="286">
        <v>0</v>
      </c>
      <c r="BQ49" s="286">
        <v>0</v>
      </c>
      <c r="BR49" s="281">
        <v>0.1</v>
      </c>
    </row>
    <row r="50" spans="1:70" ht="14.25" customHeight="1" x14ac:dyDescent="0.35">
      <c r="A50" s="4" t="s">
        <v>452</v>
      </c>
      <c r="B50" s="384">
        <v>11227.65</v>
      </c>
      <c r="C50" s="385"/>
      <c r="D50" s="41" t="s">
        <v>113</v>
      </c>
      <c r="E50" s="93">
        <v>0</v>
      </c>
      <c r="F50" s="93">
        <v>2025</v>
      </c>
      <c r="G50" s="93">
        <v>2050</v>
      </c>
      <c r="I50" s="41" t="s">
        <v>113</v>
      </c>
      <c r="J50" s="286">
        <v>0</v>
      </c>
      <c r="K50" s="286">
        <v>0</v>
      </c>
      <c r="L50" s="286">
        <v>0</v>
      </c>
      <c r="M50" s="286">
        <v>0</v>
      </c>
      <c r="N50" s="286">
        <v>0</v>
      </c>
      <c r="O50" s="286">
        <v>0</v>
      </c>
      <c r="P50" s="286">
        <v>0</v>
      </c>
      <c r="Q50" s="286">
        <v>0</v>
      </c>
      <c r="R50" s="286">
        <v>0</v>
      </c>
      <c r="S50" s="286">
        <v>0</v>
      </c>
      <c r="T50" s="286">
        <v>0</v>
      </c>
      <c r="U50" s="286">
        <v>0</v>
      </c>
      <c r="V50" s="286">
        <v>0</v>
      </c>
      <c r="W50" s="286">
        <v>0</v>
      </c>
      <c r="X50" s="286">
        <v>0</v>
      </c>
      <c r="Y50" s="286">
        <v>0</v>
      </c>
      <c r="Z50" s="286">
        <v>0</v>
      </c>
      <c r="AA50" s="286">
        <v>0</v>
      </c>
      <c r="AB50" s="286">
        <v>0</v>
      </c>
      <c r="AC50" s="286">
        <v>0</v>
      </c>
      <c r="AD50" s="286">
        <v>0</v>
      </c>
      <c r="AE50" s="286">
        <v>0</v>
      </c>
      <c r="AF50" s="286">
        <v>0</v>
      </c>
      <c r="AG50" s="286">
        <v>0</v>
      </c>
      <c r="AH50" s="286">
        <v>0</v>
      </c>
      <c r="AI50" s="286">
        <v>0</v>
      </c>
      <c r="AJ50" s="286">
        <v>0</v>
      </c>
      <c r="AK50" s="286">
        <v>0</v>
      </c>
      <c r="AL50" s="286">
        <v>0</v>
      </c>
      <c r="AM50" s="286">
        <v>0</v>
      </c>
      <c r="AN50" s="286">
        <v>0</v>
      </c>
      <c r="AO50" s="286">
        <v>0</v>
      </c>
      <c r="AP50" s="286">
        <v>0</v>
      </c>
      <c r="AQ50" s="286">
        <v>0</v>
      </c>
      <c r="AR50" s="286">
        <v>0</v>
      </c>
      <c r="AS50" s="286">
        <v>0</v>
      </c>
      <c r="AT50" s="286">
        <v>0</v>
      </c>
      <c r="AU50" s="286">
        <v>0</v>
      </c>
      <c r="AV50" s="286">
        <v>0</v>
      </c>
      <c r="AW50" s="286">
        <v>0</v>
      </c>
      <c r="AX50" s="286">
        <v>0</v>
      </c>
      <c r="AY50" s="286">
        <v>0</v>
      </c>
      <c r="AZ50" s="286">
        <v>0</v>
      </c>
      <c r="BA50" s="286">
        <v>0</v>
      </c>
      <c r="BB50" s="286">
        <v>0</v>
      </c>
      <c r="BC50" s="286">
        <v>0</v>
      </c>
      <c r="BD50" s="286">
        <v>0</v>
      </c>
      <c r="BE50" s="286">
        <v>0</v>
      </c>
      <c r="BF50" s="286">
        <v>0</v>
      </c>
      <c r="BG50" s="286">
        <v>0</v>
      </c>
      <c r="BH50" s="286">
        <v>0</v>
      </c>
      <c r="BI50" s="286">
        <v>0</v>
      </c>
      <c r="BJ50" s="286">
        <v>0</v>
      </c>
      <c r="BK50" s="286">
        <v>0</v>
      </c>
      <c r="BL50" s="286">
        <v>0</v>
      </c>
      <c r="BM50" s="286">
        <v>0</v>
      </c>
      <c r="BN50" s="286">
        <v>0</v>
      </c>
      <c r="BO50" s="286">
        <v>0</v>
      </c>
      <c r="BP50" s="286">
        <v>0</v>
      </c>
      <c r="BQ50" s="286">
        <v>0</v>
      </c>
      <c r="BR50" s="281">
        <v>0.1</v>
      </c>
    </row>
    <row r="51" spans="1:70" ht="14.25" customHeight="1" x14ac:dyDescent="0.35">
      <c r="A51" s="4" t="s">
        <v>453</v>
      </c>
      <c r="B51" s="384">
        <v>6944.1599999999989</v>
      </c>
      <c r="C51" s="385"/>
      <c r="D51" s="41" t="s">
        <v>114</v>
      </c>
      <c r="E51" s="93">
        <v>0</v>
      </c>
      <c r="F51" s="93">
        <v>2025</v>
      </c>
      <c r="G51" s="93">
        <v>2050</v>
      </c>
      <c r="I51" s="41" t="s">
        <v>114</v>
      </c>
      <c r="J51" s="281">
        <v>0.1</v>
      </c>
      <c r="K51" s="281">
        <v>0.1</v>
      </c>
      <c r="L51" s="281">
        <v>0.1</v>
      </c>
      <c r="M51" s="281">
        <v>0.1</v>
      </c>
      <c r="N51" s="281">
        <v>0.1</v>
      </c>
      <c r="O51" s="281">
        <v>0.1</v>
      </c>
      <c r="P51" s="281">
        <v>0.1</v>
      </c>
      <c r="Q51" s="281">
        <v>0.1</v>
      </c>
      <c r="R51" s="281">
        <v>0.1</v>
      </c>
      <c r="S51" s="281">
        <v>0.1</v>
      </c>
      <c r="T51" s="281">
        <v>0.1</v>
      </c>
      <c r="U51" s="281">
        <v>0.1</v>
      </c>
      <c r="V51" s="281">
        <v>0.1</v>
      </c>
      <c r="W51" s="281">
        <v>0.1</v>
      </c>
      <c r="X51" s="281">
        <v>0.1</v>
      </c>
      <c r="Y51" s="281">
        <v>0.1</v>
      </c>
      <c r="Z51" s="281">
        <v>0.1</v>
      </c>
      <c r="AA51" s="281">
        <v>0.1</v>
      </c>
      <c r="AB51" s="281">
        <v>0.1</v>
      </c>
      <c r="AC51" s="281">
        <v>0.1</v>
      </c>
      <c r="AD51" s="281">
        <v>0.1</v>
      </c>
      <c r="AE51" s="281">
        <v>0.1</v>
      </c>
      <c r="AF51" s="281">
        <v>0.1</v>
      </c>
      <c r="AG51" s="281">
        <v>0.1</v>
      </c>
      <c r="AH51" s="281">
        <v>0.1</v>
      </c>
      <c r="AI51" s="281">
        <v>0.1</v>
      </c>
      <c r="AJ51" s="281">
        <v>0.1</v>
      </c>
      <c r="AK51" s="281">
        <v>0.1</v>
      </c>
      <c r="AL51" s="281">
        <v>0.1</v>
      </c>
      <c r="AM51" s="281">
        <v>0.1</v>
      </c>
      <c r="AN51" s="281">
        <v>0.1</v>
      </c>
      <c r="AO51" s="281">
        <v>0.1</v>
      </c>
      <c r="AP51" s="281">
        <v>0.1</v>
      </c>
      <c r="AQ51" s="281">
        <v>0.1</v>
      </c>
      <c r="AR51" s="281">
        <v>0.1</v>
      </c>
      <c r="AS51" s="281">
        <v>0.1</v>
      </c>
      <c r="AT51" s="281">
        <v>0.1</v>
      </c>
      <c r="AU51" s="281">
        <v>0.1</v>
      </c>
      <c r="AV51" s="281">
        <v>0.1</v>
      </c>
      <c r="AW51" s="281">
        <v>0.1</v>
      </c>
      <c r="AX51" s="281">
        <v>0.1</v>
      </c>
      <c r="AY51" s="281">
        <v>0.1</v>
      </c>
      <c r="AZ51" s="281">
        <v>0.1</v>
      </c>
      <c r="BA51" s="281">
        <v>0.1</v>
      </c>
      <c r="BB51" s="281">
        <v>0.1</v>
      </c>
      <c r="BC51" s="281">
        <v>0.1</v>
      </c>
      <c r="BD51" s="281">
        <v>0.1</v>
      </c>
      <c r="BE51" s="281">
        <v>0.1</v>
      </c>
      <c r="BF51" s="281">
        <v>0.1</v>
      </c>
      <c r="BG51" s="281">
        <v>0.1</v>
      </c>
      <c r="BH51" s="281">
        <v>0.1</v>
      </c>
      <c r="BI51" s="281">
        <v>0.1</v>
      </c>
      <c r="BJ51" s="281">
        <v>0.1</v>
      </c>
      <c r="BK51" s="281">
        <v>0.1</v>
      </c>
      <c r="BL51" s="281">
        <v>0.1</v>
      </c>
      <c r="BM51" s="281">
        <v>0.1</v>
      </c>
      <c r="BN51" s="281">
        <v>0.1</v>
      </c>
      <c r="BO51" s="281">
        <v>0.1</v>
      </c>
      <c r="BP51" s="281">
        <v>0.1</v>
      </c>
      <c r="BQ51" s="281">
        <v>0.1</v>
      </c>
      <c r="BR51" s="286">
        <v>0</v>
      </c>
    </row>
    <row r="52" spans="1:70" ht="14.25" customHeight="1" x14ac:dyDescent="0.35">
      <c r="A52" s="4" t="s">
        <v>454</v>
      </c>
      <c r="B52" s="384">
        <v>9810.512999999999</v>
      </c>
      <c r="C52" s="385"/>
      <c r="D52" s="41" t="s">
        <v>115</v>
      </c>
      <c r="E52" s="93">
        <v>0</v>
      </c>
      <c r="F52" s="93">
        <v>2025</v>
      </c>
      <c r="G52" s="93">
        <v>2050</v>
      </c>
      <c r="I52" s="41" t="s">
        <v>115</v>
      </c>
      <c r="J52" s="281">
        <v>0.1</v>
      </c>
      <c r="K52" s="281">
        <v>0.1</v>
      </c>
      <c r="L52" s="281">
        <v>0.1</v>
      </c>
      <c r="M52" s="281">
        <v>0.1</v>
      </c>
      <c r="N52" s="281">
        <v>0.1</v>
      </c>
      <c r="O52" s="281">
        <v>0.1</v>
      </c>
      <c r="P52" s="281">
        <v>0.1</v>
      </c>
      <c r="Q52" s="281">
        <v>0.1</v>
      </c>
      <c r="R52" s="281">
        <v>0.1</v>
      </c>
      <c r="S52" s="281">
        <v>0.1</v>
      </c>
      <c r="T52" s="281">
        <v>0.1</v>
      </c>
      <c r="U52" s="281">
        <v>0.1</v>
      </c>
      <c r="V52" s="281">
        <v>0.1</v>
      </c>
      <c r="W52" s="281">
        <v>0.1</v>
      </c>
      <c r="X52" s="281">
        <v>0.1</v>
      </c>
      <c r="Y52" s="281">
        <v>0.1</v>
      </c>
      <c r="Z52" s="281">
        <v>0.1</v>
      </c>
      <c r="AA52" s="281">
        <v>0.1</v>
      </c>
      <c r="AB52" s="281">
        <v>0.1</v>
      </c>
      <c r="AC52" s="281">
        <v>0.1</v>
      </c>
      <c r="AD52" s="281">
        <v>0.1</v>
      </c>
      <c r="AE52" s="281">
        <v>0.1</v>
      </c>
      <c r="AF52" s="281">
        <v>0.1</v>
      </c>
      <c r="AG52" s="281">
        <v>0.1</v>
      </c>
      <c r="AH52" s="281">
        <v>0.1</v>
      </c>
      <c r="AI52" s="281">
        <v>0.1</v>
      </c>
      <c r="AJ52" s="281">
        <v>0.1</v>
      </c>
      <c r="AK52" s="281">
        <v>0.1</v>
      </c>
      <c r="AL52" s="281">
        <v>0.1</v>
      </c>
      <c r="AM52" s="281">
        <v>0.1</v>
      </c>
      <c r="AN52" s="281">
        <v>0.1</v>
      </c>
      <c r="AO52" s="281">
        <v>0.1</v>
      </c>
      <c r="AP52" s="281">
        <v>0.1</v>
      </c>
      <c r="AQ52" s="281">
        <v>0.1</v>
      </c>
      <c r="AR52" s="281">
        <v>0.1</v>
      </c>
      <c r="AS52" s="281">
        <v>0.1</v>
      </c>
      <c r="AT52" s="281">
        <v>0.1</v>
      </c>
      <c r="AU52" s="281">
        <v>0.1</v>
      </c>
      <c r="AV52" s="281">
        <v>0.1</v>
      </c>
      <c r="AW52" s="281">
        <v>0.1</v>
      </c>
      <c r="AX52" s="281">
        <v>0.1</v>
      </c>
      <c r="AY52" s="281">
        <v>0.1</v>
      </c>
      <c r="AZ52" s="281">
        <v>0.1</v>
      </c>
      <c r="BA52" s="281">
        <v>0.1</v>
      </c>
      <c r="BB52" s="281">
        <v>0.1</v>
      </c>
      <c r="BC52" s="281">
        <v>0.1</v>
      </c>
      <c r="BD52" s="281">
        <v>0.1</v>
      </c>
      <c r="BE52" s="281">
        <v>0.1</v>
      </c>
      <c r="BF52" s="281">
        <v>0.1</v>
      </c>
      <c r="BG52" s="281">
        <v>0.1</v>
      </c>
      <c r="BH52" s="281">
        <v>0.1</v>
      </c>
      <c r="BI52" s="281">
        <v>0.1</v>
      </c>
      <c r="BJ52" s="281">
        <v>0.1</v>
      </c>
      <c r="BK52" s="281">
        <v>0.1</v>
      </c>
      <c r="BL52" s="281">
        <v>0.1</v>
      </c>
      <c r="BM52" s="281">
        <v>0.1</v>
      </c>
      <c r="BN52" s="281">
        <v>0.1</v>
      </c>
      <c r="BO52" s="281">
        <v>0.1</v>
      </c>
      <c r="BP52" s="281">
        <v>0.1</v>
      </c>
      <c r="BQ52" s="281">
        <v>0.1</v>
      </c>
      <c r="BR52" s="286">
        <v>0</v>
      </c>
    </row>
    <row r="53" spans="1:70" ht="14.25" customHeight="1" x14ac:dyDescent="0.35">
      <c r="A53" s="4" t="s">
        <v>455</v>
      </c>
      <c r="B53" s="384">
        <v>4459.9245000000001</v>
      </c>
      <c r="C53" s="385"/>
      <c r="D53" s="41" t="s">
        <v>116</v>
      </c>
      <c r="E53" s="93">
        <v>0</v>
      </c>
      <c r="F53" s="93">
        <v>2025</v>
      </c>
      <c r="G53" s="93">
        <v>2050</v>
      </c>
      <c r="I53" s="41" t="s">
        <v>116</v>
      </c>
      <c r="J53" s="286">
        <v>0</v>
      </c>
      <c r="K53" s="286">
        <v>0</v>
      </c>
      <c r="L53" s="286">
        <v>0</v>
      </c>
      <c r="M53" s="286">
        <v>0</v>
      </c>
      <c r="N53" s="286">
        <v>0</v>
      </c>
      <c r="O53" s="286">
        <v>0</v>
      </c>
      <c r="P53" s="286">
        <v>0</v>
      </c>
      <c r="Q53" s="286">
        <v>0</v>
      </c>
      <c r="R53" s="286">
        <v>0</v>
      </c>
      <c r="S53" s="286">
        <v>0</v>
      </c>
      <c r="T53" s="286">
        <v>0</v>
      </c>
      <c r="U53" s="286">
        <v>0</v>
      </c>
      <c r="V53" s="286">
        <v>0</v>
      </c>
      <c r="W53" s="286">
        <v>0</v>
      </c>
      <c r="X53" s="286">
        <v>0</v>
      </c>
      <c r="Y53" s="286">
        <v>0</v>
      </c>
      <c r="Z53" s="286">
        <v>0</v>
      </c>
      <c r="AA53" s="286">
        <v>0</v>
      </c>
      <c r="AB53" s="286">
        <v>0</v>
      </c>
      <c r="AC53" s="286">
        <v>0</v>
      </c>
      <c r="AD53" s="286">
        <v>0</v>
      </c>
      <c r="AE53" s="286">
        <v>0</v>
      </c>
      <c r="AF53" s="286">
        <v>0</v>
      </c>
      <c r="AG53" s="286">
        <v>0</v>
      </c>
      <c r="AH53" s="286">
        <v>0</v>
      </c>
      <c r="AI53" s="286">
        <v>0</v>
      </c>
      <c r="AJ53" s="286">
        <v>0</v>
      </c>
      <c r="AK53" s="286">
        <v>0</v>
      </c>
      <c r="AL53" s="286">
        <v>0</v>
      </c>
      <c r="AM53" s="286">
        <v>0</v>
      </c>
      <c r="AN53" s="286">
        <v>0</v>
      </c>
      <c r="AO53" s="286">
        <v>0</v>
      </c>
      <c r="AP53" s="286">
        <v>0</v>
      </c>
      <c r="AQ53" s="286">
        <v>0</v>
      </c>
      <c r="AR53" s="286">
        <v>0</v>
      </c>
      <c r="AS53" s="286">
        <v>0</v>
      </c>
      <c r="AT53" s="286">
        <v>0</v>
      </c>
      <c r="AU53" s="286">
        <v>0</v>
      </c>
      <c r="AV53" s="286">
        <v>0</v>
      </c>
      <c r="AW53" s="286">
        <v>0</v>
      </c>
      <c r="AX53" s="286">
        <v>0</v>
      </c>
      <c r="AY53" s="286">
        <v>0</v>
      </c>
      <c r="AZ53" s="286">
        <v>0</v>
      </c>
      <c r="BA53" s="286">
        <v>0</v>
      </c>
      <c r="BB53" s="286">
        <v>0</v>
      </c>
      <c r="BC53" s="286">
        <v>0</v>
      </c>
      <c r="BD53" s="286">
        <v>0</v>
      </c>
      <c r="BE53" s="286">
        <v>0</v>
      </c>
      <c r="BF53" s="286">
        <v>0</v>
      </c>
      <c r="BG53" s="286">
        <v>0</v>
      </c>
      <c r="BH53" s="286">
        <v>0</v>
      </c>
      <c r="BI53" s="286">
        <v>0</v>
      </c>
      <c r="BJ53" s="286">
        <v>0</v>
      </c>
      <c r="BK53" s="286">
        <v>0</v>
      </c>
      <c r="BL53" s="286">
        <v>0</v>
      </c>
      <c r="BM53" s="286">
        <v>0</v>
      </c>
      <c r="BN53" s="286">
        <v>0</v>
      </c>
      <c r="BO53" s="286">
        <v>0</v>
      </c>
      <c r="BP53" s="286">
        <v>0</v>
      </c>
      <c r="BQ53" s="286">
        <v>0</v>
      </c>
      <c r="BR53" s="281">
        <v>0.1</v>
      </c>
    </row>
    <row r="54" spans="1:70" ht="14.25" customHeight="1" x14ac:dyDescent="0.35">
      <c r="A54" s="4" t="s">
        <v>456</v>
      </c>
      <c r="B54" s="384">
        <v>8040.5069999999996</v>
      </c>
      <c r="C54" s="385"/>
      <c r="D54" s="41" t="s">
        <v>117</v>
      </c>
      <c r="E54" s="93">
        <v>0</v>
      </c>
      <c r="F54" s="93">
        <v>2025</v>
      </c>
      <c r="G54" s="93">
        <v>2050</v>
      </c>
      <c r="I54" s="41" t="s">
        <v>117</v>
      </c>
      <c r="J54" s="281">
        <v>0.1</v>
      </c>
      <c r="K54" s="281">
        <v>0.1</v>
      </c>
      <c r="L54" s="281">
        <v>0.1</v>
      </c>
      <c r="M54" s="281">
        <v>0.1</v>
      </c>
      <c r="N54" s="281">
        <v>0.1</v>
      </c>
      <c r="O54" s="281">
        <v>0.1</v>
      </c>
      <c r="P54" s="281">
        <v>0.1</v>
      </c>
      <c r="Q54" s="281">
        <v>0.1</v>
      </c>
      <c r="R54" s="281">
        <v>0.1</v>
      </c>
      <c r="S54" s="281">
        <v>0.1</v>
      </c>
      <c r="T54" s="281">
        <v>0.1</v>
      </c>
      <c r="U54" s="281">
        <v>0.1</v>
      </c>
      <c r="V54" s="281">
        <v>0.1</v>
      </c>
      <c r="W54" s="281">
        <v>0.1</v>
      </c>
      <c r="X54" s="281">
        <v>0.1</v>
      </c>
      <c r="Y54" s="281">
        <v>0.1</v>
      </c>
      <c r="Z54" s="281">
        <v>0.1</v>
      </c>
      <c r="AA54" s="281">
        <v>0.1</v>
      </c>
      <c r="AB54" s="281">
        <v>0.1</v>
      </c>
      <c r="AC54" s="281">
        <v>0.1</v>
      </c>
      <c r="AD54" s="281">
        <v>0.1</v>
      </c>
      <c r="AE54" s="281">
        <v>0.1</v>
      </c>
      <c r="AF54" s="281">
        <v>0.1</v>
      </c>
      <c r="AG54" s="281">
        <v>0.1</v>
      </c>
      <c r="AH54" s="281">
        <v>0.1</v>
      </c>
      <c r="AI54" s="281">
        <v>0.1</v>
      </c>
      <c r="AJ54" s="281">
        <v>0.1</v>
      </c>
      <c r="AK54" s="281">
        <v>0.1</v>
      </c>
      <c r="AL54" s="281">
        <v>0.1</v>
      </c>
      <c r="AM54" s="281">
        <v>0.1</v>
      </c>
      <c r="AN54" s="281">
        <v>0.1</v>
      </c>
      <c r="AO54" s="281">
        <v>0.1</v>
      </c>
      <c r="AP54" s="281">
        <v>0.1</v>
      </c>
      <c r="AQ54" s="281">
        <v>0.1</v>
      </c>
      <c r="AR54" s="281">
        <v>0.1</v>
      </c>
      <c r="AS54" s="281">
        <v>0.1</v>
      </c>
      <c r="AT54" s="281">
        <v>0.1</v>
      </c>
      <c r="AU54" s="281">
        <v>0.1</v>
      </c>
      <c r="AV54" s="281">
        <v>0.1</v>
      </c>
      <c r="AW54" s="281">
        <v>0.1</v>
      </c>
      <c r="AX54" s="281">
        <v>0.1</v>
      </c>
      <c r="AY54" s="281">
        <v>0.1</v>
      </c>
      <c r="AZ54" s="281">
        <v>0.1</v>
      </c>
      <c r="BA54" s="281">
        <v>0.1</v>
      </c>
      <c r="BB54" s="281">
        <v>0.1</v>
      </c>
      <c r="BC54" s="281">
        <v>0.1</v>
      </c>
      <c r="BD54" s="281">
        <v>0.1</v>
      </c>
      <c r="BE54" s="281">
        <v>0.1</v>
      </c>
      <c r="BF54" s="281">
        <v>0.1</v>
      </c>
      <c r="BG54" s="281">
        <v>0.1</v>
      </c>
      <c r="BH54" s="281">
        <v>0.1</v>
      </c>
      <c r="BI54" s="281">
        <v>0.1</v>
      </c>
      <c r="BJ54" s="281">
        <v>0.1</v>
      </c>
      <c r="BK54" s="281">
        <v>0.1</v>
      </c>
      <c r="BL54" s="281">
        <v>0.1</v>
      </c>
      <c r="BM54" s="281">
        <v>0.1</v>
      </c>
      <c r="BN54" s="281">
        <v>0.1</v>
      </c>
      <c r="BO54" s="281">
        <v>0.1</v>
      </c>
      <c r="BP54" s="281">
        <v>0.1</v>
      </c>
      <c r="BQ54" s="281">
        <v>0.1</v>
      </c>
      <c r="BR54" s="286">
        <v>0</v>
      </c>
    </row>
    <row r="55" spans="1:70" ht="14.25" customHeight="1" x14ac:dyDescent="0.35">
      <c r="A55" s="4" t="s">
        <v>457</v>
      </c>
      <c r="B55" s="384">
        <v>7731.0389999999998</v>
      </c>
      <c r="C55" s="385"/>
      <c r="D55" s="41" t="s">
        <v>118</v>
      </c>
      <c r="E55" s="93">
        <v>0</v>
      </c>
      <c r="F55" s="93">
        <v>2025</v>
      </c>
      <c r="G55" s="93">
        <v>2050</v>
      </c>
      <c r="I55" s="41" t="s">
        <v>118</v>
      </c>
      <c r="J55" s="286">
        <v>0</v>
      </c>
      <c r="K55" s="286">
        <v>0</v>
      </c>
      <c r="L55" s="286">
        <v>0</v>
      </c>
      <c r="M55" s="286">
        <v>0</v>
      </c>
      <c r="N55" s="286">
        <v>0</v>
      </c>
      <c r="O55" s="286">
        <v>0</v>
      </c>
      <c r="P55" s="286">
        <v>0</v>
      </c>
      <c r="Q55" s="286">
        <v>0</v>
      </c>
      <c r="R55" s="286">
        <v>0</v>
      </c>
      <c r="S55" s="286">
        <v>0</v>
      </c>
      <c r="T55" s="286">
        <v>0</v>
      </c>
      <c r="U55" s="286">
        <v>0</v>
      </c>
      <c r="V55" s="286">
        <v>0</v>
      </c>
      <c r="W55" s="286">
        <v>0</v>
      </c>
      <c r="X55" s="286">
        <v>0</v>
      </c>
      <c r="Y55" s="286">
        <v>0</v>
      </c>
      <c r="Z55" s="286">
        <v>0</v>
      </c>
      <c r="AA55" s="286">
        <v>0</v>
      </c>
      <c r="AB55" s="286">
        <v>0</v>
      </c>
      <c r="AC55" s="286">
        <v>0</v>
      </c>
      <c r="AD55" s="286">
        <v>0</v>
      </c>
      <c r="AE55" s="286">
        <v>0</v>
      </c>
      <c r="AF55" s="286">
        <v>0</v>
      </c>
      <c r="AG55" s="286">
        <v>0</v>
      </c>
      <c r="AH55" s="286">
        <v>0</v>
      </c>
      <c r="AI55" s="286">
        <v>0</v>
      </c>
      <c r="AJ55" s="286">
        <v>0</v>
      </c>
      <c r="AK55" s="286">
        <v>0</v>
      </c>
      <c r="AL55" s="286">
        <v>0</v>
      </c>
      <c r="AM55" s="286">
        <v>0</v>
      </c>
      <c r="AN55" s="286">
        <v>0</v>
      </c>
      <c r="AO55" s="286">
        <v>0</v>
      </c>
      <c r="AP55" s="286">
        <v>0</v>
      </c>
      <c r="AQ55" s="286">
        <v>0</v>
      </c>
      <c r="AR55" s="286">
        <v>0</v>
      </c>
      <c r="AS55" s="286">
        <v>0</v>
      </c>
      <c r="AT55" s="286">
        <v>0</v>
      </c>
      <c r="AU55" s="286">
        <v>0</v>
      </c>
      <c r="AV55" s="286">
        <v>0</v>
      </c>
      <c r="AW55" s="286">
        <v>0</v>
      </c>
      <c r="AX55" s="286">
        <v>0</v>
      </c>
      <c r="AY55" s="286">
        <v>0</v>
      </c>
      <c r="AZ55" s="286">
        <v>0</v>
      </c>
      <c r="BA55" s="286">
        <v>0</v>
      </c>
      <c r="BB55" s="286">
        <v>0</v>
      </c>
      <c r="BC55" s="286">
        <v>0</v>
      </c>
      <c r="BD55" s="286">
        <v>0</v>
      </c>
      <c r="BE55" s="286">
        <v>0</v>
      </c>
      <c r="BF55" s="286">
        <v>0</v>
      </c>
      <c r="BG55" s="286">
        <v>0</v>
      </c>
      <c r="BH55" s="286">
        <v>0</v>
      </c>
      <c r="BI55" s="286">
        <v>0</v>
      </c>
      <c r="BJ55" s="286">
        <v>0</v>
      </c>
      <c r="BK55" s="286">
        <v>0</v>
      </c>
      <c r="BL55" s="286">
        <v>0</v>
      </c>
      <c r="BM55" s="286">
        <v>0</v>
      </c>
      <c r="BN55" s="286">
        <v>0</v>
      </c>
      <c r="BO55" s="286">
        <v>0</v>
      </c>
      <c r="BP55" s="286">
        <v>0</v>
      </c>
      <c r="BQ55" s="286">
        <v>0</v>
      </c>
      <c r="BR55" s="281">
        <v>0.1</v>
      </c>
    </row>
    <row r="56" spans="1:70" ht="14.25" customHeight="1" x14ac:dyDescent="0.35">
      <c r="A56" s="4" t="s">
        <v>458</v>
      </c>
      <c r="B56" s="384">
        <v>8659.4429999999993</v>
      </c>
      <c r="C56" s="385"/>
      <c r="D56" s="41" t="s">
        <v>119</v>
      </c>
      <c r="E56" s="93">
        <v>0</v>
      </c>
      <c r="F56" s="93">
        <v>2025</v>
      </c>
      <c r="G56" s="93">
        <v>2050</v>
      </c>
      <c r="I56" s="41" t="s">
        <v>119</v>
      </c>
      <c r="J56" s="281">
        <v>0.1</v>
      </c>
      <c r="K56" s="281">
        <v>0.1</v>
      </c>
      <c r="L56" s="281">
        <v>0.1</v>
      </c>
      <c r="M56" s="281">
        <v>0.1</v>
      </c>
      <c r="N56" s="281">
        <v>0.1</v>
      </c>
      <c r="O56" s="281">
        <v>0.1</v>
      </c>
      <c r="P56" s="281">
        <v>0.1</v>
      </c>
      <c r="Q56" s="281">
        <v>0.1</v>
      </c>
      <c r="R56" s="281">
        <v>0.1</v>
      </c>
      <c r="S56" s="281">
        <v>0.1</v>
      </c>
      <c r="T56" s="281">
        <v>0.1</v>
      </c>
      <c r="U56" s="281">
        <v>0.1</v>
      </c>
      <c r="V56" s="281">
        <v>0.1</v>
      </c>
      <c r="W56" s="281">
        <v>0.1</v>
      </c>
      <c r="X56" s="281">
        <v>0.1</v>
      </c>
      <c r="Y56" s="281">
        <v>0.1</v>
      </c>
      <c r="Z56" s="281">
        <v>0.1</v>
      </c>
      <c r="AA56" s="281">
        <v>0.1</v>
      </c>
      <c r="AB56" s="281">
        <v>0.1</v>
      </c>
      <c r="AC56" s="281">
        <v>0.1</v>
      </c>
      <c r="AD56" s="281">
        <v>0.1</v>
      </c>
      <c r="AE56" s="281">
        <v>0.1</v>
      </c>
      <c r="AF56" s="281">
        <v>0.1</v>
      </c>
      <c r="AG56" s="281">
        <v>0.1</v>
      </c>
      <c r="AH56" s="281">
        <v>0.1</v>
      </c>
      <c r="AI56" s="281">
        <v>0.1</v>
      </c>
      <c r="AJ56" s="281">
        <v>0.1</v>
      </c>
      <c r="AK56" s="281">
        <v>0.1</v>
      </c>
      <c r="AL56" s="281">
        <v>0.1</v>
      </c>
      <c r="AM56" s="281">
        <v>0.1</v>
      </c>
      <c r="AN56" s="281">
        <v>0.1</v>
      </c>
      <c r="AO56" s="281">
        <v>0.1</v>
      </c>
      <c r="AP56" s="281">
        <v>0.1</v>
      </c>
      <c r="AQ56" s="281">
        <v>0.1</v>
      </c>
      <c r="AR56" s="281">
        <v>0.1</v>
      </c>
      <c r="AS56" s="281">
        <v>0.1</v>
      </c>
      <c r="AT56" s="281">
        <v>0.1</v>
      </c>
      <c r="AU56" s="281">
        <v>0.1</v>
      </c>
      <c r="AV56" s="281">
        <v>0.1</v>
      </c>
      <c r="AW56" s="281">
        <v>0.1</v>
      </c>
      <c r="AX56" s="281">
        <v>0.1</v>
      </c>
      <c r="AY56" s="281">
        <v>0.1</v>
      </c>
      <c r="AZ56" s="281">
        <v>0.1</v>
      </c>
      <c r="BA56" s="281">
        <v>0.1</v>
      </c>
      <c r="BB56" s="281">
        <v>0.1</v>
      </c>
      <c r="BC56" s="281">
        <v>0.1</v>
      </c>
      <c r="BD56" s="281">
        <v>0.1</v>
      </c>
      <c r="BE56" s="281">
        <v>0.1</v>
      </c>
      <c r="BF56" s="281">
        <v>0.1</v>
      </c>
      <c r="BG56" s="281">
        <v>0.1</v>
      </c>
      <c r="BH56" s="281">
        <v>0.1</v>
      </c>
      <c r="BI56" s="281">
        <v>0.1</v>
      </c>
      <c r="BJ56" s="281">
        <v>0.1</v>
      </c>
      <c r="BK56" s="281">
        <v>0.1</v>
      </c>
      <c r="BL56" s="281">
        <v>0.1</v>
      </c>
      <c r="BM56" s="281">
        <v>0.1</v>
      </c>
      <c r="BN56" s="281">
        <v>0.1</v>
      </c>
      <c r="BO56" s="281">
        <v>0.1</v>
      </c>
      <c r="BP56" s="281">
        <v>0.1</v>
      </c>
      <c r="BQ56" s="281">
        <v>0.1</v>
      </c>
      <c r="BR56" s="286">
        <v>0</v>
      </c>
    </row>
    <row r="57" spans="1:70" ht="14.25" customHeight="1" x14ac:dyDescent="0.35">
      <c r="A57" s="4" t="s">
        <v>459</v>
      </c>
      <c r="B57" s="384">
        <v>10009.5915</v>
      </c>
      <c r="C57" s="385"/>
      <c r="D57" s="41" t="s">
        <v>120</v>
      </c>
      <c r="E57" s="93">
        <v>0</v>
      </c>
      <c r="F57" s="93">
        <v>2025</v>
      </c>
      <c r="G57" s="93">
        <v>2050</v>
      </c>
      <c r="I57" s="41" t="s">
        <v>120</v>
      </c>
      <c r="J57" s="281">
        <v>0.1</v>
      </c>
      <c r="K57" s="281">
        <v>0.1</v>
      </c>
      <c r="L57" s="281">
        <v>0.1</v>
      </c>
      <c r="M57" s="281">
        <v>0.1</v>
      </c>
      <c r="N57" s="281">
        <v>0.1</v>
      </c>
      <c r="O57" s="281">
        <v>0.1</v>
      </c>
      <c r="P57" s="281">
        <v>0.1</v>
      </c>
      <c r="Q57" s="281">
        <v>0.1</v>
      </c>
      <c r="R57" s="281">
        <v>0.1</v>
      </c>
      <c r="S57" s="281">
        <v>0.1</v>
      </c>
      <c r="T57" s="281">
        <v>0.1</v>
      </c>
      <c r="U57" s="281">
        <v>0.1</v>
      </c>
      <c r="V57" s="281">
        <v>0.1</v>
      </c>
      <c r="W57" s="281">
        <v>0.1</v>
      </c>
      <c r="X57" s="281">
        <v>0.1</v>
      </c>
      <c r="Y57" s="281">
        <v>0.1</v>
      </c>
      <c r="Z57" s="281">
        <v>0.1</v>
      </c>
      <c r="AA57" s="281">
        <v>0.1</v>
      </c>
      <c r="AB57" s="281">
        <v>0.1</v>
      </c>
      <c r="AC57" s="281">
        <v>0.1</v>
      </c>
      <c r="AD57" s="281">
        <v>0.1</v>
      </c>
      <c r="AE57" s="281">
        <v>0.1</v>
      </c>
      <c r="AF57" s="281">
        <v>0.1</v>
      </c>
      <c r="AG57" s="281">
        <v>0.1</v>
      </c>
      <c r="AH57" s="281">
        <v>0.1</v>
      </c>
      <c r="AI57" s="281">
        <v>0.1</v>
      </c>
      <c r="AJ57" s="281">
        <v>0.1</v>
      </c>
      <c r="AK57" s="281">
        <v>0.1</v>
      </c>
      <c r="AL57" s="281">
        <v>0.1</v>
      </c>
      <c r="AM57" s="281">
        <v>0.1</v>
      </c>
      <c r="AN57" s="281">
        <v>0.1</v>
      </c>
      <c r="AO57" s="281">
        <v>0.1</v>
      </c>
      <c r="AP57" s="281">
        <v>0.1</v>
      </c>
      <c r="AQ57" s="281">
        <v>0.1</v>
      </c>
      <c r="AR57" s="281">
        <v>0.1</v>
      </c>
      <c r="AS57" s="281">
        <v>0.1</v>
      </c>
      <c r="AT57" s="281">
        <v>0.1</v>
      </c>
      <c r="AU57" s="281">
        <v>0.1</v>
      </c>
      <c r="AV57" s="281">
        <v>0.1</v>
      </c>
      <c r="AW57" s="281">
        <v>0.1</v>
      </c>
      <c r="AX57" s="281">
        <v>0.1</v>
      </c>
      <c r="AY57" s="281">
        <v>0.1</v>
      </c>
      <c r="AZ57" s="281">
        <v>0.1</v>
      </c>
      <c r="BA57" s="281">
        <v>0.1</v>
      </c>
      <c r="BB57" s="281">
        <v>0.1</v>
      </c>
      <c r="BC57" s="281">
        <v>0.1</v>
      </c>
      <c r="BD57" s="281">
        <v>0.1</v>
      </c>
      <c r="BE57" s="281">
        <v>0.1</v>
      </c>
      <c r="BF57" s="281">
        <v>0.1</v>
      </c>
      <c r="BG57" s="281">
        <v>0.1</v>
      </c>
      <c r="BH57" s="281">
        <v>0.1</v>
      </c>
      <c r="BI57" s="281">
        <v>0.1</v>
      </c>
      <c r="BJ57" s="281">
        <v>0.1</v>
      </c>
      <c r="BK57" s="281">
        <v>0.1</v>
      </c>
      <c r="BL57" s="281">
        <v>0.1</v>
      </c>
      <c r="BM57" s="281">
        <v>0.1</v>
      </c>
      <c r="BN57" s="281">
        <v>0.1</v>
      </c>
      <c r="BO57" s="281">
        <v>0.1</v>
      </c>
      <c r="BP57" s="281">
        <v>0.1</v>
      </c>
      <c r="BQ57" s="281">
        <v>0.1</v>
      </c>
      <c r="BR57" s="286">
        <v>0</v>
      </c>
    </row>
    <row r="58" spans="1:70" ht="14.25" customHeight="1" x14ac:dyDescent="0.35">
      <c r="A58" s="4" t="s">
        <v>83</v>
      </c>
      <c r="B58" s="384">
        <v>8914.1880000000001</v>
      </c>
      <c r="C58" s="385"/>
      <c r="D58" s="42" t="s">
        <v>83</v>
      </c>
      <c r="E58" s="93">
        <v>0</v>
      </c>
      <c r="F58" s="93">
        <v>2025</v>
      </c>
      <c r="G58" s="93">
        <v>2050</v>
      </c>
      <c r="I58" s="42" t="s">
        <v>83</v>
      </c>
      <c r="J58" s="286">
        <v>0</v>
      </c>
      <c r="K58" s="286">
        <v>0</v>
      </c>
      <c r="L58" s="286">
        <v>0</v>
      </c>
      <c r="M58" s="286">
        <v>0</v>
      </c>
      <c r="N58" s="286">
        <v>0</v>
      </c>
      <c r="O58" s="286">
        <v>0</v>
      </c>
      <c r="P58" s="286">
        <v>0</v>
      </c>
      <c r="Q58" s="286">
        <v>0</v>
      </c>
      <c r="R58" s="286">
        <v>0</v>
      </c>
      <c r="S58" s="286">
        <v>0</v>
      </c>
      <c r="T58" s="286">
        <v>0</v>
      </c>
      <c r="U58" s="286">
        <v>0</v>
      </c>
      <c r="V58" s="286">
        <v>0</v>
      </c>
      <c r="W58" s="286">
        <v>0</v>
      </c>
      <c r="X58" s="286">
        <v>0</v>
      </c>
      <c r="Y58" s="286">
        <v>0</v>
      </c>
      <c r="Z58" s="286">
        <v>0</v>
      </c>
      <c r="AA58" s="286">
        <v>0</v>
      </c>
      <c r="AB58" s="286">
        <v>0</v>
      </c>
      <c r="AC58" s="286">
        <v>0</v>
      </c>
      <c r="AD58" s="286">
        <v>0</v>
      </c>
      <c r="AE58" s="286">
        <v>0</v>
      </c>
      <c r="AF58" s="286">
        <v>0</v>
      </c>
      <c r="AG58" s="286">
        <v>0</v>
      </c>
      <c r="AH58" s="286">
        <v>0</v>
      </c>
      <c r="AI58" s="286">
        <v>0</v>
      </c>
      <c r="AJ58" s="286">
        <v>0</v>
      </c>
      <c r="AK58" s="286">
        <v>0</v>
      </c>
      <c r="AL58" s="286">
        <v>0</v>
      </c>
      <c r="AM58" s="286">
        <v>0</v>
      </c>
      <c r="AN58" s="286">
        <v>0</v>
      </c>
      <c r="AO58" s="286">
        <v>0</v>
      </c>
      <c r="AP58" s="286">
        <v>0</v>
      </c>
      <c r="AQ58" s="286">
        <v>0</v>
      </c>
      <c r="AR58" s="286">
        <v>0</v>
      </c>
      <c r="AS58" s="286">
        <v>0</v>
      </c>
      <c r="AT58" s="286">
        <v>0</v>
      </c>
      <c r="AU58" s="286">
        <v>0</v>
      </c>
      <c r="AV58" s="286">
        <v>0</v>
      </c>
      <c r="AW58" s="286">
        <v>0</v>
      </c>
      <c r="AX58" s="286">
        <v>0</v>
      </c>
      <c r="AY58" s="286">
        <v>0</v>
      </c>
      <c r="AZ58" s="286">
        <v>0</v>
      </c>
      <c r="BA58" s="286">
        <v>0</v>
      </c>
      <c r="BB58" s="286">
        <v>0</v>
      </c>
      <c r="BC58" s="286">
        <v>0</v>
      </c>
      <c r="BD58" s="286">
        <v>0</v>
      </c>
      <c r="BE58" s="286">
        <v>0</v>
      </c>
      <c r="BF58" s="286">
        <v>0</v>
      </c>
      <c r="BG58" s="286">
        <v>0</v>
      </c>
      <c r="BH58" s="286">
        <v>0</v>
      </c>
      <c r="BI58" s="286">
        <v>0</v>
      </c>
      <c r="BJ58" s="286">
        <v>0</v>
      </c>
      <c r="BK58" s="286">
        <v>0</v>
      </c>
      <c r="BL58" s="286">
        <v>0</v>
      </c>
      <c r="BM58" s="286">
        <v>0</v>
      </c>
      <c r="BN58" s="286">
        <v>0</v>
      </c>
      <c r="BO58" s="286">
        <v>0</v>
      </c>
      <c r="BP58" s="286">
        <v>0</v>
      </c>
      <c r="BQ58" s="286">
        <v>0</v>
      </c>
      <c r="BR58" s="281">
        <v>0.1</v>
      </c>
    </row>
    <row r="59" spans="1:70" ht="14.25" customHeight="1" x14ac:dyDescent="0.35">
      <c r="A59" s="4" t="s">
        <v>758</v>
      </c>
      <c r="B59" s="384">
        <v>0</v>
      </c>
      <c r="C59" s="385"/>
      <c r="D59" s="42" t="s">
        <v>144</v>
      </c>
      <c r="E59" s="386">
        <v>0</v>
      </c>
      <c r="F59" s="386">
        <v>0</v>
      </c>
      <c r="G59" s="386">
        <v>0</v>
      </c>
      <c r="I59" s="42" t="s">
        <v>144</v>
      </c>
      <c r="J59" s="286">
        <v>0</v>
      </c>
      <c r="K59" s="286">
        <v>0</v>
      </c>
      <c r="L59" s="286">
        <v>0</v>
      </c>
      <c r="M59" s="286">
        <v>0</v>
      </c>
      <c r="N59" s="286">
        <v>0</v>
      </c>
      <c r="O59" s="286">
        <v>0</v>
      </c>
      <c r="P59" s="286">
        <v>0</v>
      </c>
      <c r="Q59" s="286">
        <v>0</v>
      </c>
      <c r="R59" s="286">
        <v>0</v>
      </c>
      <c r="S59" s="286">
        <v>0</v>
      </c>
      <c r="T59" s="286">
        <v>0</v>
      </c>
      <c r="U59" s="286">
        <v>0</v>
      </c>
      <c r="V59" s="286">
        <v>0</v>
      </c>
      <c r="W59" s="286">
        <v>0</v>
      </c>
      <c r="X59" s="286">
        <v>0</v>
      </c>
      <c r="Y59" s="286">
        <v>0</v>
      </c>
      <c r="Z59" s="286">
        <v>0</v>
      </c>
      <c r="AA59" s="286">
        <v>0</v>
      </c>
      <c r="AB59" s="286">
        <v>0</v>
      </c>
      <c r="AC59" s="286">
        <v>0</v>
      </c>
      <c r="AD59" s="286">
        <v>0</v>
      </c>
      <c r="AE59" s="286">
        <v>0</v>
      </c>
      <c r="AF59" s="286">
        <v>0</v>
      </c>
      <c r="AG59" s="286">
        <v>0</v>
      </c>
      <c r="AH59" s="286">
        <v>0</v>
      </c>
      <c r="AI59" s="286">
        <v>0</v>
      </c>
      <c r="AJ59" s="286">
        <v>0</v>
      </c>
      <c r="AK59" s="286">
        <v>0</v>
      </c>
      <c r="AL59" s="286">
        <v>0</v>
      </c>
      <c r="AM59" s="286">
        <v>0</v>
      </c>
      <c r="AN59" s="286">
        <v>0</v>
      </c>
      <c r="AO59" s="286">
        <v>0</v>
      </c>
      <c r="AP59" s="286">
        <v>0</v>
      </c>
      <c r="AQ59" s="286">
        <v>0</v>
      </c>
      <c r="AR59" s="286">
        <v>0</v>
      </c>
      <c r="AS59" s="286">
        <v>0</v>
      </c>
      <c r="AT59" s="286">
        <v>0</v>
      </c>
      <c r="AU59" s="286">
        <v>0</v>
      </c>
      <c r="AV59" s="286">
        <v>0</v>
      </c>
      <c r="AW59" s="286">
        <v>0</v>
      </c>
      <c r="AX59" s="286">
        <v>0</v>
      </c>
      <c r="AY59" s="286">
        <v>0</v>
      </c>
      <c r="AZ59" s="286">
        <v>0</v>
      </c>
      <c r="BA59" s="286">
        <v>0</v>
      </c>
      <c r="BB59" s="286">
        <v>0</v>
      </c>
      <c r="BC59" s="286">
        <v>0</v>
      </c>
      <c r="BD59" s="286">
        <v>0</v>
      </c>
      <c r="BE59" s="286">
        <v>0</v>
      </c>
      <c r="BF59" s="286">
        <v>0</v>
      </c>
      <c r="BG59" s="286">
        <v>0</v>
      </c>
      <c r="BH59" s="286">
        <v>0</v>
      </c>
      <c r="BI59" s="286">
        <v>0</v>
      </c>
      <c r="BJ59" s="286">
        <v>0</v>
      </c>
      <c r="BK59" s="286">
        <v>0</v>
      </c>
      <c r="BL59" s="286">
        <v>0</v>
      </c>
      <c r="BM59" s="286">
        <v>0</v>
      </c>
      <c r="BN59" s="286">
        <v>0</v>
      </c>
      <c r="BO59" s="286">
        <v>0</v>
      </c>
      <c r="BP59" s="286">
        <v>0</v>
      </c>
      <c r="BQ59" s="286">
        <v>0</v>
      </c>
      <c r="BR59" s="286">
        <v>0</v>
      </c>
    </row>
    <row r="60" spans="1:70" ht="14.25" customHeight="1" x14ac:dyDescent="0.35">
      <c r="A60" s="4" t="s">
        <v>164</v>
      </c>
      <c r="B60" s="384">
        <v>0</v>
      </c>
      <c r="C60" s="385"/>
      <c r="D60" s="42" t="s">
        <v>164</v>
      </c>
      <c r="E60" s="386">
        <v>0</v>
      </c>
      <c r="F60" s="386">
        <v>0</v>
      </c>
      <c r="G60" s="386">
        <v>0</v>
      </c>
      <c r="I60" s="42" t="s">
        <v>164</v>
      </c>
      <c r="J60" s="286">
        <v>0</v>
      </c>
      <c r="K60" s="286">
        <v>0</v>
      </c>
      <c r="L60" s="286">
        <v>0</v>
      </c>
      <c r="M60" s="286">
        <v>0</v>
      </c>
      <c r="N60" s="286">
        <v>0</v>
      </c>
      <c r="O60" s="286">
        <v>0</v>
      </c>
      <c r="P60" s="286">
        <v>0</v>
      </c>
      <c r="Q60" s="286">
        <v>0</v>
      </c>
      <c r="R60" s="286">
        <v>0</v>
      </c>
      <c r="S60" s="286">
        <v>0</v>
      </c>
      <c r="T60" s="286">
        <v>0</v>
      </c>
      <c r="U60" s="286">
        <v>0</v>
      </c>
      <c r="V60" s="286">
        <v>0</v>
      </c>
      <c r="W60" s="286">
        <v>0</v>
      </c>
      <c r="X60" s="286">
        <v>0</v>
      </c>
      <c r="Y60" s="286">
        <v>0</v>
      </c>
      <c r="Z60" s="286">
        <v>0</v>
      </c>
      <c r="AA60" s="286">
        <v>0</v>
      </c>
      <c r="AB60" s="286">
        <v>0</v>
      </c>
      <c r="AC60" s="286">
        <v>0</v>
      </c>
      <c r="AD60" s="286">
        <v>0</v>
      </c>
      <c r="AE60" s="286">
        <v>0</v>
      </c>
      <c r="AF60" s="286">
        <v>0</v>
      </c>
      <c r="AG60" s="286">
        <v>0</v>
      </c>
      <c r="AH60" s="286">
        <v>0</v>
      </c>
      <c r="AI60" s="286">
        <v>0</v>
      </c>
      <c r="AJ60" s="286">
        <v>0</v>
      </c>
      <c r="AK60" s="286">
        <v>0</v>
      </c>
      <c r="AL60" s="286">
        <v>0</v>
      </c>
      <c r="AM60" s="286">
        <v>0</v>
      </c>
      <c r="AN60" s="286">
        <v>0</v>
      </c>
      <c r="AO60" s="286">
        <v>0</v>
      </c>
      <c r="AP60" s="286">
        <v>0</v>
      </c>
      <c r="AQ60" s="286">
        <v>0</v>
      </c>
      <c r="AR60" s="286">
        <v>0</v>
      </c>
      <c r="AS60" s="286">
        <v>0</v>
      </c>
      <c r="AT60" s="286">
        <v>0</v>
      </c>
      <c r="AU60" s="286">
        <v>0</v>
      </c>
      <c r="AV60" s="286">
        <v>0</v>
      </c>
      <c r="AW60" s="286">
        <v>0</v>
      </c>
      <c r="AX60" s="286">
        <v>0</v>
      </c>
      <c r="AY60" s="286">
        <v>0</v>
      </c>
      <c r="AZ60" s="286">
        <v>0</v>
      </c>
      <c r="BA60" s="286">
        <v>0</v>
      </c>
      <c r="BB60" s="286">
        <v>0</v>
      </c>
      <c r="BC60" s="286">
        <v>0</v>
      </c>
      <c r="BD60" s="286">
        <v>0</v>
      </c>
      <c r="BE60" s="286">
        <v>0</v>
      </c>
      <c r="BF60" s="286">
        <v>0</v>
      </c>
      <c r="BG60" s="286">
        <v>0</v>
      </c>
      <c r="BH60" s="286">
        <v>0</v>
      </c>
      <c r="BI60" s="286">
        <v>0</v>
      </c>
      <c r="BJ60" s="286">
        <v>0</v>
      </c>
      <c r="BK60" s="286">
        <v>0</v>
      </c>
      <c r="BL60" s="286">
        <v>0</v>
      </c>
      <c r="BM60" s="286">
        <v>0</v>
      </c>
      <c r="BN60" s="286">
        <v>0</v>
      </c>
      <c r="BO60" s="286">
        <v>0</v>
      </c>
      <c r="BP60" s="286">
        <v>0</v>
      </c>
      <c r="BQ60" s="286">
        <v>0</v>
      </c>
      <c r="BR60" s="286">
        <v>0</v>
      </c>
    </row>
    <row r="61" spans="1:70" ht="14.25" customHeight="1" x14ac:dyDescent="0.35">
      <c r="A61" s="4" t="s">
        <v>759</v>
      </c>
      <c r="B61" s="384">
        <v>0</v>
      </c>
      <c r="C61" s="385"/>
      <c r="D61" s="42" t="s">
        <v>145</v>
      </c>
      <c r="E61" s="386">
        <v>0</v>
      </c>
      <c r="F61" s="386">
        <v>0</v>
      </c>
      <c r="G61" s="386">
        <v>0</v>
      </c>
      <c r="I61" s="42" t="s">
        <v>145</v>
      </c>
      <c r="J61" s="286">
        <v>0</v>
      </c>
      <c r="K61" s="286">
        <v>0</v>
      </c>
      <c r="L61" s="286">
        <v>0</v>
      </c>
      <c r="M61" s="286">
        <v>0</v>
      </c>
      <c r="N61" s="286">
        <v>0</v>
      </c>
      <c r="O61" s="286">
        <v>0</v>
      </c>
      <c r="P61" s="286">
        <v>0</v>
      </c>
      <c r="Q61" s="286">
        <v>0</v>
      </c>
      <c r="R61" s="286">
        <v>0</v>
      </c>
      <c r="S61" s="286">
        <v>0</v>
      </c>
      <c r="T61" s="286">
        <v>0</v>
      </c>
      <c r="U61" s="286">
        <v>0</v>
      </c>
      <c r="V61" s="286">
        <v>0</v>
      </c>
      <c r="W61" s="286">
        <v>0</v>
      </c>
      <c r="X61" s="286">
        <v>0</v>
      </c>
      <c r="Y61" s="286">
        <v>0</v>
      </c>
      <c r="Z61" s="286">
        <v>0</v>
      </c>
      <c r="AA61" s="286">
        <v>0</v>
      </c>
      <c r="AB61" s="286">
        <v>0</v>
      </c>
      <c r="AC61" s="286">
        <v>0</v>
      </c>
      <c r="AD61" s="286">
        <v>0</v>
      </c>
      <c r="AE61" s="286">
        <v>0</v>
      </c>
      <c r="AF61" s="286">
        <v>0</v>
      </c>
      <c r="AG61" s="286">
        <v>0</v>
      </c>
      <c r="AH61" s="286">
        <v>0</v>
      </c>
      <c r="AI61" s="286">
        <v>0</v>
      </c>
      <c r="AJ61" s="286">
        <v>0</v>
      </c>
      <c r="AK61" s="286">
        <v>0</v>
      </c>
      <c r="AL61" s="286">
        <v>0</v>
      </c>
      <c r="AM61" s="286">
        <v>0</v>
      </c>
      <c r="AN61" s="286">
        <v>0</v>
      </c>
      <c r="AO61" s="286">
        <v>0</v>
      </c>
      <c r="AP61" s="286">
        <v>0</v>
      </c>
      <c r="AQ61" s="286">
        <v>0</v>
      </c>
      <c r="AR61" s="286">
        <v>0</v>
      </c>
      <c r="AS61" s="286">
        <v>0</v>
      </c>
      <c r="AT61" s="286">
        <v>0</v>
      </c>
      <c r="AU61" s="286">
        <v>0</v>
      </c>
      <c r="AV61" s="286">
        <v>0</v>
      </c>
      <c r="AW61" s="286">
        <v>0</v>
      </c>
      <c r="AX61" s="286">
        <v>0</v>
      </c>
      <c r="AY61" s="286">
        <v>0</v>
      </c>
      <c r="AZ61" s="286">
        <v>0</v>
      </c>
      <c r="BA61" s="286">
        <v>0</v>
      </c>
      <c r="BB61" s="286">
        <v>0</v>
      </c>
      <c r="BC61" s="286">
        <v>0</v>
      </c>
      <c r="BD61" s="286">
        <v>0</v>
      </c>
      <c r="BE61" s="286">
        <v>0</v>
      </c>
      <c r="BF61" s="286">
        <v>0</v>
      </c>
      <c r="BG61" s="286">
        <v>0</v>
      </c>
      <c r="BH61" s="286">
        <v>0</v>
      </c>
      <c r="BI61" s="286">
        <v>0</v>
      </c>
      <c r="BJ61" s="286">
        <v>0</v>
      </c>
      <c r="BK61" s="286">
        <v>0</v>
      </c>
      <c r="BL61" s="286">
        <v>0</v>
      </c>
      <c r="BM61" s="286">
        <v>0</v>
      </c>
      <c r="BN61" s="286">
        <v>0</v>
      </c>
      <c r="BO61" s="286">
        <v>0</v>
      </c>
      <c r="BP61" s="286">
        <v>0</v>
      </c>
      <c r="BQ61" s="286">
        <v>0</v>
      </c>
      <c r="BR61" s="286">
        <v>0</v>
      </c>
    </row>
    <row r="62" spans="1:70" ht="14.25" customHeight="1" x14ac:dyDescent="0.35">
      <c r="A62" s="4" t="s">
        <v>87</v>
      </c>
      <c r="B62" s="384">
        <v>0</v>
      </c>
      <c r="C62" s="385"/>
      <c r="D62" s="42" t="s">
        <v>87</v>
      </c>
      <c r="E62" s="386">
        <v>0</v>
      </c>
      <c r="F62" s="386">
        <v>0</v>
      </c>
      <c r="G62" s="386">
        <v>0</v>
      </c>
      <c r="I62" s="42" t="s">
        <v>87</v>
      </c>
      <c r="J62" s="286">
        <v>0</v>
      </c>
      <c r="K62" s="286">
        <v>0</v>
      </c>
      <c r="L62" s="286">
        <v>0</v>
      </c>
      <c r="M62" s="286">
        <v>0</v>
      </c>
      <c r="N62" s="286">
        <v>0</v>
      </c>
      <c r="O62" s="286">
        <v>0</v>
      </c>
      <c r="P62" s="286">
        <v>0</v>
      </c>
      <c r="Q62" s="286">
        <v>0</v>
      </c>
      <c r="R62" s="286">
        <v>0</v>
      </c>
      <c r="S62" s="286">
        <v>0</v>
      </c>
      <c r="T62" s="286">
        <v>0</v>
      </c>
      <c r="U62" s="286">
        <v>0</v>
      </c>
      <c r="V62" s="286">
        <v>0</v>
      </c>
      <c r="W62" s="286">
        <v>0</v>
      </c>
      <c r="X62" s="286">
        <v>0</v>
      </c>
      <c r="Y62" s="286">
        <v>0</v>
      </c>
      <c r="Z62" s="286">
        <v>0</v>
      </c>
      <c r="AA62" s="286">
        <v>0</v>
      </c>
      <c r="AB62" s="286">
        <v>0</v>
      </c>
      <c r="AC62" s="286">
        <v>0</v>
      </c>
      <c r="AD62" s="286">
        <v>0</v>
      </c>
      <c r="AE62" s="286">
        <v>0</v>
      </c>
      <c r="AF62" s="286">
        <v>0</v>
      </c>
      <c r="AG62" s="286">
        <v>0</v>
      </c>
      <c r="AH62" s="286">
        <v>0</v>
      </c>
      <c r="AI62" s="286">
        <v>0</v>
      </c>
      <c r="AJ62" s="286">
        <v>0</v>
      </c>
      <c r="AK62" s="286">
        <v>0</v>
      </c>
      <c r="AL62" s="286">
        <v>0</v>
      </c>
      <c r="AM62" s="286">
        <v>0</v>
      </c>
      <c r="AN62" s="286">
        <v>0</v>
      </c>
      <c r="AO62" s="286">
        <v>0</v>
      </c>
      <c r="AP62" s="286">
        <v>0</v>
      </c>
      <c r="AQ62" s="286">
        <v>0</v>
      </c>
      <c r="AR62" s="286">
        <v>0</v>
      </c>
      <c r="AS62" s="286">
        <v>0</v>
      </c>
      <c r="AT62" s="286">
        <v>0</v>
      </c>
      <c r="AU62" s="286">
        <v>0</v>
      </c>
      <c r="AV62" s="286">
        <v>0</v>
      </c>
      <c r="AW62" s="286">
        <v>0</v>
      </c>
      <c r="AX62" s="286">
        <v>0</v>
      </c>
      <c r="AY62" s="286">
        <v>0</v>
      </c>
      <c r="AZ62" s="286">
        <v>0</v>
      </c>
      <c r="BA62" s="286">
        <v>0</v>
      </c>
      <c r="BB62" s="286">
        <v>0</v>
      </c>
      <c r="BC62" s="286">
        <v>0</v>
      </c>
      <c r="BD62" s="286">
        <v>0</v>
      </c>
      <c r="BE62" s="286">
        <v>0</v>
      </c>
      <c r="BF62" s="286">
        <v>0</v>
      </c>
      <c r="BG62" s="286">
        <v>0</v>
      </c>
      <c r="BH62" s="286">
        <v>0</v>
      </c>
      <c r="BI62" s="286">
        <v>0</v>
      </c>
      <c r="BJ62" s="286">
        <v>0</v>
      </c>
      <c r="BK62" s="286">
        <v>0</v>
      </c>
      <c r="BL62" s="286">
        <v>0</v>
      </c>
      <c r="BM62" s="286">
        <v>0</v>
      </c>
      <c r="BN62" s="286">
        <v>0</v>
      </c>
      <c r="BO62" s="286">
        <v>0</v>
      </c>
      <c r="BP62" s="286">
        <v>0</v>
      </c>
      <c r="BQ62" s="286">
        <v>0</v>
      </c>
      <c r="BR62" s="286">
        <v>0</v>
      </c>
    </row>
    <row r="63" spans="1:70" ht="14.25" customHeight="1" x14ac:dyDescent="0.35">
      <c r="A63" s="4" t="s">
        <v>760</v>
      </c>
      <c r="B63" s="384">
        <v>0</v>
      </c>
      <c r="C63" s="385"/>
      <c r="D63" s="42" t="s">
        <v>146</v>
      </c>
      <c r="E63" s="386">
        <v>0</v>
      </c>
      <c r="F63" s="386">
        <v>0</v>
      </c>
      <c r="G63" s="386">
        <v>0</v>
      </c>
      <c r="I63" s="42" t="s">
        <v>146</v>
      </c>
      <c r="J63" s="286">
        <v>0</v>
      </c>
      <c r="K63" s="286">
        <v>0</v>
      </c>
      <c r="L63" s="286">
        <v>0</v>
      </c>
      <c r="M63" s="286">
        <v>0</v>
      </c>
      <c r="N63" s="286">
        <v>0</v>
      </c>
      <c r="O63" s="286">
        <v>0</v>
      </c>
      <c r="P63" s="286">
        <v>0</v>
      </c>
      <c r="Q63" s="286">
        <v>0</v>
      </c>
      <c r="R63" s="286">
        <v>0</v>
      </c>
      <c r="S63" s="286">
        <v>0</v>
      </c>
      <c r="T63" s="286">
        <v>0</v>
      </c>
      <c r="U63" s="286">
        <v>0</v>
      </c>
      <c r="V63" s="286">
        <v>0</v>
      </c>
      <c r="W63" s="286">
        <v>0</v>
      </c>
      <c r="X63" s="286">
        <v>0</v>
      </c>
      <c r="Y63" s="286">
        <v>0</v>
      </c>
      <c r="Z63" s="286">
        <v>0</v>
      </c>
      <c r="AA63" s="286">
        <v>0</v>
      </c>
      <c r="AB63" s="286">
        <v>0</v>
      </c>
      <c r="AC63" s="286">
        <v>0</v>
      </c>
      <c r="AD63" s="286">
        <v>0</v>
      </c>
      <c r="AE63" s="286">
        <v>0</v>
      </c>
      <c r="AF63" s="286">
        <v>0</v>
      </c>
      <c r="AG63" s="286">
        <v>0</v>
      </c>
      <c r="AH63" s="286">
        <v>0</v>
      </c>
      <c r="AI63" s="286">
        <v>0</v>
      </c>
      <c r="AJ63" s="286">
        <v>0</v>
      </c>
      <c r="AK63" s="286">
        <v>0</v>
      </c>
      <c r="AL63" s="286">
        <v>0</v>
      </c>
      <c r="AM63" s="286">
        <v>0</v>
      </c>
      <c r="AN63" s="286">
        <v>0</v>
      </c>
      <c r="AO63" s="286">
        <v>0</v>
      </c>
      <c r="AP63" s="286">
        <v>0</v>
      </c>
      <c r="AQ63" s="286">
        <v>0</v>
      </c>
      <c r="AR63" s="286">
        <v>0</v>
      </c>
      <c r="AS63" s="286">
        <v>0</v>
      </c>
      <c r="AT63" s="286">
        <v>0</v>
      </c>
      <c r="AU63" s="286">
        <v>0</v>
      </c>
      <c r="AV63" s="286">
        <v>0</v>
      </c>
      <c r="AW63" s="286">
        <v>0</v>
      </c>
      <c r="AX63" s="286">
        <v>0</v>
      </c>
      <c r="AY63" s="286">
        <v>0</v>
      </c>
      <c r="AZ63" s="286">
        <v>0</v>
      </c>
      <c r="BA63" s="286">
        <v>0</v>
      </c>
      <c r="BB63" s="286">
        <v>0</v>
      </c>
      <c r="BC63" s="286">
        <v>0</v>
      </c>
      <c r="BD63" s="286">
        <v>0</v>
      </c>
      <c r="BE63" s="286">
        <v>0</v>
      </c>
      <c r="BF63" s="286">
        <v>0</v>
      </c>
      <c r="BG63" s="286">
        <v>0</v>
      </c>
      <c r="BH63" s="286">
        <v>0</v>
      </c>
      <c r="BI63" s="286">
        <v>0</v>
      </c>
      <c r="BJ63" s="286">
        <v>0</v>
      </c>
      <c r="BK63" s="286">
        <v>0</v>
      </c>
      <c r="BL63" s="286">
        <v>0</v>
      </c>
      <c r="BM63" s="286">
        <v>0</v>
      </c>
      <c r="BN63" s="286">
        <v>0</v>
      </c>
      <c r="BO63" s="286">
        <v>0</v>
      </c>
      <c r="BP63" s="286">
        <v>0</v>
      </c>
      <c r="BQ63" s="286">
        <v>0</v>
      </c>
      <c r="BR63" s="286">
        <v>0</v>
      </c>
    </row>
    <row r="64" spans="1:70" ht="14.25" customHeight="1" x14ac:dyDescent="0.35">
      <c r="A64" s="4" t="s">
        <v>89</v>
      </c>
      <c r="B64" s="384">
        <v>0</v>
      </c>
      <c r="C64" s="385"/>
      <c r="D64" s="42" t="s">
        <v>89</v>
      </c>
      <c r="E64" s="386">
        <v>0</v>
      </c>
      <c r="F64" s="386">
        <v>0</v>
      </c>
      <c r="G64" s="386">
        <v>0</v>
      </c>
      <c r="I64" s="42" t="s">
        <v>89</v>
      </c>
      <c r="J64" s="286">
        <v>0</v>
      </c>
      <c r="K64" s="286">
        <v>0</v>
      </c>
      <c r="L64" s="286">
        <v>0</v>
      </c>
      <c r="M64" s="286">
        <v>0</v>
      </c>
      <c r="N64" s="286">
        <v>0</v>
      </c>
      <c r="O64" s="286">
        <v>0</v>
      </c>
      <c r="P64" s="286">
        <v>0</v>
      </c>
      <c r="Q64" s="286">
        <v>0</v>
      </c>
      <c r="R64" s="286">
        <v>0</v>
      </c>
      <c r="S64" s="286">
        <v>0</v>
      </c>
      <c r="T64" s="286">
        <v>0</v>
      </c>
      <c r="U64" s="286">
        <v>0</v>
      </c>
      <c r="V64" s="286">
        <v>0</v>
      </c>
      <c r="W64" s="286">
        <v>0</v>
      </c>
      <c r="X64" s="286">
        <v>0</v>
      </c>
      <c r="Y64" s="286">
        <v>0</v>
      </c>
      <c r="Z64" s="286">
        <v>0</v>
      </c>
      <c r="AA64" s="286">
        <v>0</v>
      </c>
      <c r="AB64" s="286">
        <v>0</v>
      </c>
      <c r="AC64" s="286">
        <v>0</v>
      </c>
      <c r="AD64" s="286">
        <v>0</v>
      </c>
      <c r="AE64" s="286">
        <v>0</v>
      </c>
      <c r="AF64" s="286">
        <v>0</v>
      </c>
      <c r="AG64" s="286">
        <v>0</v>
      </c>
      <c r="AH64" s="286">
        <v>0</v>
      </c>
      <c r="AI64" s="286">
        <v>0</v>
      </c>
      <c r="AJ64" s="286">
        <v>0</v>
      </c>
      <c r="AK64" s="286">
        <v>0</v>
      </c>
      <c r="AL64" s="286">
        <v>0</v>
      </c>
      <c r="AM64" s="286">
        <v>0</v>
      </c>
      <c r="AN64" s="286">
        <v>0</v>
      </c>
      <c r="AO64" s="286">
        <v>0</v>
      </c>
      <c r="AP64" s="286">
        <v>0</v>
      </c>
      <c r="AQ64" s="286">
        <v>0</v>
      </c>
      <c r="AR64" s="286">
        <v>0</v>
      </c>
      <c r="AS64" s="286">
        <v>0</v>
      </c>
      <c r="AT64" s="286">
        <v>0</v>
      </c>
      <c r="AU64" s="286">
        <v>0</v>
      </c>
      <c r="AV64" s="286">
        <v>0</v>
      </c>
      <c r="AW64" s="286">
        <v>0</v>
      </c>
      <c r="AX64" s="286">
        <v>0</v>
      </c>
      <c r="AY64" s="286">
        <v>0</v>
      </c>
      <c r="AZ64" s="286">
        <v>0</v>
      </c>
      <c r="BA64" s="286">
        <v>0</v>
      </c>
      <c r="BB64" s="286">
        <v>0</v>
      </c>
      <c r="BC64" s="286">
        <v>0</v>
      </c>
      <c r="BD64" s="286">
        <v>0</v>
      </c>
      <c r="BE64" s="286">
        <v>0</v>
      </c>
      <c r="BF64" s="286">
        <v>0</v>
      </c>
      <c r="BG64" s="286">
        <v>0</v>
      </c>
      <c r="BH64" s="286">
        <v>0</v>
      </c>
      <c r="BI64" s="286">
        <v>0</v>
      </c>
      <c r="BJ64" s="286">
        <v>0</v>
      </c>
      <c r="BK64" s="286">
        <v>0</v>
      </c>
      <c r="BL64" s="286">
        <v>0</v>
      </c>
      <c r="BM64" s="286">
        <v>0</v>
      </c>
      <c r="BN64" s="286">
        <v>0</v>
      </c>
      <c r="BO64" s="286">
        <v>0</v>
      </c>
      <c r="BP64" s="286">
        <v>0</v>
      </c>
      <c r="BQ64" s="286">
        <v>0</v>
      </c>
      <c r="BR64" s="286">
        <v>0</v>
      </c>
    </row>
    <row r="65" spans="1:70" ht="14.25" customHeight="1" x14ac:dyDescent="0.35">
      <c r="A65" s="4" t="s">
        <v>90</v>
      </c>
      <c r="B65" s="384">
        <v>0</v>
      </c>
      <c r="C65" s="385"/>
      <c r="D65" s="42" t="s">
        <v>90</v>
      </c>
      <c r="E65" s="386">
        <v>0</v>
      </c>
      <c r="F65" s="386">
        <v>0</v>
      </c>
      <c r="G65" s="386">
        <v>0</v>
      </c>
      <c r="I65" s="42" t="s">
        <v>90</v>
      </c>
      <c r="J65" s="286">
        <v>0</v>
      </c>
      <c r="K65" s="286">
        <v>0</v>
      </c>
      <c r="L65" s="286">
        <v>0</v>
      </c>
      <c r="M65" s="286">
        <v>0</v>
      </c>
      <c r="N65" s="286">
        <v>0</v>
      </c>
      <c r="O65" s="286">
        <v>0</v>
      </c>
      <c r="P65" s="286">
        <v>0</v>
      </c>
      <c r="Q65" s="286">
        <v>0</v>
      </c>
      <c r="R65" s="286">
        <v>0</v>
      </c>
      <c r="S65" s="286">
        <v>0</v>
      </c>
      <c r="T65" s="286">
        <v>0</v>
      </c>
      <c r="U65" s="286">
        <v>0</v>
      </c>
      <c r="V65" s="286">
        <v>0</v>
      </c>
      <c r="W65" s="286">
        <v>0</v>
      </c>
      <c r="X65" s="286">
        <v>0</v>
      </c>
      <c r="Y65" s="286">
        <v>0</v>
      </c>
      <c r="Z65" s="286">
        <v>0</v>
      </c>
      <c r="AA65" s="286">
        <v>0</v>
      </c>
      <c r="AB65" s="286">
        <v>0</v>
      </c>
      <c r="AC65" s="286">
        <v>0</v>
      </c>
      <c r="AD65" s="286">
        <v>0</v>
      </c>
      <c r="AE65" s="286">
        <v>0</v>
      </c>
      <c r="AF65" s="286">
        <v>0</v>
      </c>
      <c r="AG65" s="286">
        <v>0</v>
      </c>
      <c r="AH65" s="286">
        <v>0</v>
      </c>
      <c r="AI65" s="286">
        <v>0</v>
      </c>
      <c r="AJ65" s="286">
        <v>0</v>
      </c>
      <c r="AK65" s="286">
        <v>0</v>
      </c>
      <c r="AL65" s="286">
        <v>0</v>
      </c>
      <c r="AM65" s="286">
        <v>0</v>
      </c>
      <c r="AN65" s="286">
        <v>0</v>
      </c>
      <c r="AO65" s="286">
        <v>0</v>
      </c>
      <c r="AP65" s="286">
        <v>0</v>
      </c>
      <c r="AQ65" s="286">
        <v>0</v>
      </c>
      <c r="AR65" s="286">
        <v>0</v>
      </c>
      <c r="AS65" s="286">
        <v>0</v>
      </c>
      <c r="AT65" s="286">
        <v>0</v>
      </c>
      <c r="AU65" s="286">
        <v>0</v>
      </c>
      <c r="AV65" s="286">
        <v>0</v>
      </c>
      <c r="AW65" s="286">
        <v>0</v>
      </c>
      <c r="AX65" s="286">
        <v>0</v>
      </c>
      <c r="AY65" s="286">
        <v>0</v>
      </c>
      <c r="AZ65" s="286">
        <v>0</v>
      </c>
      <c r="BA65" s="286">
        <v>0</v>
      </c>
      <c r="BB65" s="286">
        <v>0</v>
      </c>
      <c r="BC65" s="286">
        <v>0</v>
      </c>
      <c r="BD65" s="286">
        <v>0</v>
      </c>
      <c r="BE65" s="286">
        <v>0</v>
      </c>
      <c r="BF65" s="286">
        <v>0</v>
      </c>
      <c r="BG65" s="286">
        <v>0</v>
      </c>
      <c r="BH65" s="286">
        <v>0</v>
      </c>
      <c r="BI65" s="286">
        <v>0</v>
      </c>
      <c r="BJ65" s="286">
        <v>0</v>
      </c>
      <c r="BK65" s="286">
        <v>0</v>
      </c>
      <c r="BL65" s="286">
        <v>0</v>
      </c>
      <c r="BM65" s="286">
        <v>0</v>
      </c>
      <c r="BN65" s="286">
        <v>0</v>
      </c>
      <c r="BO65" s="286">
        <v>0</v>
      </c>
      <c r="BP65" s="286">
        <v>0</v>
      </c>
      <c r="BQ65" s="286">
        <v>0</v>
      </c>
      <c r="BR65" s="286">
        <v>0</v>
      </c>
    </row>
    <row r="67" spans="1:70" ht="14.25" customHeight="1" x14ac:dyDescent="0.35">
      <c r="A67" s="383" t="s">
        <v>1725</v>
      </c>
      <c r="D67" s="25" t="s">
        <v>1733</v>
      </c>
      <c r="I67" s="94" t="s">
        <v>1734</v>
      </c>
    </row>
    <row r="68" spans="1:70" ht="14.25" customHeight="1" x14ac:dyDescent="0.35">
      <c r="A68" s="39" t="s">
        <v>1728</v>
      </c>
      <c r="B68" s="4" t="s">
        <v>1735</v>
      </c>
      <c r="D68" s="39" t="s">
        <v>1232</v>
      </c>
      <c r="E68" s="279" t="s">
        <v>1730</v>
      </c>
      <c r="F68" s="279" t="s">
        <v>1736</v>
      </c>
      <c r="G68" s="279" t="s">
        <v>1737</v>
      </c>
      <c r="I68" s="39" t="s">
        <v>1232</v>
      </c>
      <c r="J68" s="97" t="s">
        <v>927</v>
      </c>
      <c r="K68" s="97" t="s">
        <v>928</v>
      </c>
      <c r="L68" s="97" t="s">
        <v>929</v>
      </c>
      <c r="M68" s="97" t="s">
        <v>930</v>
      </c>
      <c r="N68" s="97" t="s">
        <v>931</v>
      </c>
      <c r="O68" s="97" t="s">
        <v>932</v>
      </c>
      <c r="P68" s="97" t="s">
        <v>933</v>
      </c>
      <c r="Q68" s="97" t="s">
        <v>934</v>
      </c>
      <c r="R68" s="97" t="s">
        <v>935</v>
      </c>
      <c r="S68" s="97" t="s">
        <v>936</v>
      </c>
      <c r="T68" s="97" t="s">
        <v>937</v>
      </c>
      <c r="U68" s="97" t="s">
        <v>938</v>
      </c>
      <c r="V68" s="97" t="s">
        <v>939</v>
      </c>
      <c r="W68" s="97" t="s">
        <v>940</v>
      </c>
      <c r="X68" s="97" t="s">
        <v>941</v>
      </c>
      <c r="Y68" s="97" t="s">
        <v>942</v>
      </c>
      <c r="Z68" s="97" t="s">
        <v>943</v>
      </c>
      <c r="AA68" s="97" t="s">
        <v>944</v>
      </c>
      <c r="AB68" s="97" t="s">
        <v>945</v>
      </c>
      <c r="AC68" s="97" t="s">
        <v>946</v>
      </c>
      <c r="AD68" s="97" t="s">
        <v>947</v>
      </c>
      <c r="AE68" s="97" t="s">
        <v>948</v>
      </c>
      <c r="AF68" s="97" t="s">
        <v>949</v>
      </c>
      <c r="AG68" s="97" t="s">
        <v>950</v>
      </c>
      <c r="AH68" s="97" t="s">
        <v>951</v>
      </c>
      <c r="AI68" s="97" t="s">
        <v>952</v>
      </c>
      <c r="AJ68" s="97" t="s">
        <v>953</v>
      </c>
      <c r="AK68" s="97" t="s">
        <v>954</v>
      </c>
      <c r="AL68" s="97" t="s">
        <v>955</v>
      </c>
      <c r="AM68" s="97" t="s">
        <v>956</v>
      </c>
      <c r="AN68" s="97" t="s">
        <v>957</v>
      </c>
      <c r="AO68" s="97" t="s">
        <v>958</v>
      </c>
      <c r="AP68" s="97" t="s">
        <v>959</v>
      </c>
      <c r="AQ68" s="97" t="s">
        <v>960</v>
      </c>
      <c r="AR68" s="97" t="s">
        <v>961</v>
      </c>
      <c r="AS68" s="97" t="s">
        <v>962</v>
      </c>
      <c r="AT68" s="97" t="s">
        <v>963</v>
      </c>
      <c r="AU68" s="97" t="s">
        <v>964</v>
      </c>
      <c r="AV68" s="97" t="s">
        <v>965</v>
      </c>
      <c r="AW68" s="97" t="s">
        <v>966</v>
      </c>
      <c r="AX68" s="97" t="s">
        <v>967</v>
      </c>
      <c r="AY68" s="97" t="s">
        <v>968</v>
      </c>
      <c r="AZ68" s="97" t="s">
        <v>969</v>
      </c>
      <c r="BA68" s="97" t="s">
        <v>970</v>
      </c>
      <c r="BB68" s="97" t="s">
        <v>971</v>
      </c>
      <c r="BC68" s="97" t="s">
        <v>972</v>
      </c>
      <c r="BD68" s="97" t="s">
        <v>973</v>
      </c>
      <c r="BE68" s="97" t="s">
        <v>974</v>
      </c>
      <c r="BF68" s="97" t="s">
        <v>975</v>
      </c>
      <c r="BG68" s="97" t="s">
        <v>976</v>
      </c>
      <c r="BH68" s="97" t="s">
        <v>977</v>
      </c>
      <c r="BI68" s="97" t="s">
        <v>978</v>
      </c>
      <c r="BJ68" s="97" t="s">
        <v>979</v>
      </c>
      <c r="BK68" s="97" t="s">
        <v>980</v>
      </c>
      <c r="BL68" s="97" t="s">
        <v>981</v>
      </c>
      <c r="BM68" s="97" t="s">
        <v>982</v>
      </c>
      <c r="BN68" s="97" t="s">
        <v>983</v>
      </c>
      <c r="BO68" s="97" t="s">
        <v>984</v>
      </c>
      <c r="BP68" s="97" t="s">
        <v>985</v>
      </c>
      <c r="BQ68" s="97" t="s">
        <v>986</v>
      </c>
      <c r="BR68" s="97" t="s">
        <v>987</v>
      </c>
    </row>
    <row r="69" spans="1:70" ht="14.25" customHeight="1" x14ac:dyDescent="0.35">
      <c r="A69" s="4" t="s">
        <v>433</v>
      </c>
      <c r="B69" s="384">
        <v>25325.760000000002</v>
      </c>
      <c r="C69" s="385"/>
      <c r="D69" s="45" t="s">
        <v>228</v>
      </c>
      <c r="E69" s="93">
        <v>0</v>
      </c>
      <c r="F69" s="93">
        <v>2025</v>
      </c>
      <c r="G69" s="93">
        <v>2050</v>
      </c>
      <c r="I69" s="45" t="s">
        <v>228</v>
      </c>
      <c r="J69" s="286">
        <v>0</v>
      </c>
      <c r="K69" s="286">
        <v>0</v>
      </c>
      <c r="L69" s="286">
        <v>0</v>
      </c>
      <c r="M69" s="286">
        <v>0</v>
      </c>
      <c r="N69" s="286">
        <v>0</v>
      </c>
      <c r="O69" s="286">
        <v>0</v>
      </c>
      <c r="P69" s="286">
        <v>0</v>
      </c>
      <c r="Q69" s="286">
        <v>0</v>
      </c>
      <c r="R69" s="286">
        <v>0</v>
      </c>
      <c r="S69" s="286">
        <v>0</v>
      </c>
      <c r="T69" s="286">
        <v>0</v>
      </c>
      <c r="U69" s="286">
        <v>0</v>
      </c>
      <c r="V69" s="286">
        <v>0</v>
      </c>
      <c r="W69" s="286">
        <v>0</v>
      </c>
      <c r="X69" s="286">
        <v>0</v>
      </c>
      <c r="Y69" s="286">
        <v>0</v>
      </c>
      <c r="Z69" s="286">
        <v>0</v>
      </c>
      <c r="AA69" s="286">
        <v>0</v>
      </c>
      <c r="AB69" s="286">
        <v>0</v>
      </c>
      <c r="AC69" s="286">
        <v>0</v>
      </c>
      <c r="AD69" s="286">
        <v>0</v>
      </c>
      <c r="AE69" s="286">
        <v>0</v>
      </c>
      <c r="AF69" s="286">
        <v>0</v>
      </c>
      <c r="AG69" s="286">
        <v>0</v>
      </c>
      <c r="AH69" s="286">
        <v>0</v>
      </c>
      <c r="AI69" s="286">
        <v>0</v>
      </c>
      <c r="AJ69" s="286">
        <v>0</v>
      </c>
      <c r="AK69" s="286">
        <v>0</v>
      </c>
      <c r="AL69" s="286">
        <v>0</v>
      </c>
      <c r="AM69" s="286">
        <v>0</v>
      </c>
      <c r="AN69" s="286">
        <v>0</v>
      </c>
      <c r="AO69" s="286">
        <v>0</v>
      </c>
      <c r="AP69" s="286">
        <v>0</v>
      </c>
      <c r="AQ69" s="286">
        <v>0</v>
      </c>
      <c r="AR69" s="286">
        <v>0</v>
      </c>
      <c r="AS69" s="286">
        <v>0</v>
      </c>
      <c r="AT69" s="286">
        <v>0</v>
      </c>
      <c r="AU69" s="286">
        <v>0</v>
      </c>
      <c r="AV69" s="286">
        <v>0</v>
      </c>
      <c r="AW69" s="286">
        <v>0</v>
      </c>
      <c r="AX69" s="286">
        <v>0</v>
      </c>
      <c r="AY69" s="286">
        <v>0</v>
      </c>
      <c r="AZ69" s="286">
        <v>0</v>
      </c>
      <c r="BA69" s="286">
        <v>0</v>
      </c>
      <c r="BB69" s="286">
        <v>0</v>
      </c>
      <c r="BC69" s="286">
        <v>0</v>
      </c>
      <c r="BD69" s="286">
        <v>0</v>
      </c>
      <c r="BE69" s="286">
        <v>0</v>
      </c>
      <c r="BF69" s="286">
        <v>0</v>
      </c>
      <c r="BG69" s="286">
        <v>0</v>
      </c>
      <c r="BH69" s="286">
        <v>0</v>
      </c>
      <c r="BI69" s="286">
        <v>0</v>
      </c>
      <c r="BJ69" s="286">
        <v>0</v>
      </c>
      <c r="BK69" s="286">
        <v>0</v>
      </c>
      <c r="BL69" s="286">
        <v>0</v>
      </c>
      <c r="BM69" s="286">
        <v>0</v>
      </c>
      <c r="BN69" s="286">
        <v>0</v>
      </c>
      <c r="BO69" s="286">
        <v>0</v>
      </c>
      <c r="BP69" s="286">
        <v>0</v>
      </c>
      <c r="BQ69" s="286">
        <v>0</v>
      </c>
      <c r="BR69" s="281">
        <v>0.1</v>
      </c>
    </row>
    <row r="70" spans="1:70" ht="14.25" customHeight="1" x14ac:dyDescent="0.35">
      <c r="A70" s="4" t="s">
        <v>434</v>
      </c>
      <c r="B70" s="384">
        <v>23336.973000000002</v>
      </c>
      <c r="C70" s="385"/>
      <c r="D70" s="41" t="s">
        <v>95</v>
      </c>
      <c r="E70" s="93">
        <v>0</v>
      </c>
      <c r="F70" s="93">
        <v>2025</v>
      </c>
      <c r="G70" s="93">
        <v>2050</v>
      </c>
      <c r="I70" s="41" t="s">
        <v>95</v>
      </c>
      <c r="J70" s="281">
        <v>0.1</v>
      </c>
      <c r="K70" s="281">
        <v>0.1</v>
      </c>
      <c r="L70" s="281">
        <v>0.1</v>
      </c>
      <c r="M70" s="281">
        <v>0.1</v>
      </c>
      <c r="N70" s="281">
        <v>0.1</v>
      </c>
      <c r="O70" s="281">
        <v>0.1</v>
      </c>
      <c r="P70" s="281">
        <v>0.1</v>
      </c>
      <c r="Q70" s="281">
        <v>0.1</v>
      </c>
      <c r="R70" s="281">
        <v>0.1</v>
      </c>
      <c r="S70" s="281">
        <v>0.1</v>
      </c>
      <c r="T70" s="281">
        <v>0.1</v>
      </c>
      <c r="U70" s="281">
        <v>0.1</v>
      </c>
      <c r="V70" s="281">
        <v>0.1</v>
      </c>
      <c r="W70" s="281">
        <v>0.1</v>
      </c>
      <c r="X70" s="281">
        <v>0.1</v>
      </c>
      <c r="Y70" s="281">
        <v>0.1</v>
      </c>
      <c r="Z70" s="281">
        <v>0.1</v>
      </c>
      <c r="AA70" s="281">
        <v>0.1</v>
      </c>
      <c r="AB70" s="281">
        <v>0.1</v>
      </c>
      <c r="AC70" s="281">
        <v>0.1</v>
      </c>
      <c r="AD70" s="281">
        <v>0.1</v>
      </c>
      <c r="AE70" s="281">
        <v>0.1</v>
      </c>
      <c r="AF70" s="281">
        <v>0.1</v>
      </c>
      <c r="AG70" s="281">
        <v>0.1</v>
      </c>
      <c r="AH70" s="281">
        <v>0.1</v>
      </c>
      <c r="AI70" s="281">
        <v>0.1</v>
      </c>
      <c r="AJ70" s="281">
        <v>0.1</v>
      </c>
      <c r="AK70" s="281">
        <v>0.1</v>
      </c>
      <c r="AL70" s="281">
        <v>0.1</v>
      </c>
      <c r="AM70" s="281">
        <v>0.1</v>
      </c>
      <c r="AN70" s="281">
        <v>0.1</v>
      </c>
      <c r="AO70" s="281">
        <v>0.1</v>
      </c>
      <c r="AP70" s="281">
        <v>0.1</v>
      </c>
      <c r="AQ70" s="281">
        <v>0.1</v>
      </c>
      <c r="AR70" s="281">
        <v>0.1</v>
      </c>
      <c r="AS70" s="281">
        <v>0.1</v>
      </c>
      <c r="AT70" s="281">
        <v>0.1</v>
      </c>
      <c r="AU70" s="281">
        <v>0.1</v>
      </c>
      <c r="AV70" s="281">
        <v>0.1</v>
      </c>
      <c r="AW70" s="281">
        <v>0.1</v>
      </c>
      <c r="AX70" s="281">
        <v>0.1</v>
      </c>
      <c r="AY70" s="281">
        <v>0.1</v>
      </c>
      <c r="AZ70" s="281">
        <v>0.1</v>
      </c>
      <c r="BA70" s="281">
        <v>0.1</v>
      </c>
      <c r="BB70" s="281">
        <v>0.1</v>
      </c>
      <c r="BC70" s="281">
        <v>0.1</v>
      </c>
      <c r="BD70" s="281">
        <v>0.1</v>
      </c>
      <c r="BE70" s="281">
        <v>0.1</v>
      </c>
      <c r="BF70" s="281">
        <v>0.1</v>
      </c>
      <c r="BG70" s="281">
        <v>0.1</v>
      </c>
      <c r="BH70" s="281">
        <v>0.1</v>
      </c>
      <c r="BI70" s="281">
        <v>0.1</v>
      </c>
      <c r="BJ70" s="281">
        <v>0.1</v>
      </c>
      <c r="BK70" s="281">
        <v>0.1</v>
      </c>
      <c r="BL70" s="281">
        <v>0.1</v>
      </c>
      <c r="BM70" s="281">
        <v>0.1</v>
      </c>
      <c r="BN70" s="281">
        <v>0.1</v>
      </c>
      <c r="BO70" s="281">
        <v>0.1</v>
      </c>
      <c r="BP70" s="281">
        <v>0.1</v>
      </c>
      <c r="BQ70" s="281">
        <v>0.1</v>
      </c>
      <c r="BR70" s="286">
        <v>0</v>
      </c>
    </row>
    <row r="71" spans="1:70" ht="14.25" customHeight="1" x14ac:dyDescent="0.35">
      <c r="A71" s="4" t="s">
        <v>435</v>
      </c>
      <c r="B71" s="384">
        <v>18680.300999999999</v>
      </c>
      <c r="C71" s="385"/>
      <c r="D71" s="41" t="s">
        <v>96</v>
      </c>
      <c r="E71" s="93">
        <v>0</v>
      </c>
      <c r="F71" s="93">
        <v>2025</v>
      </c>
      <c r="G71" s="93">
        <v>2050</v>
      </c>
      <c r="I71" s="41" t="s">
        <v>96</v>
      </c>
      <c r="J71" s="281">
        <v>0.1</v>
      </c>
      <c r="K71" s="281">
        <v>0.1</v>
      </c>
      <c r="L71" s="281">
        <v>0.1</v>
      </c>
      <c r="M71" s="281">
        <v>0.1</v>
      </c>
      <c r="N71" s="281">
        <v>0.1</v>
      </c>
      <c r="O71" s="281">
        <v>0.1</v>
      </c>
      <c r="P71" s="281">
        <v>0.1</v>
      </c>
      <c r="Q71" s="281">
        <v>0.1</v>
      </c>
      <c r="R71" s="281">
        <v>0.1</v>
      </c>
      <c r="S71" s="281">
        <v>0.1</v>
      </c>
      <c r="T71" s="281">
        <v>0.1</v>
      </c>
      <c r="U71" s="281">
        <v>0.1</v>
      </c>
      <c r="V71" s="281">
        <v>0.1</v>
      </c>
      <c r="W71" s="281">
        <v>0.1</v>
      </c>
      <c r="X71" s="281">
        <v>0.1</v>
      </c>
      <c r="Y71" s="281">
        <v>0.1</v>
      </c>
      <c r="Z71" s="281">
        <v>0.1</v>
      </c>
      <c r="AA71" s="281">
        <v>0.1</v>
      </c>
      <c r="AB71" s="281">
        <v>0.1</v>
      </c>
      <c r="AC71" s="281">
        <v>0.1</v>
      </c>
      <c r="AD71" s="281">
        <v>0.1</v>
      </c>
      <c r="AE71" s="281">
        <v>0.1</v>
      </c>
      <c r="AF71" s="281">
        <v>0.1</v>
      </c>
      <c r="AG71" s="281">
        <v>0.1</v>
      </c>
      <c r="AH71" s="281">
        <v>0.1</v>
      </c>
      <c r="AI71" s="281">
        <v>0.1</v>
      </c>
      <c r="AJ71" s="281">
        <v>0.1</v>
      </c>
      <c r="AK71" s="281">
        <v>0.1</v>
      </c>
      <c r="AL71" s="281">
        <v>0.1</v>
      </c>
      <c r="AM71" s="281">
        <v>0.1</v>
      </c>
      <c r="AN71" s="281">
        <v>0.1</v>
      </c>
      <c r="AO71" s="281">
        <v>0.1</v>
      </c>
      <c r="AP71" s="281">
        <v>0.1</v>
      </c>
      <c r="AQ71" s="281">
        <v>0.1</v>
      </c>
      <c r="AR71" s="281">
        <v>0.1</v>
      </c>
      <c r="AS71" s="281">
        <v>0.1</v>
      </c>
      <c r="AT71" s="281">
        <v>0.1</v>
      </c>
      <c r="AU71" s="281">
        <v>0.1</v>
      </c>
      <c r="AV71" s="281">
        <v>0.1</v>
      </c>
      <c r="AW71" s="281">
        <v>0.1</v>
      </c>
      <c r="AX71" s="281">
        <v>0.1</v>
      </c>
      <c r="AY71" s="281">
        <v>0.1</v>
      </c>
      <c r="AZ71" s="281">
        <v>0.1</v>
      </c>
      <c r="BA71" s="281">
        <v>0.1</v>
      </c>
      <c r="BB71" s="281">
        <v>0.1</v>
      </c>
      <c r="BC71" s="281">
        <v>0.1</v>
      </c>
      <c r="BD71" s="281">
        <v>0.1</v>
      </c>
      <c r="BE71" s="281">
        <v>0.1</v>
      </c>
      <c r="BF71" s="281">
        <v>0.1</v>
      </c>
      <c r="BG71" s="281">
        <v>0.1</v>
      </c>
      <c r="BH71" s="281">
        <v>0.1</v>
      </c>
      <c r="BI71" s="281">
        <v>0.1</v>
      </c>
      <c r="BJ71" s="281">
        <v>0.1</v>
      </c>
      <c r="BK71" s="281">
        <v>0.1</v>
      </c>
      <c r="BL71" s="281">
        <v>0.1</v>
      </c>
      <c r="BM71" s="281">
        <v>0.1</v>
      </c>
      <c r="BN71" s="281">
        <v>0.1</v>
      </c>
      <c r="BO71" s="281">
        <v>0.1</v>
      </c>
      <c r="BP71" s="281">
        <v>0.1</v>
      </c>
      <c r="BQ71" s="281">
        <v>0.1</v>
      </c>
      <c r="BR71" s="286">
        <v>0</v>
      </c>
    </row>
    <row r="72" spans="1:70" ht="14.25" customHeight="1" x14ac:dyDescent="0.35">
      <c r="A72" s="4" t="s">
        <v>436</v>
      </c>
      <c r="B72" s="384">
        <v>21368.61</v>
      </c>
      <c r="C72" s="385"/>
      <c r="D72" s="41" t="s">
        <v>97</v>
      </c>
      <c r="E72" s="93">
        <v>0</v>
      </c>
      <c r="F72" s="93">
        <v>2025</v>
      </c>
      <c r="G72" s="93">
        <v>2050</v>
      </c>
      <c r="I72" s="41" t="s">
        <v>97</v>
      </c>
      <c r="J72" s="281">
        <v>0.1</v>
      </c>
      <c r="K72" s="281">
        <v>0.1</v>
      </c>
      <c r="L72" s="281">
        <v>0.1</v>
      </c>
      <c r="M72" s="281">
        <v>0.1</v>
      </c>
      <c r="N72" s="281">
        <v>0.1</v>
      </c>
      <c r="O72" s="281">
        <v>0.1</v>
      </c>
      <c r="P72" s="281">
        <v>0.1</v>
      </c>
      <c r="Q72" s="281">
        <v>0.1</v>
      </c>
      <c r="R72" s="281">
        <v>0.1</v>
      </c>
      <c r="S72" s="281">
        <v>0.1</v>
      </c>
      <c r="T72" s="281">
        <v>0.1</v>
      </c>
      <c r="U72" s="281">
        <v>0.1</v>
      </c>
      <c r="V72" s="281">
        <v>0.1</v>
      </c>
      <c r="W72" s="281">
        <v>0.1</v>
      </c>
      <c r="X72" s="281">
        <v>0.1</v>
      </c>
      <c r="Y72" s="281">
        <v>0.1</v>
      </c>
      <c r="Z72" s="281">
        <v>0.1</v>
      </c>
      <c r="AA72" s="281">
        <v>0.1</v>
      </c>
      <c r="AB72" s="281">
        <v>0.1</v>
      </c>
      <c r="AC72" s="281">
        <v>0.1</v>
      </c>
      <c r="AD72" s="281">
        <v>0.1</v>
      </c>
      <c r="AE72" s="281">
        <v>0.1</v>
      </c>
      <c r="AF72" s="281">
        <v>0.1</v>
      </c>
      <c r="AG72" s="281">
        <v>0.1</v>
      </c>
      <c r="AH72" s="281">
        <v>0.1</v>
      </c>
      <c r="AI72" s="281">
        <v>0.1</v>
      </c>
      <c r="AJ72" s="281">
        <v>0.1</v>
      </c>
      <c r="AK72" s="281">
        <v>0.1</v>
      </c>
      <c r="AL72" s="281">
        <v>0.1</v>
      </c>
      <c r="AM72" s="281">
        <v>0.1</v>
      </c>
      <c r="AN72" s="281">
        <v>0.1</v>
      </c>
      <c r="AO72" s="281">
        <v>0.1</v>
      </c>
      <c r="AP72" s="281">
        <v>0.1</v>
      </c>
      <c r="AQ72" s="281">
        <v>0.1</v>
      </c>
      <c r="AR72" s="281">
        <v>0.1</v>
      </c>
      <c r="AS72" s="281">
        <v>0.1</v>
      </c>
      <c r="AT72" s="281">
        <v>0.1</v>
      </c>
      <c r="AU72" s="281">
        <v>0.1</v>
      </c>
      <c r="AV72" s="281">
        <v>0.1</v>
      </c>
      <c r="AW72" s="281">
        <v>0.1</v>
      </c>
      <c r="AX72" s="281">
        <v>0.1</v>
      </c>
      <c r="AY72" s="281">
        <v>0.1</v>
      </c>
      <c r="AZ72" s="281">
        <v>0.1</v>
      </c>
      <c r="BA72" s="281">
        <v>0.1</v>
      </c>
      <c r="BB72" s="281">
        <v>0.1</v>
      </c>
      <c r="BC72" s="281">
        <v>0.1</v>
      </c>
      <c r="BD72" s="281">
        <v>0.1</v>
      </c>
      <c r="BE72" s="281">
        <v>0.1</v>
      </c>
      <c r="BF72" s="281">
        <v>0.1</v>
      </c>
      <c r="BG72" s="281">
        <v>0.1</v>
      </c>
      <c r="BH72" s="281">
        <v>0.1</v>
      </c>
      <c r="BI72" s="281">
        <v>0.1</v>
      </c>
      <c r="BJ72" s="281">
        <v>0.1</v>
      </c>
      <c r="BK72" s="281">
        <v>0.1</v>
      </c>
      <c r="BL72" s="281">
        <v>0.1</v>
      </c>
      <c r="BM72" s="281">
        <v>0.1</v>
      </c>
      <c r="BN72" s="281">
        <v>0.1</v>
      </c>
      <c r="BO72" s="281">
        <v>0.1</v>
      </c>
      <c r="BP72" s="281">
        <v>0.1</v>
      </c>
      <c r="BQ72" s="281">
        <v>0.1</v>
      </c>
      <c r="BR72" s="286">
        <v>0</v>
      </c>
    </row>
    <row r="73" spans="1:70" ht="14.25" customHeight="1" x14ac:dyDescent="0.35">
      <c r="A73" s="4" t="s">
        <v>437</v>
      </c>
      <c r="B73" s="384">
        <v>37278.906000000003</v>
      </c>
      <c r="C73" s="385"/>
      <c r="D73" s="41" t="s">
        <v>98</v>
      </c>
      <c r="E73" s="93">
        <v>0</v>
      </c>
      <c r="F73" s="93">
        <v>2025</v>
      </c>
      <c r="G73" s="93">
        <v>2050</v>
      </c>
      <c r="I73" s="41" t="s">
        <v>98</v>
      </c>
      <c r="J73" s="281">
        <v>0.1</v>
      </c>
      <c r="K73" s="281">
        <v>0.1</v>
      </c>
      <c r="L73" s="281">
        <v>0.1</v>
      </c>
      <c r="M73" s="281">
        <v>0.1</v>
      </c>
      <c r="N73" s="281">
        <v>0.1</v>
      </c>
      <c r="O73" s="281">
        <v>0.1</v>
      </c>
      <c r="P73" s="281">
        <v>0.1</v>
      </c>
      <c r="Q73" s="281">
        <v>0.1</v>
      </c>
      <c r="R73" s="281">
        <v>0.1</v>
      </c>
      <c r="S73" s="281">
        <v>0.1</v>
      </c>
      <c r="T73" s="281">
        <v>0.1</v>
      </c>
      <c r="U73" s="281">
        <v>0.1</v>
      </c>
      <c r="V73" s="281">
        <v>0.1</v>
      </c>
      <c r="W73" s="281">
        <v>0.1</v>
      </c>
      <c r="X73" s="281">
        <v>0.1</v>
      </c>
      <c r="Y73" s="281">
        <v>0.1</v>
      </c>
      <c r="Z73" s="281">
        <v>0.1</v>
      </c>
      <c r="AA73" s="281">
        <v>0.1</v>
      </c>
      <c r="AB73" s="281">
        <v>0.1</v>
      </c>
      <c r="AC73" s="281">
        <v>0.1</v>
      </c>
      <c r="AD73" s="281">
        <v>0.1</v>
      </c>
      <c r="AE73" s="281">
        <v>0.1</v>
      </c>
      <c r="AF73" s="281">
        <v>0.1</v>
      </c>
      <c r="AG73" s="281">
        <v>0.1</v>
      </c>
      <c r="AH73" s="281">
        <v>0.1</v>
      </c>
      <c r="AI73" s="281">
        <v>0.1</v>
      </c>
      <c r="AJ73" s="281">
        <v>0.1</v>
      </c>
      <c r="AK73" s="281">
        <v>0.1</v>
      </c>
      <c r="AL73" s="281">
        <v>0.1</v>
      </c>
      <c r="AM73" s="281">
        <v>0.1</v>
      </c>
      <c r="AN73" s="281">
        <v>0.1</v>
      </c>
      <c r="AO73" s="281">
        <v>0.1</v>
      </c>
      <c r="AP73" s="281">
        <v>0.1</v>
      </c>
      <c r="AQ73" s="281">
        <v>0.1</v>
      </c>
      <c r="AR73" s="281">
        <v>0.1</v>
      </c>
      <c r="AS73" s="281">
        <v>0.1</v>
      </c>
      <c r="AT73" s="281">
        <v>0.1</v>
      </c>
      <c r="AU73" s="281">
        <v>0.1</v>
      </c>
      <c r="AV73" s="281">
        <v>0.1</v>
      </c>
      <c r="AW73" s="281">
        <v>0.1</v>
      </c>
      <c r="AX73" s="281">
        <v>0.1</v>
      </c>
      <c r="AY73" s="281">
        <v>0.1</v>
      </c>
      <c r="AZ73" s="281">
        <v>0.1</v>
      </c>
      <c r="BA73" s="281">
        <v>0.1</v>
      </c>
      <c r="BB73" s="281">
        <v>0.1</v>
      </c>
      <c r="BC73" s="281">
        <v>0.1</v>
      </c>
      <c r="BD73" s="281">
        <v>0.1</v>
      </c>
      <c r="BE73" s="281">
        <v>0.1</v>
      </c>
      <c r="BF73" s="281">
        <v>0.1</v>
      </c>
      <c r="BG73" s="281">
        <v>0.1</v>
      </c>
      <c r="BH73" s="281">
        <v>0.1</v>
      </c>
      <c r="BI73" s="281">
        <v>0.1</v>
      </c>
      <c r="BJ73" s="281">
        <v>0.1</v>
      </c>
      <c r="BK73" s="281">
        <v>0.1</v>
      </c>
      <c r="BL73" s="281">
        <v>0.1</v>
      </c>
      <c r="BM73" s="281">
        <v>0.1</v>
      </c>
      <c r="BN73" s="281">
        <v>0.1</v>
      </c>
      <c r="BO73" s="281">
        <v>0.1</v>
      </c>
      <c r="BP73" s="281">
        <v>0.1</v>
      </c>
      <c r="BQ73" s="281">
        <v>0.1</v>
      </c>
      <c r="BR73" s="286">
        <v>0</v>
      </c>
    </row>
    <row r="74" spans="1:70" ht="14.25" customHeight="1" x14ac:dyDescent="0.35">
      <c r="A74" s="4" t="s">
        <v>438</v>
      </c>
      <c r="B74" s="384">
        <v>20265.714</v>
      </c>
      <c r="C74" s="385"/>
      <c r="D74" s="41" t="s">
        <v>163</v>
      </c>
      <c r="E74" s="93">
        <v>0</v>
      </c>
      <c r="F74" s="93">
        <v>2025</v>
      </c>
      <c r="G74" s="93">
        <v>2050</v>
      </c>
      <c r="I74" s="41" t="s">
        <v>163</v>
      </c>
      <c r="J74" s="281">
        <v>0.1</v>
      </c>
      <c r="K74" s="281">
        <v>0.1</v>
      </c>
      <c r="L74" s="281">
        <v>0.1</v>
      </c>
      <c r="M74" s="281">
        <v>0.1</v>
      </c>
      <c r="N74" s="281">
        <v>0.1</v>
      </c>
      <c r="O74" s="281">
        <v>0.1</v>
      </c>
      <c r="P74" s="281">
        <v>0.1</v>
      </c>
      <c r="Q74" s="281">
        <v>0.1</v>
      </c>
      <c r="R74" s="281">
        <v>0.1</v>
      </c>
      <c r="S74" s="281">
        <v>0.1</v>
      </c>
      <c r="T74" s="281">
        <v>0.1</v>
      </c>
      <c r="U74" s="281">
        <v>0.1</v>
      </c>
      <c r="V74" s="281">
        <v>0.1</v>
      </c>
      <c r="W74" s="281">
        <v>0.1</v>
      </c>
      <c r="X74" s="281">
        <v>0.1</v>
      </c>
      <c r="Y74" s="281">
        <v>0.1</v>
      </c>
      <c r="Z74" s="281">
        <v>0.1</v>
      </c>
      <c r="AA74" s="281">
        <v>0.1</v>
      </c>
      <c r="AB74" s="281">
        <v>0.1</v>
      </c>
      <c r="AC74" s="281">
        <v>0.1</v>
      </c>
      <c r="AD74" s="281">
        <v>0.1</v>
      </c>
      <c r="AE74" s="281">
        <v>0.1</v>
      </c>
      <c r="AF74" s="281">
        <v>0.1</v>
      </c>
      <c r="AG74" s="281">
        <v>0.1</v>
      </c>
      <c r="AH74" s="281">
        <v>0.1</v>
      </c>
      <c r="AI74" s="281">
        <v>0.1</v>
      </c>
      <c r="AJ74" s="281">
        <v>0.1</v>
      </c>
      <c r="AK74" s="281">
        <v>0.1</v>
      </c>
      <c r="AL74" s="281">
        <v>0.1</v>
      </c>
      <c r="AM74" s="281">
        <v>0.1</v>
      </c>
      <c r="AN74" s="281">
        <v>0.1</v>
      </c>
      <c r="AO74" s="281">
        <v>0.1</v>
      </c>
      <c r="AP74" s="281">
        <v>0.1</v>
      </c>
      <c r="AQ74" s="281">
        <v>0.1</v>
      </c>
      <c r="AR74" s="281">
        <v>0.1</v>
      </c>
      <c r="AS74" s="281">
        <v>0.1</v>
      </c>
      <c r="AT74" s="281">
        <v>0.1</v>
      </c>
      <c r="AU74" s="281">
        <v>0.1</v>
      </c>
      <c r="AV74" s="281">
        <v>0.1</v>
      </c>
      <c r="AW74" s="281">
        <v>0.1</v>
      </c>
      <c r="AX74" s="281">
        <v>0.1</v>
      </c>
      <c r="AY74" s="281">
        <v>0.1</v>
      </c>
      <c r="AZ74" s="281">
        <v>0.1</v>
      </c>
      <c r="BA74" s="281">
        <v>0.1</v>
      </c>
      <c r="BB74" s="281">
        <v>0.1</v>
      </c>
      <c r="BC74" s="281">
        <v>0.1</v>
      </c>
      <c r="BD74" s="281">
        <v>0.1</v>
      </c>
      <c r="BE74" s="281">
        <v>0.1</v>
      </c>
      <c r="BF74" s="281">
        <v>0.1</v>
      </c>
      <c r="BG74" s="281">
        <v>0.1</v>
      </c>
      <c r="BH74" s="281">
        <v>0.1</v>
      </c>
      <c r="BI74" s="281">
        <v>0.1</v>
      </c>
      <c r="BJ74" s="281">
        <v>0.1</v>
      </c>
      <c r="BK74" s="281">
        <v>0.1</v>
      </c>
      <c r="BL74" s="281">
        <v>0.1</v>
      </c>
      <c r="BM74" s="281">
        <v>0.1</v>
      </c>
      <c r="BN74" s="281">
        <v>0.1</v>
      </c>
      <c r="BO74" s="281">
        <v>0.1</v>
      </c>
      <c r="BP74" s="281">
        <v>0.1</v>
      </c>
      <c r="BQ74" s="281">
        <v>0.1</v>
      </c>
      <c r="BR74" s="286">
        <v>0</v>
      </c>
    </row>
    <row r="75" spans="1:70" ht="14.25" customHeight="1" x14ac:dyDescent="0.35">
      <c r="A75" s="4" t="s">
        <v>439</v>
      </c>
      <c r="B75" s="384">
        <v>30214.755000000001</v>
      </c>
      <c r="C75" s="385"/>
      <c r="D75" s="41" t="s">
        <v>100</v>
      </c>
      <c r="E75" s="93">
        <v>0</v>
      </c>
      <c r="F75" s="93">
        <v>2025</v>
      </c>
      <c r="G75" s="93">
        <v>2050</v>
      </c>
      <c r="I75" s="41" t="s">
        <v>100</v>
      </c>
      <c r="J75" s="281">
        <v>0.1</v>
      </c>
      <c r="K75" s="281">
        <v>0.1</v>
      </c>
      <c r="L75" s="281">
        <v>0.1</v>
      </c>
      <c r="M75" s="281">
        <v>0.1</v>
      </c>
      <c r="N75" s="281">
        <v>0.1</v>
      </c>
      <c r="O75" s="281">
        <v>0.1</v>
      </c>
      <c r="P75" s="281">
        <v>0.1</v>
      </c>
      <c r="Q75" s="281">
        <v>0.1</v>
      </c>
      <c r="R75" s="281">
        <v>0.1</v>
      </c>
      <c r="S75" s="281">
        <v>0.1</v>
      </c>
      <c r="T75" s="281">
        <v>0.1</v>
      </c>
      <c r="U75" s="281">
        <v>0.1</v>
      </c>
      <c r="V75" s="281">
        <v>0.1</v>
      </c>
      <c r="W75" s="281">
        <v>0.1</v>
      </c>
      <c r="X75" s="281">
        <v>0.1</v>
      </c>
      <c r="Y75" s="281">
        <v>0.1</v>
      </c>
      <c r="Z75" s="281">
        <v>0.1</v>
      </c>
      <c r="AA75" s="281">
        <v>0.1</v>
      </c>
      <c r="AB75" s="281">
        <v>0.1</v>
      </c>
      <c r="AC75" s="281">
        <v>0.1</v>
      </c>
      <c r="AD75" s="281">
        <v>0.1</v>
      </c>
      <c r="AE75" s="281">
        <v>0.1</v>
      </c>
      <c r="AF75" s="281">
        <v>0.1</v>
      </c>
      <c r="AG75" s="281">
        <v>0.1</v>
      </c>
      <c r="AH75" s="281">
        <v>0.1</v>
      </c>
      <c r="AI75" s="281">
        <v>0.1</v>
      </c>
      <c r="AJ75" s="281">
        <v>0.1</v>
      </c>
      <c r="AK75" s="281">
        <v>0.1</v>
      </c>
      <c r="AL75" s="281">
        <v>0.1</v>
      </c>
      <c r="AM75" s="281">
        <v>0.1</v>
      </c>
      <c r="AN75" s="281">
        <v>0.1</v>
      </c>
      <c r="AO75" s="281">
        <v>0.1</v>
      </c>
      <c r="AP75" s="281">
        <v>0.1</v>
      </c>
      <c r="AQ75" s="281">
        <v>0.1</v>
      </c>
      <c r="AR75" s="281">
        <v>0.1</v>
      </c>
      <c r="AS75" s="281">
        <v>0.1</v>
      </c>
      <c r="AT75" s="281">
        <v>0.1</v>
      </c>
      <c r="AU75" s="281">
        <v>0.1</v>
      </c>
      <c r="AV75" s="281">
        <v>0.1</v>
      </c>
      <c r="AW75" s="281">
        <v>0.1</v>
      </c>
      <c r="AX75" s="281">
        <v>0.1</v>
      </c>
      <c r="AY75" s="281">
        <v>0.1</v>
      </c>
      <c r="AZ75" s="281">
        <v>0.1</v>
      </c>
      <c r="BA75" s="281">
        <v>0.1</v>
      </c>
      <c r="BB75" s="281">
        <v>0.1</v>
      </c>
      <c r="BC75" s="281">
        <v>0.1</v>
      </c>
      <c r="BD75" s="281">
        <v>0.1</v>
      </c>
      <c r="BE75" s="281">
        <v>0.1</v>
      </c>
      <c r="BF75" s="281">
        <v>0.1</v>
      </c>
      <c r="BG75" s="281">
        <v>0.1</v>
      </c>
      <c r="BH75" s="281">
        <v>0.1</v>
      </c>
      <c r="BI75" s="281">
        <v>0.1</v>
      </c>
      <c r="BJ75" s="281">
        <v>0.1</v>
      </c>
      <c r="BK75" s="281">
        <v>0.1</v>
      </c>
      <c r="BL75" s="281">
        <v>0.1</v>
      </c>
      <c r="BM75" s="281">
        <v>0.1</v>
      </c>
      <c r="BN75" s="281">
        <v>0.1</v>
      </c>
      <c r="BO75" s="281">
        <v>0.1</v>
      </c>
      <c r="BP75" s="281">
        <v>0.1</v>
      </c>
      <c r="BQ75" s="281">
        <v>0.1</v>
      </c>
      <c r="BR75" s="286">
        <v>0</v>
      </c>
    </row>
    <row r="76" spans="1:70" ht="14.25" customHeight="1" x14ac:dyDescent="0.35">
      <c r="A76" s="4" t="s">
        <v>440</v>
      </c>
      <c r="B76" s="384">
        <v>15854.130000000001</v>
      </c>
      <c r="C76" s="385"/>
      <c r="D76" s="41" t="s">
        <v>101</v>
      </c>
      <c r="E76" s="93">
        <v>0</v>
      </c>
      <c r="F76" s="93">
        <v>2025</v>
      </c>
      <c r="G76" s="93">
        <v>2050</v>
      </c>
      <c r="I76" s="41" t="s">
        <v>101</v>
      </c>
      <c r="J76" s="281">
        <v>0.1</v>
      </c>
      <c r="K76" s="281">
        <v>0.1</v>
      </c>
      <c r="L76" s="281">
        <v>0.1</v>
      </c>
      <c r="M76" s="281">
        <v>0.1</v>
      </c>
      <c r="N76" s="281">
        <v>0.1</v>
      </c>
      <c r="O76" s="281">
        <v>0.1</v>
      </c>
      <c r="P76" s="281">
        <v>0.1</v>
      </c>
      <c r="Q76" s="281">
        <v>0.1</v>
      </c>
      <c r="R76" s="281">
        <v>0.1</v>
      </c>
      <c r="S76" s="281">
        <v>0.1</v>
      </c>
      <c r="T76" s="281">
        <v>0.1</v>
      </c>
      <c r="U76" s="281">
        <v>0.1</v>
      </c>
      <c r="V76" s="281">
        <v>0.1</v>
      </c>
      <c r="W76" s="281">
        <v>0.1</v>
      </c>
      <c r="X76" s="281">
        <v>0.1</v>
      </c>
      <c r="Y76" s="281">
        <v>0.1</v>
      </c>
      <c r="Z76" s="281">
        <v>0.1</v>
      </c>
      <c r="AA76" s="281">
        <v>0.1</v>
      </c>
      <c r="AB76" s="281">
        <v>0.1</v>
      </c>
      <c r="AC76" s="281">
        <v>0.1</v>
      </c>
      <c r="AD76" s="281">
        <v>0.1</v>
      </c>
      <c r="AE76" s="281">
        <v>0.1</v>
      </c>
      <c r="AF76" s="281">
        <v>0.1</v>
      </c>
      <c r="AG76" s="281">
        <v>0.1</v>
      </c>
      <c r="AH76" s="281">
        <v>0.1</v>
      </c>
      <c r="AI76" s="281">
        <v>0.1</v>
      </c>
      <c r="AJ76" s="281">
        <v>0.1</v>
      </c>
      <c r="AK76" s="281">
        <v>0.1</v>
      </c>
      <c r="AL76" s="281">
        <v>0.1</v>
      </c>
      <c r="AM76" s="281">
        <v>0.1</v>
      </c>
      <c r="AN76" s="281">
        <v>0.1</v>
      </c>
      <c r="AO76" s="281">
        <v>0.1</v>
      </c>
      <c r="AP76" s="281">
        <v>0.1</v>
      </c>
      <c r="AQ76" s="281">
        <v>0.1</v>
      </c>
      <c r="AR76" s="281">
        <v>0.1</v>
      </c>
      <c r="AS76" s="281">
        <v>0.1</v>
      </c>
      <c r="AT76" s="281">
        <v>0.1</v>
      </c>
      <c r="AU76" s="281">
        <v>0.1</v>
      </c>
      <c r="AV76" s="281">
        <v>0.1</v>
      </c>
      <c r="AW76" s="281">
        <v>0.1</v>
      </c>
      <c r="AX76" s="281">
        <v>0.1</v>
      </c>
      <c r="AY76" s="281">
        <v>0.1</v>
      </c>
      <c r="AZ76" s="281">
        <v>0.1</v>
      </c>
      <c r="BA76" s="281">
        <v>0.1</v>
      </c>
      <c r="BB76" s="281">
        <v>0.1</v>
      </c>
      <c r="BC76" s="281">
        <v>0.1</v>
      </c>
      <c r="BD76" s="281">
        <v>0.1</v>
      </c>
      <c r="BE76" s="281">
        <v>0.1</v>
      </c>
      <c r="BF76" s="281">
        <v>0.1</v>
      </c>
      <c r="BG76" s="281">
        <v>0.1</v>
      </c>
      <c r="BH76" s="281">
        <v>0.1</v>
      </c>
      <c r="BI76" s="281">
        <v>0.1</v>
      </c>
      <c r="BJ76" s="281">
        <v>0.1</v>
      </c>
      <c r="BK76" s="281">
        <v>0.1</v>
      </c>
      <c r="BL76" s="281">
        <v>0.1</v>
      </c>
      <c r="BM76" s="281">
        <v>0.1</v>
      </c>
      <c r="BN76" s="281">
        <v>0.1</v>
      </c>
      <c r="BO76" s="281">
        <v>0.1</v>
      </c>
      <c r="BP76" s="281">
        <v>0.1</v>
      </c>
      <c r="BQ76" s="281">
        <v>0.1</v>
      </c>
      <c r="BR76" s="286">
        <v>0</v>
      </c>
    </row>
    <row r="77" spans="1:70" ht="14.25" customHeight="1" x14ac:dyDescent="0.35">
      <c r="A77" s="4" t="s">
        <v>441</v>
      </c>
      <c r="B77" s="384">
        <v>25953.797999999999</v>
      </c>
      <c r="C77" s="385"/>
      <c r="D77" s="41" t="s">
        <v>102</v>
      </c>
      <c r="E77" s="93">
        <v>0</v>
      </c>
      <c r="F77" s="93">
        <v>2025</v>
      </c>
      <c r="G77" s="93">
        <v>2050</v>
      </c>
      <c r="I77" s="41" t="s">
        <v>102</v>
      </c>
      <c r="J77" s="281">
        <v>0.1</v>
      </c>
      <c r="K77" s="281">
        <v>0.1</v>
      </c>
      <c r="L77" s="281">
        <v>0.1</v>
      </c>
      <c r="M77" s="281">
        <v>0.1</v>
      </c>
      <c r="N77" s="281">
        <v>0.1</v>
      </c>
      <c r="O77" s="281">
        <v>0.1</v>
      </c>
      <c r="P77" s="281">
        <v>0.1</v>
      </c>
      <c r="Q77" s="281">
        <v>0.1</v>
      </c>
      <c r="R77" s="281">
        <v>0.1</v>
      </c>
      <c r="S77" s="281">
        <v>0.1</v>
      </c>
      <c r="T77" s="281">
        <v>0.1</v>
      </c>
      <c r="U77" s="281">
        <v>0.1</v>
      </c>
      <c r="V77" s="281">
        <v>0.1</v>
      </c>
      <c r="W77" s="281">
        <v>0.1</v>
      </c>
      <c r="X77" s="281">
        <v>0.1</v>
      </c>
      <c r="Y77" s="281">
        <v>0.1</v>
      </c>
      <c r="Z77" s="281">
        <v>0.1</v>
      </c>
      <c r="AA77" s="281">
        <v>0.1</v>
      </c>
      <c r="AB77" s="281">
        <v>0.1</v>
      </c>
      <c r="AC77" s="281">
        <v>0.1</v>
      </c>
      <c r="AD77" s="281">
        <v>0.1</v>
      </c>
      <c r="AE77" s="281">
        <v>0.1</v>
      </c>
      <c r="AF77" s="281">
        <v>0.1</v>
      </c>
      <c r="AG77" s="281">
        <v>0.1</v>
      </c>
      <c r="AH77" s="281">
        <v>0.1</v>
      </c>
      <c r="AI77" s="281">
        <v>0.1</v>
      </c>
      <c r="AJ77" s="281">
        <v>0.1</v>
      </c>
      <c r="AK77" s="281">
        <v>0.1</v>
      </c>
      <c r="AL77" s="281">
        <v>0.1</v>
      </c>
      <c r="AM77" s="281">
        <v>0.1</v>
      </c>
      <c r="AN77" s="281">
        <v>0.1</v>
      </c>
      <c r="AO77" s="281">
        <v>0.1</v>
      </c>
      <c r="AP77" s="281">
        <v>0.1</v>
      </c>
      <c r="AQ77" s="281">
        <v>0.1</v>
      </c>
      <c r="AR77" s="281">
        <v>0.1</v>
      </c>
      <c r="AS77" s="281">
        <v>0.1</v>
      </c>
      <c r="AT77" s="281">
        <v>0.1</v>
      </c>
      <c r="AU77" s="281">
        <v>0.1</v>
      </c>
      <c r="AV77" s="281">
        <v>0.1</v>
      </c>
      <c r="AW77" s="281">
        <v>0.1</v>
      </c>
      <c r="AX77" s="281">
        <v>0.1</v>
      </c>
      <c r="AY77" s="281">
        <v>0.1</v>
      </c>
      <c r="AZ77" s="281">
        <v>0.1</v>
      </c>
      <c r="BA77" s="281">
        <v>0.1</v>
      </c>
      <c r="BB77" s="281">
        <v>0.1</v>
      </c>
      <c r="BC77" s="281">
        <v>0.1</v>
      </c>
      <c r="BD77" s="281">
        <v>0.1</v>
      </c>
      <c r="BE77" s="281">
        <v>0.1</v>
      </c>
      <c r="BF77" s="281">
        <v>0.1</v>
      </c>
      <c r="BG77" s="281">
        <v>0.1</v>
      </c>
      <c r="BH77" s="281">
        <v>0.1</v>
      </c>
      <c r="BI77" s="281">
        <v>0.1</v>
      </c>
      <c r="BJ77" s="281">
        <v>0.1</v>
      </c>
      <c r="BK77" s="281">
        <v>0.1</v>
      </c>
      <c r="BL77" s="281">
        <v>0.1</v>
      </c>
      <c r="BM77" s="281">
        <v>0.1</v>
      </c>
      <c r="BN77" s="281">
        <v>0.1</v>
      </c>
      <c r="BO77" s="281">
        <v>0.1</v>
      </c>
      <c r="BP77" s="281">
        <v>0.1</v>
      </c>
      <c r="BQ77" s="281">
        <v>0.1</v>
      </c>
      <c r="BR77" s="286">
        <v>0</v>
      </c>
    </row>
    <row r="78" spans="1:70" ht="14.25" customHeight="1" x14ac:dyDescent="0.35">
      <c r="A78" s="4" t="s">
        <v>442</v>
      </c>
      <c r="B78" s="384">
        <v>23313.995999999999</v>
      </c>
      <c r="C78" s="385"/>
      <c r="D78" s="41" t="s">
        <v>103</v>
      </c>
      <c r="E78" s="93">
        <v>0</v>
      </c>
      <c r="F78" s="93">
        <v>2025</v>
      </c>
      <c r="G78" s="93">
        <v>2050</v>
      </c>
      <c r="I78" s="41" t="s">
        <v>103</v>
      </c>
      <c r="J78" s="281">
        <v>0.1</v>
      </c>
      <c r="K78" s="281">
        <v>0.1</v>
      </c>
      <c r="L78" s="281">
        <v>0.1</v>
      </c>
      <c r="M78" s="281">
        <v>0.1</v>
      </c>
      <c r="N78" s="281">
        <v>0.1</v>
      </c>
      <c r="O78" s="281">
        <v>0.1</v>
      </c>
      <c r="P78" s="281">
        <v>0.1</v>
      </c>
      <c r="Q78" s="281">
        <v>0.1</v>
      </c>
      <c r="R78" s="281">
        <v>0.1</v>
      </c>
      <c r="S78" s="281">
        <v>0.1</v>
      </c>
      <c r="T78" s="281">
        <v>0.1</v>
      </c>
      <c r="U78" s="281">
        <v>0.1</v>
      </c>
      <c r="V78" s="281">
        <v>0.1</v>
      </c>
      <c r="W78" s="281">
        <v>0.1</v>
      </c>
      <c r="X78" s="281">
        <v>0.1</v>
      </c>
      <c r="Y78" s="281">
        <v>0.1</v>
      </c>
      <c r="Z78" s="281">
        <v>0.1</v>
      </c>
      <c r="AA78" s="281">
        <v>0.1</v>
      </c>
      <c r="AB78" s="281">
        <v>0.1</v>
      </c>
      <c r="AC78" s="281">
        <v>0.1</v>
      </c>
      <c r="AD78" s="281">
        <v>0.1</v>
      </c>
      <c r="AE78" s="281">
        <v>0.1</v>
      </c>
      <c r="AF78" s="281">
        <v>0.1</v>
      </c>
      <c r="AG78" s="281">
        <v>0.1</v>
      </c>
      <c r="AH78" s="281">
        <v>0.1</v>
      </c>
      <c r="AI78" s="281">
        <v>0.1</v>
      </c>
      <c r="AJ78" s="281">
        <v>0.1</v>
      </c>
      <c r="AK78" s="281">
        <v>0.1</v>
      </c>
      <c r="AL78" s="281">
        <v>0.1</v>
      </c>
      <c r="AM78" s="281">
        <v>0.1</v>
      </c>
      <c r="AN78" s="281">
        <v>0.1</v>
      </c>
      <c r="AO78" s="281">
        <v>0.1</v>
      </c>
      <c r="AP78" s="281">
        <v>0.1</v>
      </c>
      <c r="AQ78" s="281">
        <v>0.1</v>
      </c>
      <c r="AR78" s="281">
        <v>0.1</v>
      </c>
      <c r="AS78" s="281">
        <v>0.1</v>
      </c>
      <c r="AT78" s="281">
        <v>0.1</v>
      </c>
      <c r="AU78" s="281">
        <v>0.1</v>
      </c>
      <c r="AV78" s="281">
        <v>0.1</v>
      </c>
      <c r="AW78" s="281">
        <v>0.1</v>
      </c>
      <c r="AX78" s="281">
        <v>0.1</v>
      </c>
      <c r="AY78" s="281">
        <v>0.1</v>
      </c>
      <c r="AZ78" s="281">
        <v>0.1</v>
      </c>
      <c r="BA78" s="281">
        <v>0.1</v>
      </c>
      <c r="BB78" s="281">
        <v>0.1</v>
      </c>
      <c r="BC78" s="281">
        <v>0.1</v>
      </c>
      <c r="BD78" s="281">
        <v>0.1</v>
      </c>
      <c r="BE78" s="281">
        <v>0.1</v>
      </c>
      <c r="BF78" s="281">
        <v>0.1</v>
      </c>
      <c r="BG78" s="281">
        <v>0.1</v>
      </c>
      <c r="BH78" s="281">
        <v>0.1</v>
      </c>
      <c r="BI78" s="281">
        <v>0.1</v>
      </c>
      <c r="BJ78" s="281">
        <v>0.1</v>
      </c>
      <c r="BK78" s="281">
        <v>0.1</v>
      </c>
      <c r="BL78" s="281">
        <v>0.1</v>
      </c>
      <c r="BM78" s="281">
        <v>0.1</v>
      </c>
      <c r="BN78" s="281">
        <v>0.1</v>
      </c>
      <c r="BO78" s="281">
        <v>0.1</v>
      </c>
      <c r="BP78" s="281">
        <v>0.1</v>
      </c>
      <c r="BQ78" s="281">
        <v>0.1</v>
      </c>
      <c r="BR78" s="286">
        <v>0</v>
      </c>
    </row>
    <row r="79" spans="1:70" ht="14.25" customHeight="1" x14ac:dyDescent="0.35">
      <c r="A79" s="4" t="s">
        <v>443</v>
      </c>
      <c r="B79" s="384">
        <v>23385.48</v>
      </c>
      <c r="C79" s="385"/>
      <c r="D79" s="41" t="s">
        <v>104</v>
      </c>
      <c r="E79" s="93">
        <v>0</v>
      </c>
      <c r="F79" s="93">
        <v>2025</v>
      </c>
      <c r="G79" s="93">
        <v>2050</v>
      </c>
      <c r="I79" s="41" t="s">
        <v>104</v>
      </c>
      <c r="J79" s="281">
        <v>0.1</v>
      </c>
      <c r="K79" s="281">
        <v>0.1</v>
      </c>
      <c r="L79" s="281">
        <v>0.1</v>
      </c>
      <c r="M79" s="281">
        <v>0.1</v>
      </c>
      <c r="N79" s="281">
        <v>0.1</v>
      </c>
      <c r="O79" s="281">
        <v>0.1</v>
      </c>
      <c r="P79" s="281">
        <v>0.1</v>
      </c>
      <c r="Q79" s="281">
        <v>0.1</v>
      </c>
      <c r="R79" s="281">
        <v>0.1</v>
      </c>
      <c r="S79" s="281">
        <v>0.1</v>
      </c>
      <c r="T79" s="281">
        <v>0.1</v>
      </c>
      <c r="U79" s="281">
        <v>0.1</v>
      </c>
      <c r="V79" s="281">
        <v>0.1</v>
      </c>
      <c r="W79" s="281">
        <v>0.1</v>
      </c>
      <c r="X79" s="281">
        <v>0.1</v>
      </c>
      <c r="Y79" s="281">
        <v>0.1</v>
      </c>
      <c r="Z79" s="281">
        <v>0.1</v>
      </c>
      <c r="AA79" s="281">
        <v>0.1</v>
      </c>
      <c r="AB79" s="281">
        <v>0.1</v>
      </c>
      <c r="AC79" s="281">
        <v>0.1</v>
      </c>
      <c r="AD79" s="281">
        <v>0.1</v>
      </c>
      <c r="AE79" s="281">
        <v>0.1</v>
      </c>
      <c r="AF79" s="281">
        <v>0.1</v>
      </c>
      <c r="AG79" s="281">
        <v>0.1</v>
      </c>
      <c r="AH79" s="281">
        <v>0.1</v>
      </c>
      <c r="AI79" s="281">
        <v>0.1</v>
      </c>
      <c r="AJ79" s="281">
        <v>0.1</v>
      </c>
      <c r="AK79" s="281">
        <v>0.1</v>
      </c>
      <c r="AL79" s="281">
        <v>0.1</v>
      </c>
      <c r="AM79" s="281">
        <v>0.1</v>
      </c>
      <c r="AN79" s="281">
        <v>0.1</v>
      </c>
      <c r="AO79" s="281">
        <v>0.1</v>
      </c>
      <c r="AP79" s="281">
        <v>0.1</v>
      </c>
      <c r="AQ79" s="281">
        <v>0.1</v>
      </c>
      <c r="AR79" s="281">
        <v>0.1</v>
      </c>
      <c r="AS79" s="281">
        <v>0.1</v>
      </c>
      <c r="AT79" s="281">
        <v>0.1</v>
      </c>
      <c r="AU79" s="281">
        <v>0.1</v>
      </c>
      <c r="AV79" s="281">
        <v>0.1</v>
      </c>
      <c r="AW79" s="281">
        <v>0.1</v>
      </c>
      <c r="AX79" s="281">
        <v>0.1</v>
      </c>
      <c r="AY79" s="281">
        <v>0.1</v>
      </c>
      <c r="AZ79" s="281">
        <v>0.1</v>
      </c>
      <c r="BA79" s="281">
        <v>0.1</v>
      </c>
      <c r="BB79" s="281">
        <v>0.1</v>
      </c>
      <c r="BC79" s="281">
        <v>0.1</v>
      </c>
      <c r="BD79" s="281">
        <v>0.1</v>
      </c>
      <c r="BE79" s="281">
        <v>0.1</v>
      </c>
      <c r="BF79" s="281">
        <v>0.1</v>
      </c>
      <c r="BG79" s="281">
        <v>0.1</v>
      </c>
      <c r="BH79" s="281">
        <v>0.1</v>
      </c>
      <c r="BI79" s="281">
        <v>0.1</v>
      </c>
      <c r="BJ79" s="281">
        <v>0.1</v>
      </c>
      <c r="BK79" s="281">
        <v>0.1</v>
      </c>
      <c r="BL79" s="281">
        <v>0.1</v>
      </c>
      <c r="BM79" s="281">
        <v>0.1</v>
      </c>
      <c r="BN79" s="281">
        <v>0.1</v>
      </c>
      <c r="BO79" s="281">
        <v>0.1</v>
      </c>
      <c r="BP79" s="281">
        <v>0.1</v>
      </c>
      <c r="BQ79" s="281">
        <v>0.1</v>
      </c>
      <c r="BR79" s="286">
        <v>0</v>
      </c>
    </row>
    <row r="80" spans="1:70" ht="14.25" customHeight="1" x14ac:dyDescent="0.35">
      <c r="A80" s="4" t="s">
        <v>444</v>
      </c>
      <c r="B80" s="384">
        <v>22466.400000000001</v>
      </c>
      <c r="C80" s="385"/>
      <c r="D80" s="41" t="s">
        <v>105</v>
      </c>
      <c r="E80" s="93">
        <v>0</v>
      </c>
      <c r="F80" s="93">
        <v>2025</v>
      </c>
      <c r="G80" s="93">
        <v>2050</v>
      </c>
      <c r="I80" s="41" t="s">
        <v>105</v>
      </c>
      <c r="J80" s="281">
        <v>0.1</v>
      </c>
      <c r="K80" s="281">
        <v>0.1</v>
      </c>
      <c r="L80" s="281">
        <v>0.1</v>
      </c>
      <c r="M80" s="281">
        <v>0.1</v>
      </c>
      <c r="N80" s="281">
        <v>0.1</v>
      </c>
      <c r="O80" s="281">
        <v>0.1</v>
      </c>
      <c r="P80" s="281">
        <v>0.1</v>
      </c>
      <c r="Q80" s="281">
        <v>0.1</v>
      </c>
      <c r="R80" s="281">
        <v>0.1</v>
      </c>
      <c r="S80" s="281">
        <v>0.1</v>
      </c>
      <c r="T80" s="281">
        <v>0.1</v>
      </c>
      <c r="U80" s="281">
        <v>0.1</v>
      </c>
      <c r="V80" s="281">
        <v>0.1</v>
      </c>
      <c r="W80" s="281">
        <v>0.1</v>
      </c>
      <c r="X80" s="281">
        <v>0.1</v>
      </c>
      <c r="Y80" s="281">
        <v>0.1</v>
      </c>
      <c r="Z80" s="281">
        <v>0.1</v>
      </c>
      <c r="AA80" s="281">
        <v>0.1</v>
      </c>
      <c r="AB80" s="281">
        <v>0.1</v>
      </c>
      <c r="AC80" s="281">
        <v>0.1</v>
      </c>
      <c r="AD80" s="281">
        <v>0.1</v>
      </c>
      <c r="AE80" s="281">
        <v>0.1</v>
      </c>
      <c r="AF80" s="281">
        <v>0.1</v>
      </c>
      <c r="AG80" s="281">
        <v>0.1</v>
      </c>
      <c r="AH80" s="281">
        <v>0.1</v>
      </c>
      <c r="AI80" s="281">
        <v>0.1</v>
      </c>
      <c r="AJ80" s="281">
        <v>0.1</v>
      </c>
      <c r="AK80" s="281">
        <v>0.1</v>
      </c>
      <c r="AL80" s="281">
        <v>0.1</v>
      </c>
      <c r="AM80" s="281">
        <v>0.1</v>
      </c>
      <c r="AN80" s="281">
        <v>0.1</v>
      </c>
      <c r="AO80" s="281">
        <v>0.1</v>
      </c>
      <c r="AP80" s="281">
        <v>0.1</v>
      </c>
      <c r="AQ80" s="281">
        <v>0.1</v>
      </c>
      <c r="AR80" s="281">
        <v>0.1</v>
      </c>
      <c r="AS80" s="281">
        <v>0.1</v>
      </c>
      <c r="AT80" s="281">
        <v>0.1</v>
      </c>
      <c r="AU80" s="281">
        <v>0.1</v>
      </c>
      <c r="AV80" s="281">
        <v>0.1</v>
      </c>
      <c r="AW80" s="281">
        <v>0.1</v>
      </c>
      <c r="AX80" s="281">
        <v>0.1</v>
      </c>
      <c r="AY80" s="281">
        <v>0.1</v>
      </c>
      <c r="AZ80" s="281">
        <v>0.1</v>
      </c>
      <c r="BA80" s="281">
        <v>0.1</v>
      </c>
      <c r="BB80" s="281">
        <v>0.1</v>
      </c>
      <c r="BC80" s="281">
        <v>0.1</v>
      </c>
      <c r="BD80" s="281">
        <v>0.1</v>
      </c>
      <c r="BE80" s="281">
        <v>0.1</v>
      </c>
      <c r="BF80" s="281">
        <v>0.1</v>
      </c>
      <c r="BG80" s="281">
        <v>0.1</v>
      </c>
      <c r="BH80" s="281">
        <v>0.1</v>
      </c>
      <c r="BI80" s="281">
        <v>0.1</v>
      </c>
      <c r="BJ80" s="281">
        <v>0.1</v>
      </c>
      <c r="BK80" s="281">
        <v>0.1</v>
      </c>
      <c r="BL80" s="281">
        <v>0.1</v>
      </c>
      <c r="BM80" s="281">
        <v>0.1</v>
      </c>
      <c r="BN80" s="281">
        <v>0.1</v>
      </c>
      <c r="BO80" s="281">
        <v>0.1</v>
      </c>
      <c r="BP80" s="281">
        <v>0.1</v>
      </c>
      <c r="BQ80" s="281">
        <v>0.1</v>
      </c>
      <c r="BR80" s="286">
        <v>0</v>
      </c>
    </row>
    <row r="81" spans="1:70" ht="14.25" customHeight="1" x14ac:dyDescent="0.35">
      <c r="A81" s="4" t="s">
        <v>445</v>
      </c>
      <c r="B81" s="384">
        <v>19913.400000000001</v>
      </c>
      <c r="C81" s="385"/>
      <c r="D81" s="41" t="s">
        <v>106</v>
      </c>
      <c r="E81" s="93">
        <v>0</v>
      </c>
      <c r="F81" s="93">
        <v>2025</v>
      </c>
      <c r="G81" s="93">
        <v>2050</v>
      </c>
      <c r="I81" s="41" t="s">
        <v>106</v>
      </c>
      <c r="J81" s="281">
        <v>0.1</v>
      </c>
      <c r="K81" s="281">
        <v>0.1</v>
      </c>
      <c r="L81" s="281">
        <v>0.1</v>
      </c>
      <c r="M81" s="281">
        <v>0.1</v>
      </c>
      <c r="N81" s="281">
        <v>0.1</v>
      </c>
      <c r="O81" s="281">
        <v>0.1</v>
      </c>
      <c r="P81" s="281">
        <v>0.1</v>
      </c>
      <c r="Q81" s="281">
        <v>0.1</v>
      </c>
      <c r="R81" s="281">
        <v>0.1</v>
      </c>
      <c r="S81" s="281">
        <v>0.1</v>
      </c>
      <c r="T81" s="281">
        <v>0.1</v>
      </c>
      <c r="U81" s="281">
        <v>0.1</v>
      </c>
      <c r="V81" s="281">
        <v>0.1</v>
      </c>
      <c r="W81" s="281">
        <v>0.1</v>
      </c>
      <c r="X81" s="281">
        <v>0.1</v>
      </c>
      <c r="Y81" s="281">
        <v>0.1</v>
      </c>
      <c r="Z81" s="281">
        <v>0.1</v>
      </c>
      <c r="AA81" s="281">
        <v>0.1</v>
      </c>
      <c r="AB81" s="281">
        <v>0.1</v>
      </c>
      <c r="AC81" s="281">
        <v>0.1</v>
      </c>
      <c r="AD81" s="281">
        <v>0.1</v>
      </c>
      <c r="AE81" s="281">
        <v>0.1</v>
      </c>
      <c r="AF81" s="281">
        <v>0.1</v>
      </c>
      <c r="AG81" s="281">
        <v>0.1</v>
      </c>
      <c r="AH81" s="281">
        <v>0.1</v>
      </c>
      <c r="AI81" s="281">
        <v>0.1</v>
      </c>
      <c r="AJ81" s="281">
        <v>0.1</v>
      </c>
      <c r="AK81" s="281">
        <v>0.1</v>
      </c>
      <c r="AL81" s="281">
        <v>0.1</v>
      </c>
      <c r="AM81" s="281">
        <v>0.1</v>
      </c>
      <c r="AN81" s="281">
        <v>0.1</v>
      </c>
      <c r="AO81" s="281">
        <v>0.1</v>
      </c>
      <c r="AP81" s="281">
        <v>0.1</v>
      </c>
      <c r="AQ81" s="281">
        <v>0.1</v>
      </c>
      <c r="AR81" s="281">
        <v>0.1</v>
      </c>
      <c r="AS81" s="281">
        <v>0.1</v>
      </c>
      <c r="AT81" s="281">
        <v>0.1</v>
      </c>
      <c r="AU81" s="281">
        <v>0.1</v>
      </c>
      <c r="AV81" s="281">
        <v>0.1</v>
      </c>
      <c r="AW81" s="281">
        <v>0.1</v>
      </c>
      <c r="AX81" s="281">
        <v>0.1</v>
      </c>
      <c r="AY81" s="281">
        <v>0.1</v>
      </c>
      <c r="AZ81" s="281">
        <v>0.1</v>
      </c>
      <c r="BA81" s="281">
        <v>0.1</v>
      </c>
      <c r="BB81" s="281">
        <v>0.1</v>
      </c>
      <c r="BC81" s="281">
        <v>0.1</v>
      </c>
      <c r="BD81" s="281">
        <v>0.1</v>
      </c>
      <c r="BE81" s="281">
        <v>0.1</v>
      </c>
      <c r="BF81" s="281">
        <v>0.1</v>
      </c>
      <c r="BG81" s="281">
        <v>0.1</v>
      </c>
      <c r="BH81" s="281">
        <v>0.1</v>
      </c>
      <c r="BI81" s="281">
        <v>0.1</v>
      </c>
      <c r="BJ81" s="281">
        <v>0.1</v>
      </c>
      <c r="BK81" s="281">
        <v>0.1</v>
      </c>
      <c r="BL81" s="281">
        <v>0.1</v>
      </c>
      <c r="BM81" s="281">
        <v>0.1</v>
      </c>
      <c r="BN81" s="281">
        <v>0.1</v>
      </c>
      <c r="BO81" s="281">
        <v>0.1</v>
      </c>
      <c r="BP81" s="281">
        <v>0.1</v>
      </c>
      <c r="BQ81" s="281">
        <v>0.1</v>
      </c>
      <c r="BR81" s="286">
        <v>0</v>
      </c>
    </row>
    <row r="82" spans="1:70" ht="14.25" customHeight="1" x14ac:dyDescent="0.35">
      <c r="A82" s="4" t="s">
        <v>446</v>
      </c>
      <c r="B82" s="384">
        <v>30722.802000000003</v>
      </c>
      <c r="C82" s="385"/>
      <c r="D82" s="41" t="s">
        <v>107</v>
      </c>
      <c r="E82" s="93">
        <v>0</v>
      </c>
      <c r="F82" s="93">
        <v>2025</v>
      </c>
      <c r="G82" s="93">
        <v>2050</v>
      </c>
      <c r="I82" s="41" t="s">
        <v>107</v>
      </c>
      <c r="J82" s="281">
        <v>0.1</v>
      </c>
      <c r="K82" s="281">
        <v>0.1</v>
      </c>
      <c r="L82" s="281">
        <v>0.1</v>
      </c>
      <c r="M82" s="281">
        <v>0.1</v>
      </c>
      <c r="N82" s="281">
        <v>0.1</v>
      </c>
      <c r="O82" s="281">
        <v>0.1</v>
      </c>
      <c r="P82" s="281">
        <v>0.1</v>
      </c>
      <c r="Q82" s="281">
        <v>0.1</v>
      </c>
      <c r="R82" s="281">
        <v>0.1</v>
      </c>
      <c r="S82" s="281">
        <v>0.1</v>
      </c>
      <c r="T82" s="281">
        <v>0.1</v>
      </c>
      <c r="U82" s="281">
        <v>0.1</v>
      </c>
      <c r="V82" s="281">
        <v>0.1</v>
      </c>
      <c r="W82" s="281">
        <v>0.1</v>
      </c>
      <c r="X82" s="281">
        <v>0.1</v>
      </c>
      <c r="Y82" s="281">
        <v>0.1</v>
      </c>
      <c r="Z82" s="281">
        <v>0.1</v>
      </c>
      <c r="AA82" s="281">
        <v>0.1</v>
      </c>
      <c r="AB82" s="281">
        <v>0.1</v>
      </c>
      <c r="AC82" s="281">
        <v>0.1</v>
      </c>
      <c r="AD82" s="281">
        <v>0.1</v>
      </c>
      <c r="AE82" s="281">
        <v>0.1</v>
      </c>
      <c r="AF82" s="281">
        <v>0.1</v>
      </c>
      <c r="AG82" s="281">
        <v>0.1</v>
      </c>
      <c r="AH82" s="281">
        <v>0.1</v>
      </c>
      <c r="AI82" s="281">
        <v>0.1</v>
      </c>
      <c r="AJ82" s="281">
        <v>0.1</v>
      </c>
      <c r="AK82" s="281">
        <v>0.1</v>
      </c>
      <c r="AL82" s="281">
        <v>0.1</v>
      </c>
      <c r="AM82" s="281">
        <v>0.1</v>
      </c>
      <c r="AN82" s="281">
        <v>0.1</v>
      </c>
      <c r="AO82" s="281">
        <v>0.1</v>
      </c>
      <c r="AP82" s="281">
        <v>0.1</v>
      </c>
      <c r="AQ82" s="281">
        <v>0.1</v>
      </c>
      <c r="AR82" s="281">
        <v>0.1</v>
      </c>
      <c r="AS82" s="281">
        <v>0.1</v>
      </c>
      <c r="AT82" s="281">
        <v>0.1</v>
      </c>
      <c r="AU82" s="281">
        <v>0.1</v>
      </c>
      <c r="AV82" s="281">
        <v>0.1</v>
      </c>
      <c r="AW82" s="281">
        <v>0.1</v>
      </c>
      <c r="AX82" s="281">
        <v>0.1</v>
      </c>
      <c r="AY82" s="281">
        <v>0.1</v>
      </c>
      <c r="AZ82" s="281">
        <v>0.1</v>
      </c>
      <c r="BA82" s="281">
        <v>0.1</v>
      </c>
      <c r="BB82" s="281">
        <v>0.1</v>
      </c>
      <c r="BC82" s="281">
        <v>0.1</v>
      </c>
      <c r="BD82" s="281">
        <v>0.1</v>
      </c>
      <c r="BE82" s="281">
        <v>0.1</v>
      </c>
      <c r="BF82" s="281">
        <v>0.1</v>
      </c>
      <c r="BG82" s="281">
        <v>0.1</v>
      </c>
      <c r="BH82" s="281">
        <v>0.1</v>
      </c>
      <c r="BI82" s="281">
        <v>0.1</v>
      </c>
      <c r="BJ82" s="281">
        <v>0.1</v>
      </c>
      <c r="BK82" s="281">
        <v>0.1</v>
      </c>
      <c r="BL82" s="281">
        <v>0.1</v>
      </c>
      <c r="BM82" s="281">
        <v>0.1</v>
      </c>
      <c r="BN82" s="281">
        <v>0.1</v>
      </c>
      <c r="BO82" s="281">
        <v>0.1</v>
      </c>
      <c r="BP82" s="281">
        <v>0.1</v>
      </c>
      <c r="BQ82" s="281">
        <v>0.1</v>
      </c>
      <c r="BR82" s="286">
        <v>0</v>
      </c>
    </row>
    <row r="83" spans="1:70" ht="14.25" customHeight="1" x14ac:dyDescent="0.35">
      <c r="A83" s="4" t="s">
        <v>447</v>
      </c>
      <c r="B83" s="384">
        <v>23737.794000000002</v>
      </c>
      <c r="C83" s="385"/>
      <c r="D83" s="41" t="s">
        <v>108</v>
      </c>
      <c r="E83" s="93">
        <v>0</v>
      </c>
      <c r="F83" s="93">
        <v>2025</v>
      </c>
      <c r="G83" s="93">
        <v>2050</v>
      </c>
      <c r="I83" s="41" t="s">
        <v>108</v>
      </c>
      <c r="J83" s="286">
        <v>0</v>
      </c>
      <c r="K83" s="286">
        <v>0</v>
      </c>
      <c r="L83" s="286">
        <v>0</v>
      </c>
      <c r="M83" s="286">
        <v>0</v>
      </c>
      <c r="N83" s="286">
        <v>0</v>
      </c>
      <c r="O83" s="286">
        <v>0</v>
      </c>
      <c r="P83" s="286">
        <v>0</v>
      </c>
      <c r="Q83" s="286">
        <v>0</v>
      </c>
      <c r="R83" s="286">
        <v>0</v>
      </c>
      <c r="S83" s="286">
        <v>0</v>
      </c>
      <c r="T83" s="286">
        <v>0</v>
      </c>
      <c r="U83" s="286">
        <v>0</v>
      </c>
      <c r="V83" s="286">
        <v>0</v>
      </c>
      <c r="W83" s="286">
        <v>0</v>
      </c>
      <c r="X83" s="286">
        <v>0</v>
      </c>
      <c r="Y83" s="286">
        <v>0</v>
      </c>
      <c r="Z83" s="286">
        <v>0</v>
      </c>
      <c r="AA83" s="286">
        <v>0</v>
      </c>
      <c r="AB83" s="286">
        <v>0</v>
      </c>
      <c r="AC83" s="286">
        <v>0</v>
      </c>
      <c r="AD83" s="286">
        <v>0</v>
      </c>
      <c r="AE83" s="286">
        <v>0</v>
      </c>
      <c r="AF83" s="286">
        <v>0</v>
      </c>
      <c r="AG83" s="286">
        <v>0</v>
      </c>
      <c r="AH83" s="286">
        <v>0</v>
      </c>
      <c r="AI83" s="286">
        <v>0</v>
      </c>
      <c r="AJ83" s="286">
        <v>0</v>
      </c>
      <c r="AK83" s="286">
        <v>0</v>
      </c>
      <c r="AL83" s="286">
        <v>0</v>
      </c>
      <c r="AM83" s="286">
        <v>0</v>
      </c>
      <c r="AN83" s="286">
        <v>0</v>
      </c>
      <c r="AO83" s="286">
        <v>0</v>
      </c>
      <c r="AP83" s="286">
        <v>0</v>
      </c>
      <c r="AQ83" s="286">
        <v>0</v>
      </c>
      <c r="AR83" s="286">
        <v>0</v>
      </c>
      <c r="AS83" s="286">
        <v>0</v>
      </c>
      <c r="AT83" s="286">
        <v>0</v>
      </c>
      <c r="AU83" s="286">
        <v>0</v>
      </c>
      <c r="AV83" s="286">
        <v>0</v>
      </c>
      <c r="AW83" s="286">
        <v>0</v>
      </c>
      <c r="AX83" s="286">
        <v>0</v>
      </c>
      <c r="AY83" s="286">
        <v>0</v>
      </c>
      <c r="AZ83" s="286">
        <v>0</v>
      </c>
      <c r="BA83" s="286">
        <v>0</v>
      </c>
      <c r="BB83" s="286">
        <v>0</v>
      </c>
      <c r="BC83" s="286">
        <v>0</v>
      </c>
      <c r="BD83" s="286">
        <v>0</v>
      </c>
      <c r="BE83" s="286">
        <v>0</v>
      </c>
      <c r="BF83" s="286">
        <v>0</v>
      </c>
      <c r="BG83" s="286">
        <v>0</v>
      </c>
      <c r="BH83" s="286">
        <v>0</v>
      </c>
      <c r="BI83" s="286">
        <v>0</v>
      </c>
      <c r="BJ83" s="286">
        <v>0</v>
      </c>
      <c r="BK83" s="286">
        <v>0</v>
      </c>
      <c r="BL83" s="286">
        <v>0</v>
      </c>
      <c r="BM83" s="286">
        <v>0</v>
      </c>
      <c r="BN83" s="286">
        <v>0</v>
      </c>
      <c r="BO83" s="286">
        <v>0</v>
      </c>
      <c r="BP83" s="286">
        <v>0</v>
      </c>
      <c r="BQ83" s="286">
        <v>0</v>
      </c>
      <c r="BR83" s="281">
        <v>0.1</v>
      </c>
    </row>
    <row r="84" spans="1:70" ht="14.25" customHeight="1" x14ac:dyDescent="0.35">
      <c r="A84" s="4" t="s">
        <v>448</v>
      </c>
      <c r="B84" s="384">
        <v>16951.920000000002</v>
      </c>
      <c r="C84" s="385"/>
      <c r="D84" s="41" t="s">
        <v>109</v>
      </c>
      <c r="E84" s="93">
        <v>0</v>
      </c>
      <c r="F84" s="93">
        <v>2025</v>
      </c>
      <c r="G84" s="93">
        <v>2050</v>
      </c>
      <c r="I84" s="41" t="s">
        <v>109</v>
      </c>
      <c r="J84" s="281">
        <v>0.1</v>
      </c>
      <c r="K84" s="281">
        <v>0.1</v>
      </c>
      <c r="L84" s="281">
        <v>0.1</v>
      </c>
      <c r="M84" s="281">
        <v>0.1</v>
      </c>
      <c r="N84" s="281">
        <v>0.1</v>
      </c>
      <c r="O84" s="281">
        <v>0.1</v>
      </c>
      <c r="P84" s="281">
        <v>0.1</v>
      </c>
      <c r="Q84" s="281">
        <v>0.1</v>
      </c>
      <c r="R84" s="281">
        <v>0.1</v>
      </c>
      <c r="S84" s="281">
        <v>0.1</v>
      </c>
      <c r="T84" s="281">
        <v>0.1</v>
      </c>
      <c r="U84" s="281">
        <v>0.1</v>
      </c>
      <c r="V84" s="281">
        <v>0.1</v>
      </c>
      <c r="W84" s="281">
        <v>0.1</v>
      </c>
      <c r="X84" s="281">
        <v>0.1</v>
      </c>
      <c r="Y84" s="281">
        <v>0.1</v>
      </c>
      <c r="Z84" s="281">
        <v>0.1</v>
      </c>
      <c r="AA84" s="281">
        <v>0.1</v>
      </c>
      <c r="AB84" s="281">
        <v>0.1</v>
      </c>
      <c r="AC84" s="281">
        <v>0.1</v>
      </c>
      <c r="AD84" s="281">
        <v>0.1</v>
      </c>
      <c r="AE84" s="281">
        <v>0.1</v>
      </c>
      <c r="AF84" s="281">
        <v>0.1</v>
      </c>
      <c r="AG84" s="281">
        <v>0.1</v>
      </c>
      <c r="AH84" s="281">
        <v>0.1</v>
      </c>
      <c r="AI84" s="281">
        <v>0.1</v>
      </c>
      <c r="AJ84" s="281">
        <v>0.1</v>
      </c>
      <c r="AK84" s="281">
        <v>0.1</v>
      </c>
      <c r="AL84" s="281">
        <v>0.1</v>
      </c>
      <c r="AM84" s="281">
        <v>0.1</v>
      </c>
      <c r="AN84" s="281">
        <v>0.1</v>
      </c>
      <c r="AO84" s="281">
        <v>0.1</v>
      </c>
      <c r="AP84" s="281">
        <v>0.1</v>
      </c>
      <c r="AQ84" s="281">
        <v>0.1</v>
      </c>
      <c r="AR84" s="281">
        <v>0.1</v>
      </c>
      <c r="AS84" s="281">
        <v>0.1</v>
      </c>
      <c r="AT84" s="281">
        <v>0.1</v>
      </c>
      <c r="AU84" s="281">
        <v>0.1</v>
      </c>
      <c r="AV84" s="281">
        <v>0.1</v>
      </c>
      <c r="AW84" s="281">
        <v>0.1</v>
      </c>
      <c r="AX84" s="281">
        <v>0.1</v>
      </c>
      <c r="AY84" s="281">
        <v>0.1</v>
      </c>
      <c r="AZ84" s="281">
        <v>0.1</v>
      </c>
      <c r="BA84" s="281">
        <v>0.1</v>
      </c>
      <c r="BB84" s="281">
        <v>0.1</v>
      </c>
      <c r="BC84" s="281">
        <v>0.1</v>
      </c>
      <c r="BD84" s="281">
        <v>0.1</v>
      </c>
      <c r="BE84" s="281">
        <v>0.1</v>
      </c>
      <c r="BF84" s="281">
        <v>0.1</v>
      </c>
      <c r="BG84" s="281">
        <v>0.1</v>
      </c>
      <c r="BH84" s="281">
        <v>0.1</v>
      </c>
      <c r="BI84" s="281">
        <v>0.1</v>
      </c>
      <c r="BJ84" s="281">
        <v>0.1</v>
      </c>
      <c r="BK84" s="281">
        <v>0.1</v>
      </c>
      <c r="BL84" s="281">
        <v>0.1</v>
      </c>
      <c r="BM84" s="281">
        <v>0.1</v>
      </c>
      <c r="BN84" s="281">
        <v>0.1</v>
      </c>
      <c r="BO84" s="281">
        <v>0.1</v>
      </c>
      <c r="BP84" s="281">
        <v>0.1</v>
      </c>
      <c r="BQ84" s="281">
        <v>0.1</v>
      </c>
      <c r="BR84" s="286">
        <v>0</v>
      </c>
    </row>
    <row r="85" spans="1:70" ht="14.25" customHeight="1" x14ac:dyDescent="0.35">
      <c r="A85" s="4" t="s">
        <v>449</v>
      </c>
      <c r="B85" s="384">
        <v>17232.75</v>
      </c>
      <c r="C85" s="385"/>
      <c r="D85" s="41" t="s">
        <v>229</v>
      </c>
      <c r="E85" s="93">
        <v>0</v>
      </c>
      <c r="F85" s="93">
        <v>2025</v>
      </c>
      <c r="G85" s="93">
        <v>2050</v>
      </c>
      <c r="I85" s="41" t="s">
        <v>229</v>
      </c>
      <c r="J85" s="281">
        <v>0.1</v>
      </c>
      <c r="K85" s="281">
        <v>0.1</v>
      </c>
      <c r="L85" s="281">
        <v>0.1</v>
      </c>
      <c r="M85" s="281">
        <v>0.1</v>
      </c>
      <c r="N85" s="281">
        <v>0.1</v>
      </c>
      <c r="O85" s="281">
        <v>0.1</v>
      </c>
      <c r="P85" s="281">
        <v>0.1</v>
      </c>
      <c r="Q85" s="281">
        <v>0.1</v>
      </c>
      <c r="R85" s="281">
        <v>0.1</v>
      </c>
      <c r="S85" s="281">
        <v>0.1</v>
      </c>
      <c r="T85" s="281">
        <v>0.1</v>
      </c>
      <c r="U85" s="281">
        <v>0.1</v>
      </c>
      <c r="V85" s="281">
        <v>0.1</v>
      </c>
      <c r="W85" s="281">
        <v>0.1</v>
      </c>
      <c r="X85" s="281">
        <v>0.1</v>
      </c>
      <c r="Y85" s="281">
        <v>0.1</v>
      </c>
      <c r="Z85" s="281">
        <v>0.1</v>
      </c>
      <c r="AA85" s="281">
        <v>0.1</v>
      </c>
      <c r="AB85" s="281">
        <v>0.1</v>
      </c>
      <c r="AC85" s="281">
        <v>0.1</v>
      </c>
      <c r="AD85" s="281">
        <v>0.1</v>
      </c>
      <c r="AE85" s="281">
        <v>0.1</v>
      </c>
      <c r="AF85" s="281">
        <v>0.1</v>
      </c>
      <c r="AG85" s="281">
        <v>0.1</v>
      </c>
      <c r="AH85" s="281">
        <v>0.1</v>
      </c>
      <c r="AI85" s="281">
        <v>0.1</v>
      </c>
      <c r="AJ85" s="281">
        <v>0.1</v>
      </c>
      <c r="AK85" s="281">
        <v>0.1</v>
      </c>
      <c r="AL85" s="281">
        <v>0.1</v>
      </c>
      <c r="AM85" s="281">
        <v>0.1</v>
      </c>
      <c r="AN85" s="281">
        <v>0.1</v>
      </c>
      <c r="AO85" s="281">
        <v>0.1</v>
      </c>
      <c r="AP85" s="281">
        <v>0.1</v>
      </c>
      <c r="AQ85" s="281">
        <v>0.1</v>
      </c>
      <c r="AR85" s="281">
        <v>0.1</v>
      </c>
      <c r="AS85" s="281">
        <v>0.1</v>
      </c>
      <c r="AT85" s="281">
        <v>0.1</v>
      </c>
      <c r="AU85" s="281">
        <v>0.1</v>
      </c>
      <c r="AV85" s="281">
        <v>0.1</v>
      </c>
      <c r="AW85" s="281">
        <v>0.1</v>
      </c>
      <c r="AX85" s="281">
        <v>0.1</v>
      </c>
      <c r="AY85" s="281">
        <v>0.1</v>
      </c>
      <c r="AZ85" s="281">
        <v>0.1</v>
      </c>
      <c r="BA85" s="281">
        <v>0.1</v>
      </c>
      <c r="BB85" s="281">
        <v>0.1</v>
      </c>
      <c r="BC85" s="281">
        <v>0.1</v>
      </c>
      <c r="BD85" s="281">
        <v>0.1</v>
      </c>
      <c r="BE85" s="281">
        <v>0.1</v>
      </c>
      <c r="BF85" s="281">
        <v>0.1</v>
      </c>
      <c r="BG85" s="281">
        <v>0.1</v>
      </c>
      <c r="BH85" s="281">
        <v>0.1</v>
      </c>
      <c r="BI85" s="281">
        <v>0.1</v>
      </c>
      <c r="BJ85" s="281">
        <v>0.1</v>
      </c>
      <c r="BK85" s="281">
        <v>0.1</v>
      </c>
      <c r="BL85" s="281">
        <v>0.1</v>
      </c>
      <c r="BM85" s="281">
        <v>0.1</v>
      </c>
      <c r="BN85" s="281">
        <v>0.1</v>
      </c>
      <c r="BO85" s="281">
        <v>0.1</v>
      </c>
      <c r="BP85" s="281">
        <v>0.1</v>
      </c>
      <c r="BQ85" s="281">
        <v>0.1</v>
      </c>
      <c r="BR85" s="286">
        <v>0</v>
      </c>
    </row>
    <row r="86" spans="1:70" ht="14.25" customHeight="1" x14ac:dyDescent="0.35">
      <c r="A86" s="4" t="s">
        <v>450</v>
      </c>
      <c r="B86" s="384">
        <v>33699.599999999999</v>
      </c>
      <c r="C86" s="385"/>
      <c r="D86" s="41" t="s">
        <v>111</v>
      </c>
      <c r="E86" s="93">
        <v>0</v>
      </c>
      <c r="F86" s="93">
        <v>2025</v>
      </c>
      <c r="G86" s="93">
        <v>2050</v>
      </c>
      <c r="I86" s="41" t="s">
        <v>111</v>
      </c>
      <c r="J86" s="281">
        <v>0.1</v>
      </c>
      <c r="K86" s="281">
        <v>0.1</v>
      </c>
      <c r="L86" s="281">
        <v>0.1</v>
      </c>
      <c r="M86" s="281">
        <v>0.1</v>
      </c>
      <c r="N86" s="281">
        <v>0.1</v>
      </c>
      <c r="O86" s="281">
        <v>0.1</v>
      </c>
      <c r="P86" s="281">
        <v>0.1</v>
      </c>
      <c r="Q86" s="281">
        <v>0.1</v>
      </c>
      <c r="R86" s="281">
        <v>0.1</v>
      </c>
      <c r="S86" s="281">
        <v>0.1</v>
      </c>
      <c r="T86" s="281">
        <v>0.1</v>
      </c>
      <c r="U86" s="281">
        <v>0.1</v>
      </c>
      <c r="V86" s="281">
        <v>0.1</v>
      </c>
      <c r="W86" s="281">
        <v>0.1</v>
      </c>
      <c r="X86" s="281">
        <v>0.1</v>
      </c>
      <c r="Y86" s="281">
        <v>0.1</v>
      </c>
      <c r="Z86" s="281">
        <v>0.1</v>
      </c>
      <c r="AA86" s="281">
        <v>0.1</v>
      </c>
      <c r="AB86" s="281">
        <v>0.1</v>
      </c>
      <c r="AC86" s="281">
        <v>0.1</v>
      </c>
      <c r="AD86" s="281">
        <v>0.1</v>
      </c>
      <c r="AE86" s="281">
        <v>0.1</v>
      </c>
      <c r="AF86" s="281">
        <v>0.1</v>
      </c>
      <c r="AG86" s="281">
        <v>0.1</v>
      </c>
      <c r="AH86" s="281">
        <v>0.1</v>
      </c>
      <c r="AI86" s="281">
        <v>0.1</v>
      </c>
      <c r="AJ86" s="281">
        <v>0.1</v>
      </c>
      <c r="AK86" s="281">
        <v>0.1</v>
      </c>
      <c r="AL86" s="281">
        <v>0.1</v>
      </c>
      <c r="AM86" s="281">
        <v>0.1</v>
      </c>
      <c r="AN86" s="281">
        <v>0.1</v>
      </c>
      <c r="AO86" s="281">
        <v>0.1</v>
      </c>
      <c r="AP86" s="281">
        <v>0.1</v>
      </c>
      <c r="AQ86" s="281">
        <v>0.1</v>
      </c>
      <c r="AR86" s="281">
        <v>0.1</v>
      </c>
      <c r="AS86" s="281">
        <v>0.1</v>
      </c>
      <c r="AT86" s="281">
        <v>0.1</v>
      </c>
      <c r="AU86" s="281">
        <v>0.1</v>
      </c>
      <c r="AV86" s="281">
        <v>0.1</v>
      </c>
      <c r="AW86" s="281">
        <v>0.1</v>
      </c>
      <c r="AX86" s="281">
        <v>0.1</v>
      </c>
      <c r="AY86" s="281">
        <v>0.1</v>
      </c>
      <c r="AZ86" s="281">
        <v>0.1</v>
      </c>
      <c r="BA86" s="281">
        <v>0.1</v>
      </c>
      <c r="BB86" s="281">
        <v>0.1</v>
      </c>
      <c r="BC86" s="281">
        <v>0.1</v>
      </c>
      <c r="BD86" s="281">
        <v>0.1</v>
      </c>
      <c r="BE86" s="281">
        <v>0.1</v>
      </c>
      <c r="BF86" s="281">
        <v>0.1</v>
      </c>
      <c r="BG86" s="281">
        <v>0.1</v>
      </c>
      <c r="BH86" s="281">
        <v>0.1</v>
      </c>
      <c r="BI86" s="281">
        <v>0.1</v>
      </c>
      <c r="BJ86" s="281">
        <v>0.1</v>
      </c>
      <c r="BK86" s="281">
        <v>0.1</v>
      </c>
      <c r="BL86" s="281">
        <v>0.1</v>
      </c>
      <c r="BM86" s="281">
        <v>0.1</v>
      </c>
      <c r="BN86" s="281">
        <v>0.1</v>
      </c>
      <c r="BO86" s="281">
        <v>0.1</v>
      </c>
      <c r="BP86" s="281">
        <v>0.1</v>
      </c>
      <c r="BQ86" s="281">
        <v>0.1</v>
      </c>
      <c r="BR86" s="286">
        <v>0</v>
      </c>
    </row>
    <row r="87" spans="1:70" ht="14.25" customHeight="1" x14ac:dyDescent="0.35">
      <c r="A87" s="4" t="s">
        <v>451</v>
      </c>
      <c r="B87" s="384">
        <v>27163.920000000002</v>
      </c>
      <c r="C87" s="385"/>
      <c r="D87" s="41" t="s">
        <v>112</v>
      </c>
      <c r="E87" s="93">
        <v>0</v>
      </c>
      <c r="F87" s="93">
        <v>2025</v>
      </c>
      <c r="G87" s="93">
        <v>2050</v>
      </c>
      <c r="I87" s="41" t="s">
        <v>112</v>
      </c>
      <c r="J87" s="286">
        <v>0</v>
      </c>
      <c r="K87" s="286">
        <v>0</v>
      </c>
      <c r="L87" s="286">
        <v>0</v>
      </c>
      <c r="M87" s="286">
        <v>0</v>
      </c>
      <c r="N87" s="286">
        <v>0</v>
      </c>
      <c r="O87" s="286">
        <v>0</v>
      </c>
      <c r="P87" s="286">
        <v>0</v>
      </c>
      <c r="Q87" s="286">
        <v>0</v>
      </c>
      <c r="R87" s="286">
        <v>0</v>
      </c>
      <c r="S87" s="286">
        <v>0</v>
      </c>
      <c r="T87" s="286">
        <v>0</v>
      </c>
      <c r="U87" s="286">
        <v>0</v>
      </c>
      <c r="V87" s="286">
        <v>0</v>
      </c>
      <c r="W87" s="286">
        <v>0</v>
      </c>
      <c r="X87" s="286">
        <v>0</v>
      </c>
      <c r="Y87" s="286">
        <v>0</v>
      </c>
      <c r="Z87" s="286">
        <v>0</v>
      </c>
      <c r="AA87" s="286">
        <v>0</v>
      </c>
      <c r="AB87" s="286">
        <v>0</v>
      </c>
      <c r="AC87" s="286">
        <v>0</v>
      </c>
      <c r="AD87" s="286">
        <v>0</v>
      </c>
      <c r="AE87" s="286">
        <v>0</v>
      </c>
      <c r="AF87" s="286">
        <v>0</v>
      </c>
      <c r="AG87" s="286">
        <v>0</v>
      </c>
      <c r="AH87" s="286">
        <v>0</v>
      </c>
      <c r="AI87" s="286">
        <v>0</v>
      </c>
      <c r="AJ87" s="286">
        <v>0</v>
      </c>
      <c r="AK87" s="286">
        <v>0</v>
      </c>
      <c r="AL87" s="286">
        <v>0</v>
      </c>
      <c r="AM87" s="286">
        <v>0</v>
      </c>
      <c r="AN87" s="286">
        <v>0</v>
      </c>
      <c r="AO87" s="286">
        <v>0</v>
      </c>
      <c r="AP87" s="286">
        <v>0</v>
      </c>
      <c r="AQ87" s="286">
        <v>0</v>
      </c>
      <c r="AR87" s="286">
        <v>0</v>
      </c>
      <c r="AS87" s="286">
        <v>0</v>
      </c>
      <c r="AT87" s="286">
        <v>0</v>
      </c>
      <c r="AU87" s="286">
        <v>0</v>
      </c>
      <c r="AV87" s="286">
        <v>0</v>
      </c>
      <c r="AW87" s="286">
        <v>0</v>
      </c>
      <c r="AX87" s="286">
        <v>0</v>
      </c>
      <c r="AY87" s="286">
        <v>0</v>
      </c>
      <c r="AZ87" s="286">
        <v>0</v>
      </c>
      <c r="BA87" s="286">
        <v>0</v>
      </c>
      <c r="BB87" s="286">
        <v>0</v>
      </c>
      <c r="BC87" s="286">
        <v>0</v>
      </c>
      <c r="BD87" s="286">
        <v>0</v>
      </c>
      <c r="BE87" s="286">
        <v>0</v>
      </c>
      <c r="BF87" s="286">
        <v>0</v>
      </c>
      <c r="BG87" s="286">
        <v>0</v>
      </c>
      <c r="BH87" s="286">
        <v>0</v>
      </c>
      <c r="BI87" s="286">
        <v>0</v>
      </c>
      <c r="BJ87" s="286">
        <v>0</v>
      </c>
      <c r="BK87" s="286">
        <v>0</v>
      </c>
      <c r="BL87" s="286">
        <v>0</v>
      </c>
      <c r="BM87" s="286">
        <v>0</v>
      </c>
      <c r="BN87" s="286">
        <v>0</v>
      </c>
      <c r="BO87" s="286">
        <v>0</v>
      </c>
      <c r="BP87" s="286">
        <v>0</v>
      </c>
      <c r="BQ87" s="286">
        <v>0</v>
      </c>
      <c r="BR87" s="281">
        <v>0.1</v>
      </c>
    </row>
    <row r="88" spans="1:70" ht="14.25" customHeight="1" x14ac:dyDescent="0.35">
      <c r="A88" s="4" t="s">
        <v>452</v>
      </c>
      <c r="B88" s="384">
        <v>30380.7</v>
      </c>
      <c r="C88" s="385"/>
      <c r="D88" s="41" t="s">
        <v>113</v>
      </c>
      <c r="E88" s="93">
        <v>0</v>
      </c>
      <c r="F88" s="93">
        <v>2025</v>
      </c>
      <c r="G88" s="93">
        <v>2050</v>
      </c>
      <c r="I88" s="41" t="s">
        <v>113</v>
      </c>
      <c r="J88" s="286">
        <v>0</v>
      </c>
      <c r="K88" s="286">
        <v>0</v>
      </c>
      <c r="L88" s="286">
        <v>0</v>
      </c>
      <c r="M88" s="286">
        <v>0</v>
      </c>
      <c r="N88" s="286">
        <v>0</v>
      </c>
      <c r="O88" s="286">
        <v>0</v>
      </c>
      <c r="P88" s="286">
        <v>0</v>
      </c>
      <c r="Q88" s="286">
        <v>0</v>
      </c>
      <c r="R88" s="286">
        <v>0</v>
      </c>
      <c r="S88" s="286">
        <v>0</v>
      </c>
      <c r="T88" s="286">
        <v>0</v>
      </c>
      <c r="U88" s="286">
        <v>0</v>
      </c>
      <c r="V88" s="286">
        <v>0</v>
      </c>
      <c r="W88" s="286">
        <v>0</v>
      </c>
      <c r="X88" s="286">
        <v>0</v>
      </c>
      <c r="Y88" s="286">
        <v>0</v>
      </c>
      <c r="Z88" s="286">
        <v>0</v>
      </c>
      <c r="AA88" s="286">
        <v>0</v>
      </c>
      <c r="AB88" s="286">
        <v>0</v>
      </c>
      <c r="AC88" s="286">
        <v>0</v>
      </c>
      <c r="AD88" s="286">
        <v>0</v>
      </c>
      <c r="AE88" s="286">
        <v>0</v>
      </c>
      <c r="AF88" s="286">
        <v>0</v>
      </c>
      <c r="AG88" s="286">
        <v>0</v>
      </c>
      <c r="AH88" s="286">
        <v>0</v>
      </c>
      <c r="AI88" s="286">
        <v>0</v>
      </c>
      <c r="AJ88" s="286">
        <v>0</v>
      </c>
      <c r="AK88" s="286">
        <v>0</v>
      </c>
      <c r="AL88" s="286">
        <v>0</v>
      </c>
      <c r="AM88" s="286">
        <v>0</v>
      </c>
      <c r="AN88" s="286">
        <v>0</v>
      </c>
      <c r="AO88" s="286">
        <v>0</v>
      </c>
      <c r="AP88" s="286">
        <v>0</v>
      </c>
      <c r="AQ88" s="286">
        <v>0</v>
      </c>
      <c r="AR88" s="286">
        <v>0</v>
      </c>
      <c r="AS88" s="286">
        <v>0</v>
      </c>
      <c r="AT88" s="286">
        <v>0</v>
      </c>
      <c r="AU88" s="286">
        <v>0</v>
      </c>
      <c r="AV88" s="286">
        <v>0</v>
      </c>
      <c r="AW88" s="286">
        <v>0</v>
      </c>
      <c r="AX88" s="286">
        <v>0</v>
      </c>
      <c r="AY88" s="286">
        <v>0</v>
      </c>
      <c r="AZ88" s="286">
        <v>0</v>
      </c>
      <c r="BA88" s="286">
        <v>0</v>
      </c>
      <c r="BB88" s="286">
        <v>0</v>
      </c>
      <c r="BC88" s="286">
        <v>0</v>
      </c>
      <c r="BD88" s="286">
        <v>0</v>
      </c>
      <c r="BE88" s="286">
        <v>0</v>
      </c>
      <c r="BF88" s="286">
        <v>0</v>
      </c>
      <c r="BG88" s="286">
        <v>0</v>
      </c>
      <c r="BH88" s="286">
        <v>0</v>
      </c>
      <c r="BI88" s="286">
        <v>0</v>
      </c>
      <c r="BJ88" s="286">
        <v>0</v>
      </c>
      <c r="BK88" s="286">
        <v>0</v>
      </c>
      <c r="BL88" s="286">
        <v>0</v>
      </c>
      <c r="BM88" s="286">
        <v>0</v>
      </c>
      <c r="BN88" s="286">
        <v>0</v>
      </c>
      <c r="BO88" s="286">
        <v>0</v>
      </c>
      <c r="BP88" s="286">
        <v>0</v>
      </c>
      <c r="BQ88" s="286">
        <v>0</v>
      </c>
      <c r="BR88" s="281">
        <v>0.1</v>
      </c>
    </row>
    <row r="89" spans="1:70" ht="14.25" customHeight="1" x14ac:dyDescent="0.35">
      <c r="A89" s="4" t="s">
        <v>453</v>
      </c>
      <c r="B89" s="384">
        <v>18790.079999999998</v>
      </c>
      <c r="C89" s="385"/>
      <c r="D89" s="41" t="s">
        <v>114</v>
      </c>
      <c r="E89" s="93">
        <v>0</v>
      </c>
      <c r="F89" s="93">
        <v>2025</v>
      </c>
      <c r="G89" s="93">
        <v>2050</v>
      </c>
      <c r="I89" s="41" t="s">
        <v>114</v>
      </c>
      <c r="J89" s="281">
        <v>0.1</v>
      </c>
      <c r="K89" s="281">
        <v>0.1</v>
      </c>
      <c r="L89" s="281">
        <v>0.1</v>
      </c>
      <c r="M89" s="281">
        <v>0.1</v>
      </c>
      <c r="N89" s="281">
        <v>0.1</v>
      </c>
      <c r="O89" s="281">
        <v>0.1</v>
      </c>
      <c r="P89" s="281">
        <v>0.1</v>
      </c>
      <c r="Q89" s="281">
        <v>0.1</v>
      </c>
      <c r="R89" s="281">
        <v>0.1</v>
      </c>
      <c r="S89" s="281">
        <v>0.1</v>
      </c>
      <c r="T89" s="281">
        <v>0.1</v>
      </c>
      <c r="U89" s="281">
        <v>0.1</v>
      </c>
      <c r="V89" s="281">
        <v>0.1</v>
      </c>
      <c r="W89" s="281">
        <v>0.1</v>
      </c>
      <c r="X89" s="281">
        <v>0.1</v>
      </c>
      <c r="Y89" s="281">
        <v>0.1</v>
      </c>
      <c r="Z89" s="281">
        <v>0.1</v>
      </c>
      <c r="AA89" s="281">
        <v>0.1</v>
      </c>
      <c r="AB89" s="281">
        <v>0.1</v>
      </c>
      <c r="AC89" s="281">
        <v>0.1</v>
      </c>
      <c r="AD89" s="281">
        <v>0.1</v>
      </c>
      <c r="AE89" s="281">
        <v>0.1</v>
      </c>
      <c r="AF89" s="281">
        <v>0.1</v>
      </c>
      <c r="AG89" s="281">
        <v>0.1</v>
      </c>
      <c r="AH89" s="281">
        <v>0.1</v>
      </c>
      <c r="AI89" s="281">
        <v>0.1</v>
      </c>
      <c r="AJ89" s="281">
        <v>0.1</v>
      </c>
      <c r="AK89" s="281">
        <v>0.1</v>
      </c>
      <c r="AL89" s="281">
        <v>0.1</v>
      </c>
      <c r="AM89" s="281">
        <v>0.1</v>
      </c>
      <c r="AN89" s="281">
        <v>0.1</v>
      </c>
      <c r="AO89" s="281">
        <v>0.1</v>
      </c>
      <c r="AP89" s="281">
        <v>0.1</v>
      </c>
      <c r="AQ89" s="281">
        <v>0.1</v>
      </c>
      <c r="AR89" s="281">
        <v>0.1</v>
      </c>
      <c r="AS89" s="281">
        <v>0.1</v>
      </c>
      <c r="AT89" s="281">
        <v>0.1</v>
      </c>
      <c r="AU89" s="281">
        <v>0.1</v>
      </c>
      <c r="AV89" s="281">
        <v>0.1</v>
      </c>
      <c r="AW89" s="281">
        <v>0.1</v>
      </c>
      <c r="AX89" s="281">
        <v>0.1</v>
      </c>
      <c r="AY89" s="281">
        <v>0.1</v>
      </c>
      <c r="AZ89" s="281">
        <v>0.1</v>
      </c>
      <c r="BA89" s="281">
        <v>0.1</v>
      </c>
      <c r="BB89" s="281">
        <v>0.1</v>
      </c>
      <c r="BC89" s="281">
        <v>0.1</v>
      </c>
      <c r="BD89" s="281">
        <v>0.1</v>
      </c>
      <c r="BE89" s="281">
        <v>0.1</v>
      </c>
      <c r="BF89" s="281">
        <v>0.1</v>
      </c>
      <c r="BG89" s="281">
        <v>0.1</v>
      </c>
      <c r="BH89" s="281">
        <v>0.1</v>
      </c>
      <c r="BI89" s="281">
        <v>0.1</v>
      </c>
      <c r="BJ89" s="281">
        <v>0.1</v>
      </c>
      <c r="BK89" s="281">
        <v>0.1</v>
      </c>
      <c r="BL89" s="281">
        <v>0.1</v>
      </c>
      <c r="BM89" s="281">
        <v>0.1</v>
      </c>
      <c r="BN89" s="281">
        <v>0.1</v>
      </c>
      <c r="BO89" s="281">
        <v>0.1</v>
      </c>
      <c r="BP89" s="281">
        <v>0.1</v>
      </c>
      <c r="BQ89" s="281">
        <v>0.1</v>
      </c>
      <c r="BR89" s="286">
        <v>0</v>
      </c>
    </row>
    <row r="90" spans="1:70" ht="14.25" customHeight="1" x14ac:dyDescent="0.35">
      <c r="A90" s="4" t="s">
        <v>454</v>
      </c>
      <c r="B90" s="384">
        <v>26546.094000000001</v>
      </c>
      <c r="C90" s="385"/>
      <c r="D90" s="41" t="s">
        <v>115</v>
      </c>
      <c r="E90" s="93">
        <v>0</v>
      </c>
      <c r="F90" s="93">
        <v>2025</v>
      </c>
      <c r="G90" s="93">
        <v>2050</v>
      </c>
      <c r="I90" s="41" t="s">
        <v>115</v>
      </c>
      <c r="J90" s="281">
        <v>0.1</v>
      </c>
      <c r="K90" s="281">
        <v>0.1</v>
      </c>
      <c r="L90" s="281">
        <v>0.1</v>
      </c>
      <c r="M90" s="281">
        <v>0.1</v>
      </c>
      <c r="N90" s="281">
        <v>0.1</v>
      </c>
      <c r="O90" s="281">
        <v>0.1</v>
      </c>
      <c r="P90" s="281">
        <v>0.1</v>
      </c>
      <c r="Q90" s="281">
        <v>0.1</v>
      </c>
      <c r="R90" s="281">
        <v>0.1</v>
      </c>
      <c r="S90" s="281">
        <v>0.1</v>
      </c>
      <c r="T90" s="281">
        <v>0.1</v>
      </c>
      <c r="U90" s="281">
        <v>0.1</v>
      </c>
      <c r="V90" s="281">
        <v>0.1</v>
      </c>
      <c r="W90" s="281">
        <v>0.1</v>
      </c>
      <c r="X90" s="281">
        <v>0.1</v>
      </c>
      <c r="Y90" s="281">
        <v>0.1</v>
      </c>
      <c r="Z90" s="281">
        <v>0.1</v>
      </c>
      <c r="AA90" s="281">
        <v>0.1</v>
      </c>
      <c r="AB90" s="281">
        <v>0.1</v>
      </c>
      <c r="AC90" s="281">
        <v>0.1</v>
      </c>
      <c r="AD90" s="281">
        <v>0.1</v>
      </c>
      <c r="AE90" s="281">
        <v>0.1</v>
      </c>
      <c r="AF90" s="281">
        <v>0.1</v>
      </c>
      <c r="AG90" s="281">
        <v>0.1</v>
      </c>
      <c r="AH90" s="281">
        <v>0.1</v>
      </c>
      <c r="AI90" s="281">
        <v>0.1</v>
      </c>
      <c r="AJ90" s="281">
        <v>0.1</v>
      </c>
      <c r="AK90" s="281">
        <v>0.1</v>
      </c>
      <c r="AL90" s="281">
        <v>0.1</v>
      </c>
      <c r="AM90" s="281">
        <v>0.1</v>
      </c>
      <c r="AN90" s="281">
        <v>0.1</v>
      </c>
      <c r="AO90" s="281">
        <v>0.1</v>
      </c>
      <c r="AP90" s="281">
        <v>0.1</v>
      </c>
      <c r="AQ90" s="281">
        <v>0.1</v>
      </c>
      <c r="AR90" s="281">
        <v>0.1</v>
      </c>
      <c r="AS90" s="281">
        <v>0.1</v>
      </c>
      <c r="AT90" s="281">
        <v>0.1</v>
      </c>
      <c r="AU90" s="281">
        <v>0.1</v>
      </c>
      <c r="AV90" s="281">
        <v>0.1</v>
      </c>
      <c r="AW90" s="281">
        <v>0.1</v>
      </c>
      <c r="AX90" s="281">
        <v>0.1</v>
      </c>
      <c r="AY90" s="281">
        <v>0.1</v>
      </c>
      <c r="AZ90" s="281">
        <v>0.1</v>
      </c>
      <c r="BA90" s="281">
        <v>0.1</v>
      </c>
      <c r="BB90" s="281">
        <v>0.1</v>
      </c>
      <c r="BC90" s="281">
        <v>0.1</v>
      </c>
      <c r="BD90" s="281">
        <v>0.1</v>
      </c>
      <c r="BE90" s="281">
        <v>0.1</v>
      </c>
      <c r="BF90" s="281">
        <v>0.1</v>
      </c>
      <c r="BG90" s="281">
        <v>0.1</v>
      </c>
      <c r="BH90" s="281">
        <v>0.1</v>
      </c>
      <c r="BI90" s="281">
        <v>0.1</v>
      </c>
      <c r="BJ90" s="281">
        <v>0.1</v>
      </c>
      <c r="BK90" s="281">
        <v>0.1</v>
      </c>
      <c r="BL90" s="281">
        <v>0.1</v>
      </c>
      <c r="BM90" s="281">
        <v>0.1</v>
      </c>
      <c r="BN90" s="281">
        <v>0.1</v>
      </c>
      <c r="BO90" s="281">
        <v>0.1</v>
      </c>
      <c r="BP90" s="281">
        <v>0.1</v>
      </c>
      <c r="BQ90" s="281">
        <v>0.1</v>
      </c>
      <c r="BR90" s="286">
        <v>0</v>
      </c>
    </row>
    <row r="91" spans="1:70" ht="14.25" customHeight="1" x14ac:dyDescent="0.35">
      <c r="A91" s="4" t="s">
        <v>455</v>
      </c>
      <c r="B91" s="384">
        <v>12068.031000000001</v>
      </c>
      <c r="C91" s="385"/>
      <c r="D91" s="41" t="s">
        <v>116</v>
      </c>
      <c r="E91" s="93">
        <v>0</v>
      </c>
      <c r="F91" s="93">
        <v>2025</v>
      </c>
      <c r="G91" s="93">
        <v>2050</v>
      </c>
      <c r="I91" s="41" t="s">
        <v>116</v>
      </c>
      <c r="J91" s="286">
        <v>0</v>
      </c>
      <c r="K91" s="286">
        <v>0</v>
      </c>
      <c r="L91" s="286">
        <v>0</v>
      </c>
      <c r="M91" s="286">
        <v>0</v>
      </c>
      <c r="N91" s="286">
        <v>0</v>
      </c>
      <c r="O91" s="286">
        <v>0</v>
      </c>
      <c r="P91" s="286">
        <v>0</v>
      </c>
      <c r="Q91" s="286">
        <v>0</v>
      </c>
      <c r="R91" s="286">
        <v>0</v>
      </c>
      <c r="S91" s="286">
        <v>0</v>
      </c>
      <c r="T91" s="286">
        <v>0</v>
      </c>
      <c r="U91" s="286">
        <v>0</v>
      </c>
      <c r="V91" s="286">
        <v>0</v>
      </c>
      <c r="W91" s="286">
        <v>0</v>
      </c>
      <c r="X91" s="286">
        <v>0</v>
      </c>
      <c r="Y91" s="286">
        <v>0</v>
      </c>
      <c r="Z91" s="286">
        <v>0</v>
      </c>
      <c r="AA91" s="286">
        <v>0</v>
      </c>
      <c r="AB91" s="286">
        <v>0</v>
      </c>
      <c r="AC91" s="286">
        <v>0</v>
      </c>
      <c r="AD91" s="286">
        <v>0</v>
      </c>
      <c r="AE91" s="286">
        <v>0</v>
      </c>
      <c r="AF91" s="286">
        <v>0</v>
      </c>
      <c r="AG91" s="286">
        <v>0</v>
      </c>
      <c r="AH91" s="286">
        <v>0</v>
      </c>
      <c r="AI91" s="286">
        <v>0</v>
      </c>
      <c r="AJ91" s="286">
        <v>0</v>
      </c>
      <c r="AK91" s="286">
        <v>0</v>
      </c>
      <c r="AL91" s="286">
        <v>0</v>
      </c>
      <c r="AM91" s="286">
        <v>0</v>
      </c>
      <c r="AN91" s="286">
        <v>0</v>
      </c>
      <c r="AO91" s="286">
        <v>0</v>
      </c>
      <c r="AP91" s="286">
        <v>0</v>
      </c>
      <c r="AQ91" s="286">
        <v>0</v>
      </c>
      <c r="AR91" s="286">
        <v>0</v>
      </c>
      <c r="AS91" s="286">
        <v>0</v>
      </c>
      <c r="AT91" s="286">
        <v>0</v>
      </c>
      <c r="AU91" s="286">
        <v>0</v>
      </c>
      <c r="AV91" s="286">
        <v>0</v>
      </c>
      <c r="AW91" s="286">
        <v>0</v>
      </c>
      <c r="AX91" s="286">
        <v>0</v>
      </c>
      <c r="AY91" s="286">
        <v>0</v>
      </c>
      <c r="AZ91" s="286">
        <v>0</v>
      </c>
      <c r="BA91" s="286">
        <v>0</v>
      </c>
      <c r="BB91" s="286">
        <v>0</v>
      </c>
      <c r="BC91" s="286">
        <v>0</v>
      </c>
      <c r="BD91" s="286">
        <v>0</v>
      </c>
      <c r="BE91" s="286">
        <v>0</v>
      </c>
      <c r="BF91" s="286">
        <v>0</v>
      </c>
      <c r="BG91" s="286">
        <v>0</v>
      </c>
      <c r="BH91" s="286">
        <v>0</v>
      </c>
      <c r="BI91" s="286">
        <v>0</v>
      </c>
      <c r="BJ91" s="286">
        <v>0</v>
      </c>
      <c r="BK91" s="286">
        <v>0</v>
      </c>
      <c r="BL91" s="286">
        <v>0</v>
      </c>
      <c r="BM91" s="286">
        <v>0</v>
      </c>
      <c r="BN91" s="286">
        <v>0</v>
      </c>
      <c r="BO91" s="286">
        <v>0</v>
      </c>
      <c r="BP91" s="286">
        <v>0</v>
      </c>
      <c r="BQ91" s="286">
        <v>0</v>
      </c>
      <c r="BR91" s="281">
        <v>0.1</v>
      </c>
    </row>
    <row r="92" spans="1:70" ht="14.25" customHeight="1" x14ac:dyDescent="0.35">
      <c r="A92" s="4" t="s">
        <v>456</v>
      </c>
      <c r="B92" s="384">
        <v>21756.666000000001</v>
      </c>
      <c r="C92" s="385"/>
      <c r="D92" s="41" t="s">
        <v>117</v>
      </c>
      <c r="E92" s="93">
        <v>0</v>
      </c>
      <c r="F92" s="93">
        <v>2025</v>
      </c>
      <c r="G92" s="93">
        <v>2050</v>
      </c>
      <c r="I92" s="41" t="s">
        <v>117</v>
      </c>
      <c r="J92" s="281">
        <v>0.1</v>
      </c>
      <c r="K92" s="281">
        <v>0.1</v>
      </c>
      <c r="L92" s="281">
        <v>0.1</v>
      </c>
      <c r="M92" s="281">
        <v>0.1</v>
      </c>
      <c r="N92" s="281">
        <v>0.1</v>
      </c>
      <c r="O92" s="281">
        <v>0.1</v>
      </c>
      <c r="P92" s="281">
        <v>0.1</v>
      </c>
      <c r="Q92" s="281">
        <v>0.1</v>
      </c>
      <c r="R92" s="281">
        <v>0.1</v>
      </c>
      <c r="S92" s="281">
        <v>0.1</v>
      </c>
      <c r="T92" s="281">
        <v>0.1</v>
      </c>
      <c r="U92" s="281">
        <v>0.1</v>
      </c>
      <c r="V92" s="281">
        <v>0.1</v>
      </c>
      <c r="W92" s="281">
        <v>0.1</v>
      </c>
      <c r="X92" s="281">
        <v>0.1</v>
      </c>
      <c r="Y92" s="281">
        <v>0.1</v>
      </c>
      <c r="Z92" s="281">
        <v>0.1</v>
      </c>
      <c r="AA92" s="281">
        <v>0.1</v>
      </c>
      <c r="AB92" s="281">
        <v>0.1</v>
      </c>
      <c r="AC92" s="281">
        <v>0.1</v>
      </c>
      <c r="AD92" s="281">
        <v>0.1</v>
      </c>
      <c r="AE92" s="281">
        <v>0.1</v>
      </c>
      <c r="AF92" s="281">
        <v>0.1</v>
      </c>
      <c r="AG92" s="281">
        <v>0.1</v>
      </c>
      <c r="AH92" s="281">
        <v>0.1</v>
      </c>
      <c r="AI92" s="281">
        <v>0.1</v>
      </c>
      <c r="AJ92" s="281">
        <v>0.1</v>
      </c>
      <c r="AK92" s="281">
        <v>0.1</v>
      </c>
      <c r="AL92" s="281">
        <v>0.1</v>
      </c>
      <c r="AM92" s="281">
        <v>0.1</v>
      </c>
      <c r="AN92" s="281">
        <v>0.1</v>
      </c>
      <c r="AO92" s="281">
        <v>0.1</v>
      </c>
      <c r="AP92" s="281">
        <v>0.1</v>
      </c>
      <c r="AQ92" s="281">
        <v>0.1</v>
      </c>
      <c r="AR92" s="281">
        <v>0.1</v>
      </c>
      <c r="AS92" s="281">
        <v>0.1</v>
      </c>
      <c r="AT92" s="281">
        <v>0.1</v>
      </c>
      <c r="AU92" s="281">
        <v>0.1</v>
      </c>
      <c r="AV92" s="281">
        <v>0.1</v>
      </c>
      <c r="AW92" s="281">
        <v>0.1</v>
      </c>
      <c r="AX92" s="281">
        <v>0.1</v>
      </c>
      <c r="AY92" s="281">
        <v>0.1</v>
      </c>
      <c r="AZ92" s="281">
        <v>0.1</v>
      </c>
      <c r="BA92" s="281">
        <v>0.1</v>
      </c>
      <c r="BB92" s="281">
        <v>0.1</v>
      </c>
      <c r="BC92" s="281">
        <v>0.1</v>
      </c>
      <c r="BD92" s="281">
        <v>0.1</v>
      </c>
      <c r="BE92" s="281">
        <v>0.1</v>
      </c>
      <c r="BF92" s="281">
        <v>0.1</v>
      </c>
      <c r="BG92" s="281">
        <v>0.1</v>
      </c>
      <c r="BH92" s="281">
        <v>0.1</v>
      </c>
      <c r="BI92" s="281">
        <v>0.1</v>
      </c>
      <c r="BJ92" s="281">
        <v>0.1</v>
      </c>
      <c r="BK92" s="281">
        <v>0.1</v>
      </c>
      <c r="BL92" s="281">
        <v>0.1</v>
      </c>
      <c r="BM92" s="281">
        <v>0.1</v>
      </c>
      <c r="BN92" s="281">
        <v>0.1</v>
      </c>
      <c r="BO92" s="281">
        <v>0.1</v>
      </c>
      <c r="BP92" s="281">
        <v>0.1</v>
      </c>
      <c r="BQ92" s="281">
        <v>0.1</v>
      </c>
      <c r="BR92" s="286">
        <v>0</v>
      </c>
    </row>
    <row r="93" spans="1:70" ht="14.25" customHeight="1" x14ac:dyDescent="0.35">
      <c r="A93" s="4" t="s">
        <v>457</v>
      </c>
      <c r="B93" s="384">
        <v>20919.281999999999</v>
      </c>
      <c r="C93" s="385"/>
      <c r="D93" s="41" t="s">
        <v>118</v>
      </c>
      <c r="E93" s="93">
        <v>0</v>
      </c>
      <c r="F93" s="93">
        <v>2025</v>
      </c>
      <c r="G93" s="93">
        <v>2050</v>
      </c>
      <c r="I93" s="41" t="s">
        <v>118</v>
      </c>
      <c r="J93" s="286">
        <v>0</v>
      </c>
      <c r="K93" s="286">
        <v>0</v>
      </c>
      <c r="L93" s="286">
        <v>0</v>
      </c>
      <c r="M93" s="286">
        <v>0</v>
      </c>
      <c r="N93" s="286">
        <v>0</v>
      </c>
      <c r="O93" s="286">
        <v>0</v>
      </c>
      <c r="P93" s="286">
        <v>0</v>
      </c>
      <c r="Q93" s="286">
        <v>0</v>
      </c>
      <c r="R93" s="286">
        <v>0</v>
      </c>
      <c r="S93" s="286">
        <v>0</v>
      </c>
      <c r="T93" s="286">
        <v>0</v>
      </c>
      <c r="U93" s="286">
        <v>0</v>
      </c>
      <c r="V93" s="286">
        <v>0</v>
      </c>
      <c r="W93" s="286">
        <v>0</v>
      </c>
      <c r="X93" s="286">
        <v>0</v>
      </c>
      <c r="Y93" s="286">
        <v>0</v>
      </c>
      <c r="Z93" s="286">
        <v>0</v>
      </c>
      <c r="AA93" s="286">
        <v>0</v>
      </c>
      <c r="AB93" s="286">
        <v>0</v>
      </c>
      <c r="AC93" s="286">
        <v>0</v>
      </c>
      <c r="AD93" s="286">
        <v>0</v>
      </c>
      <c r="AE93" s="286">
        <v>0</v>
      </c>
      <c r="AF93" s="286">
        <v>0</v>
      </c>
      <c r="AG93" s="286">
        <v>0</v>
      </c>
      <c r="AH93" s="286">
        <v>0</v>
      </c>
      <c r="AI93" s="286">
        <v>0</v>
      </c>
      <c r="AJ93" s="286">
        <v>0</v>
      </c>
      <c r="AK93" s="286">
        <v>0</v>
      </c>
      <c r="AL93" s="286">
        <v>0</v>
      </c>
      <c r="AM93" s="286">
        <v>0</v>
      </c>
      <c r="AN93" s="286">
        <v>0</v>
      </c>
      <c r="AO93" s="286">
        <v>0</v>
      </c>
      <c r="AP93" s="286">
        <v>0</v>
      </c>
      <c r="AQ93" s="286">
        <v>0</v>
      </c>
      <c r="AR93" s="286">
        <v>0</v>
      </c>
      <c r="AS93" s="286">
        <v>0</v>
      </c>
      <c r="AT93" s="286">
        <v>0</v>
      </c>
      <c r="AU93" s="286">
        <v>0</v>
      </c>
      <c r="AV93" s="286">
        <v>0</v>
      </c>
      <c r="AW93" s="286">
        <v>0</v>
      </c>
      <c r="AX93" s="286">
        <v>0</v>
      </c>
      <c r="AY93" s="286">
        <v>0</v>
      </c>
      <c r="AZ93" s="286">
        <v>0</v>
      </c>
      <c r="BA93" s="286">
        <v>0</v>
      </c>
      <c r="BB93" s="286">
        <v>0</v>
      </c>
      <c r="BC93" s="286">
        <v>0</v>
      </c>
      <c r="BD93" s="286">
        <v>0</v>
      </c>
      <c r="BE93" s="286">
        <v>0</v>
      </c>
      <c r="BF93" s="286">
        <v>0</v>
      </c>
      <c r="BG93" s="286">
        <v>0</v>
      </c>
      <c r="BH93" s="286">
        <v>0</v>
      </c>
      <c r="BI93" s="286">
        <v>0</v>
      </c>
      <c r="BJ93" s="286">
        <v>0</v>
      </c>
      <c r="BK93" s="286">
        <v>0</v>
      </c>
      <c r="BL93" s="286">
        <v>0</v>
      </c>
      <c r="BM93" s="286">
        <v>0</v>
      </c>
      <c r="BN93" s="286">
        <v>0</v>
      </c>
      <c r="BO93" s="286">
        <v>0</v>
      </c>
      <c r="BP93" s="286">
        <v>0</v>
      </c>
      <c r="BQ93" s="286">
        <v>0</v>
      </c>
      <c r="BR93" s="281">
        <v>0.1</v>
      </c>
    </row>
    <row r="94" spans="1:70" ht="14.25" customHeight="1" x14ac:dyDescent="0.35">
      <c r="A94" s="4" t="s">
        <v>458</v>
      </c>
      <c r="B94" s="384">
        <v>23431.434000000001</v>
      </c>
      <c r="C94" s="385"/>
      <c r="D94" s="41" t="s">
        <v>119</v>
      </c>
      <c r="E94" s="93">
        <v>0</v>
      </c>
      <c r="F94" s="93">
        <v>2025</v>
      </c>
      <c r="G94" s="93">
        <v>2050</v>
      </c>
      <c r="I94" s="41" t="s">
        <v>119</v>
      </c>
      <c r="J94" s="281">
        <v>0.1</v>
      </c>
      <c r="K94" s="281">
        <v>0.1</v>
      </c>
      <c r="L94" s="281">
        <v>0.1</v>
      </c>
      <c r="M94" s="281">
        <v>0.1</v>
      </c>
      <c r="N94" s="281">
        <v>0.1</v>
      </c>
      <c r="O94" s="281">
        <v>0.1</v>
      </c>
      <c r="P94" s="281">
        <v>0.1</v>
      </c>
      <c r="Q94" s="281">
        <v>0.1</v>
      </c>
      <c r="R94" s="281">
        <v>0.1</v>
      </c>
      <c r="S94" s="281">
        <v>0.1</v>
      </c>
      <c r="T94" s="281">
        <v>0.1</v>
      </c>
      <c r="U94" s="281">
        <v>0.1</v>
      </c>
      <c r="V94" s="281">
        <v>0.1</v>
      </c>
      <c r="W94" s="281">
        <v>0.1</v>
      </c>
      <c r="X94" s="281">
        <v>0.1</v>
      </c>
      <c r="Y94" s="281">
        <v>0.1</v>
      </c>
      <c r="Z94" s="281">
        <v>0.1</v>
      </c>
      <c r="AA94" s="281">
        <v>0.1</v>
      </c>
      <c r="AB94" s="281">
        <v>0.1</v>
      </c>
      <c r="AC94" s="281">
        <v>0.1</v>
      </c>
      <c r="AD94" s="281">
        <v>0.1</v>
      </c>
      <c r="AE94" s="281">
        <v>0.1</v>
      </c>
      <c r="AF94" s="281">
        <v>0.1</v>
      </c>
      <c r="AG94" s="281">
        <v>0.1</v>
      </c>
      <c r="AH94" s="281">
        <v>0.1</v>
      </c>
      <c r="AI94" s="281">
        <v>0.1</v>
      </c>
      <c r="AJ94" s="281">
        <v>0.1</v>
      </c>
      <c r="AK94" s="281">
        <v>0.1</v>
      </c>
      <c r="AL94" s="281">
        <v>0.1</v>
      </c>
      <c r="AM94" s="281">
        <v>0.1</v>
      </c>
      <c r="AN94" s="281">
        <v>0.1</v>
      </c>
      <c r="AO94" s="281">
        <v>0.1</v>
      </c>
      <c r="AP94" s="281">
        <v>0.1</v>
      </c>
      <c r="AQ94" s="281">
        <v>0.1</v>
      </c>
      <c r="AR94" s="281">
        <v>0.1</v>
      </c>
      <c r="AS94" s="281">
        <v>0.1</v>
      </c>
      <c r="AT94" s="281">
        <v>0.1</v>
      </c>
      <c r="AU94" s="281">
        <v>0.1</v>
      </c>
      <c r="AV94" s="281">
        <v>0.1</v>
      </c>
      <c r="AW94" s="281">
        <v>0.1</v>
      </c>
      <c r="AX94" s="281">
        <v>0.1</v>
      </c>
      <c r="AY94" s="281">
        <v>0.1</v>
      </c>
      <c r="AZ94" s="281">
        <v>0.1</v>
      </c>
      <c r="BA94" s="281">
        <v>0.1</v>
      </c>
      <c r="BB94" s="281">
        <v>0.1</v>
      </c>
      <c r="BC94" s="281">
        <v>0.1</v>
      </c>
      <c r="BD94" s="281">
        <v>0.1</v>
      </c>
      <c r="BE94" s="281">
        <v>0.1</v>
      </c>
      <c r="BF94" s="281">
        <v>0.1</v>
      </c>
      <c r="BG94" s="281">
        <v>0.1</v>
      </c>
      <c r="BH94" s="281">
        <v>0.1</v>
      </c>
      <c r="BI94" s="281">
        <v>0.1</v>
      </c>
      <c r="BJ94" s="281">
        <v>0.1</v>
      </c>
      <c r="BK94" s="281">
        <v>0.1</v>
      </c>
      <c r="BL94" s="281">
        <v>0.1</v>
      </c>
      <c r="BM94" s="281">
        <v>0.1</v>
      </c>
      <c r="BN94" s="281">
        <v>0.1</v>
      </c>
      <c r="BO94" s="281">
        <v>0.1</v>
      </c>
      <c r="BP94" s="281">
        <v>0.1</v>
      </c>
      <c r="BQ94" s="281">
        <v>0.1</v>
      </c>
      <c r="BR94" s="286">
        <v>0</v>
      </c>
    </row>
    <row r="95" spans="1:70" ht="14.25" customHeight="1" x14ac:dyDescent="0.35">
      <c r="A95" s="4" t="s">
        <v>459</v>
      </c>
      <c r="B95" s="384">
        <v>27084.777000000002</v>
      </c>
      <c r="C95" s="385"/>
      <c r="D95" s="41" t="s">
        <v>120</v>
      </c>
      <c r="E95" s="93">
        <v>0</v>
      </c>
      <c r="F95" s="93">
        <v>2025</v>
      </c>
      <c r="G95" s="93">
        <v>2050</v>
      </c>
      <c r="I95" s="41" t="s">
        <v>120</v>
      </c>
      <c r="J95" s="281">
        <v>0.1</v>
      </c>
      <c r="K95" s="281">
        <v>0.1</v>
      </c>
      <c r="L95" s="281">
        <v>0.1</v>
      </c>
      <c r="M95" s="281">
        <v>0.1</v>
      </c>
      <c r="N95" s="281">
        <v>0.1</v>
      </c>
      <c r="O95" s="281">
        <v>0.1</v>
      </c>
      <c r="P95" s="281">
        <v>0.1</v>
      </c>
      <c r="Q95" s="281">
        <v>0.1</v>
      </c>
      <c r="R95" s="281">
        <v>0.1</v>
      </c>
      <c r="S95" s="281">
        <v>0.1</v>
      </c>
      <c r="T95" s="281">
        <v>0.1</v>
      </c>
      <c r="U95" s="281">
        <v>0.1</v>
      </c>
      <c r="V95" s="281">
        <v>0.1</v>
      </c>
      <c r="W95" s="281">
        <v>0.1</v>
      </c>
      <c r="X95" s="281">
        <v>0.1</v>
      </c>
      <c r="Y95" s="281">
        <v>0.1</v>
      </c>
      <c r="Z95" s="281">
        <v>0.1</v>
      </c>
      <c r="AA95" s="281">
        <v>0.1</v>
      </c>
      <c r="AB95" s="281">
        <v>0.1</v>
      </c>
      <c r="AC95" s="281">
        <v>0.1</v>
      </c>
      <c r="AD95" s="281">
        <v>0.1</v>
      </c>
      <c r="AE95" s="281">
        <v>0.1</v>
      </c>
      <c r="AF95" s="281">
        <v>0.1</v>
      </c>
      <c r="AG95" s="281">
        <v>0.1</v>
      </c>
      <c r="AH95" s="281">
        <v>0.1</v>
      </c>
      <c r="AI95" s="281">
        <v>0.1</v>
      </c>
      <c r="AJ95" s="281">
        <v>0.1</v>
      </c>
      <c r="AK95" s="281">
        <v>0.1</v>
      </c>
      <c r="AL95" s="281">
        <v>0.1</v>
      </c>
      <c r="AM95" s="281">
        <v>0.1</v>
      </c>
      <c r="AN95" s="281">
        <v>0.1</v>
      </c>
      <c r="AO95" s="281">
        <v>0.1</v>
      </c>
      <c r="AP95" s="281">
        <v>0.1</v>
      </c>
      <c r="AQ95" s="281">
        <v>0.1</v>
      </c>
      <c r="AR95" s="281">
        <v>0.1</v>
      </c>
      <c r="AS95" s="281">
        <v>0.1</v>
      </c>
      <c r="AT95" s="281">
        <v>0.1</v>
      </c>
      <c r="AU95" s="281">
        <v>0.1</v>
      </c>
      <c r="AV95" s="281">
        <v>0.1</v>
      </c>
      <c r="AW95" s="281">
        <v>0.1</v>
      </c>
      <c r="AX95" s="281">
        <v>0.1</v>
      </c>
      <c r="AY95" s="281">
        <v>0.1</v>
      </c>
      <c r="AZ95" s="281">
        <v>0.1</v>
      </c>
      <c r="BA95" s="281">
        <v>0.1</v>
      </c>
      <c r="BB95" s="281">
        <v>0.1</v>
      </c>
      <c r="BC95" s="281">
        <v>0.1</v>
      </c>
      <c r="BD95" s="281">
        <v>0.1</v>
      </c>
      <c r="BE95" s="281">
        <v>0.1</v>
      </c>
      <c r="BF95" s="281">
        <v>0.1</v>
      </c>
      <c r="BG95" s="281">
        <v>0.1</v>
      </c>
      <c r="BH95" s="281">
        <v>0.1</v>
      </c>
      <c r="BI95" s="281">
        <v>0.1</v>
      </c>
      <c r="BJ95" s="281">
        <v>0.1</v>
      </c>
      <c r="BK95" s="281">
        <v>0.1</v>
      </c>
      <c r="BL95" s="281">
        <v>0.1</v>
      </c>
      <c r="BM95" s="281">
        <v>0.1</v>
      </c>
      <c r="BN95" s="281">
        <v>0.1</v>
      </c>
      <c r="BO95" s="281">
        <v>0.1</v>
      </c>
      <c r="BP95" s="281">
        <v>0.1</v>
      </c>
      <c r="BQ95" s="281">
        <v>0.1</v>
      </c>
      <c r="BR95" s="286">
        <v>0</v>
      </c>
    </row>
    <row r="96" spans="1:70" ht="14.25" customHeight="1" x14ac:dyDescent="0.35">
      <c r="A96" s="4" t="s">
        <v>83</v>
      </c>
      <c r="B96" s="384">
        <v>24120.744000000002</v>
      </c>
      <c r="C96" s="385"/>
      <c r="D96" s="42" t="s">
        <v>83</v>
      </c>
      <c r="E96" s="93">
        <v>0</v>
      </c>
      <c r="F96" s="93">
        <v>2025</v>
      </c>
      <c r="G96" s="93">
        <v>2050</v>
      </c>
      <c r="I96" s="42" t="s">
        <v>83</v>
      </c>
      <c r="J96" s="286">
        <v>0</v>
      </c>
      <c r="K96" s="286">
        <v>0</v>
      </c>
      <c r="L96" s="286">
        <v>0</v>
      </c>
      <c r="M96" s="286">
        <v>0</v>
      </c>
      <c r="N96" s="286">
        <v>0</v>
      </c>
      <c r="O96" s="286">
        <v>0</v>
      </c>
      <c r="P96" s="286">
        <v>0</v>
      </c>
      <c r="Q96" s="286">
        <v>0</v>
      </c>
      <c r="R96" s="286">
        <v>0</v>
      </c>
      <c r="S96" s="286">
        <v>0</v>
      </c>
      <c r="T96" s="286">
        <v>0</v>
      </c>
      <c r="U96" s="286">
        <v>0</v>
      </c>
      <c r="V96" s="286">
        <v>0</v>
      </c>
      <c r="W96" s="286">
        <v>0</v>
      </c>
      <c r="X96" s="286">
        <v>0</v>
      </c>
      <c r="Y96" s="286">
        <v>0</v>
      </c>
      <c r="Z96" s="286">
        <v>0</v>
      </c>
      <c r="AA96" s="286">
        <v>0</v>
      </c>
      <c r="AB96" s="286">
        <v>0</v>
      </c>
      <c r="AC96" s="286">
        <v>0</v>
      </c>
      <c r="AD96" s="286">
        <v>0</v>
      </c>
      <c r="AE96" s="286">
        <v>0</v>
      </c>
      <c r="AF96" s="286">
        <v>0</v>
      </c>
      <c r="AG96" s="286">
        <v>0</v>
      </c>
      <c r="AH96" s="286">
        <v>0</v>
      </c>
      <c r="AI96" s="286">
        <v>0</v>
      </c>
      <c r="AJ96" s="286">
        <v>0</v>
      </c>
      <c r="AK96" s="286">
        <v>0</v>
      </c>
      <c r="AL96" s="286">
        <v>0</v>
      </c>
      <c r="AM96" s="286">
        <v>0</v>
      </c>
      <c r="AN96" s="286">
        <v>0</v>
      </c>
      <c r="AO96" s="286">
        <v>0</v>
      </c>
      <c r="AP96" s="286">
        <v>0</v>
      </c>
      <c r="AQ96" s="286">
        <v>0</v>
      </c>
      <c r="AR96" s="286">
        <v>0</v>
      </c>
      <c r="AS96" s="286">
        <v>0</v>
      </c>
      <c r="AT96" s="286">
        <v>0</v>
      </c>
      <c r="AU96" s="286">
        <v>0</v>
      </c>
      <c r="AV96" s="286">
        <v>0</v>
      </c>
      <c r="AW96" s="286">
        <v>0</v>
      </c>
      <c r="AX96" s="286">
        <v>0</v>
      </c>
      <c r="AY96" s="286">
        <v>0</v>
      </c>
      <c r="AZ96" s="286">
        <v>0</v>
      </c>
      <c r="BA96" s="286">
        <v>0</v>
      </c>
      <c r="BB96" s="286">
        <v>0</v>
      </c>
      <c r="BC96" s="286">
        <v>0</v>
      </c>
      <c r="BD96" s="286">
        <v>0</v>
      </c>
      <c r="BE96" s="286">
        <v>0</v>
      </c>
      <c r="BF96" s="286">
        <v>0</v>
      </c>
      <c r="BG96" s="286">
        <v>0</v>
      </c>
      <c r="BH96" s="286">
        <v>0</v>
      </c>
      <c r="BI96" s="286">
        <v>0</v>
      </c>
      <c r="BJ96" s="286">
        <v>0</v>
      </c>
      <c r="BK96" s="286">
        <v>0</v>
      </c>
      <c r="BL96" s="286">
        <v>0</v>
      </c>
      <c r="BM96" s="286">
        <v>0</v>
      </c>
      <c r="BN96" s="286">
        <v>0</v>
      </c>
      <c r="BO96" s="286">
        <v>0</v>
      </c>
      <c r="BP96" s="286">
        <v>0</v>
      </c>
      <c r="BQ96" s="286">
        <v>0</v>
      </c>
      <c r="BR96" s="281">
        <v>0.1</v>
      </c>
    </row>
    <row r="97" spans="1:70" ht="14.25" customHeight="1" x14ac:dyDescent="0.35">
      <c r="A97" s="4" t="s">
        <v>758</v>
      </c>
      <c r="B97" s="384">
        <v>0</v>
      </c>
      <c r="C97" s="385"/>
      <c r="D97" s="42" t="s">
        <v>144</v>
      </c>
      <c r="E97" s="386">
        <v>0</v>
      </c>
      <c r="F97" s="386">
        <v>0</v>
      </c>
      <c r="G97" s="386">
        <v>0</v>
      </c>
      <c r="I97" s="42" t="s">
        <v>144</v>
      </c>
      <c r="J97" s="286">
        <v>0</v>
      </c>
      <c r="K97" s="286">
        <v>0</v>
      </c>
      <c r="L97" s="286">
        <v>0</v>
      </c>
      <c r="M97" s="286">
        <v>0</v>
      </c>
      <c r="N97" s="286">
        <v>0</v>
      </c>
      <c r="O97" s="286">
        <v>0</v>
      </c>
      <c r="P97" s="286">
        <v>0</v>
      </c>
      <c r="Q97" s="286">
        <v>0</v>
      </c>
      <c r="R97" s="286">
        <v>0</v>
      </c>
      <c r="S97" s="286">
        <v>0</v>
      </c>
      <c r="T97" s="286">
        <v>0</v>
      </c>
      <c r="U97" s="286">
        <v>0</v>
      </c>
      <c r="V97" s="286">
        <v>0</v>
      </c>
      <c r="W97" s="286">
        <v>0</v>
      </c>
      <c r="X97" s="286">
        <v>0</v>
      </c>
      <c r="Y97" s="286">
        <v>0</v>
      </c>
      <c r="Z97" s="286">
        <v>0</v>
      </c>
      <c r="AA97" s="286">
        <v>0</v>
      </c>
      <c r="AB97" s="286">
        <v>0</v>
      </c>
      <c r="AC97" s="286">
        <v>0</v>
      </c>
      <c r="AD97" s="286">
        <v>0</v>
      </c>
      <c r="AE97" s="286">
        <v>0</v>
      </c>
      <c r="AF97" s="286">
        <v>0</v>
      </c>
      <c r="AG97" s="286">
        <v>0</v>
      </c>
      <c r="AH97" s="286">
        <v>0</v>
      </c>
      <c r="AI97" s="286">
        <v>0</v>
      </c>
      <c r="AJ97" s="286">
        <v>0</v>
      </c>
      <c r="AK97" s="286">
        <v>0</v>
      </c>
      <c r="AL97" s="286">
        <v>0</v>
      </c>
      <c r="AM97" s="286">
        <v>0</v>
      </c>
      <c r="AN97" s="286">
        <v>0</v>
      </c>
      <c r="AO97" s="286">
        <v>0</v>
      </c>
      <c r="AP97" s="286">
        <v>0</v>
      </c>
      <c r="AQ97" s="286">
        <v>0</v>
      </c>
      <c r="AR97" s="286">
        <v>0</v>
      </c>
      <c r="AS97" s="286">
        <v>0</v>
      </c>
      <c r="AT97" s="286">
        <v>0</v>
      </c>
      <c r="AU97" s="286">
        <v>0</v>
      </c>
      <c r="AV97" s="286">
        <v>0</v>
      </c>
      <c r="AW97" s="286">
        <v>0</v>
      </c>
      <c r="AX97" s="286">
        <v>0</v>
      </c>
      <c r="AY97" s="286">
        <v>0</v>
      </c>
      <c r="AZ97" s="286">
        <v>0</v>
      </c>
      <c r="BA97" s="286">
        <v>0</v>
      </c>
      <c r="BB97" s="286">
        <v>0</v>
      </c>
      <c r="BC97" s="286">
        <v>0</v>
      </c>
      <c r="BD97" s="286">
        <v>0</v>
      </c>
      <c r="BE97" s="286">
        <v>0</v>
      </c>
      <c r="BF97" s="286">
        <v>0</v>
      </c>
      <c r="BG97" s="286">
        <v>0</v>
      </c>
      <c r="BH97" s="286">
        <v>0</v>
      </c>
      <c r="BI97" s="286">
        <v>0</v>
      </c>
      <c r="BJ97" s="286">
        <v>0</v>
      </c>
      <c r="BK97" s="286">
        <v>0</v>
      </c>
      <c r="BL97" s="286">
        <v>0</v>
      </c>
      <c r="BM97" s="286">
        <v>0</v>
      </c>
      <c r="BN97" s="286">
        <v>0</v>
      </c>
      <c r="BO97" s="286">
        <v>0</v>
      </c>
      <c r="BP97" s="286">
        <v>0</v>
      </c>
      <c r="BQ97" s="286">
        <v>0</v>
      </c>
      <c r="BR97" s="286">
        <v>0</v>
      </c>
    </row>
    <row r="98" spans="1:70" ht="14.25" customHeight="1" x14ac:dyDescent="0.35">
      <c r="A98" s="4" t="s">
        <v>164</v>
      </c>
      <c r="B98" s="384">
        <v>0</v>
      </c>
      <c r="C98" s="385"/>
      <c r="D98" s="42" t="s">
        <v>164</v>
      </c>
      <c r="E98" s="386">
        <v>0</v>
      </c>
      <c r="F98" s="386">
        <v>0</v>
      </c>
      <c r="G98" s="386">
        <v>0</v>
      </c>
      <c r="I98" s="42" t="s">
        <v>164</v>
      </c>
      <c r="J98" s="286">
        <v>0</v>
      </c>
      <c r="K98" s="286">
        <v>0</v>
      </c>
      <c r="L98" s="286">
        <v>0</v>
      </c>
      <c r="M98" s="286">
        <v>0</v>
      </c>
      <c r="N98" s="286">
        <v>0</v>
      </c>
      <c r="O98" s="286">
        <v>0</v>
      </c>
      <c r="P98" s="286">
        <v>0</v>
      </c>
      <c r="Q98" s="286">
        <v>0</v>
      </c>
      <c r="R98" s="286">
        <v>0</v>
      </c>
      <c r="S98" s="286">
        <v>0</v>
      </c>
      <c r="T98" s="286">
        <v>0</v>
      </c>
      <c r="U98" s="286">
        <v>0</v>
      </c>
      <c r="V98" s="286">
        <v>0</v>
      </c>
      <c r="W98" s="286">
        <v>0</v>
      </c>
      <c r="X98" s="286">
        <v>0</v>
      </c>
      <c r="Y98" s="286">
        <v>0</v>
      </c>
      <c r="Z98" s="286">
        <v>0</v>
      </c>
      <c r="AA98" s="286">
        <v>0</v>
      </c>
      <c r="AB98" s="286">
        <v>0</v>
      </c>
      <c r="AC98" s="286">
        <v>0</v>
      </c>
      <c r="AD98" s="286">
        <v>0</v>
      </c>
      <c r="AE98" s="286">
        <v>0</v>
      </c>
      <c r="AF98" s="286">
        <v>0</v>
      </c>
      <c r="AG98" s="286">
        <v>0</v>
      </c>
      <c r="AH98" s="286">
        <v>0</v>
      </c>
      <c r="AI98" s="286">
        <v>0</v>
      </c>
      <c r="AJ98" s="286">
        <v>0</v>
      </c>
      <c r="AK98" s="286">
        <v>0</v>
      </c>
      <c r="AL98" s="286">
        <v>0</v>
      </c>
      <c r="AM98" s="286">
        <v>0</v>
      </c>
      <c r="AN98" s="286">
        <v>0</v>
      </c>
      <c r="AO98" s="286">
        <v>0</v>
      </c>
      <c r="AP98" s="286">
        <v>0</v>
      </c>
      <c r="AQ98" s="286">
        <v>0</v>
      </c>
      <c r="AR98" s="286">
        <v>0</v>
      </c>
      <c r="AS98" s="286">
        <v>0</v>
      </c>
      <c r="AT98" s="286">
        <v>0</v>
      </c>
      <c r="AU98" s="286">
        <v>0</v>
      </c>
      <c r="AV98" s="286">
        <v>0</v>
      </c>
      <c r="AW98" s="286">
        <v>0</v>
      </c>
      <c r="AX98" s="286">
        <v>0</v>
      </c>
      <c r="AY98" s="286">
        <v>0</v>
      </c>
      <c r="AZ98" s="286">
        <v>0</v>
      </c>
      <c r="BA98" s="286">
        <v>0</v>
      </c>
      <c r="BB98" s="286">
        <v>0</v>
      </c>
      <c r="BC98" s="286">
        <v>0</v>
      </c>
      <c r="BD98" s="286">
        <v>0</v>
      </c>
      <c r="BE98" s="286">
        <v>0</v>
      </c>
      <c r="BF98" s="286">
        <v>0</v>
      </c>
      <c r="BG98" s="286">
        <v>0</v>
      </c>
      <c r="BH98" s="286">
        <v>0</v>
      </c>
      <c r="BI98" s="286">
        <v>0</v>
      </c>
      <c r="BJ98" s="286">
        <v>0</v>
      </c>
      <c r="BK98" s="286">
        <v>0</v>
      </c>
      <c r="BL98" s="286">
        <v>0</v>
      </c>
      <c r="BM98" s="286">
        <v>0</v>
      </c>
      <c r="BN98" s="286">
        <v>0</v>
      </c>
      <c r="BO98" s="286">
        <v>0</v>
      </c>
      <c r="BP98" s="286">
        <v>0</v>
      </c>
      <c r="BQ98" s="286">
        <v>0</v>
      </c>
      <c r="BR98" s="286">
        <v>0</v>
      </c>
    </row>
    <row r="99" spans="1:70" ht="14.25" customHeight="1" x14ac:dyDescent="0.35">
      <c r="A99" s="4" t="s">
        <v>759</v>
      </c>
      <c r="B99" s="384">
        <v>0</v>
      </c>
      <c r="C99" s="385"/>
      <c r="D99" s="42" t="s">
        <v>145</v>
      </c>
      <c r="E99" s="386">
        <v>0</v>
      </c>
      <c r="F99" s="386">
        <v>0</v>
      </c>
      <c r="G99" s="386">
        <v>0</v>
      </c>
      <c r="I99" s="42" t="s">
        <v>145</v>
      </c>
      <c r="J99" s="286">
        <v>0</v>
      </c>
      <c r="K99" s="286">
        <v>0</v>
      </c>
      <c r="L99" s="286">
        <v>0</v>
      </c>
      <c r="M99" s="286">
        <v>0</v>
      </c>
      <c r="N99" s="286">
        <v>0</v>
      </c>
      <c r="O99" s="286">
        <v>0</v>
      </c>
      <c r="P99" s="286">
        <v>0</v>
      </c>
      <c r="Q99" s="286">
        <v>0</v>
      </c>
      <c r="R99" s="286">
        <v>0</v>
      </c>
      <c r="S99" s="286">
        <v>0</v>
      </c>
      <c r="T99" s="286">
        <v>0</v>
      </c>
      <c r="U99" s="286">
        <v>0</v>
      </c>
      <c r="V99" s="286">
        <v>0</v>
      </c>
      <c r="W99" s="286">
        <v>0</v>
      </c>
      <c r="X99" s="286">
        <v>0</v>
      </c>
      <c r="Y99" s="286">
        <v>0</v>
      </c>
      <c r="Z99" s="286">
        <v>0</v>
      </c>
      <c r="AA99" s="286">
        <v>0</v>
      </c>
      <c r="AB99" s="286">
        <v>0</v>
      </c>
      <c r="AC99" s="286">
        <v>0</v>
      </c>
      <c r="AD99" s="286">
        <v>0</v>
      </c>
      <c r="AE99" s="286">
        <v>0</v>
      </c>
      <c r="AF99" s="286">
        <v>0</v>
      </c>
      <c r="AG99" s="286">
        <v>0</v>
      </c>
      <c r="AH99" s="286">
        <v>0</v>
      </c>
      <c r="AI99" s="286">
        <v>0</v>
      </c>
      <c r="AJ99" s="286">
        <v>0</v>
      </c>
      <c r="AK99" s="286">
        <v>0</v>
      </c>
      <c r="AL99" s="286">
        <v>0</v>
      </c>
      <c r="AM99" s="286">
        <v>0</v>
      </c>
      <c r="AN99" s="286">
        <v>0</v>
      </c>
      <c r="AO99" s="286">
        <v>0</v>
      </c>
      <c r="AP99" s="286">
        <v>0</v>
      </c>
      <c r="AQ99" s="286">
        <v>0</v>
      </c>
      <c r="AR99" s="286">
        <v>0</v>
      </c>
      <c r="AS99" s="286">
        <v>0</v>
      </c>
      <c r="AT99" s="286">
        <v>0</v>
      </c>
      <c r="AU99" s="286">
        <v>0</v>
      </c>
      <c r="AV99" s="286">
        <v>0</v>
      </c>
      <c r="AW99" s="286">
        <v>0</v>
      </c>
      <c r="AX99" s="286">
        <v>0</v>
      </c>
      <c r="AY99" s="286">
        <v>0</v>
      </c>
      <c r="AZ99" s="286">
        <v>0</v>
      </c>
      <c r="BA99" s="286">
        <v>0</v>
      </c>
      <c r="BB99" s="286">
        <v>0</v>
      </c>
      <c r="BC99" s="286">
        <v>0</v>
      </c>
      <c r="BD99" s="286">
        <v>0</v>
      </c>
      <c r="BE99" s="286">
        <v>0</v>
      </c>
      <c r="BF99" s="286">
        <v>0</v>
      </c>
      <c r="BG99" s="286">
        <v>0</v>
      </c>
      <c r="BH99" s="286">
        <v>0</v>
      </c>
      <c r="BI99" s="286">
        <v>0</v>
      </c>
      <c r="BJ99" s="286">
        <v>0</v>
      </c>
      <c r="BK99" s="286">
        <v>0</v>
      </c>
      <c r="BL99" s="286">
        <v>0</v>
      </c>
      <c r="BM99" s="286">
        <v>0</v>
      </c>
      <c r="BN99" s="286">
        <v>0</v>
      </c>
      <c r="BO99" s="286">
        <v>0</v>
      </c>
      <c r="BP99" s="286">
        <v>0</v>
      </c>
      <c r="BQ99" s="286">
        <v>0</v>
      </c>
      <c r="BR99" s="286">
        <v>0</v>
      </c>
    </row>
    <row r="100" spans="1:70" ht="14.25" customHeight="1" x14ac:dyDescent="0.35">
      <c r="A100" s="4" t="s">
        <v>87</v>
      </c>
      <c r="B100" s="384">
        <v>0</v>
      </c>
      <c r="C100" s="385"/>
      <c r="D100" s="42" t="s">
        <v>87</v>
      </c>
      <c r="E100" s="386">
        <v>0</v>
      </c>
      <c r="F100" s="386">
        <v>0</v>
      </c>
      <c r="G100" s="386">
        <v>0</v>
      </c>
      <c r="I100" s="42" t="s">
        <v>87</v>
      </c>
      <c r="J100" s="286">
        <v>0</v>
      </c>
      <c r="K100" s="286">
        <v>0</v>
      </c>
      <c r="L100" s="286">
        <v>0</v>
      </c>
      <c r="M100" s="286">
        <v>0</v>
      </c>
      <c r="N100" s="286">
        <v>0</v>
      </c>
      <c r="O100" s="286">
        <v>0</v>
      </c>
      <c r="P100" s="286">
        <v>0</v>
      </c>
      <c r="Q100" s="286">
        <v>0</v>
      </c>
      <c r="R100" s="286">
        <v>0</v>
      </c>
      <c r="S100" s="286">
        <v>0</v>
      </c>
      <c r="T100" s="286">
        <v>0</v>
      </c>
      <c r="U100" s="286">
        <v>0</v>
      </c>
      <c r="V100" s="286">
        <v>0</v>
      </c>
      <c r="W100" s="286">
        <v>0</v>
      </c>
      <c r="X100" s="286">
        <v>0</v>
      </c>
      <c r="Y100" s="286">
        <v>0</v>
      </c>
      <c r="Z100" s="286">
        <v>0</v>
      </c>
      <c r="AA100" s="286">
        <v>0</v>
      </c>
      <c r="AB100" s="286">
        <v>0</v>
      </c>
      <c r="AC100" s="286">
        <v>0</v>
      </c>
      <c r="AD100" s="286">
        <v>0</v>
      </c>
      <c r="AE100" s="286">
        <v>0</v>
      </c>
      <c r="AF100" s="286">
        <v>0</v>
      </c>
      <c r="AG100" s="286">
        <v>0</v>
      </c>
      <c r="AH100" s="286">
        <v>0</v>
      </c>
      <c r="AI100" s="286">
        <v>0</v>
      </c>
      <c r="AJ100" s="286">
        <v>0</v>
      </c>
      <c r="AK100" s="286">
        <v>0</v>
      </c>
      <c r="AL100" s="286">
        <v>0</v>
      </c>
      <c r="AM100" s="286">
        <v>0</v>
      </c>
      <c r="AN100" s="286">
        <v>0</v>
      </c>
      <c r="AO100" s="286">
        <v>0</v>
      </c>
      <c r="AP100" s="286">
        <v>0</v>
      </c>
      <c r="AQ100" s="286">
        <v>0</v>
      </c>
      <c r="AR100" s="286">
        <v>0</v>
      </c>
      <c r="AS100" s="286">
        <v>0</v>
      </c>
      <c r="AT100" s="286">
        <v>0</v>
      </c>
      <c r="AU100" s="286">
        <v>0</v>
      </c>
      <c r="AV100" s="286">
        <v>0</v>
      </c>
      <c r="AW100" s="286">
        <v>0</v>
      </c>
      <c r="AX100" s="286">
        <v>0</v>
      </c>
      <c r="AY100" s="286">
        <v>0</v>
      </c>
      <c r="AZ100" s="286">
        <v>0</v>
      </c>
      <c r="BA100" s="286">
        <v>0</v>
      </c>
      <c r="BB100" s="286">
        <v>0</v>
      </c>
      <c r="BC100" s="286">
        <v>0</v>
      </c>
      <c r="BD100" s="286">
        <v>0</v>
      </c>
      <c r="BE100" s="286">
        <v>0</v>
      </c>
      <c r="BF100" s="286">
        <v>0</v>
      </c>
      <c r="BG100" s="286">
        <v>0</v>
      </c>
      <c r="BH100" s="286">
        <v>0</v>
      </c>
      <c r="BI100" s="286">
        <v>0</v>
      </c>
      <c r="BJ100" s="286">
        <v>0</v>
      </c>
      <c r="BK100" s="286">
        <v>0</v>
      </c>
      <c r="BL100" s="286">
        <v>0</v>
      </c>
      <c r="BM100" s="286">
        <v>0</v>
      </c>
      <c r="BN100" s="286">
        <v>0</v>
      </c>
      <c r="BO100" s="286">
        <v>0</v>
      </c>
      <c r="BP100" s="286">
        <v>0</v>
      </c>
      <c r="BQ100" s="286">
        <v>0</v>
      </c>
      <c r="BR100" s="286">
        <v>0</v>
      </c>
    </row>
    <row r="101" spans="1:70" ht="14.25" customHeight="1" x14ac:dyDescent="0.35">
      <c r="A101" s="4" t="s">
        <v>760</v>
      </c>
      <c r="B101" s="384">
        <v>0</v>
      </c>
      <c r="C101" s="385"/>
      <c r="D101" s="42" t="s">
        <v>146</v>
      </c>
      <c r="E101" s="386">
        <v>0</v>
      </c>
      <c r="F101" s="386">
        <v>0</v>
      </c>
      <c r="G101" s="386">
        <v>0</v>
      </c>
      <c r="I101" s="42" t="s">
        <v>146</v>
      </c>
      <c r="J101" s="286">
        <v>0</v>
      </c>
      <c r="K101" s="286">
        <v>0</v>
      </c>
      <c r="L101" s="286">
        <v>0</v>
      </c>
      <c r="M101" s="286">
        <v>0</v>
      </c>
      <c r="N101" s="286">
        <v>0</v>
      </c>
      <c r="O101" s="286">
        <v>0</v>
      </c>
      <c r="P101" s="286">
        <v>0</v>
      </c>
      <c r="Q101" s="286">
        <v>0</v>
      </c>
      <c r="R101" s="286">
        <v>0</v>
      </c>
      <c r="S101" s="286">
        <v>0</v>
      </c>
      <c r="T101" s="286">
        <v>0</v>
      </c>
      <c r="U101" s="286">
        <v>0</v>
      </c>
      <c r="V101" s="286">
        <v>0</v>
      </c>
      <c r="W101" s="286">
        <v>0</v>
      </c>
      <c r="X101" s="286">
        <v>0</v>
      </c>
      <c r="Y101" s="286">
        <v>0</v>
      </c>
      <c r="Z101" s="286">
        <v>0</v>
      </c>
      <c r="AA101" s="286">
        <v>0</v>
      </c>
      <c r="AB101" s="286">
        <v>0</v>
      </c>
      <c r="AC101" s="286">
        <v>0</v>
      </c>
      <c r="AD101" s="286">
        <v>0</v>
      </c>
      <c r="AE101" s="286">
        <v>0</v>
      </c>
      <c r="AF101" s="286">
        <v>0</v>
      </c>
      <c r="AG101" s="286">
        <v>0</v>
      </c>
      <c r="AH101" s="286">
        <v>0</v>
      </c>
      <c r="AI101" s="286">
        <v>0</v>
      </c>
      <c r="AJ101" s="286">
        <v>0</v>
      </c>
      <c r="AK101" s="286">
        <v>0</v>
      </c>
      <c r="AL101" s="286">
        <v>0</v>
      </c>
      <c r="AM101" s="286">
        <v>0</v>
      </c>
      <c r="AN101" s="286">
        <v>0</v>
      </c>
      <c r="AO101" s="286">
        <v>0</v>
      </c>
      <c r="AP101" s="286">
        <v>0</v>
      </c>
      <c r="AQ101" s="286">
        <v>0</v>
      </c>
      <c r="AR101" s="286">
        <v>0</v>
      </c>
      <c r="AS101" s="286">
        <v>0</v>
      </c>
      <c r="AT101" s="286">
        <v>0</v>
      </c>
      <c r="AU101" s="286">
        <v>0</v>
      </c>
      <c r="AV101" s="286">
        <v>0</v>
      </c>
      <c r="AW101" s="286">
        <v>0</v>
      </c>
      <c r="AX101" s="286">
        <v>0</v>
      </c>
      <c r="AY101" s="286">
        <v>0</v>
      </c>
      <c r="AZ101" s="286">
        <v>0</v>
      </c>
      <c r="BA101" s="286">
        <v>0</v>
      </c>
      <c r="BB101" s="286">
        <v>0</v>
      </c>
      <c r="BC101" s="286">
        <v>0</v>
      </c>
      <c r="BD101" s="286">
        <v>0</v>
      </c>
      <c r="BE101" s="286">
        <v>0</v>
      </c>
      <c r="BF101" s="286">
        <v>0</v>
      </c>
      <c r="BG101" s="286">
        <v>0</v>
      </c>
      <c r="BH101" s="286">
        <v>0</v>
      </c>
      <c r="BI101" s="286">
        <v>0</v>
      </c>
      <c r="BJ101" s="286">
        <v>0</v>
      </c>
      <c r="BK101" s="286">
        <v>0</v>
      </c>
      <c r="BL101" s="286">
        <v>0</v>
      </c>
      <c r="BM101" s="286">
        <v>0</v>
      </c>
      <c r="BN101" s="286">
        <v>0</v>
      </c>
      <c r="BO101" s="286">
        <v>0</v>
      </c>
      <c r="BP101" s="286">
        <v>0</v>
      </c>
      <c r="BQ101" s="286">
        <v>0</v>
      </c>
      <c r="BR101" s="286">
        <v>0</v>
      </c>
    </row>
    <row r="102" spans="1:70" ht="14.25" customHeight="1" x14ac:dyDescent="0.35">
      <c r="A102" s="4" t="s">
        <v>89</v>
      </c>
      <c r="B102" s="384">
        <v>0</v>
      </c>
      <c r="C102" s="385"/>
      <c r="D102" s="42" t="s">
        <v>89</v>
      </c>
      <c r="E102" s="386">
        <v>0</v>
      </c>
      <c r="F102" s="386">
        <v>0</v>
      </c>
      <c r="G102" s="386">
        <v>0</v>
      </c>
      <c r="I102" s="42" t="s">
        <v>89</v>
      </c>
      <c r="J102" s="286">
        <v>0</v>
      </c>
      <c r="K102" s="286">
        <v>0</v>
      </c>
      <c r="L102" s="286">
        <v>0</v>
      </c>
      <c r="M102" s="286">
        <v>0</v>
      </c>
      <c r="N102" s="286">
        <v>0</v>
      </c>
      <c r="O102" s="286">
        <v>0</v>
      </c>
      <c r="P102" s="286">
        <v>0</v>
      </c>
      <c r="Q102" s="286">
        <v>0</v>
      </c>
      <c r="R102" s="286">
        <v>0</v>
      </c>
      <c r="S102" s="286">
        <v>0</v>
      </c>
      <c r="T102" s="286">
        <v>0</v>
      </c>
      <c r="U102" s="286">
        <v>0</v>
      </c>
      <c r="V102" s="286">
        <v>0</v>
      </c>
      <c r="W102" s="286">
        <v>0</v>
      </c>
      <c r="X102" s="286">
        <v>0</v>
      </c>
      <c r="Y102" s="286">
        <v>0</v>
      </c>
      <c r="Z102" s="286">
        <v>0</v>
      </c>
      <c r="AA102" s="286">
        <v>0</v>
      </c>
      <c r="AB102" s="286">
        <v>0</v>
      </c>
      <c r="AC102" s="286">
        <v>0</v>
      </c>
      <c r="AD102" s="286">
        <v>0</v>
      </c>
      <c r="AE102" s="286">
        <v>0</v>
      </c>
      <c r="AF102" s="286">
        <v>0</v>
      </c>
      <c r="AG102" s="286">
        <v>0</v>
      </c>
      <c r="AH102" s="286">
        <v>0</v>
      </c>
      <c r="AI102" s="286">
        <v>0</v>
      </c>
      <c r="AJ102" s="286">
        <v>0</v>
      </c>
      <c r="AK102" s="286">
        <v>0</v>
      </c>
      <c r="AL102" s="286">
        <v>0</v>
      </c>
      <c r="AM102" s="286">
        <v>0</v>
      </c>
      <c r="AN102" s="286">
        <v>0</v>
      </c>
      <c r="AO102" s="286">
        <v>0</v>
      </c>
      <c r="AP102" s="286">
        <v>0</v>
      </c>
      <c r="AQ102" s="286">
        <v>0</v>
      </c>
      <c r="AR102" s="286">
        <v>0</v>
      </c>
      <c r="AS102" s="286">
        <v>0</v>
      </c>
      <c r="AT102" s="286">
        <v>0</v>
      </c>
      <c r="AU102" s="286">
        <v>0</v>
      </c>
      <c r="AV102" s="286">
        <v>0</v>
      </c>
      <c r="AW102" s="286">
        <v>0</v>
      </c>
      <c r="AX102" s="286">
        <v>0</v>
      </c>
      <c r="AY102" s="286">
        <v>0</v>
      </c>
      <c r="AZ102" s="286">
        <v>0</v>
      </c>
      <c r="BA102" s="286">
        <v>0</v>
      </c>
      <c r="BB102" s="286">
        <v>0</v>
      </c>
      <c r="BC102" s="286">
        <v>0</v>
      </c>
      <c r="BD102" s="286">
        <v>0</v>
      </c>
      <c r="BE102" s="286">
        <v>0</v>
      </c>
      <c r="BF102" s="286">
        <v>0</v>
      </c>
      <c r="BG102" s="286">
        <v>0</v>
      </c>
      <c r="BH102" s="286">
        <v>0</v>
      </c>
      <c r="BI102" s="286">
        <v>0</v>
      </c>
      <c r="BJ102" s="286">
        <v>0</v>
      </c>
      <c r="BK102" s="286">
        <v>0</v>
      </c>
      <c r="BL102" s="286">
        <v>0</v>
      </c>
      <c r="BM102" s="286">
        <v>0</v>
      </c>
      <c r="BN102" s="286">
        <v>0</v>
      </c>
      <c r="BO102" s="286">
        <v>0</v>
      </c>
      <c r="BP102" s="286">
        <v>0</v>
      </c>
      <c r="BQ102" s="286">
        <v>0</v>
      </c>
      <c r="BR102" s="286">
        <v>0</v>
      </c>
    </row>
    <row r="103" spans="1:70" ht="14.25" customHeight="1" x14ac:dyDescent="0.35">
      <c r="A103" s="4" t="s">
        <v>90</v>
      </c>
      <c r="B103" s="384">
        <v>0</v>
      </c>
      <c r="C103" s="385"/>
      <c r="D103" s="42" t="s">
        <v>90</v>
      </c>
      <c r="E103" s="386">
        <v>0</v>
      </c>
      <c r="F103" s="386">
        <v>0</v>
      </c>
      <c r="G103" s="386">
        <v>0</v>
      </c>
      <c r="I103" s="42" t="s">
        <v>90</v>
      </c>
      <c r="J103" s="286">
        <v>0</v>
      </c>
      <c r="K103" s="286">
        <v>0</v>
      </c>
      <c r="L103" s="286">
        <v>0</v>
      </c>
      <c r="M103" s="286">
        <v>0</v>
      </c>
      <c r="N103" s="286">
        <v>0</v>
      </c>
      <c r="O103" s="286">
        <v>0</v>
      </c>
      <c r="P103" s="286">
        <v>0</v>
      </c>
      <c r="Q103" s="286">
        <v>0</v>
      </c>
      <c r="R103" s="286">
        <v>0</v>
      </c>
      <c r="S103" s="286">
        <v>0</v>
      </c>
      <c r="T103" s="286">
        <v>0</v>
      </c>
      <c r="U103" s="286">
        <v>0</v>
      </c>
      <c r="V103" s="286">
        <v>0</v>
      </c>
      <c r="W103" s="286">
        <v>0</v>
      </c>
      <c r="X103" s="286">
        <v>0</v>
      </c>
      <c r="Y103" s="286">
        <v>0</v>
      </c>
      <c r="Z103" s="286">
        <v>0</v>
      </c>
      <c r="AA103" s="286">
        <v>0</v>
      </c>
      <c r="AB103" s="286">
        <v>0</v>
      </c>
      <c r="AC103" s="286">
        <v>0</v>
      </c>
      <c r="AD103" s="286">
        <v>0</v>
      </c>
      <c r="AE103" s="286">
        <v>0</v>
      </c>
      <c r="AF103" s="286">
        <v>0</v>
      </c>
      <c r="AG103" s="286">
        <v>0</v>
      </c>
      <c r="AH103" s="286">
        <v>0</v>
      </c>
      <c r="AI103" s="286">
        <v>0</v>
      </c>
      <c r="AJ103" s="286">
        <v>0</v>
      </c>
      <c r="AK103" s="286">
        <v>0</v>
      </c>
      <c r="AL103" s="286">
        <v>0</v>
      </c>
      <c r="AM103" s="286">
        <v>0</v>
      </c>
      <c r="AN103" s="286">
        <v>0</v>
      </c>
      <c r="AO103" s="286">
        <v>0</v>
      </c>
      <c r="AP103" s="286">
        <v>0</v>
      </c>
      <c r="AQ103" s="286">
        <v>0</v>
      </c>
      <c r="AR103" s="286">
        <v>0</v>
      </c>
      <c r="AS103" s="286">
        <v>0</v>
      </c>
      <c r="AT103" s="286">
        <v>0</v>
      </c>
      <c r="AU103" s="286">
        <v>0</v>
      </c>
      <c r="AV103" s="286">
        <v>0</v>
      </c>
      <c r="AW103" s="286">
        <v>0</v>
      </c>
      <c r="AX103" s="286">
        <v>0</v>
      </c>
      <c r="AY103" s="286">
        <v>0</v>
      </c>
      <c r="AZ103" s="286">
        <v>0</v>
      </c>
      <c r="BA103" s="286">
        <v>0</v>
      </c>
      <c r="BB103" s="286">
        <v>0</v>
      </c>
      <c r="BC103" s="286">
        <v>0</v>
      </c>
      <c r="BD103" s="286">
        <v>0</v>
      </c>
      <c r="BE103" s="286">
        <v>0</v>
      </c>
      <c r="BF103" s="286">
        <v>0</v>
      </c>
      <c r="BG103" s="286">
        <v>0</v>
      </c>
      <c r="BH103" s="286">
        <v>0</v>
      </c>
      <c r="BI103" s="286">
        <v>0</v>
      </c>
      <c r="BJ103" s="286">
        <v>0</v>
      </c>
      <c r="BK103" s="286">
        <v>0</v>
      </c>
      <c r="BL103" s="286">
        <v>0</v>
      </c>
      <c r="BM103" s="286">
        <v>0</v>
      </c>
      <c r="BN103" s="286">
        <v>0</v>
      </c>
      <c r="BO103" s="286">
        <v>0</v>
      </c>
      <c r="BP103" s="286">
        <v>0</v>
      </c>
      <c r="BQ103" s="286">
        <v>0</v>
      </c>
      <c r="BR103" s="286">
        <v>0</v>
      </c>
    </row>
    <row r="105" spans="1:70" ht="14.25" customHeight="1" x14ac:dyDescent="0.35">
      <c r="A105" s="383" t="s">
        <v>1725</v>
      </c>
      <c r="D105" s="25" t="s">
        <v>1738</v>
      </c>
      <c r="I105" s="94" t="s">
        <v>1739</v>
      </c>
    </row>
    <row r="106" spans="1:70" ht="14.25" customHeight="1" x14ac:dyDescent="0.35">
      <c r="A106" s="39" t="s">
        <v>1728</v>
      </c>
      <c r="B106" s="4" t="s">
        <v>1740</v>
      </c>
      <c r="D106" s="39" t="s">
        <v>1232</v>
      </c>
      <c r="E106" s="279" t="s">
        <v>1741</v>
      </c>
      <c r="F106" s="279" t="s">
        <v>1742</v>
      </c>
      <c r="G106" s="279" t="s">
        <v>1743</v>
      </c>
      <c r="I106" s="39" t="s">
        <v>1232</v>
      </c>
      <c r="J106" s="97" t="s">
        <v>927</v>
      </c>
      <c r="K106" s="97" t="s">
        <v>928</v>
      </c>
      <c r="L106" s="97" t="s">
        <v>929</v>
      </c>
      <c r="M106" s="97" t="s">
        <v>930</v>
      </c>
      <c r="N106" s="97" t="s">
        <v>931</v>
      </c>
      <c r="O106" s="97" t="s">
        <v>932</v>
      </c>
      <c r="P106" s="97" t="s">
        <v>933</v>
      </c>
      <c r="Q106" s="97" t="s">
        <v>934</v>
      </c>
      <c r="R106" s="97" t="s">
        <v>935</v>
      </c>
      <c r="S106" s="97" t="s">
        <v>936</v>
      </c>
      <c r="T106" s="97" t="s">
        <v>937</v>
      </c>
      <c r="U106" s="97" t="s">
        <v>938</v>
      </c>
      <c r="V106" s="97" t="s">
        <v>939</v>
      </c>
      <c r="W106" s="97" t="s">
        <v>940</v>
      </c>
      <c r="X106" s="97" t="s">
        <v>941</v>
      </c>
      <c r="Y106" s="97" t="s">
        <v>942</v>
      </c>
      <c r="Z106" s="97" t="s">
        <v>943</v>
      </c>
      <c r="AA106" s="97" t="s">
        <v>944</v>
      </c>
      <c r="AB106" s="97" t="s">
        <v>945</v>
      </c>
      <c r="AC106" s="97" t="s">
        <v>946</v>
      </c>
      <c r="AD106" s="97" t="s">
        <v>947</v>
      </c>
      <c r="AE106" s="97" t="s">
        <v>948</v>
      </c>
      <c r="AF106" s="97" t="s">
        <v>949</v>
      </c>
      <c r="AG106" s="97" t="s">
        <v>950</v>
      </c>
      <c r="AH106" s="97" t="s">
        <v>951</v>
      </c>
      <c r="AI106" s="97" t="s">
        <v>952</v>
      </c>
      <c r="AJ106" s="97" t="s">
        <v>953</v>
      </c>
      <c r="AK106" s="97" t="s">
        <v>954</v>
      </c>
      <c r="AL106" s="97" t="s">
        <v>955</v>
      </c>
      <c r="AM106" s="97" t="s">
        <v>956</v>
      </c>
      <c r="AN106" s="97" t="s">
        <v>957</v>
      </c>
      <c r="AO106" s="97" t="s">
        <v>958</v>
      </c>
      <c r="AP106" s="97" t="s">
        <v>959</v>
      </c>
      <c r="AQ106" s="97" t="s">
        <v>960</v>
      </c>
      <c r="AR106" s="97" t="s">
        <v>961</v>
      </c>
      <c r="AS106" s="97" t="s">
        <v>962</v>
      </c>
      <c r="AT106" s="97" t="s">
        <v>963</v>
      </c>
      <c r="AU106" s="97" t="s">
        <v>964</v>
      </c>
      <c r="AV106" s="97" t="s">
        <v>965</v>
      </c>
      <c r="AW106" s="97" t="s">
        <v>966</v>
      </c>
      <c r="AX106" s="97" t="s">
        <v>967</v>
      </c>
      <c r="AY106" s="97" t="s">
        <v>968</v>
      </c>
      <c r="AZ106" s="97" t="s">
        <v>969</v>
      </c>
      <c r="BA106" s="97" t="s">
        <v>970</v>
      </c>
      <c r="BB106" s="97" t="s">
        <v>971</v>
      </c>
      <c r="BC106" s="97" t="s">
        <v>972</v>
      </c>
      <c r="BD106" s="97" t="s">
        <v>973</v>
      </c>
      <c r="BE106" s="97" t="s">
        <v>974</v>
      </c>
      <c r="BF106" s="97" t="s">
        <v>975</v>
      </c>
      <c r="BG106" s="97" t="s">
        <v>976</v>
      </c>
      <c r="BH106" s="97" t="s">
        <v>977</v>
      </c>
      <c r="BI106" s="97" t="s">
        <v>978</v>
      </c>
      <c r="BJ106" s="97" t="s">
        <v>979</v>
      </c>
      <c r="BK106" s="97" t="s">
        <v>980</v>
      </c>
      <c r="BL106" s="97" t="s">
        <v>981</v>
      </c>
      <c r="BM106" s="97" t="s">
        <v>982</v>
      </c>
      <c r="BN106" s="97" t="s">
        <v>983</v>
      </c>
      <c r="BO106" s="97" t="s">
        <v>984</v>
      </c>
      <c r="BP106" s="97" t="s">
        <v>985</v>
      </c>
      <c r="BQ106" s="97" t="s">
        <v>986</v>
      </c>
      <c r="BR106" s="97" t="s">
        <v>987</v>
      </c>
    </row>
    <row r="107" spans="1:70" ht="14.25" customHeight="1" x14ac:dyDescent="0.35">
      <c r="A107" s="4" t="s">
        <v>433</v>
      </c>
      <c r="B107" s="384">
        <v>32483.040000000001</v>
      </c>
      <c r="C107" s="385"/>
      <c r="D107" s="45" t="s">
        <v>228</v>
      </c>
      <c r="E107" s="93">
        <v>0</v>
      </c>
      <c r="F107" s="93">
        <v>2025</v>
      </c>
      <c r="G107" s="93">
        <v>2050</v>
      </c>
      <c r="I107" s="45" t="s">
        <v>228</v>
      </c>
      <c r="J107" s="286">
        <v>0</v>
      </c>
      <c r="K107" s="286">
        <v>0</v>
      </c>
      <c r="L107" s="286">
        <v>0</v>
      </c>
      <c r="M107" s="286">
        <v>0</v>
      </c>
      <c r="N107" s="286">
        <v>0</v>
      </c>
      <c r="O107" s="286">
        <v>0</v>
      </c>
      <c r="P107" s="286">
        <v>0</v>
      </c>
      <c r="Q107" s="286">
        <v>0</v>
      </c>
      <c r="R107" s="286">
        <v>0</v>
      </c>
      <c r="S107" s="286">
        <v>0</v>
      </c>
      <c r="T107" s="286">
        <v>0</v>
      </c>
      <c r="U107" s="286">
        <v>0</v>
      </c>
      <c r="V107" s="286">
        <v>0</v>
      </c>
      <c r="W107" s="286">
        <v>0</v>
      </c>
      <c r="X107" s="286">
        <v>0</v>
      </c>
      <c r="Y107" s="286">
        <v>0</v>
      </c>
      <c r="Z107" s="286">
        <v>0</v>
      </c>
      <c r="AA107" s="286">
        <v>0</v>
      </c>
      <c r="AB107" s="286">
        <v>0</v>
      </c>
      <c r="AC107" s="286">
        <v>0</v>
      </c>
      <c r="AD107" s="286">
        <v>0</v>
      </c>
      <c r="AE107" s="286">
        <v>0</v>
      </c>
      <c r="AF107" s="286">
        <v>0</v>
      </c>
      <c r="AG107" s="286">
        <v>0</v>
      </c>
      <c r="AH107" s="286">
        <v>0</v>
      </c>
      <c r="AI107" s="286">
        <v>0</v>
      </c>
      <c r="AJ107" s="286">
        <v>0</v>
      </c>
      <c r="AK107" s="286">
        <v>0</v>
      </c>
      <c r="AL107" s="286">
        <v>0</v>
      </c>
      <c r="AM107" s="286">
        <v>0</v>
      </c>
      <c r="AN107" s="286">
        <v>0</v>
      </c>
      <c r="AO107" s="286">
        <v>0</v>
      </c>
      <c r="AP107" s="286">
        <v>0</v>
      </c>
      <c r="AQ107" s="286">
        <v>0</v>
      </c>
      <c r="AR107" s="286">
        <v>0</v>
      </c>
      <c r="AS107" s="286">
        <v>0</v>
      </c>
      <c r="AT107" s="286">
        <v>0</v>
      </c>
      <c r="AU107" s="286">
        <v>0</v>
      </c>
      <c r="AV107" s="286">
        <v>0</v>
      </c>
      <c r="AW107" s="286">
        <v>0</v>
      </c>
      <c r="AX107" s="286">
        <v>0</v>
      </c>
      <c r="AY107" s="286">
        <v>0</v>
      </c>
      <c r="AZ107" s="286">
        <v>0</v>
      </c>
      <c r="BA107" s="286">
        <v>0</v>
      </c>
      <c r="BB107" s="286">
        <v>0</v>
      </c>
      <c r="BC107" s="286">
        <v>0</v>
      </c>
      <c r="BD107" s="286">
        <v>0</v>
      </c>
      <c r="BE107" s="286">
        <v>0</v>
      </c>
      <c r="BF107" s="286">
        <v>0</v>
      </c>
      <c r="BG107" s="286">
        <v>0</v>
      </c>
      <c r="BH107" s="286">
        <v>0</v>
      </c>
      <c r="BI107" s="286">
        <v>0</v>
      </c>
      <c r="BJ107" s="286">
        <v>0</v>
      </c>
      <c r="BK107" s="286">
        <v>0</v>
      </c>
      <c r="BL107" s="286">
        <v>0</v>
      </c>
      <c r="BM107" s="286">
        <v>0</v>
      </c>
      <c r="BN107" s="286">
        <v>0</v>
      </c>
      <c r="BO107" s="286">
        <v>0</v>
      </c>
      <c r="BP107" s="286">
        <v>0</v>
      </c>
      <c r="BQ107" s="286">
        <v>0</v>
      </c>
      <c r="BR107" s="281">
        <v>0.1</v>
      </c>
    </row>
    <row r="108" spans="1:70" ht="14.25" customHeight="1" x14ac:dyDescent="0.35">
      <c r="A108" s="4" t="s">
        <v>434</v>
      </c>
      <c r="B108" s="384">
        <v>29932.204499999996</v>
      </c>
      <c r="C108" s="385"/>
      <c r="D108" s="41" t="s">
        <v>95</v>
      </c>
      <c r="E108" s="93">
        <v>0</v>
      </c>
      <c r="F108" s="93">
        <v>2025</v>
      </c>
      <c r="G108" s="93">
        <v>2050</v>
      </c>
      <c r="I108" s="41" t="s">
        <v>95</v>
      </c>
      <c r="J108" s="281">
        <v>0.1</v>
      </c>
      <c r="K108" s="281">
        <v>0.1</v>
      </c>
      <c r="L108" s="281">
        <v>0.1</v>
      </c>
      <c r="M108" s="281">
        <v>0.1</v>
      </c>
      <c r="N108" s="281">
        <v>0.1</v>
      </c>
      <c r="O108" s="281">
        <v>0.1</v>
      </c>
      <c r="P108" s="281">
        <v>0.1</v>
      </c>
      <c r="Q108" s="281">
        <v>0.1</v>
      </c>
      <c r="R108" s="281">
        <v>0.1</v>
      </c>
      <c r="S108" s="281">
        <v>0.1</v>
      </c>
      <c r="T108" s="281">
        <v>0.1</v>
      </c>
      <c r="U108" s="281">
        <v>0.1</v>
      </c>
      <c r="V108" s="281">
        <v>0.1</v>
      </c>
      <c r="W108" s="281">
        <v>0.1</v>
      </c>
      <c r="X108" s="281">
        <v>0.1</v>
      </c>
      <c r="Y108" s="281">
        <v>0.1</v>
      </c>
      <c r="Z108" s="281">
        <v>0.1</v>
      </c>
      <c r="AA108" s="281">
        <v>0.1</v>
      </c>
      <c r="AB108" s="281">
        <v>0.1</v>
      </c>
      <c r="AC108" s="281">
        <v>0.1</v>
      </c>
      <c r="AD108" s="281">
        <v>0.1</v>
      </c>
      <c r="AE108" s="281">
        <v>0.1</v>
      </c>
      <c r="AF108" s="281">
        <v>0.1</v>
      </c>
      <c r="AG108" s="281">
        <v>0.1</v>
      </c>
      <c r="AH108" s="281">
        <v>0.1</v>
      </c>
      <c r="AI108" s="281">
        <v>0.1</v>
      </c>
      <c r="AJ108" s="281">
        <v>0.1</v>
      </c>
      <c r="AK108" s="281">
        <v>0.1</v>
      </c>
      <c r="AL108" s="281">
        <v>0.1</v>
      </c>
      <c r="AM108" s="281">
        <v>0.1</v>
      </c>
      <c r="AN108" s="281">
        <v>0.1</v>
      </c>
      <c r="AO108" s="281">
        <v>0.1</v>
      </c>
      <c r="AP108" s="281">
        <v>0.1</v>
      </c>
      <c r="AQ108" s="281">
        <v>0.1</v>
      </c>
      <c r="AR108" s="281">
        <v>0.1</v>
      </c>
      <c r="AS108" s="281">
        <v>0.1</v>
      </c>
      <c r="AT108" s="281">
        <v>0.1</v>
      </c>
      <c r="AU108" s="281">
        <v>0.1</v>
      </c>
      <c r="AV108" s="281">
        <v>0.1</v>
      </c>
      <c r="AW108" s="281">
        <v>0.1</v>
      </c>
      <c r="AX108" s="281">
        <v>0.1</v>
      </c>
      <c r="AY108" s="281">
        <v>0.1</v>
      </c>
      <c r="AZ108" s="281">
        <v>0.1</v>
      </c>
      <c r="BA108" s="281">
        <v>0.1</v>
      </c>
      <c r="BB108" s="281">
        <v>0.1</v>
      </c>
      <c r="BC108" s="281">
        <v>0.1</v>
      </c>
      <c r="BD108" s="281">
        <v>0.1</v>
      </c>
      <c r="BE108" s="281">
        <v>0.1</v>
      </c>
      <c r="BF108" s="281">
        <v>0.1</v>
      </c>
      <c r="BG108" s="281">
        <v>0.1</v>
      </c>
      <c r="BH108" s="281">
        <v>0.1</v>
      </c>
      <c r="BI108" s="281">
        <v>0.1</v>
      </c>
      <c r="BJ108" s="281">
        <v>0.1</v>
      </c>
      <c r="BK108" s="281">
        <v>0.1</v>
      </c>
      <c r="BL108" s="281">
        <v>0.1</v>
      </c>
      <c r="BM108" s="281">
        <v>0.1</v>
      </c>
      <c r="BN108" s="281">
        <v>0.1</v>
      </c>
      <c r="BO108" s="281">
        <v>0.1</v>
      </c>
      <c r="BP108" s="281">
        <v>0.1</v>
      </c>
      <c r="BQ108" s="281">
        <v>0.1</v>
      </c>
      <c r="BR108" s="286">
        <v>0</v>
      </c>
    </row>
    <row r="109" spans="1:70" ht="14.25" customHeight="1" x14ac:dyDescent="0.35">
      <c r="A109" s="4" t="s">
        <v>435</v>
      </c>
      <c r="B109" s="384">
        <v>23959.516500000002</v>
      </c>
      <c r="C109" s="385"/>
      <c r="D109" s="41" t="s">
        <v>96</v>
      </c>
      <c r="E109" s="93">
        <v>0</v>
      </c>
      <c r="F109" s="93">
        <v>2025</v>
      </c>
      <c r="G109" s="93">
        <v>2050</v>
      </c>
      <c r="I109" s="41" t="s">
        <v>96</v>
      </c>
      <c r="J109" s="281">
        <v>0.1</v>
      </c>
      <c r="K109" s="281">
        <v>0.1</v>
      </c>
      <c r="L109" s="281">
        <v>0.1</v>
      </c>
      <c r="M109" s="281">
        <v>0.1</v>
      </c>
      <c r="N109" s="281">
        <v>0.1</v>
      </c>
      <c r="O109" s="281">
        <v>0.1</v>
      </c>
      <c r="P109" s="281">
        <v>0.1</v>
      </c>
      <c r="Q109" s="281">
        <v>0.1</v>
      </c>
      <c r="R109" s="281">
        <v>0.1</v>
      </c>
      <c r="S109" s="281">
        <v>0.1</v>
      </c>
      <c r="T109" s="281">
        <v>0.1</v>
      </c>
      <c r="U109" s="281">
        <v>0.1</v>
      </c>
      <c r="V109" s="281">
        <v>0.1</v>
      </c>
      <c r="W109" s="281">
        <v>0.1</v>
      </c>
      <c r="X109" s="281">
        <v>0.1</v>
      </c>
      <c r="Y109" s="281">
        <v>0.1</v>
      </c>
      <c r="Z109" s="281">
        <v>0.1</v>
      </c>
      <c r="AA109" s="281">
        <v>0.1</v>
      </c>
      <c r="AB109" s="281">
        <v>0.1</v>
      </c>
      <c r="AC109" s="281">
        <v>0.1</v>
      </c>
      <c r="AD109" s="281">
        <v>0.1</v>
      </c>
      <c r="AE109" s="281">
        <v>0.1</v>
      </c>
      <c r="AF109" s="281">
        <v>0.1</v>
      </c>
      <c r="AG109" s="281">
        <v>0.1</v>
      </c>
      <c r="AH109" s="281">
        <v>0.1</v>
      </c>
      <c r="AI109" s="281">
        <v>0.1</v>
      </c>
      <c r="AJ109" s="281">
        <v>0.1</v>
      </c>
      <c r="AK109" s="281">
        <v>0.1</v>
      </c>
      <c r="AL109" s="281">
        <v>0.1</v>
      </c>
      <c r="AM109" s="281">
        <v>0.1</v>
      </c>
      <c r="AN109" s="281">
        <v>0.1</v>
      </c>
      <c r="AO109" s="281">
        <v>0.1</v>
      </c>
      <c r="AP109" s="281">
        <v>0.1</v>
      </c>
      <c r="AQ109" s="281">
        <v>0.1</v>
      </c>
      <c r="AR109" s="281">
        <v>0.1</v>
      </c>
      <c r="AS109" s="281">
        <v>0.1</v>
      </c>
      <c r="AT109" s="281">
        <v>0.1</v>
      </c>
      <c r="AU109" s="281">
        <v>0.1</v>
      </c>
      <c r="AV109" s="281">
        <v>0.1</v>
      </c>
      <c r="AW109" s="281">
        <v>0.1</v>
      </c>
      <c r="AX109" s="281">
        <v>0.1</v>
      </c>
      <c r="AY109" s="281">
        <v>0.1</v>
      </c>
      <c r="AZ109" s="281">
        <v>0.1</v>
      </c>
      <c r="BA109" s="281">
        <v>0.1</v>
      </c>
      <c r="BB109" s="281">
        <v>0.1</v>
      </c>
      <c r="BC109" s="281">
        <v>0.1</v>
      </c>
      <c r="BD109" s="281">
        <v>0.1</v>
      </c>
      <c r="BE109" s="281">
        <v>0.1</v>
      </c>
      <c r="BF109" s="281">
        <v>0.1</v>
      </c>
      <c r="BG109" s="281">
        <v>0.1</v>
      </c>
      <c r="BH109" s="281">
        <v>0.1</v>
      </c>
      <c r="BI109" s="281">
        <v>0.1</v>
      </c>
      <c r="BJ109" s="281">
        <v>0.1</v>
      </c>
      <c r="BK109" s="281">
        <v>0.1</v>
      </c>
      <c r="BL109" s="281">
        <v>0.1</v>
      </c>
      <c r="BM109" s="281">
        <v>0.1</v>
      </c>
      <c r="BN109" s="281">
        <v>0.1</v>
      </c>
      <c r="BO109" s="281">
        <v>0.1</v>
      </c>
      <c r="BP109" s="281">
        <v>0.1</v>
      </c>
      <c r="BQ109" s="281">
        <v>0.1</v>
      </c>
      <c r="BR109" s="286">
        <v>0</v>
      </c>
    </row>
    <row r="110" spans="1:70" ht="14.25" customHeight="1" x14ac:dyDescent="0.35">
      <c r="A110" s="4" t="s">
        <v>436</v>
      </c>
      <c r="B110" s="384">
        <v>27407.564999999999</v>
      </c>
      <c r="C110" s="385"/>
      <c r="D110" s="41" t="s">
        <v>97</v>
      </c>
      <c r="E110" s="93">
        <v>0</v>
      </c>
      <c r="F110" s="93">
        <v>2025</v>
      </c>
      <c r="G110" s="93">
        <v>2050</v>
      </c>
      <c r="I110" s="41" t="s">
        <v>97</v>
      </c>
      <c r="J110" s="281">
        <v>0.1</v>
      </c>
      <c r="K110" s="281">
        <v>0.1</v>
      </c>
      <c r="L110" s="281">
        <v>0.1</v>
      </c>
      <c r="M110" s="281">
        <v>0.1</v>
      </c>
      <c r="N110" s="281">
        <v>0.1</v>
      </c>
      <c r="O110" s="281">
        <v>0.1</v>
      </c>
      <c r="P110" s="281">
        <v>0.1</v>
      </c>
      <c r="Q110" s="281">
        <v>0.1</v>
      </c>
      <c r="R110" s="281">
        <v>0.1</v>
      </c>
      <c r="S110" s="281">
        <v>0.1</v>
      </c>
      <c r="T110" s="281">
        <v>0.1</v>
      </c>
      <c r="U110" s="281">
        <v>0.1</v>
      </c>
      <c r="V110" s="281">
        <v>0.1</v>
      </c>
      <c r="W110" s="281">
        <v>0.1</v>
      </c>
      <c r="X110" s="281">
        <v>0.1</v>
      </c>
      <c r="Y110" s="281">
        <v>0.1</v>
      </c>
      <c r="Z110" s="281">
        <v>0.1</v>
      </c>
      <c r="AA110" s="281">
        <v>0.1</v>
      </c>
      <c r="AB110" s="281">
        <v>0.1</v>
      </c>
      <c r="AC110" s="281">
        <v>0.1</v>
      </c>
      <c r="AD110" s="281">
        <v>0.1</v>
      </c>
      <c r="AE110" s="281">
        <v>0.1</v>
      </c>
      <c r="AF110" s="281">
        <v>0.1</v>
      </c>
      <c r="AG110" s="281">
        <v>0.1</v>
      </c>
      <c r="AH110" s="281">
        <v>0.1</v>
      </c>
      <c r="AI110" s="281">
        <v>0.1</v>
      </c>
      <c r="AJ110" s="281">
        <v>0.1</v>
      </c>
      <c r="AK110" s="281">
        <v>0.1</v>
      </c>
      <c r="AL110" s="281">
        <v>0.1</v>
      </c>
      <c r="AM110" s="281">
        <v>0.1</v>
      </c>
      <c r="AN110" s="281">
        <v>0.1</v>
      </c>
      <c r="AO110" s="281">
        <v>0.1</v>
      </c>
      <c r="AP110" s="281">
        <v>0.1</v>
      </c>
      <c r="AQ110" s="281">
        <v>0.1</v>
      </c>
      <c r="AR110" s="281">
        <v>0.1</v>
      </c>
      <c r="AS110" s="281">
        <v>0.1</v>
      </c>
      <c r="AT110" s="281">
        <v>0.1</v>
      </c>
      <c r="AU110" s="281">
        <v>0.1</v>
      </c>
      <c r="AV110" s="281">
        <v>0.1</v>
      </c>
      <c r="AW110" s="281">
        <v>0.1</v>
      </c>
      <c r="AX110" s="281">
        <v>0.1</v>
      </c>
      <c r="AY110" s="281">
        <v>0.1</v>
      </c>
      <c r="AZ110" s="281">
        <v>0.1</v>
      </c>
      <c r="BA110" s="281">
        <v>0.1</v>
      </c>
      <c r="BB110" s="281">
        <v>0.1</v>
      </c>
      <c r="BC110" s="281">
        <v>0.1</v>
      </c>
      <c r="BD110" s="281">
        <v>0.1</v>
      </c>
      <c r="BE110" s="281">
        <v>0.1</v>
      </c>
      <c r="BF110" s="281">
        <v>0.1</v>
      </c>
      <c r="BG110" s="281">
        <v>0.1</v>
      </c>
      <c r="BH110" s="281">
        <v>0.1</v>
      </c>
      <c r="BI110" s="281">
        <v>0.1</v>
      </c>
      <c r="BJ110" s="281">
        <v>0.1</v>
      </c>
      <c r="BK110" s="281">
        <v>0.1</v>
      </c>
      <c r="BL110" s="281">
        <v>0.1</v>
      </c>
      <c r="BM110" s="281">
        <v>0.1</v>
      </c>
      <c r="BN110" s="281">
        <v>0.1</v>
      </c>
      <c r="BO110" s="281">
        <v>0.1</v>
      </c>
      <c r="BP110" s="281">
        <v>0.1</v>
      </c>
      <c r="BQ110" s="281">
        <v>0.1</v>
      </c>
      <c r="BR110" s="286">
        <v>0</v>
      </c>
    </row>
    <row r="111" spans="1:70" ht="14.25" customHeight="1" x14ac:dyDescent="0.35">
      <c r="A111" s="4" t="s">
        <v>437</v>
      </c>
      <c r="B111" s="384">
        <v>47814.249000000003</v>
      </c>
      <c r="C111" s="385"/>
      <c r="D111" s="41" t="s">
        <v>98</v>
      </c>
      <c r="E111" s="93">
        <v>0</v>
      </c>
      <c r="F111" s="93">
        <v>2025</v>
      </c>
      <c r="G111" s="93">
        <v>2050</v>
      </c>
      <c r="I111" s="41" t="s">
        <v>98</v>
      </c>
      <c r="J111" s="281">
        <v>0.1</v>
      </c>
      <c r="K111" s="281">
        <v>0.1</v>
      </c>
      <c r="L111" s="281">
        <v>0.1</v>
      </c>
      <c r="M111" s="281">
        <v>0.1</v>
      </c>
      <c r="N111" s="281">
        <v>0.1</v>
      </c>
      <c r="O111" s="281">
        <v>0.1</v>
      </c>
      <c r="P111" s="281">
        <v>0.1</v>
      </c>
      <c r="Q111" s="281">
        <v>0.1</v>
      </c>
      <c r="R111" s="281">
        <v>0.1</v>
      </c>
      <c r="S111" s="281">
        <v>0.1</v>
      </c>
      <c r="T111" s="281">
        <v>0.1</v>
      </c>
      <c r="U111" s="281">
        <v>0.1</v>
      </c>
      <c r="V111" s="281">
        <v>0.1</v>
      </c>
      <c r="W111" s="281">
        <v>0.1</v>
      </c>
      <c r="X111" s="281">
        <v>0.1</v>
      </c>
      <c r="Y111" s="281">
        <v>0.1</v>
      </c>
      <c r="Z111" s="281">
        <v>0.1</v>
      </c>
      <c r="AA111" s="281">
        <v>0.1</v>
      </c>
      <c r="AB111" s="281">
        <v>0.1</v>
      </c>
      <c r="AC111" s="281">
        <v>0.1</v>
      </c>
      <c r="AD111" s="281">
        <v>0.1</v>
      </c>
      <c r="AE111" s="281">
        <v>0.1</v>
      </c>
      <c r="AF111" s="281">
        <v>0.1</v>
      </c>
      <c r="AG111" s="281">
        <v>0.1</v>
      </c>
      <c r="AH111" s="281">
        <v>0.1</v>
      </c>
      <c r="AI111" s="281">
        <v>0.1</v>
      </c>
      <c r="AJ111" s="281">
        <v>0.1</v>
      </c>
      <c r="AK111" s="281">
        <v>0.1</v>
      </c>
      <c r="AL111" s="281">
        <v>0.1</v>
      </c>
      <c r="AM111" s="281">
        <v>0.1</v>
      </c>
      <c r="AN111" s="281">
        <v>0.1</v>
      </c>
      <c r="AO111" s="281">
        <v>0.1</v>
      </c>
      <c r="AP111" s="281">
        <v>0.1</v>
      </c>
      <c r="AQ111" s="281">
        <v>0.1</v>
      </c>
      <c r="AR111" s="281">
        <v>0.1</v>
      </c>
      <c r="AS111" s="281">
        <v>0.1</v>
      </c>
      <c r="AT111" s="281">
        <v>0.1</v>
      </c>
      <c r="AU111" s="281">
        <v>0.1</v>
      </c>
      <c r="AV111" s="281">
        <v>0.1</v>
      </c>
      <c r="AW111" s="281">
        <v>0.1</v>
      </c>
      <c r="AX111" s="281">
        <v>0.1</v>
      </c>
      <c r="AY111" s="281">
        <v>0.1</v>
      </c>
      <c r="AZ111" s="281">
        <v>0.1</v>
      </c>
      <c r="BA111" s="281">
        <v>0.1</v>
      </c>
      <c r="BB111" s="281">
        <v>0.1</v>
      </c>
      <c r="BC111" s="281">
        <v>0.1</v>
      </c>
      <c r="BD111" s="281">
        <v>0.1</v>
      </c>
      <c r="BE111" s="281">
        <v>0.1</v>
      </c>
      <c r="BF111" s="281">
        <v>0.1</v>
      </c>
      <c r="BG111" s="281">
        <v>0.1</v>
      </c>
      <c r="BH111" s="281">
        <v>0.1</v>
      </c>
      <c r="BI111" s="281">
        <v>0.1</v>
      </c>
      <c r="BJ111" s="281">
        <v>0.1</v>
      </c>
      <c r="BK111" s="281">
        <v>0.1</v>
      </c>
      <c r="BL111" s="281">
        <v>0.1</v>
      </c>
      <c r="BM111" s="281">
        <v>0.1</v>
      </c>
      <c r="BN111" s="281">
        <v>0.1</v>
      </c>
      <c r="BO111" s="281">
        <v>0.1</v>
      </c>
      <c r="BP111" s="281">
        <v>0.1</v>
      </c>
      <c r="BQ111" s="281">
        <v>0.1</v>
      </c>
      <c r="BR111" s="286">
        <v>0</v>
      </c>
    </row>
    <row r="112" spans="1:70" ht="14.25" customHeight="1" x14ac:dyDescent="0.35">
      <c r="A112" s="4" t="s">
        <v>438</v>
      </c>
      <c r="B112" s="384">
        <v>25992.980999999996</v>
      </c>
      <c r="C112" s="385"/>
      <c r="D112" s="41" t="s">
        <v>163</v>
      </c>
      <c r="E112" s="93">
        <v>0</v>
      </c>
      <c r="F112" s="93">
        <v>2025</v>
      </c>
      <c r="G112" s="93">
        <v>2050</v>
      </c>
      <c r="I112" s="41" t="s">
        <v>163</v>
      </c>
      <c r="J112" s="281">
        <v>0.1</v>
      </c>
      <c r="K112" s="281">
        <v>0.1</v>
      </c>
      <c r="L112" s="281">
        <v>0.1</v>
      </c>
      <c r="M112" s="281">
        <v>0.1</v>
      </c>
      <c r="N112" s="281">
        <v>0.1</v>
      </c>
      <c r="O112" s="281">
        <v>0.1</v>
      </c>
      <c r="P112" s="281">
        <v>0.1</v>
      </c>
      <c r="Q112" s="281">
        <v>0.1</v>
      </c>
      <c r="R112" s="281">
        <v>0.1</v>
      </c>
      <c r="S112" s="281">
        <v>0.1</v>
      </c>
      <c r="T112" s="281">
        <v>0.1</v>
      </c>
      <c r="U112" s="281">
        <v>0.1</v>
      </c>
      <c r="V112" s="281">
        <v>0.1</v>
      </c>
      <c r="W112" s="281">
        <v>0.1</v>
      </c>
      <c r="X112" s="281">
        <v>0.1</v>
      </c>
      <c r="Y112" s="281">
        <v>0.1</v>
      </c>
      <c r="Z112" s="281">
        <v>0.1</v>
      </c>
      <c r="AA112" s="281">
        <v>0.1</v>
      </c>
      <c r="AB112" s="281">
        <v>0.1</v>
      </c>
      <c r="AC112" s="281">
        <v>0.1</v>
      </c>
      <c r="AD112" s="281">
        <v>0.1</v>
      </c>
      <c r="AE112" s="281">
        <v>0.1</v>
      </c>
      <c r="AF112" s="281">
        <v>0.1</v>
      </c>
      <c r="AG112" s="281">
        <v>0.1</v>
      </c>
      <c r="AH112" s="281">
        <v>0.1</v>
      </c>
      <c r="AI112" s="281">
        <v>0.1</v>
      </c>
      <c r="AJ112" s="281">
        <v>0.1</v>
      </c>
      <c r="AK112" s="281">
        <v>0.1</v>
      </c>
      <c r="AL112" s="281">
        <v>0.1</v>
      </c>
      <c r="AM112" s="281">
        <v>0.1</v>
      </c>
      <c r="AN112" s="281">
        <v>0.1</v>
      </c>
      <c r="AO112" s="281">
        <v>0.1</v>
      </c>
      <c r="AP112" s="281">
        <v>0.1</v>
      </c>
      <c r="AQ112" s="281">
        <v>0.1</v>
      </c>
      <c r="AR112" s="281">
        <v>0.1</v>
      </c>
      <c r="AS112" s="281">
        <v>0.1</v>
      </c>
      <c r="AT112" s="281">
        <v>0.1</v>
      </c>
      <c r="AU112" s="281">
        <v>0.1</v>
      </c>
      <c r="AV112" s="281">
        <v>0.1</v>
      </c>
      <c r="AW112" s="281">
        <v>0.1</v>
      </c>
      <c r="AX112" s="281">
        <v>0.1</v>
      </c>
      <c r="AY112" s="281">
        <v>0.1</v>
      </c>
      <c r="AZ112" s="281">
        <v>0.1</v>
      </c>
      <c r="BA112" s="281">
        <v>0.1</v>
      </c>
      <c r="BB112" s="281">
        <v>0.1</v>
      </c>
      <c r="BC112" s="281">
        <v>0.1</v>
      </c>
      <c r="BD112" s="281">
        <v>0.1</v>
      </c>
      <c r="BE112" s="281">
        <v>0.1</v>
      </c>
      <c r="BF112" s="281">
        <v>0.1</v>
      </c>
      <c r="BG112" s="281">
        <v>0.1</v>
      </c>
      <c r="BH112" s="281">
        <v>0.1</v>
      </c>
      <c r="BI112" s="281">
        <v>0.1</v>
      </c>
      <c r="BJ112" s="281">
        <v>0.1</v>
      </c>
      <c r="BK112" s="281">
        <v>0.1</v>
      </c>
      <c r="BL112" s="281">
        <v>0.1</v>
      </c>
      <c r="BM112" s="281">
        <v>0.1</v>
      </c>
      <c r="BN112" s="281">
        <v>0.1</v>
      </c>
      <c r="BO112" s="281">
        <v>0.1</v>
      </c>
      <c r="BP112" s="281">
        <v>0.1</v>
      </c>
      <c r="BQ112" s="281">
        <v>0.1</v>
      </c>
      <c r="BR112" s="286">
        <v>0</v>
      </c>
    </row>
    <row r="113" spans="1:70" ht="14.25" customHeight="1" x14ac:dyDescent="0.35">
      <c r="A113" s="4" t="s">
        <v>439</v>
      </c>
      <c r="B113" s="384">
        <v>38753.707499999997</v>
      </c>
      <c r="C113" s="385"/>
      <c r="D113" s="41" t="s">
        <v>100</v>
      </c>
      <c r="E113" s="93">
        <v>0</v>
      </c>
      <c r="F113" s="93">
        <v>2025</v>
      </c>
      <c r="G113" s="93">
        <v>2050</v>
      </c>
      <c r="I113" s="41" t="s">
        <v>100</v>
      </c>
      <c r="J113" s="281">
        <v>0.1</v>
      </c>
      <c r="K113" s="281">
        <v>0.1</v>
      </c>
      <c r="L113" s="281">
        <v>0.1</v>
      </c>
      <c r="M113" s="281">
        <v>0.1</v>
      </c>
      <c r="N113" s="281">
        <v>0.1</v>
      </c>
      <c r="O113" s="281">
        <v>0.1</v>
      </c>
      <c r="P113" s="281">
        <v>0.1</v>
      </c>
      <c r="Q113" s="281">
        <v>0.1</v>
      </c>
      <c r="R113" s="281">
        <v>0.1</v>
      </c>
      <c r="S113" s="281">
        <v>0.1</v>
      </c>
      <c r="T113" s="281">
        <v>0.1</v>
      </c>
      <c r="U113" s="281">
        <v>0.1</v>
      </c>
      <c r="V113" s="281">
        <v>0.1</v>
      </c>
      <c r="W113" s="281">
        <v>0.1</v>
      </c>
      <c r="X113" s="281">
        <v>0.1</v>
      </c>
      <c r="Y113" s="281">
        <v>0.1</v>
      </c>
      <c r="Z113" s="281">
        <v>0.1</v>
      </c>
      <c r="AA113" s="281">
        <v>0.1</v>
      </c>
      <c r="AB113" s="281">
        <v>0.1</v>
      </c>
      <c r="AC113" s="281">
        <v>0.1</v>
      </c>
      <c r="AD113" s="281">
        <v>0.1</v>
      </c>
      <c r="AE113" s="281">
        <v>0.1</v>
      </c>
      <c r="AF113" s="281">
        <v>0.1</v>
      </c>
      <c r="AG113" s="281">
        <v>0.1</v>
      </c>
      <c r="AH113" s="281">
        <v>0.1</v>
      </c>
      <c r="AI113" s="281">
        <v>0.1</v>
      </c>
      <c r="AJ113" s="281">
        <v>0.1</v>
      </c>
      <c r="AK113" s="281">
        <v>0.1</v>
      </c>
      <c r="AL113" s="281">
        <v>0.1</v>
      </c>
      <c r="AM113" s="281">
        <v>0.1</v>
      </c>
      <c r="AN113" s="281">
        <v>0.1</v>
      </c>
      <c r="AO113" s="281">
        <v>0.1</v>
      </c>
      <c r="AP113" s="281">
        <v>0.1</v>
      </c>
      <c r="AQ113" s="281">
        <v>0.1</v>
      </c>
      <c r="AR113" s="281">
        <v>0.1</v>
      </c>
      <c r="AS113" s="281">
        <v>0.1</v>
      </c>
      <c r="AT113" s="281">
        <v>0.1</v>
      </c>
      <c r="AU113" s="281">
        <v>0.1</v>
      </c>
      <c r="AV113" s="281">
        <v>0.1</v>
      </c>
      <c r="AW113" s="281">
        <v>0.1</v>
      </c>
      <c r="AX113" s="281">
        <v>0.1</v>
      </c>
      <c r="AY113" s="281">
        <v>0.1</v>
      </c>
      <c r="AZ113" s="281">
        <v>0.1</v>
      </c>
      <c r="BA113" s="281">
        <v>0.1</v>
      </c>
      <c r="BB113" s="281">
        <v>0.1</v>
      </c>
      <c r="BC113" s="281">
        <v>0.1</v>
      </c>
      <c r="BD113" s="281">
        <v>0.1</v>
      </c>
      <c r="BE113" s="281">
        <v>0.1</v>
      </c>
      <c r="BF113" s="281">
        <v>0.1</v>
      </c>
      <c r="BG113" s="281">
        <v>0.1</v>
      </c>
      <c r="BH113" s="281">
        <v>0.1</v>
      </c>
      <c r="BI113" s="281">
        <v>0.1</v>
      </c>
      <c r="BJ113" s="281">
        <v>0.1</v>
      </c>
      <c r="BK113" s="281">
        <v>0.1</v>
      </c>
      <c r="BL113" s="281">
        <v>0.1</v>
      </c>
      <c r="BM113" s="281">
        <v>0.1</v>
      </c>
      <c r="BN113" s="281">
        <v>0.1</v>
      </c>
      <c r="BO113" s="281">
        <v>0.1</v>
      </c>
      <c r="BP113" s="281">
        <v>0.1</v>
      </c>
      <c r="BQ113" s="281">
        <v>0.1</v>
      </c>
      <c r="BR113" s="286">
        <v>0</v>
      </c>
    </row>
    <row r="114" spans="1:70" ht="14.25" customHeight="1" x14ac:dyDescent="0.35">
      <c r="A114" s="4" t="s">
        <v>440</v>
      </c>
      <c r="B114" s="384">
        <v>20334.645</v>
      </c>
      <c r="C114" s="385"/>
      <c r="D114" s="41" t="s">
        <v>101</v>
      </c>
      <c r="E114" s="93">
        <v>0</v>
      </c>
      <c r="F114" s="93">
        <v>2025</v>
      </c>
      <c r="G114" s="93">
        <v>2050</v>
      </c>
      <c r="I114" s="41" t="s">
        <v>101</v>
      </c>
      <c r="J114" s="281">
        <v>0.1</v>
      </c>
      <c r="K114" s="281">
        <v>0.1</v>
      </c>
      <c r="L114" s="281">
        <v>0.1</v>
      </c>
      <c r="M114" s="281">
        <v>0.1</v>
      </c>
      <c r="N114" s="281">
        <v>0.1</v>
      </c>
      <c r="O114" s="281">
        <v>0.1</v>
      </c>
      <c r="P114" s="281">
        <v>0.1</v>
      </c>
      <c r="Q114" s="281">
        <v>0.1</v>
      </c>
      <c r="R114" s="281">
        <v>0.1</v>
      </c>
      <c r="S114" s="281">
        <v>0.1</v>
      </c>
      <c r="T114" s="281">
        <v>0.1</v>
      </c>
      <c r="U114" s="281">
        <v>0.1</v>
      </c>
      <c r="V114" s="281">
        <v>0.1</v>
      </c>
      <c r="W114" s="281">
        <v>0.1</v>
      </c>
      <c r="X114" s="281">
        <v>0.1</v>
      </c>
      <c r="Y114" s="281">
        <v>0.1</v>
      </c>
      <c r="Z114" s="281">
        <v>0.1</v>
      </c>
      <c r="AA114" s="281">
        <v>0.1</v>
      </c>
      <c r="AB114" s="281">
        <v>0.1</v>
      </c>
      <c r="AC114" s="281">
        <v>0.1</v>
      </c>
      <c r="AD114" s="281">
        <v>0.1</v>
      </c>
      <c r="AE114" s="281">
        <v>0.1</v>
      </c>
      <c r="AF114" s="281">
        <v>0.1</v>
      </c>
      <c r="AG114" s="281">
        <v>0.1</v>
      </c>
      <c r="AH114" s="281">
        <v>0.1</v>
      </c>
      <c r="AI114" s="281">
        <v>0.1</v>
      </c>
      <c r="AJ114" s="281">
        <v>0.1</v>
      </c>
      <c r="AK114" s="281">
        <v>0.1</v>
      </c>
      <c r="AL114" s="281">
        <v>0.1</v>
      </c>
      <c r="AM114" s="281">
        <v>0.1</v>
      </c>
      <c r="AN114" s="281">
        <v>0.1</v>
      </c>
      <c r="AO114" s="281">
        <v>0.1</v>
      </c>
      <c r="AP114" s="281">
        <v>0.1</v>
      </c>
      <c r="AQ114" s="281">
        <v>0.1</v>
      </c>
      <c r="AR114" s="281">
        <v>0.1</v>
      </c>
      <c r="AS114" s="281">
        <v>0.1</v>
      </c>
      <c r="AT114" s="281">
        <v>0.1</v>
      </c>
      <c r="AU114" s="281">
        <v>0.1</v>
      </c>
      <c r="AV114" s="281">
        <v>0.1</v>
      </c>
      <c r="AW114" s="281">
        <v>0.1</v>
      </c>
      <c r="AX114" s="281">
        <v>0.1</v>
      </c>
      <c r="AY114" s="281">
        <v>0.1</v>
      </c>
      <c r="AZ114" s="281">
        <v>0.1</v>
      </c>
      <c r="BA114" s="281">
        <v>0.1</v>
      </c>
      <c r="BB114" s="281">
        <v>0.1</v>
      </c>
      <c r="BC114" s="281">
        <v>0.1</v>
      </c>
      <c r="BD114" s="281">
        <v>0.1</v>
      </c>
      <c r="BE114" s="281">
        <v>0.1</v>
      </c>
      <c r="BF114" s="281">
        <v>0.1</v>
      </c>
      <c r="BG114" s="281">
        <v>0.1</v>
      </c>
      <c r="BH114" s="281">
        <v>0.1</v>
      </c>
      <c r="BI114" s="281">
        <v>0.1</v>
      </c>
      <c r="BJ114" s="281">
        <v>0.1</v>
      </c>
      <c r="BK114" s="281">
        <v>0.1</v>
      </c>
      <c r="BL114" s="281">
        <v>0.1</v>
      </c>
      <c r="BM114" s="281">
        <v>0.1</v>
      </c>
      <c r="BN114" s="281">
        <v>0.1</v>
      </c>
      <c r="BO114" s="281">
        <v>0.1</v>
      </c>
      <c r="BP114" s="281">
        <v>0.1</v>
      </c>
      <c r="BQ114" s="281">
        <v>0.1</v>
      </c>
      <c r="BR114" s="286">
        <v>0</v>
      </c>
    </row>
    <row r="115" spans="1:70" ht="14.25" customHeight="1" x14ac:dyDescent="0.35">
      <c r="A115" s="4" t="s">
        <v>441</v>
      </c>
      <c r="B115" s="384">
        <v>33288.566999999995</v>
      </c>
      <c r="C115" s="385"/>
      <c r="D115" s="41" t="s">
        <v>102</v>
      </c>
      <c r="E115" s="93">
        <v>0</v>
      </c>
      <c r="F115" s="93">
        <v>2025</v>
      </c>
      <c r="G115" s="93">
        <v>2050</v>
      </c>
      <c r="I115" s="41" t="s">
        <v>102</v>
      </c>
      <c r="J115" s="281">
        <v>0.1</v>
      </c>
      <c r="K115" s="281">
        <v>0.1</v>
      </c>
      <c r="L115" s="281">
        <v>0.1</v>
      </c>
      <c r="M115" s="281">
        <v>0.1</v>
      </c>
      <c r="N115" s="281">
        <v>0.1</v>
      </c>
      <c r="O115" s="281">
        <v>0.1</v>
      </c>
      <c r="P115" s="281">
        <v>0.1</v>
      </c>
      <c r="Q115" s="281">
        <v>0.1</v>
      </c>
      <c r="R115" s="281">
        <v>0.1</v>
      </c>
      <c r="S115" s="281">
        <v>0.1</v>
      </c>
      <c r="T115" s="281">
        <v>0.1</v>
      </c>
      <c r="U115" s="281">
        <v>0.1</v>
      </c>
      <c r="V115" s="281">
        <v>0.1</v>
      </c>
      <c r="W115" s="281">
        <v>0.1</v>
      </c>
      <c r="X115" s="281">
        <v>0.1</v>
      </c>
      <c r="Y115" s="281">
        <v>0.1</v>
      </c>
      <c r="Z115" s="281">
        <v>0.1</v>
      </c>
      <c r="AA115" s="281">
        <v>0.1</v>
      </c>
      <c r="AB115" s="281">
        <v>0.1</v>
      </c>
      <c r="AC115" s="281">
        <v>0.1</v>
      </c>
      <c r="AD115" s="281">
        <v>0.1</v>
      </c>
      <c r="AE115" s="281">
        <v>0.1</v>
      </c>
      <c r="AF115" s="281">
        <v>0.1</v>
      </c>
      <c r="AG115" s="281">
        <v>0.1</v>
      </c>
      <c r="AH115" s="281">
        <v>0.1</v>
      </c>
      <c r="AI115" s="281">
        <v>0.1</v>
      </c>
      <c r="AJ115" s="281">
        <v>0.1</v>
      </c>
      <c r="AK115" s="281">
        <v>0.1</v>
      </c>
      <c r="AL115" s="281">
        <v>0.1</v>
      </c>
      <c r="AM115" s="281">
        <v>0.1</v>
      </c>
      <c r="AN115" s="281">
        <v>0.1</v>
      </c>
      <c r="AO115" s="281">
        <v>0.1</v>
      </c>
      <c r="AP115" s="281">
        <v>0.1</v>
      </c>
      <c r="AQ115" s="281">
        <v>0.1</v>
      </c>
      <c r="AR115" s="281">
        <v>0.1</v>
      </c>
      <c r="AS115" s="281">
        <v>0.1</v>
      </c>
      <c r="AT115" s="281">
        <v>0.1</v>
      </c>
      <c r="AU115" s="281">
        <v>0.1</v>
      </c>
      <c r="AV115" s="281">
        <v>0.1</v>
      </c>
      <c r="AW115" s="281">
        <v>0.1</v>
      </c>
      <c r="AX115" s="281">
        <v>0.1</v>
      </c>
      <c r="AY115" s="281">
        <v>0.1</v>
      </c>
      <c r="AZ115" s="281">
        <v>0.1</v>
      </c>
      <c r="BA115" s="281">
        <v>0.1</v>
      </c>
      <c r="BB115" s="281">
        <v>0.1</v>
      </c>
      <c r="BC115" s="281">
        <v>0.1</v>
      </c>
      <c r="BD115" s="281">
        <v>0.1</v>
      </c>
      <c r="BE115" s="281">
        <v>0.1</v>
      </c>
      <c r="BF115" s="281">
        <v>0.1</v>
      </c>
      <c r="BG115" s="281">
        <v>0.1</v>
      </c>
      <c r="BH115" s="281">
        <v>0.1</v>
      </c>
      <c r="BI115" s="281">
        <v>0.1</v>
      </c>
      <c r="BJ115" s="281">
        <v>0.1</v>
      </c>
      <c r="BK115" s="281">
        <v>0.1</v>
      </c>
      <c r="BL115" s="281">
        <v>0.1</v>
      </c>
      <c r="BM115" s="281">
        <v>0.1</v>
      </c>
      <c r="BN115" s="281">
        <v>0.1</v>
      </c>
      <c r="BO115" s="281">
        <v>0.1</v>
      </c>
      <c r="BP115" s="281">
        <v>0.1</v>
      </c>
      <c r="BQ115" s="281">
        <v>0.1</v>
      </c>
      <c r="BR115" s="286">
        <v>0</v>
      </c>
    </row>
    <row r="116" spans="1:70" ht="14.25" customHeight="1" x14ac:dyDescent="0.35">
      <c r="A116" s="4" t="s">
        <v>442</v>
      </c>
      <c r="B116" s="384">
        <v>29902.733999999997</v>
      </c>
      <c r="C116" s="385"/>
      <c r="D116" s="41" t="s">
        <v>103</v>
      </c>
      <c r="E116" s="93">
        <v>0</v>
      </c>
      <c r="F116" s="93">
        <v>2025</v>
      </c>
      <c r="G116" s="93">
        <v>2050</v>
      </c>
      <c r="I116" s="41" t="s">
        <v>103</v>
      </c>
      <c r="J116" s="281">
        <v>0.1</v>
      </c>
      <c r="K116" s="281">
        <v>0.1</v>
      </c>
      <c r="L116" s="281">
        <v>0.1</v>
      </c>
      <c r="M116" s="281">
        <v>0.1</v>
      </c>
      <c r="N116" s="281">
        <v>0.1</v>
      </c>
      <c r="O116" s="281">
        <v>0.1</v>
      </c>
      <c r="P116" s="281">
        <v>0.1</v>
      </c>
      <c r="Q116" s="281">
        <v>0.1</v>
      </c>
      <c r="R116" s="281">
        <v>0.1</v>
      </c>
      <c r="S116" s="281">
        <v>0.1</v>
      </c>
      <c r="T116" s="281">
        <v>0.1</v>
      </c>
      <c r="U116" s="281">
        <v>0.1</v>
      </c>
      <c r="V116" s="281">
        <v>0.1</v>
      </c>
      <c r="W116" s="281">
        <v>0.1</v>
      </c>
      <c r="X116" s="281">
        <v>0.1</v>
      </c>
      <c r="Y116" s="281">
        <v>0.1</v>
      </c>
      <c r="Z116" s="281">
        <v>0.1</v>
      </c>
      <c r="AA116" s="281">
        <v>0.1</v>
      </c>
      <c r="AB116" s="281">
        <v>0.1</v>
      </c>
      <c r="AC116" s="281">
        <v>0.1</v>
      </c>
      <c r="AD116" s="281">
        <v>0.1</v>
      </c>
      <c r="AE116" s="281">
        <v>0.1</v>
      </c>
      <c r="AF116" s="281">
        <v>0.1</v>
      </c>
      <c r="AG116" s="281">
        <v>0.1</v>
      </c>
      <c r="AH116" s="281">
        <v>0.1</v>
      </c>
      <c r="AI116" s="281">
        <v>0.1</v>
      </c>
      <c r="AJ116" s="281">
        <v>0.1</v>
      </c>
      <c r="AK116" s="281">
        <v>0.1</v>
      </c>
      <c r="AL116" s="281">
        <v>0.1</v>
      </c>
      <c r="AM116" s="281">
        <v>0.1</v>
      </c>
      <c r="AN116" s="281">
        <v>0.1</v>
      </c>
      <c r="AO116" s="281">
        <v>0.1</v>
      </c>
      <c r="AP116" s="281">
        <v>0.1</v>
      </c>
      <c r="AQ116" s="281">
        <v>0.1</v>
      </c>
      <c r="AR116" s="281">
        <v>0.1</v>
      </c>
      <c r="AS116" s="281">
        <v>0.1</v>
      </c>
      <c r="AT116" s="281">
        <v>0.1</v>
      </c>
      <c r="AU116" s="281">
        <v>0.1</v>
      </c>
      <c r="AV116" s="281">
        <v>0.1</v>
      </c>
      <c r="AW116" s="281">
        <v>0.1</v>
      </c>
      <c r="AX116" s="281">
        <v>0.1</v>
      </c>
      <c r="AY116" s="281">
        <v>0.1</v>
      </c>
      <c r="AZ116" s="281">
        <v>0.1</v>
      </c>
      <c r="BA116" s="281">
        <v>0.1</v>
      </c>
      <c r="BB116" s="281">
        <v>0.1</v>
      </c>
      <c r="BC116" s="281">
        <v>0.1</v>
      </c>
      <c r="BD116" s="281">
        <v>0.1</v>
      </c>
      <c r="BE116" s="281">
        <v>0.1</v>
      </c>
      <c r="BF116" s="281">
        <v>0.1</v>
      </c>
      <c r="BG116" s="281">
        <v>0.1</v>
      </c>
      <c r="BH116" s="281">
        <v>0.1</v>
      </c>
      <c r="BI116" s="281">
        <v>0.1</v>
      </c>
      <c r="BJ116" s="281">
        <v>0.1</v>
      </c>
      <c r="BK116" s="281">
        <v>0.1</v>
      </c>
      <c r="BL116" s="281">
        <v>0.1</v>
      </c>
      <c r="BM116" s="281">
        <v>0.1</v>
      </c>
      <c r="BN116" s="281">
        <v>0.1</v>
      </c>
      <c r="BO116" s="281">
        <v>0.1</v>
      </c>
      <c r="BP116" s="281">
        <v>0.1</v>
      </c>
      <c r="BQ116" s="281">
        <v>0.1</v>
      </c>
      <c r="BR116" s="286">
        <v>0</v>
      </c>
    </row>
    <row r="117" spans="1:70" ht="14.25" customHeight="1" x14ac:dyDescent="0.35">
      <c r="A117" s="4" t="s">
        <v>443</v>
      </c>
      <c r="B117" s="384">
        <v>29994.42</v>
      </c>
      <c r="C117" s="385"/>
      <c r="D117" s="41" t="s">
        <v>104</v>
      </c>
      <c r="E117" s="93">
        <v>0</v>
      </c>
      <c r="F117" s="93">
        <v>2025</v>
      </c>
      <c r="G117" s="93">
        <v>2050</v>
      </c>
      <c r="I117" s="41" t="s">
        <v>104</v>
      </c>
      <c r="J117" s="281">
        <v>0.1</v>
      </c>
      <c r="K117" s="281">
        <v>0.1</v>
      </c>
      <c r="L117" s="281">
        <v>0.1</v>
      </c>
      <c r="M117" s="281">
        <v>0.1</v>
      </c>
      <c r="N117" s="281">
        <v>0.1</v>
      </c>
      <c r="O117" s="281">
        <v>0.1</v>
      </c>
      <c r="P117" s="281">
        <v>0.1</v>
      </c>
      <c r="Q117" s="281">
        <v>0.1</v>
      </c>
      <c r="R117" s="281">
        <v>0.1</v>
      </c>
      <c r="S117" s="281">
        <v>0.1</v>
      </c>
      <c r="T117" s="281">
        <v>0.1</v>
      </c>
      <c r="U117" s="281">
        <v>0.1</v>
      </c>
      <c r="V117" s="281">
        <v>0.1</v>
      </c>
      <c r="W117" s="281">
        <v>0.1</v>
      </c>
      <c r="X117" s="281">
        <v>0.1</v>
      </c>
      <c r="Y117" s="281">
        <v>0.1</v>
      </c>
      <c r="Z117" s="281">
        <v>0.1</v>
      </c>
      <c r="AA117" s="281">
        <v>0.1</v>
      </c>
      <c r="AB117" s="281">
        <v>0.1</v>
      </c>
      <c r="AC117" s="281">
        <v>0.1</v>
      </c>
      <c r="AD117" s="281">
        <v>0.1</v>
      </c>
      <c r="AE117" s="281">
        <v>0.1</v>
      </c>
      <c r="AF117" s="281">
        <v>0.1</v>
      </c>
      <c r="AG117" s="281">
        <v>0.1</v>
      </c>
      <c r="AH117" s="281">
        <v>0.1</v>
      </c>
      <c r="AI117" s="281">
        <v>0.1</v>
      </c>
      <c r="AJ117" s="281">
        <v>0.1</v>
      </c>
      <c r="AK117" s="281">
        <v>0.1</v>
      </c>
      <c r="AL117" s="281">
        <v>0.1</v>
      </c>
      <c r="AM117" s="281">
        <v>0.1</v>
      </c>
      <c r="AN117" s="281">
        <v>0.1</v>
      </c>
      <c r="AO117" s="281">
        <v>0.1</v>
      </c>
      <c r="AP117" s="281">
        <v>0.1</v>
      </c>
      <c r="AQ117" s="281">
        <v>0.1</v>
      </c>
      <c r="AR117" s="281">
        <v>0.1</v>
      </c>
      <c r="AS117" s="281">
        <v>0.1</v>
      </c>
      <c r="AT117" s="281">
        <v>0.1</v>
      </c>
      <c r="AU117" s="281">
        <v>0.1</v>
      </c>
      <c r="AV117" s="281">
        <v>0.1</v>
      </c>
      <c r="AW117" s="281">
        <v>0.1</v>
      </c>
      <c r="AX117" s="281">
        <v>0.1</v>
      </c>
      <c r="AY117" s="281">
        <v>0.1</v>
      </c>
      <c r="AZ117" s="281">
        <v>0.1</v>
      </c>
      <c r="BA117" s="281">
        <v>0.1</v>
      </c>
      <c r="BB117" s="281">
        <v>0.1</v>
      </c>
      <c r="BC117" s="281">
        <v>0.1</v>
      </c>
      <c r="BD117" s="281">
        <v>0.1</v>
      </c>
      <c r="BE117" s="281">
        <v>0.1</v>
      </c>
      <c r="BF117" s="281">
        <v>0.1</v>
      </c>
      <c r="BG117" s="281">
        <v>0.1</v>
      </c>
      <c r="BH117" s="281">
        <v>0.1</v>
      </c>
      <c r="BI117" s="281">
        <v>0.1</v>
      </c>
      <c r="BJ117" s="281">
        <v>0.1</v>
      </c>
      <c r="BK117" s="281">
        <v>0.1</v>
      </c>
      <c r="BL117" s="281">
        <v>0.1</v>
      </c>
      <c r="BM117" s="281">
        <v>0.1</v>
      </c>
      <c r="BN117" s="281">
        <v>0.1</v>
      </c>
      <c r="BO117" s="281">
        <v>0.1</v>
      </c>
      <c r="BP117" s="281">
        <v>0.1</v>
      </c>
      <c r="BQ117" s="281">
        <v>0.1</v>
      </c>
      <c r="BR117" s="286">
        <v>0</v>
      </c>
    </row>
    <row r="118" spans="1:70" ht="14.25" customHeight="1" x14ac:dyDescent="0.35">
      <c r="A118" s="4" t="s">
        <v>444</v>
      </c>
      <c r="B118" s="384">
        <v>28815.599999999999</v>
      </c>
      <c r="C118" s="385"/>
      <c r="D118" s="41" t="s">
        <v>105</v>
      </c>
      <c r="E118" s="93">
        <v>0</v>
      </c>
      <c r="F118" s="93">
        <v>2025</v>
      </c>
      <c r="G118" s="93">
        <v>2050</v>
      </c>
      <c r="I118" s="41" t="s">
        <v>105</v>
      </c>
      <c r="J118" s="281">
        <v>0.1</v>
      </c>
      <c r="K118" s="281">
        <v>0.1</v>
      </c>
      <c r="L118" s="281">
        <v>0.1</v>
      </c>
      <c r="M118" s="281">
        <v>0.1</v>
      </c>
      <c r="N118" s="281">
        <v>0.1</v>
      </c>
      <c r="O118" s="281">
        <v>0.1</v>
      </c>
      <c r="P118" s="281">
        <v>0.1</v>
      </c>
      <c r="Q118" s="281">
        <v>0.1</v>
      </c>
      <c r="R118" s="281">
        <v>0.1</v>
      </c>
      <c r="S118" s="281">
        <v>0.1</v>
      </c>
      <c r="T118" s="281">
        <v>0.1</v>
      </c>
      <c r="U118" s="281">
        <v>0.1</v>
      </c>
      <c r="V118" s="281">
        <v>0.1</v>
      </c>
      <c r="W118" s="281">
        <v>0.1</v>
      </c>
      <c r="X118" s="281">
        <v>0.1</v>
      </c>
      <c r="Y118" s="281">
        <v>0.1</v>
      </c>
      <c r="Z118" s="281">
        <v>0.1</v>
      </c>
      <c r="AA118" s="281">
        <v>0.1</v>
      </c>
      <c r="AB118" s="281">
        <v>0.1</v>
      </c>
      <c r="AC118" s="281">
        <v>0.1</v>
      </c>
      <c r="AD118" s="281">
        <v>0.1</v>
      </c>
      <c r="AE118" s="281">
        <v>0.1</v>
      </c>
      <c r="AF118" s="281">
        <v>0.1</v>
      </c>
      <c r="AG118" s="281">
        <v>0.1</v>
      </c>
      <c r="AH118" s="281">
        <v>0.1</v>
      </c>
      <c r="AI118" s="281">
        <v>0.1</v>
      </c>
      <c r="AJ118" s="281">
        <v>0.1</v>
      </c>
      <c r="AK118" s="281">
        <v>0.1</v>
      </c>
      <c r="AL118" s="281">
        <v>0.1</v>
      </c>
      <c r="AM118" s="281">
        <v>0.1</v>
      </c>
      <c r="AN118" s="281">
        <v>0.1</v>
      </c>
      <c r="AO118" s="281">
        <v>0.1</v>
      </c>
      <c r="AP118" s="281">
        <v>0.1</v>
      </c>
      <c r="AQ118" s="281">
        <v>0.1</v>
      </c>
      <c r="AR118" s="281">
        <v>0.1</v>
      </c>
      <c r="AS118" s="281">
        <v>0.1</v>
      </c>
      <c r="AT118" s="281">
        <v>0.1</v>
      </c>
      <c r="AU118" s="281">
        <v>0.1</v>
      </c>
      <c r="AV118" s="281">
        <v>0.1</v>
      </c>
      <c r="AW118" s="281">
        <v>0.1</v>
      </c>
      <c r="AX118" s="281">
        <v>0.1</v>
      </c>
      <c r="AY118" s="281">
        <v>0.1</v>
      </c>
      <c r="AZ118" s="281">
        <v>0.1</v>
      </c>
      <c r="BA118" s="281">
        <v>0.1</v>
      </c>
      <c r="BB118" s="281">
        <v>0.1</v>
      </c>
      <c r="BC118" s="281">
        <v>0.1</v>
      </c>
      <c r="BD118" s="281">
        <v>0.1</v>
      </c>
      <c r="BE118" s="281">
        <v>0.1</v>
      </c>
      <c r="BF118" s="281">
        <v>0.1</v>
      </c>
      <c r="BG118" s="281">
        <v>0.1</v>
      </c>
      <c r="BH118" s="281">
        <v>0.1</v>
      </c>
      <c r="BI118" s="281">
        <v>0.1</v>
      </c>
      <c r="BJ118" s="281">
        <v>0.1</v>
      </c>
      <c r="BK118" s="281">
        <v>0.1</v>
      </c>
      <c r="BL118" s="281">
        <v>0.1</v>
      </c>
      <c r="BM118" s="281">
        <v>0.1</v>
      </c>
      <c r="BN118" s="281">
        <v>0.1</v>
      </c>
      <c r="BO118" s="281">
        <v>0.1</v>
      </c>
      <c r="BP118" s="281">
        <v>0.1</v>
      </c>
      <c r="BQ118" s="281">
        <v>0.1</v>
      </c>
      <c r="BR118" s="286">
        <v>0</v>
      </c>
    </row>
    <row r="119" spans="1:70" ht="14.25" customHeight="1" x14ac:dyDescent="0.35">
      <c r="A119" s="4" t="s">
        <v>445</v>
      </c>
      <c r="B119" s="384">
        <v>25541.1</v>
      </c>
      <c r="C119" s="385"/>
      <c r="D119" s="41" t="s">
        <v>106</v>
      </c>
      <c r="E119" s="93">
        <v>0</v>
      </c>
      <c r="F119" s="93">
        <v>2025</v>
      </c>
      <c r="G119" s="93">
        <v>2050</v>
      </c>
      <c r="I119" s="41" t="s">
        <v>106</v>
      </c>
      <c r="J119" s="281">
        <v>0.1</v>
      </c>
      <c r="K119" s="281">
        <v>0.1</v>
      </c>
      <c r="L119" s="281">
        <v>0.1</v>
      </c>
      <c r="M119" s="281">
        <v>0.1</v>
      </c>
      <c r="N119" s="281">
        <v>0.1</v>
      </c>
      <c r="O119" s="281">
        <v>0.1</v>
      </c>
      <c r="P119" s="281">
        <v>0.1</v>
      </c>
      <c r="Q119" s="281">
        <v>0.1</v>
      </c>
      <c r="R119" s="281">
        <v>0.1</v>
      </c>
      <c r="S119" s="281">
        <v>0.1</v>
      </c>
      <c r="T119" s="281">
        <v>0.1</v>
      </c>
      <c r="U119" s="281">
        <v>0.1</v>
      </c>
      <c r="V119" s="281">
        <v>0.1</v>
      </c>
      <c r="W119" s="281">
        <v>0.1</v>
      </c>
      <c r="X119" s="281">
        <v>0.1</v>
      </c>
      <c r="Y119" s="281">
        <v>0.1</v>
      </c>
      <c r="Z119" s="281">
        <v>0.1</v>
      </c>
      <c r="AA119" s="281">
        <v>0.1</v>
      </c>
      <c r="AB119" s="281">
        <v>0.1</v>
      </c>
      <c r="AC119" s="281">
        <v>0.1</v>
      </c>
      <c r="AD119" s="281">
        <v>0.1</v>
      </c>
      <c r="AE119" s="281">
        <v>0.1</v>
      </c>
      <c r="AF119" s="281">
        <v>0.1</v>
      </c>
      <c r="AG119" s="281">
        <v>0.1</v>
      </c>
      <c r="AH119" s="281">
        <v>0.1</v>
      </c>
      <c r="AI119" s="281">
        <v>0.1</v>
      </c>
      <c r="AJ119" s="281">
        <v>0.1</v>
      </c>
      <c r="AK119" s="281">
        <v>0.1</v>
      </c>
      <c r="AL119" s="281">
        <v>0.1</v>
      </c>
      <c r="AM119" s="281">
        <v>0.1</v>
      </c>
      <c r="AN119" s="281">
        <v>0.1</v>
      </c>
      <c r="AO119" s="281">
        <v>0.1</v>
      </c>
      <c r="AP119" s="281">
        <v>0.1</v>
      </c>
      <c r="AQ119" s="281">
        <v>0.1</v>
      </c>
      <c r="AR119" s="281">
        <v>0.1</v>
      </c>
      <c r="AS119" s="281">
        <v>0.1</v>
      </c>
      <c r="AT119" s="281">
        <v>0.1</v>
      </c>
      <c r="AU119" s="281">
        <v>0.1</v>
      </c>
      <c r="AV119" s="281">
        <v>0.1</v>
      </c>
      <c r="AW119" s="281">
        <v>0.1</v>
      </c>
      <c r="AX119" s="281">
        <v>0.1</v>
      </c>
      <c r="AY119" s="281">
        <v>0.1</v>
      </c>
      <c r="AZ119" s="281">
        <v>0.1</v>
      </c>
      <c r="BA119" s="281">
        <v>0.1</v>
      </c>
      <c r="BB119" s="281">
        <v>0.1</v>
      </c>
      <c r="BC119" s="281">
        <v>0.1</v>
      </c>
      <c r="BD119" s="281">
        <v>0.1</v>
      </c>
      <c r="BE119" s="281">
        <v>0.1</v>
      </c>
      <c r="BF119" s="281">
        <v>0.1</v>
      </c>
      <c r="BG119" s="281">
        <v>0.1</v>
      </c>
      <c r="BH119" s="281">
        <v>0.1</v>
      </c>
      <c r="BI119" s="281">
        <v>0.1</v>
      </c>
      <c r="BJ119" s="281">
        <v>0.1</v>
      </c>
      <c r="BK119" s="281">
        <v>0.1</v>
      </c>
      <c r="BL119" s="281">
        <v>0.1</v>
      </c>
      <c r="BM119" s="281">
        <v>0.1</v>
      </c>
      <c r="BN119" s="281">
        <v>0.1</v>
      </c>
      <c r="BO119" s="281">
        <v>0.1</v>
      </c>
      <c r="BP119" s="281">
        <v>0.1</v>
      </c>
      <c r="BQ119" s="281">
        <v>0.1</v>
      </c>
      <c r="BR119" s="286">
        <v>0</v>
      </c>
    </row>
    <row r="120" spans="1:70" ht="14.25" customHeight="1" x14ac:dyDescent="0.35">
      <c r="A120" s="4" t="s">
        <v>446</v>
      </c>
      <c r="B120" s="384">
        <v>39405.332999999999</v>
      </c>
      <c r="C120" s="385"/>
      <c r="D120" s="41" t="s">
        <v>107</v>
      </c>
      <c r="E120" s="93">
        <v>0</v>
      </c>
      <c r="F120" s="93">
        <v>2025</v>
      </c>
      <c r="G120" s="93">
        <v>2050</v>
      </c>
      <c r="I120" s="41" t="s">
        <v>107</v>
      </c>
      <c r="J120" s="281">
        <v>0.1</v>
      </c>
      <c r="K120" s="281">
        <v>0.1</v>
      </c>
      <c r="L120" s="281">
        <v>0.1</v>
      </c>
      <c r="M120" s="281">
        <v>0.1</v>
      </c>
      <c r="N120" s="281">
        <v>0.1</v>
      </c>
      <c r="O120" s="281">
        <v>0.1</v>
      </c>
      <c r="P120" s="281">
        <v>0.1</v>
      </c>
      <c r="Q120" s="281">
        <v>0.1</v>
      </c>
      <c r="R120" s="281">
        <v>0.1</v>
      </c>
      <c r="S120" s="281">
        <v>0.1</v>
      </c>
      <c r="T120" s="281">
        <v>0.1</v>
      </c>
      <c r="U120" s="281">
        <v>0.1</v>
      </c>
      <c r="V120" s="281">
        <v>0.1</v>
      </c>
      <c r="W120" s="281">
        <v>0.1</v>
      </c>
      <c r="X120" s="281">
        <v>0.1</v>
      </c>
      <c r="Y120" s="281">
        <v>0.1</v>
      </c>
      <c r="Z120" s="281">
        <v>0.1</v>
      </c>
      <c r="AA120" s="281">
        <v>0.1</v>
      </c>
      <c r="AB120" s="281">
        <v>0.1</v>
      </c>
      <c r="AC120" s="281">
        <v>0.1</v>
      </c>
      <c r="AD120" s="281">
        <v>0.1</v>
      </c>
      <c r="AE120" s="281">
        <v>0.1</v>
      </c>
      <c r="AF120" s="281">
        <v>0.1</v>
      </c>
      <c r="AG120" s="281">
        <v>0.1</v>
      </c>
      <c r="AH120" s="281">
        <v>0.1</v>
      </c>
      <c r="AI120" s="281">
        <v>0.1</v>
      </c>
      <c r="AJ120" s="281">
        <v>0.1</v>
      </c>
      <c r="AK120" s="281">
        <v>0.1</v>
      </c>
      <c r="AL120" s="281">
        <v>0.1</v>
      </c>
      <c r="AM120" s="281">
        <v>0.1</v>
      </c>
      <c r="AN120" s="281">
        <v>0.1</v>
      </c>
      <c r="AO120" s="281">
        <v>0.1</v>
      </c>
      <c r="AP120" s="281">
        <v>0.1</v>
      </c>
      <c r="AQ120" s="281">
        <v>0.1</v>
      </c>
      <c r="AR120" s="281">
        <v>0.1</v>
      </c>
      <c r="AS120" s="281">
        <v>0.1</v>
      </c>
      <c r="AT120" s="281">
        <v>0.1</v>
      </c>
      <c r="AU120" s="281">
        <v>0.1</v>
      </c>
      <c r="AV120" s="281">
        <v>0.1</v>
      </c>
      <c r="AW120" s="281">
        <v>0.1</v>
      </c>
      <c r="AX120" s="281">
        <v>0.1</v>
      </c>
      <c r="AY120" s="281">
        <v>0.1</v>
      </c>
      <c r="AZ120" s="281">
        <v>0.1</v>
      </c>
      <c r="BA120" s="281">
        <v>0.1</v>
      </c>
      <c r="BB120" s="281">
        <v>0.1</v>
      </c>
      <c r="BC120" s="281">
        <v>0.1</v>
      </c>
      <c r="BD120" s="281">
        <v>0.1</v>
      </c>
      <c r="BE120" s="281">
        <v>0.1</v>
      </c>
      <c r="BF120" s="281">
        <v>0.1</v>
      </c>
      <c r="BG120" s="281">
        <v>0.1</v>
      </c>
      <c r="BH120" s="281">
        <v>0.1</v>
      </c>
      <c r="BI120" s="281">
        <v>0.1</v>
      </c>
      <c r="BJ120" s="281">
        <v>0.1</v>
      </c>
      <c r="BK120" s="281">
        <v>0.1</v>
      </c>
      <c r="BL120" s="281">
        <v>0.1</v>
      </c>
      <c r="BM120" s="281">
        <v>0.1</v>
      </c>
      <c r="BN120" s="281">
        <v>0.1</v>
      </c>
      <c r="BO120" s="281">
        <v>0.1</v>
      </c>
      <c r="BP120" s="281">
        <v>0.1</v>
      </c>
      <c r="BQ120" s="281">
        <v>0.1</v>
      </c>
      <c r="BR120" s="286">
        <v>0</v>
      </c>
    </row>
    <row r="121" spans="1:70" ht="14.25" customHeight="1" x14ac:dyDescent="0.35">
      <c r="A121" s="4" t="s">
        <v>447</v>
      </c>
      <c r="B121" s="384">
        <v>30446.300999999999</v>
      </c>
      <c r="C121" s="385"/>
      <c r="D121" s="41" t="s">
        <v>108</v>
      </c>
      <c r="E121" s="93">
        <v>0</v>
      </c>
      <c r="F121" s="93">
        <v>2025</v>
      </c>
      <c r="G121" s="93">
        <v>2050</v>
      </c>
      <c r="I121" s="41" t="s">
        <v>108</v>
      </c>
      <c r="J121" s="286">
        <v>0</v>
      </c>
      <c r="K121" s="286">
        <v>0</v>
      </c>
      <c r="L121" s="286">
        <v>0</v>
      </c>
      <c r="M121" s="286">
        <v>0</v>
      </c>
      <c r="N121" s="286">
        <v>0</v>
      </c>
      <c r="O121" s="286">
        <v>0</v>
      </c>
      <c r="P121" s="286">
        <v>0</v>
      </c>
      <c r="Q121" s="286">
        <v>0</v>
      </c>
      <c r="R121" s="286">
        <v>0</v>
      </c>
      <c r="S121" s="286">
        <v>0</v>
      </c>
      <c r="T121" s="286">
        <v>0</v>
      </c>
      <c r="U121" s="286">
        <v>0</v>
      </c>
      <c r="V121" s="286">
        <v>0</v>
      </c>
      <c r="W121" s="286">
        <v>0</v>
      </c>
      <c r="X121" s="286">
        <v>0</v>
      </c>
      <c r="Y121" s="286">
        <v>0</v>
      </c>
      <c r="Z121" s="286">
        <v>0</v>
      </c>
      <c r="AA121" s="286">
        <v>0</v>
      </c>
      <c r="AB121" s="286">
        <v>0</v>
      </c>
      <c r="AC121" s="286">
        <v>0</v>
      </c>
      <c r="AD121" s="286">
        <v>0</v>
      </c>
      <c r="AE121" s="286">
        <v>0</v>
      </c>
      <c r="AF121" s="286">
        <v>0</v>
      </c>
      <c r="AG121" s="286">
        <v>0</v>
      </c>
      <c r="AH121" s="286">
        <v>0</v>
      </c>
      <c r="AI121" s="286">
        <v>0</v>
      </c>
      <c r="AJ121" s="286">
        <v>0</v>
      </c>
      <c r="AK121" s="286">
        <v>0</v>
      </c>
      <c r="AL121" s="286">
        <v>0</v>
      </c>
      <c r="AM121" s="286">
        <v>0</v>
      </c>
      <c r="AN121" s="286">
        <v>0</v>
      </c>
      <c r="AO121" s="286">
        <v>0</v>
      </c>
      <c r="AP121" s="286">
        <v>0</v>
      </c>
      <c r="AQ121" s="286">
        <v>0</v>
      </c>
      <c r="AR121" s="286">
        <v>0</v>
      </c>
      <c r="AS121" s="286">
        <v>0</v>
      </c>
      <c r="AT121" s="286">
        <v>0</v>
      </c>
      <c r="AU121" s="286">
        <v>0</v>
      </c>
      <c r="AV121" s="286">
        <v>0</v>
      </c>
      <c r="AW121" s="286">
        <v>0</v>
      </c>
      <c r="AX121" s="286">
        <v>0</v>
      </c>
      <c r="AY121" s="286">
        <v>0</v>
      </c>
      <c r="AZ121" s="286">
        <v>0</v>
      </c>
      <c r="BA121" s="286">
        <v>0</v>
      </c>
      <c r="BB121" s="286">
        <v>0</v>
      </c>
      <c r="BC121" s="286">
        <v>0</v>
      </c>
      <c r="BD121" s="286">
        <v>0</v>
      </c>
      <c r="BE121" s="286">
        <v>0</v>
      </c>
      <c r="BF121" s="286">
        <v>0</v>
      </c>
      <c r="BG121" s="286">
        <v>0</v>
      </c>
      <c r="BH121" s="286">
        <v>0</v>
      </c>
      <c r="BI121" s="286">
        <v>0</v>
      </c>
      <c r="BJ121" s="286">
        <v>0</v>
      </c>
      <c r="BK121" s="286">
        <v>0</v>
      </c>
      <c r="BL121" s="286">
        <v>0</v>
      </c>
      <c r="BM121" s="286">
        <v>0</v>
      </c>
      <c r="BN121" s="286">
        <v>0</v>
      </c>
      <c r="BO121" s="286">
        <v>0</v>
      </c>
      <c r="BP121" s="286">
        <v>0</v>
      </c>
      <c r="BQ121" s="286">
        <v>0</v>
      </c>
      <c r="BR121" s="281">
        <v>0.1</v>
      </c>
    </row>
    <row r="122" spans="1:70" ht="14.25" customHeight="1" x14ac:dyDescent="0.35">
      <c r="A122" s="4" t="s">
        <v>448</v>
      </c>
      <c r="B122" s="384">
        <v>21742.68</v>
      </c>
      <c r="C122" s="385"/>
      <c r="D122" s="41" t="s">
        <v>109</v>
      </c>
      <c r="E122" s="93">
        <v>0</v>
      </c>
      <c r="F122" s="93">
        <v>2025</v>
      </c>
      <c r="G122" s="93">
        <v>2050</v>
      </c>
      <c r="I122" s="41" t="s">
        <v>109</v>
      </c>
      <c r="J122" s="281">
        <v>0.1</v>
      </c>
      <c r="K122" s="281">
        <v>0.1</v>
      </c>
      <c r="L122" s="281">
        <v>0.1</v>
      </c>
      <c r="M122" s="281">
        <v>0.1</v>
      </c>
      <c r="N122" s="281">
        <v>0.1</v>
      </c>
      <c r="O122" s="281">
        <v>0.1</v>
      </c>
      <c r="P122" s="281">
        <v>0.1</v>
      </c>
      <c r="Q122" s="281">
        <v>0.1</v>
      </c>
      <c r="R122" s="281">
        <v>0.1</v>
      </c>
      <c r="S122" s="281">
        <v>0.1</v>
      </c>
      <c r="T122" s="281">
        <v>0.1</v>
      </c>
      <c r="U122" s="281">
        <v>0.1</v>
      </c>
      <c r="V122" s="281">
        <v>0.1</v>
      </c>
      <c r="W122" s="281">
        <v>0.1</v>
      </c>
      <c r="X122" s="281">
        <v>0.1</v>
      </c>
      <c r="Y122" s="281">
        <v>0.1</v>
      </c>
      <c r="Z122" s="281">
        <v>0.1</v>
      </c>
      <c r="AA122" s="281">
        <v>0.1</v>
      </c>
      <c r="AB122" s="281">
        <v>0.1</v>
      </c>
      <c r="AC122" s="281">
        <v>0.1</v>
      </c>
      <c r="AD122" s="281">
        <v>0.1</v>
      </c>
      <c r="AE122" s="281">
        <v>0.1</v>
      </c>
      <c r="AF122" s="281">
        <v>0.1</v>
      </c>
      <c r="AG122" s="281">
        <v>0.1</v>
      </c>
      <c r="AH122" s="281">
        <v>0.1</v>
      </c>
      <c r="AI122" s="281">
        <v>0.1</v>
      </c>
      <c r="AJ122" s="281">
        <v>0.1</v>
      </c>
      <c r="AK122" s="281">
        <v>0.1</v>
      </c>
      <c r="AL122" s="281">
        <v>0.1</v>
      </c>
      <c r="AM122" s="281">
        <v>0.1</v>
      </c>
      <c r="AN122" s="281">
        <v>0.1</v>
      </c>
      <c r="AO122" s="281">
        <v>0.1</v>
      </c>
      <c r="AP122" s="281">
        <v>0.1</v>
      </c>
      <c r="AQ122" s="281">
        <v>0.1</v>
      </c>
      <c r="AR122" s="281">
        <v>0.1</v>
      </c>
      <c r="AS122" s="281">
        <v>0.1</v>
      </c>
      <c r="AT122" s="281">
        <v>0.1</v>
      </c>
      <c r="AU122" s="281">
        <v>0.1</v>
      </c>
      <c r="AV122" s="281">
        <v>0.1</v>
      </c>
      <c r="AW122" s="281">
        <v>0.1</v>
      </c>
      <c r="AX122" s="281">
        <v>0.1</v>
      </c>
      <c r="AY122" s="281">
        <v>0.1</v>
      </c>
      <c r="AZ122" s="281">
        <v>0.1</v>
      </c>
      <c r="BA122" s="281">
        <v>0.1</v>
      </c>
      <c r="BB122" s="281">
        <v>0.1</v>
      </c>
      <c r="BC122" s="281">
        <v>0.1</v>
      </c>
      <c r="BD122" s="281">
        <v>0.1</v>
      </c>
      <c r="BE122" s="281">
        <v>0.1</v>
      </c>
      <c r="BF122" s="281">
        <v>0.1</v>
      </c>
      <c r="BG122" s="281">
        <v>0.1</v>
      </c>
      <c r="BH122" s="281">
        <v>0.1</v>
      </c>
      <c r="BI122" s="281">
        <v>0.1</v>
      </c>
      <c r="BJ122" s="281">
        <v>0.1</v>
      </c>
      <c r="BK122" s="281">
        <v>0.1</v>
      </c>
      <c r="BL122" s="281">
        <v>0.1</v>
      </c>
      <c r="BM122" s="281">
        <v>0.1</v>
      </c>
      <c r="BN122" s="281">
        <v>0.1</v>
      </c>
      <c r="BO122" s="281">
        <v>0.1</v>
      </c>
      <c r="BP122" s="281">
        <v>0.1</v>
      </c>
      <c r="BQ122" s="281">
        <v>0.1</v>
      </c>
      <c r="BR122" s="286">
        <v>0</v>
      </c>
    </row>
    <row r="123" spans="1:70" ht="14.25" customHeight="1" x14ac:dyDescent="0.35">
      <c r="A123" s="4" t="s">
        <v>449</v>
      </c>
      <c r="B123" s="384">
        <v>22102.875</v>
      </c>
      <c r="C123" s="385"/>
      <c r="D123" s="41" t="s">
        <v>229</v>
      </c>
      <c r="E123" s="93">
        <v>0</v>
      </c>
      <c r="F123" s="93">
        <v>2025</v>
      </c>
      <c r="G123" s="93">
        <v>2050</v>
      </c>
      <c r="I123" s="41" t="s">
        <v>229</v>
      </c>
      <c r="J123" s="281">
        <v>0.1</v>
      </c>
      <c r="K123" s="281">
        <v>0.1</v>
      </c>
      <c r="L123" s="281">
        <v>0.1</v>
      </c>
      <c r="M123" s="281">
        <v>0.1</v>
      </c>
      <c r="N123" s="281">
        <v>0.1</v>
      </c>
      <c r="O123" s="281">
        <v>0.1</v>
      </c>
      <c r="P123" s="281">
        <v>0.1</v>
      </c>
      <c r="Q123" s="281">
        <v>0.1</v>
      </c>
      <c r="R123" s="281">
        <v>0.1</v>
      </c>
      <c r="S123" s="281">
        <v>0.1</v>
      </c>
      <c r="T123" s="281">
        <v>0.1</v>
      </c>
      <c r="U123" s="281">
        <v>0.1</v>
      </c>
      <c r="V123" s="281">
        <v>0.1</v>
      </c>
      <c r="W123" s="281">
        <v>0.1</v>
      </c>
      <c r="X123" s="281">
        <v>0.1</v>
      </c>
      <c r="Y123" s="281">
        <v>0.1</v>
      </c>
      <c r="Z123" s="281">
        <v>0.1</v>
      </c>
      <c r="AA123" s="281">
        <v>0.1</v>
      </c>
      <c r="AB123" s="281">
        <v>0.1</v>
      </c>
      <c r="AC123" s="281">
        <v>0.1</v>
      </c>
      <c r="AD123" s="281">
        <v>0.1</v>
      </c>
      <c r="AE123" s="281">
        <v>0.1</v>
      </c>
      <c r="AF123" s="281">
        <v>0.1</v>
      </c>
      <c r="AG123" s="281">
        <v>0.1</v>
      </c>
      <c r="AH123" s="281">
        <v>0.1</v>
      </c>
      <c r="AI123" s="281">
        <v>0.1</v>
      </c>
      <c r="AJ123" s="281">
        <v>0.1</v>
      </c>
      <c r="AK123" s="281">
        <v>0.1</v>
      </c>
      <c r="AL123" s="281">
        <v>0.1</v>
      </c>
      <c r="AM123" s="281">
        <v>0.1</v>
      </c>
      <c r="AN123" s="281">
        <v>0.1</v>
      </c>
      <c r="AO123" s="281">
        <v>0.1</v>
      </c>
      <c r="AP123" s="281">
        <v>0.1</v>
      </c>
      <c r="AQ123" s="281">
        <v>0.1</v>
      </c>
      <c r="AR123" s="281">
        <v>0.1</v>
      </c>
      <c r="AS123" s="281">
        <v>0.1</v>
      </c>
      <c r="AT123" s="281">
        <v>0.1</v>
      </c>
      <c r="AU123" s="281">
        <v>0.1</v>
      </c>
      <c r="AV123" s="281">
        <v>0.1</v>
      </c>
      <c r="AW123" s="281">
        <v>0.1</v>
      </c>
      <c r="AX123" s="281">
        <v>0.1</v>
      </c>
      <c r="AY123" s="281">
        <v>0.1</v>
      </c>
      <c r="AZ123" s="281">
        <v>0.1</v>
      </c>
      <c r="BA123" s="281">
        <v>0.1</v>
      </c>
      <c r="BB123" s="281">
        <v>0.1</v>
      </c>
      <c r="BC123" s="281">
        <v>0.1</v>
      </c>
      <c r="BD123" s="281">
        <v>0.1</v>
      </c>
      <c r="BE123" s="281">
        <v>0.1</v>
      </c>
      <c r="BF123" s="281">
        <v>0.1</v>
      </c>
      <c r="BG123" s="281">
        <v>0.1</v>
      </c>
      <c r="BH123" s="281">
        <v>0.1</v>
      </c>
      <c r="BI123" s="281">
        <v>0.1</v>
      </c>
      <c r="BJ123" s="281">
        <v>0.1</v>
      </c>
      <c r="BK123" s="281">
        <v>0.1</v>
      </c>
      <c r="BL123" s="281">
        <v>0.1</v>
      </c>
      <c r="BM123" s="281">
        <v>0.1</v>
      </c>
      <c r="BN123" s="281">
        <v>0.1</v>
      </c>
      <c r="BO123" s="281">
        <v>0.1</v>
      </c>
      <c r="BP123" s="281">
        <v>0.1</v>
      </c>
      <c r="BQ123" s="281">
        <v>0.1</v>
      </c>
      <c r="BR123" s="286">
        <v>0</v>
      </c>
    </row>
    <row r="124" spans="1:70" ht="14.25" customHeight="1" x14ac:dyDescent="0.35">
      <c r="A124" s="4" t="s">
        <v>450</v>
      </c>
      <c r="B124" s="384">
        <v>43223.4</v>
      </c>
      <c r="C124" s="385"/>
      <c r="D124" s="41" t="s">
        <v>111</v>
      </c>
      <c r="E124" s="93">
        <v>0</v>
      </c>
      <c r="F124" s="93">
        <v>2025</v>
      </c>
      <c r="G124" s="93">
        <v>2050</v>
      </c>
      <c r="I124" s="41" t="s">
        <v>111</v>
      </c>
      <c r="J124" s="281">
        <v>0.1</v>
      </c>
      <c r="K124" s="281">
        <v>0.1</v>
      </c>
      <c r="L124" s="281">
        <v>0.1</v>
      </c>
      <c r="M124" s="281">
        <v>0.1</v>
      </c>
      <c r="N124" s="281">
        <v>0.1</v>
      </c>
      <c r="O124" s="281">
        <v>0.1</v>
      </c>
      <c r="P124" s="281">
        <v>0.1</v>
      </c>
      <c r="Q124" s="281">
        <v>0.1</v>
      </c>
      <c r="R124" s="281">
        <v>0.1</v>
      </c>
      <c r="S124" s="281">
        <v>0.1</v>
      </c>
      <c r="T124" s="281">
        <v>0.1</v>
      </c>
      <c r="U124" s="281">
        <v>0.1</v>
      </c>
      <c r="V124" s="281">
        <v>0.1</v>
      </c>
      <c r="W124" s="281">
        <v>0.1</v>
      </c>
      <c r="X124" s="281">
        <v>0.1</v>
      </c>
      <c r="Y124" s="281">
        <v>0.1</v>
      </c>
      <c r="Z124" s="281">
        <v>0.1</v>
      </c>
      <c r="AA124" s="281">
        <v>0.1</v>
      </c>
      <c r="AB124" s="281">
        <v>0.1</v>
      </c>
      <c r="AC124" s="281">
        <v>0.1</v>
      </c>
      <c r="AD124" s="281">
        <v>0.1</v>
      </c>
      <c r="AE124" s="281">
        <v>0.1</v>
      </c>
      <c r="AF124" s="281">
        <v>0.1</v>
      </c>
      <c r="AG124" s="281">
        <v>0.1</v>
      </c>
      <c r="AH124" s="281">
        <v>0.1</v>
      </c>
      <c r="AI124" s="281">
        <v>0.1</v>
      </c>
      <c r="AJ124" s="281">
        <v>0.1</v>
      </c>
      <c r="AK124" s="281">
        <v>0.1</v>
      </c>
      <c r="AL124" s="281">
        <v>0.1</v>
      </c>
      <c r="AM124" s="281">
        <v>0.1</v>
      </c>
      <c r="AN124" s="281">
        <v>0.1</v>
      </c>
      <c r="AO124" s="281">
        <v>0.1</v>
      </c>
      <c r="AP124" s="281">
        <v>0.1</v>
      </c>
      <c r="AQ124" s="281">
        <v>0.1</v>
      </c>
      <c r="AR124" s="281">
        <v>0.1</v>
      </c>
      <c r="AS124" s="281">
        <v>0.1</v>
      </c>
      <c r="AT124" s="281">
        <v>0.1</v>
      </c>
      <c r="AU124" s="281">
        <v>0.1</v>
      </c>
      <c r="AV124" s="281">
        <v>0.1</v>
      </c>
      <c r="AW124" s="281">
        <v>0.1</v>
      </c>
      <c r="AX124" s="281">
        <v>0.1</v>
      </c>
      <c r="AY124" s="281">
        <v>0.1</v>
      </c>
      <c r="AZ124" s="281">
        <v>0.1</v>
      </c>
      <c r="BA124" s="281">
        <v>0.1</v>
      </c>
      <c r="BB124" s="281">
        <v>0.1</v>
      </c>
      <c r="BC124" s="281">
        <v>0.1</v>
      </c>
      <c r="BD124" s="281">
        <v>0.1</v>
      </c>
      <c r="BE124" s="281">
        <v>0.1</v>
      </c>
      <c r="BF124" s="281">
        <v>0.1</v>
      </c>
      <c r="BG124" s="281">
        <v>0.1</v>
      </c>
      <c r="BH124" s="281">
        <v>0.1</v>
      </c>
      <c r="BI124" s="281">
        <v>0.1</v>
      </c>
      <c r="BJ124" s="281">
        <v>0.1</v>
      </c>
      <c r="BK124" s="281">
        <v>0.1</v>
      </c>
      <c r="BL124" s="281">
        <v>0.1</v>
      </c>
      <c r="BM124" s="281">
        <v>0.1</v>
      </c>
      <c r="BN124" s="281">
        <v>0.1</v>
      </c>
      <c r="BO124" s="281">
        <v>0.1</v>
      </c>
      <c r="BP124" s="281">
        <v>0.1</v>
      </c>
      <c r="BQ124" s="281">
        <v>0.1</v>
      </c>
      <c r="BR124" s="286">
        <v>0</v>
      </c>
    </row>
    <row r="125" spans="1:70" ht="14.25" customHeight="1" x14ac:dyDescent="0.35">
      <c r="A125" s="4" t="s">
        <v>451</v>
      </c>
      <c r="B125" s="384">
        <v>34840.68</v>
      </c>
      <c r="C125" s="385"/>
      <c r="D125" s="41" t="s">
        <v>112</v>
      </c>
      <c r="E125" s="93">
        <v>0</v>
      </c>
      <c r="F125" s="93">
        <v>2025</v>
      </c>
      <c r="G125" s="93">
        <v>2050</v>
      </c>
      <c r="I125" s="41" t="s">
        <v>112</v>
      </c>
      <c r="J125" s="286">
        <v>0</v>
      </c>
      <c r="K125" s="286">
        <v>0</v>
      </c>
      <c r="L125" s="286">
        <v>0</v>
      </c>
      <c r="M125" s="286">
        <v>0</v>
      </c>
      <c r="N125" s="286">
        <v>0</v>
      </c>
      <c r="O125" s="286">
        <v>0</v>
      </c>
      <c r="P125" s="286">
        <v>0</v>
      </c>
      <c r="Q125" s="286">
        <v>0</v>
      </c>
      <c r="R125" s="286">
        <v>0</v>
      </c>
      <c r="S125" s="286">
        <v>0</v>
      </c>
      <c r="T125" s="286">
        <v>0</v>
      </c>
      <c r="U125" s="286">
        <v>0</v>
      </c>
      <c r="V125" s="286">
        <v>0</v>
      </c>
      <c r="W125" s="286">
        <v>0</v>
      </c>
      <c r="X125" s="286">
        <v>0</v>
      </c>
      <c r="Y125" s="286">
        <v>0</v>
      </c>
      <c r="Z125" s="286">
        <v>0</v>
      </c>
      <c r="AA125" s="286">
        <v>0</v>
      </c>
      <c r="AB125" s="286">
        <v>0</v>
      </c>
      <c r="AC125" s="286">
        <v>0</v>
      </c>
      <c r="AD125" s="286">
        <v>0</v>
      </c>
      <c r="AE125" s="286">
        <v>0</v>
      </c>
      <c r="AF125" s="286">
        <v>0</v>
      </c>
      <c r="AG125" s="286">
        <v>0</v>
      </c>
      <c r="AH125" s="286">
        <v>0</v>
      </c>
      <c r="AI125" s="286">
        <v>0</v>
      </c>
      <c r="AJ125" s="286">
        <v>0</v>
      </c>
      <c r="AK125" s="286">
        <v>0</v>
      </c>
      <c r="AL125" s="286">
        <v>0</v>
      </c>
      <c r="AM125" s="286">
        <v>0</v>
      </c>
      <c r="AN125" s="286">
        <v>0</v>
      </c>
      <c r="AO125" s="286">
        <v>0</v>
      </c>
      <c r="AP125" s="286">
        <v>0</v>
      </c>
      <c r="AQ125" s="286">
        <v>0</v>
      </c>
      <c r="AR125" s="286">
        <v>0</v>
      </c>
      <c r="AS125" s="286">
        <v>0</v>
      </c>
      <c r="AT125" s="286">
        <v>0</v>
      </c>
      <c r="AU125" s="286">
        <v>0</v>
      </c>
      <c r="AV125" s="286">
        <v>0</v>
      </c>
      <c r="AW125" s="286">
        <v>0</v>
      </c>
      <c r="AX125" s="286">
        <v>0</v>
      </c>
      <c r="AY125" s="286">
        <v>0</v>
      </c>
      <c r="AZ125" s="286">
        <v>0</v>
      </c>
      <c r="BA125" s="286">
        <v>0</v>
      </c>
      <c r="BB125" s="286">
        <v>0</v>
      </c>
      <c r="BC125" s="286">
        <v>0</v>
      </c>
      <c r="BD125" s="286">
        <v>0</v>
      </c>
      <c r="BE125" s="286">
        <v>0</v>
      </c>
      <c r="BF125" s="286">
        <v>0</v>
      </c>
      <c r="BG125" s="286">
        <v>0</v>
      </c>
      <c r="BH125" s="286">
        <v>0</v>
      </c>
      <c r="BI125" s="286">
        <v>0</v>
      </c>
      <c r="BJ125" s="286">
        <v>0</v>
      </c>
      <c r="BK125" s="286">
        <v>0</v>
      </c>
      <c r="BL125" s="286">
        <v>0</v>
      </c>
      <c r="BM125" s="286">
        <v>0</v>
      </c>
      <c r="BN125" s="286">
        <v>0</v>
      </c>
      <c r="BO125" s="286">
        <v>0</v>
      </c>
      <c r="BP125" s="286">
        <v>0</v>
      </c>
      <c r="BQ125" s="286">
        <v>0</v>
      </c>
      <c r="BR125" s="281">
        <v>0.1</v>
      </c>
    </row>
    <row r="126" spans="1:70" ht="14.25" customHeight="1" x14ac:dyDescent="0.35">
      <c r="A126" s="4" t="s">
        <v>452</v>
      </c>
      <c r="B126" s="384">
        <v>38966.549999999996</v>
      </c>
      <c r="C126" s="385"/>
      <c r="D126" s="41" t="s">
        <v>113</v>
      </c>
      <c r="E126" s="93">
        <v>0</v>
      </c>
      <c r="F126" s="93">
        <v>2025</v>
      </c>
      <c r="G126" s="93">
        <v>2050</v>
      </c>
      <c r="I126" s="41" t="s">
        <v>113</v>
      </c>
      <c r="J126" s="286">
        <v>0</v>
      </c>
      <c r="K126" s="286">
        <v>0</v>
      </c>
      <c r="L126" s="286">
        <v>0</v>
      </c>
      <c r="M126" s="286">
        <v>0</v>
      </c>
      <c r="N126" s="286">
        <v>0</v>
      </c>
      <c r="O126" s="286">
        <v>0</v>
      </c>
      <c r="P126" s="286">
        <v>0</v>
      </c>
      <c r="Q126" s="286">
        <v>0</v>
      </c>
      <c r="R126" s="286">
        <v>0</v>
      </c>
      <c r="S126" s="286">
        <v>0</v>
      </c>
      <c r="T126" s="286">
        <v>0</v>
      </c>
      <c r="U126" s="286">
        <v>0</v>
      </c>
      <c r="V126" s="286">
        <v>0</v>
      </c>
      <c r="W126" s="286">
        <v>0</v>
      </c>
      <c r="X126" s="286">
        <v>0</v>
      </c>
      <c r="Y126" s="286">
        <v>0</v>
      </c>
      <c r="Z126" s="286">
        <v>0</v>
      </c>
      <c r="AA126" s="286">
        <v>0</v>
      </c>
      <c r="AB126" s="286">
        <v>0</v>
      </c>
      <c r="AC126" s="286">
        <v>0</v>
      </c>
      <c r="AD126" s="286">
        <v>0</v>
      </c>
      <c r="AE126" s="286">
        <v>0</v>
      </c>
      <c r="AF126" s="286">
        <v>0</v>
      </c>
      <c r="AG126" s="286">
        <v>0</v>
      </c>
      <c r="AH126" s="286">
        <v>0</v>
      </c>
      <c r="AI126" s="286">
        <v>0</v>
      </c>
      <c r="AJ126" s="286">
        <v>0</v>
      </c>
      <c r="AK126" s="286">
        <v>0</v>
      </c>
      <c r="AL126" s="286">
        <v>0</v>
      </c>
      <c r="AM126" s="286">
        <v>0</v>
      </c>
      <c r="AN126" s="286">
        <v>0</v>
      </c>
      <c r="AO126" s="286">
        <v>0</v>
      </c>
      <c r="AP126" s="286">
        <v>0</v>
      </c>
      <c r="AQ126" s="286">
        <v>0</v>
      </c>
      <c r="AR126" s="286">
        <v>0</v>
      </c>
      <c r="AS126" s="286">
        <v>0</v>
      </c>
      <c r="AT126" s="286">
        <v>0</v>
      </c>
      <c r="AU126" s="286">
        <v>0</v>
      </c>
      <c r="AV126" s="286">
        <v>0</v>
      </c>
      <c r="AW126" s="286">
        <v>0</v>
      </c>
      <c r="AX126" s="286">
        <v>0</v>
      </c>
      <c r="AY126" s="286">
        <v>0</v>
      </c>
      <c r="AZ126" s="286">
        <v>0</v>
      </c>
      <c r="BA126" s="286">
        <v>0</v>
      </c>
      <c r="BB126" s="286">
        <v>0</v>
      </c>
      <c r="BC126" s="286">
        <v>0</v>
      </c>
      <c r="BD126" s="286">
        <v>0</v>
      </c>
      <c r="BE126" s="286">
        <v>0</v>
      </c>
      <c r="BF126" s="286">
        <v>0</v>
      </c>
      <c r="BG126" s="286">
        <v>0</v>
      </c>
      <c r="BH126" s="286">
        <v>0</v>
      </c>
      <c r="BI126" s="286">
        <v>0</v>
      </c>
      <c r="BJ126" s="286">
        <v>0</v>
      </c>
      <c r="BK126" s="286">
        <v>0</v>
      </c>
      <c r="BL126" s="286">
        <v>0</v>
      </c>
      <c r="BM126" s="286">
        <v>0</v>
      </c>
      <c r="BN126" s="286">
        <v>0</v>
      </c>
      <c r="BO126" s="286">
        <v>0</v>
      </c>
      <c r="BP126" s="286">
        <v>0</v>
      </c>
      <c r="BQ126" s="286">
        <v>0</v>
      </c>
      <c r="BR126" s="281">
        <v>0.1</v>
      </c>
    </row>
    <row r="127" spans="1:70" ht="14.25" customHeight="1" x14ac:dyDescent="0.35">
      <c r="A127" s="4" t="s">
        <v>453</v>
      </c>
      <c r="B127" s="384">
        <v>24100.319999999996</v>
      </c>
      <c r="C127" s="385"/>
      <c r="D127" s="41" t="s">
        <v>114</v>
      </c>
      <c r="E127" s="93">
        <v>0</v>
      </c>
      <c r="F127" s="93">
        <v>2025</v>
      </c>
      <c r="G127" s="93">
        <v>2050</v>
      </c>
      <c r="I127" s="41" t="s">
        <v>114</v>
      </c>
      <c r="J127" s="281">
        <v>0.1</v>
      </c>
      <c r="K127" s="281">
        <v>0.1</v>
      </c>
      <c r="L127" s="281">
        <v>0.1</v>
      </c>
      <c r="M127" s="281">
        <v>0.1</v>
      </c>
      <c r="N127" s="281">
        <v>0.1</v>
      </c>
      <c r="O127" s="281">
        <v>0.1</v>
      </c>
      <c r="P127" s="281">
        <v>0.1</v>
      </c>
      <c r="Q127" s="281">
        <v>0.1</v>
      </c>
      <c r="R127" s="281">
        <v>0.1</v>
      </c>
      <c r="S127" s="281">
        <v>0.1</v>
      </c>
      <c r="T127" s="281">
        <v>0.1</v>
      </c>
      <c r="U127" s="281">
        <v>0.1</v>
      </c>
      <c r="V127" s="281">
        <v>0.1</v>
      </c>
      <c r="W127" s="281">
        <v>0.1</v>
      </c>
      <c r="X127" s="281">
        <v>0.1</v>
      </c>
      <c r="Y127" s="281">
        <v>0.1</v>
      </c>
      <c r="Z127" s="281">
        <v>0.1</v>
      </c>
      <c r="AA127" s="281">
        <v>0.1</v>
      </c>
      <c r="AB127" s="281">
        <v>0.1</v>
      </c>
      <c r="AC127" s="281">
        <v>0.1</v>
      </c>
      <c r="AD127" s="281">
        <v>0.1</v>
      </c>
      <c r="AE127" s="281">
        <v>0.1</v>
      </c>
      <c r="AF127" s="281">
        <v>0.1</v>
      </c>
      <c r="AG127" s="281">
        <v>0.1</v>
      </c>
      <c r="AH127" s="281">
        <v>0.1</v>
      </c>
      <c r="AI127" s="281">
        <v>0.1</v>
      </c>
      <c r="AJ127" s="281">
        <v>0.1</v>
      </c>
      <c r="AK127" s="281">
        <v>0.1</v>
      </c>
      <c r="AL127" s="281">
        <v>0.1</v>
      </c>
      <c r="AM127" s="281">
        <v>0.1</v>
      </c>
      <c r="AN127" s="281">
        <v>0.1</v>
      </c>
      <c r="AO127" s="281">
        <v>0.1</v>
      </c>
      <c r="AP127" s="281">
        <v>0.1</v>
      </c>
      <c r="AQ127" s="281">
        <v>0.1</v>
      </c>
      <c r="AR127" s="281">
        <v>0.1</v>
      </c>
      <c r="AS127" s="281">
        <v>0.1</v>
      </c>
      <c r="AT127" s="281">
        <v>0.1</v>
      </c>
      <c r="AU127" s="281">
        <v>0.1</v>
      </c>
      <c r="AV127" s="281">
        <v>0.1</v>
      </c>
      <c r="AW127" s="281">
        <v>0.1</v>
      </c>
      <c r="AX127" s="281">
        <v>0.1</v>
      </c>
      <c r="AY127" s="281">
        <v>0.1</v>
      </c>
      <c r="AZ127" s="281">
        <v>0.1</v>
      </c>
      <c r="BA127" s="281">
        <v>0.1</v>
      </c>
      <c r="BB127" s="281">
        <v>0.1</v>
      </c>
      <c r="BC127" s="281">
        <v>0.1</v>
      </c>
      <c r="BD127" s="281">
        <v>0.1</v>
      </c>
      <c r="BE127" s="281">
        <v>0.1</v>
      </c>
      <c r="BF127" s="281">
        <v>0.1</v>
      </c>
      <c r="BG127" s="281">
        <v>0.1</v>
      </c>
      <c r="BH127" s="281">
        <v>0.1</v>
      </c>
      <c r="BI127" s="281">
        <v>0.1</v>
      </c>
      <c r="BJ127" s="281">
        <v>0.1</v>
      </c>
      <c r="BK127" s="281">
        <v>0.1</v>
      </c>
      <c r="BL127" s="281">
        <v>0.1</v>
      </c>
      <c r="BM127" s="281">
        <v>0.1</v>
      </c>
      <c r="BN127" s="281">
        <v>0.1</v>
      </c>
      <c r="BO127" s="281">
        <v>0.1</v>
      </c>
      <c r="BP127" s="281">
        <v>0.1</v>
      </c>
      <c r="BQ127" s="281">
        <v>0.1</v>
      </c>
      <c r="BR127" s="286">
        <v>0</v>
      </c>
    </row>
    <row r="128" spans="1:70" ht="14.25" customHeight="1" x14ac:dyDescent="0.35">
      <c r="A128" s="4" t="s">
        <v>454</v>
      </c>
      <c r="B128" s="384">
        <v>34048.250999999997</v>
      </c>
      <c r="C128" s="385"/>
      <c r="D128" s="41" t="s">
        <v>115</v>
      </c>
      <c r="E128" s="93">
        <v>0</v>
      </c>
      <c r="F128" s="93">
        <v>2025</v>
      </c>
      <c r="G128" s="93">
        <v>2050</v>
      </c>
      <c r="I128" s="41" t="s">
        <v>115</v>
      </c>
      <c r="J128" s="281">
        <v>0.1</v>
      </c>
      <c r="K128" s="281">
        <v>0.1</v>
      </c>
      <c r="L128" s="281">
        <v>0.1</v>
      </c>
      <c r="M128" s="281">
        <v>0.1</v>
      </c>
      <c r="N128" s="281">
        <v>0.1</v>
      </c>
      <c r="O128" s="281">
        <v>0.1</v>
      </c>
      <c r="P128" s="281">
        <v>0.1</v>
      </c>
      <c r="Q128" s="281">
        <v>0.1</v>
      </c>
      <c r="R128" s="281">
        <v>0.1</v>
      </c>
      <c r="S128" s="281">
        <v>0.1</v>
      </c>
      <c r="T128" s="281">
        <v>0.1</v>
      </c>
      <c r="U128" s="281">
        <v>0.1</v>
      </c>
      <c r="V128" s="281">
        <v>0.1</v>
      </c>
      <c r="W128" s="281">
        <v>0.1</v>
      </c>
      <c r="X128" s="281">
        <v>0.1</v>
      </c>
      <c r="Y128" s="281">
        <v>0.1</v>
      </c>
      <c r="Z128" s="281">
        <v>0.1</v>
      </c>
      <c r="AA128" s="281">
        <v>0.1</v>
      </c>
      <c r="AB128" s="281">
        <v>0.1</v>
      </c>
      <c r="AC128" s="281">
        <v>0.1</v>
      </c>
      <c r="AD128" s="281">
        <v>0.1</v>
      </c>
      <c r="AE128" s="281">
        <v>0.1</v>
      </c>
      <c r="AF128" s="281">
        <v>0.1</v>
      </c>
      <c r="AG128" s="281">
        <v>0.1</v>
      </c>
      <c r="AH128" s="281">
        <v>0.1</v>
      </c>
      <c r="AI128" s="281">
        <v>0.1</v>
      </c>
      <c r="AJ128" s="281">
        <v>0.1</v>
      </c>
      <c r="AK128" s="281">
        <v>0.1</v>
      </c>
      <c r="AL128" s="281">
        <v>0.1</v>
      </c>
      <c r="AM128" s="281">
        <v>0.1</v>
      </c>
      <c r="AN128" s="281">
        <v>0.1</v>
      </c>
      <c r="AO128" s="281">
        <v>0.1</v>
      </c>
      <c r="AP128" s="281">
        <v>0.1</v>
      </c>
      <c r="AQ128" s="281">
        <v>0.1</v>
      </c>
      <c r="AR128" s="281">
        <v>0.1</v>
      </c>
      <c r="AS128" s="281">
        <v>0.1</v>
      </c>
      <c r="AT128" s="281">
        <v>0.1</v>
      </c>
      <c r="AU128" s="281">
        <v>0.1</v>
      </c>
      <c r="AV128" s="281">
        <v>0.1</v>
      </c>
      <c r="AW128" s="281">
        <v>0.1</v>
      </c>
      <c r="AX128" s="281">
        <v>0.1</v>
      </c>
      <c r="AY128" s="281">
        <v>0.1</v>
      </c>
      <c r="AZ128" s="281">
        <v>0.1</v>
      </c>
      <c r="BA128" s="281">
        <v>0.1</v>
      </c>
      <c r="BB128" s="281">
        <v>0.1</v>
      </c>
      <c r="BC128" s="281">
        <v>0.1</v>
      </c>
      <c r="BD128" s="281">
        <v>0.1</v>
      </c>
      <c r="BE128" s="281">
        <v>0.1</v>
      </c>
      <c r="BF128" s="281">
        <v>0.1</v>
      </c>
      <c r="BG128" s="281">
        <v>0.1</v>
      </c>
      <c r="BH128" s="281">
        <v>0.1</v>
      </c>
      <c r="BI128" s="281">
        <v>0.1</v>
      </c>
      <c r="BJ128" s="281">
        <v>0.1</v>
      </c>
      <c r="BK128" s="281">
        <v>0.1</v>
      </c>
      <c r="BL128" s="281">
        <v>0.1</v>
      </c>
      <c r="BM128" s="281">
        <v>0.1</v>
      </c>
      <c r="BN128" s="281">
        <v>0.1</v>
      </c>
      <c r="BO128" s="281">
        <v>0.1</v>
      </c>
      <c r="BP128" s="281">
        <v>0.1</v>
      </c>
      <c r="BQ128" s="281">
        <v>0.1</v>
      </c>
      <c r="BR128" s="286">
        <v>0</v>
      </c>
    </row>
    <row r="129" spans="1:70" ht="14.25" customHeight="1" x14ac:dyDescent="0.35">
      <c r="A129" s="4" t="s">
        <v>455</v>
      </c>
      <c r="B129" s="384">
        <v>15478.5615</v>
      </c>
      <c r="C129" s="385"/>
      <c r="D129" s="41" t="s">
        <v>116</v>
      </c>
      <c r="E129" s="93">
        <v>0</v>
      </c>
      <c r="F129" s="93">
        <v>2025</v>
      </c>
      <c r="G129" s="93">
        <v>2050</v>
      </c>
      <c r="I129" s="41" t="s">
        <v>116</v>
      </c>
      <c r="J129" s="286">
        <v>0</v>
      </c>
      <c r="K129" s="286">
        <v>0</v>
      </c>
      <c r="L129" s="286">
        <v>0</v>
      </c>
      <c r="M129" s="286">
        <v>0</v>
      </c>
      <c r="N129" s="286">
        <v>0</v>
      </c>
      <c r="O129" s="286">
        <v>0</v>
      </c>
      <c r="P129" s="286">
        <v>0</v>
      </c>
      <c r="Q129" s="286">
        <v>0</v>
      </c>
      <c r="R129" s="286">
        <v>0</v>
      </c>
      <c r="S129" s="286">
        <v>0</v>
      </c>
      <c r="T129" s="286">
        <v>0</v>
      </c>
      <c r="U129" s="286">
        <v>0</v>
      </c>
      <c r="V129" s="286">
        <v>0</v>
      </c>
      <c r="W129" s="286">
        <v>0</v>
      </c>
      <c r="X129" s="286">
        <v>0</v>
      </c>
      <c r="Y129" s="286">
        <v>0</v>
      </c>
      <c r="Z129" s="286">
        <v>0</v>
      </c>
      <c r="AA129" s="286">
        <v>0</v>
      </c>
      <c r="AB129" s="286">
        <v>0</v>
      </c>
      <c r="AC129" s="286">
        <v>0</v>
      </c>
      <c r="AD129" s="286">
        <v>0</v>
      </c>
      <c r="AE129" s="286">
        <v>0</v>
      </c>
      <c r="AF129" s="286">
        <v>0</v>
      </c>
      <c r="AG129" s="286">
        <v>0</v>
      </c>
      <c r="AH129" s="286">
        <v>0</v>
      </c>
      <c r="AI129" s="286">
        <v>0</v>
      </c>
      <c r="AJ129" s="286">
        <v>0</v>
      </c>
      <c r="AK129" s="286">
        <v>0</v>
      </c>
      <c r="AL129" s="286">
        <v>0</v>
      </c>
      <c r="AM129" s="286">
        <v>0</v>
      </c>
      <c r="AN129" s="286">
        <v>0</v>
      </c>
      <c r="AO129" s="286">
        <v>0</v>
      </c>
      <c r="AP129" s="286">
        <v>0</v>
      </c>
      <c r="AQ129" s="286">
        <v>0</v>
      </c>
      <c r="AR129" s="286">
        <v>0</v>
      </c>
      <c r="AS129" s="286">
        <v>0</v>
      </c>
      <c r="AT129" s="286">
        <v>0</v>
      </c>
      <c r="AU129" s="286">
        <v>0</v>
      </c>
      <c r="AV129" s="286">
        <v>0</v>
      </c>
      <c r="AW129" s="286">
        <v>0</v>
      </c>
      <c r="AX129" s="286">
        <v>0</v>
      </c>
      <c r="AY129" s="286">
        <v>0</v>
      </c>
      <c r="AZ129" s="286">
        <v>0</v>
      </c>
      <c r="BA129" s="286">
        <v>0</v>
      </c>
      <c r="BB129" s="286">
        <v>0</v>
      </c>
      <c r="BC129" s="286">
        <v>0</v>
      </c>
      <c r="BD129" s="286">
        <v>0</v>
      </c>
      <c r="BE129" s="286">
        <v>0</v>
      </c>
      <c r="BF129" s="286">
        <v>0</v>
      </c>
      <c r="BG129" s="286">
        <v>0</v>
      </c>
      <c r="BH129" s="286">
        <v>0</v>
      </c>
      <c r="BI129" s="286">
        <v>0</v>
      </c>
      <c r="BJ129" s="286">
        <v>0</v>
      </c>
      <c r="BK129" s="286">
        <v>0</v>
      </c>
      <c r="BL129" s="286">
        <v>0</v>
      </c>
      <c r="BM129" s="286">
        <v>0</v>
      </c>
      <c r="BN129" s="286">
        <v>0</v>
      </c>
      <c r="BO129" s="286">
        <v>0</v>
      </c>
      <c r="BP129" s="286">
        <v>0</v>
      </c>
      <c r="BQ129" s="286">
        <v>0</v>
      </c>
      <c r="BR129" s="281">
        <v>0.1</v>
      </c>
    </row>
    <row r="130" spans="1:70" ht="14.25" customHeight="1" x14ac:dyDescent="0.35">
      <c r="A130" s="4" t="s">
        <v>456</v>
      </c>
      <c r="B130" s="384">
        <v>27905.288999999997</v>
      </c>
      <c r="C130" s="385"/>
      <c r="D130" s="41" t="s">
        <v>117</v>
      </c>
      <c r="E130" s="93">
        <v>0</v>
      </c>
      <c r="F130" s="93">
        <v>2025</v>
      </c>
      <c r="G130" s="93">
        <v>2050</v>
      </c>
      <c r="I130" s="41" t="s">
        <v>117</v>
      </c>
      <c r="J130" s="281">
        <v>0.1</v>
      </c>
      <c r="K130" s="281">
        <v>0.1</v>
      </c>
      <c r="L130" s="281">
        <v>0.1</v>
      </c>
      <c r="M130" s="281">
        <v>0.1</v>
      </c>
      <c r="N130" s="281">
        <v>0.1</v>
      </c>
      <c r="O130" s="281">
        <v>0.1</v>
      </c>
      <c r="P130" s="281">
        <v>0.1</v>
      </c>
      <c r="Q130" s="281">
        <v>0.1</v>
      </c>
      <c r="R130" s="281">
        <v>0.1</v>
      </c>
      <c r="S130" s="281">
        <v>0.1</v>
      </c>
      <c r="T130" s="281">
        <v>0.1</v>
      </c>
      <c r="U130" s="281">
        <v>0.1</v>
      </c>
      <c r="V130" s="281">
        <v>0.1</v>
      </c>
      <c r="W130" s="281">
        <v>0.1</v>
      </c>
      <c r="X130" s="281">
        <v>0.1</v>
      </c>
      <c r="Y130" s="281">
        <v>0.1</v>
      </c>
      <c r="Z130" s="281">
        <v>0.1</v>
      </c>
      <c r="AA130" s="281">
        <v>0.1</v>
      </c>
      <c r="AB130" s="281">
        <v>0.1</v>
      </c>
      <c r="AC130" s="281">
        <v>0.1</v>
      </c>
      <c r="AD130" s="281">
        <v>0.1</v>
      </c>
      <c r="AE130" s="281">
        <v>0.1</v>
      </c>
      <c r="AF130" s="281">
        <v>0.1</v>
      </c>
      <c r="AG130" s="281">
        <v>0.1</v>
      </c>
      <c r="AH130" s="281">
        <v>0.1</v>
      </c>
      <c r="AI130" s="281">
        <v>0.1</v>
      </c>
      <c r="AJ130" s="281">
        <v>0.1</v>
      </c>
      <c r="AK130" s="281">
        <v>0.1</v>
      </c>
      <c r="AL130" s="281">
        <v>0.1</v>
      </c>
      <c r="AM130" s="281">
        <v>0.1</v>
      </c>
      <c r="AN130" s="281">
        <v>0.1</v>
      </c>
      <c r="AO130" s="281">
        <v>0.1</v>
      </c>
      <c r="AP130" s="281">
        <v>0.1</v>
      </c>
      <c r="AQ130" s="281">
        <v>0.1</v>
      </c>
      <c r="AR130" s="281">
        <v>0.1</v>
      </c>
      <c r="AS130" s="281">
        <v>0.1</v>
      </c>
      <c r="AT130" s="281">
        <v>0.1</v>
      </c>
      <c r="AU130" s="281">
        <v>0.1</v>
      </c>
      <c r="AV130" s="281">
        <v>0.1</v>
      </c>
      <c r="AW130" s="281">
        <v>0.1</v>
      </c>
      <c r="AX130" s="281">
        <v>0.1</v>
      </c>
      <c r="AY130" s="281">
        <v>0.1</v>
      </c>
      <c r="AZ130" s="281">
        <v>0.1</v>
      </c>
      <c r="BA130" s="281">
        <v>0.1</v>
      </c>
      <c r="BB130" s="281">
        <v>0.1</v>
      </c>
      <c r="BC130" s="281">
        <v>0.1</v>
      </c>
      <c r="BD130" s="281">
        <v>0.1</v>
      </c>
      <c r="BE130" s="281">
        <v>0.1</v>
      </c>
      <c r="BF130" s="281">
        <v>0.1</v>
      </c>
      <c r="BG130" s="281">
        <v>0.1</v>
      </c>
      <c r="BH130" s="281">
        <v>0.1</v>
      </c>
      <c r="BI130" s="281">
        <v>0.1</v>
      </c>
      <c r="BJ130" s="281">
        <v>0.1</v>
      </c>
      <c r="BK130" s="281">
        <v>0.1</v>
      </c>
      <c r="BL130" s="281">
        <v>0.1</v>
      </c>
      <c r="BM130" s="281">
        <v>0.1</v>
      </c>
      <c r="BN130" s="281">
        <v>0.1</v>
      </c>
      <c r="BO130" s="281">
        <v>0.1</v>
      </c>
      <c r="BP130" s="281">
        <v>0.1</v>
      </c>
      <c r="BQ130" s="281">
        <v>0.1</v>
      </c>
      <c r="BR130" s="286">
        <v>0</v>
      </c>
    </row>
    <row r="131" spans="1:70" ht="14.25" customHeight="1" x14ac:dyDescent="0.35">
      <c r="A131" s="4" t="s">
        <v>457</v>
      </c>
      <c r="B131" s="384">
        <v>26831.252999999997</v>
      </c>
      <c r="C131" s="385"/>
      <c r="D131" s="41" t="s">
        <v>118</v>
      </c>
      <c r="E131" s="93">
        <v>0</v>
      </c>
      <c r="F131" s="93">
        <v>2025</v>
      </c>
      <c r="G131" s="93">
        <v>2050</v>
      </c>
      <c r="I131" s="41" t="s">
        <v>118</v>
      </c>
      <c r="J131" s="286">
        <v>0</v>
      </c>
      <c r="K131" s="286">
        <v>0</v>
      </c>
      <c r="L131" s="286">
        <v>0</v>
      </c>
      <c r="M131" s="286">
        <v>0</v>
      </c>
      <c r="N131" s="286">
        <v>0</v>
      </c>
      <c r="O131" s="286">
        <v>0</v>
      </c>
      <c r="P131" s="286">
        <v>0</v>
      </c>
      <c r="Q131" s="286">
        <v>0</v>
      </c>
      <c r="R131" s="286">
        <v>0</v>
      </c>
      <c r="S131" s="286">
        <v>0</v>
      </c>
      <c r="T131" s="286">
        <v>0</v>
      </c>
      <c r="U131" s="286">
        <v>0</v>
      </c>
      <c r="V131" s="286">
        <v>0</v>
      </c>
      <c r="W131" s="286">
        <v>0</v>
      </c>
      <c r="X131" s="286">
        <v>0</v>
      </c>
      <c r="Y131" s="286">
        <v>0</v>
      </c>
      <c r="Z131" s="286">
        <v>0</v>
      </c>
      <c r="AA131" s="286">
        <v>0</v>
      </c>
      <c r="AB131" s="286">
        <v>0</v>
      </c>
      <c r="AC131" s="286">
        <v>0</v>
      </c>
      <c r="AD131" s="286">
        <v>0</v>
      </c>
      <c r="AE131" s="286">
        <v>0</v>
      </c>
      <c r="AF131" s="286">
        <v>0</v>
      </c>
      <c r="AG131" s="286">
        <v>0</v>
      </c>
      <c r="AH131" s="286">
        <v>0</v>
      </c>
      <c r="AI131" s="286">
        <v>0</v>
      </c>
      <c r="AJ131" s="286">
        <v>0</v>
      </c>
      <c r="AK131" s="286">
        <v>0</v>
      </c>
      <c r="AL131" s="286">
        <v>0</v>
      </c>
      <c r="AM131" s="286">
        <v>0</v>
      </c>
      <c r="AN131" s="286">
        <v>0</v>
      </c>
      <c r="AO131" s="286">
        <v>0</v>
      </c>
      <c r="AP131" s="286">
        <v>0</v>
      </c>
      <c r="AQ131" s="286">
        <v>0</v>
      </c>
      <c r="AR131" s="286">
        <v>0</v>
      </c>
      <c r="AS131" s="286">
        <v>0</v>
      </c>
      <c r="AT131" s="286">
        <v>0</v>
      </c>
      <c r="AU131" s="286">
        <v>0</v>
      </c>
      <c r="AV131" s="286">
        <v>0</v>
      </c>
      <c r="AW131" s="286">
        <v>0</v>
      </c>
      <c r="AX131" s="286">
        <v>0</v>
      </c>
      <c r="AY131" s="286">
        <v>0</v>
      </c>
      <c r="AZ131" s="286">
        <v>0</v>
      </c>
      <c r="BA131" s="286">
        <v>0</v>
      </c>
      <c r="BB131" s="286">
        <v>0</v>
      </c>
      <c r="BC131" s="286">
        <v>0</v>
      </c>
      <c r="BD131" s="286">
        <v>0</v>
      </c>
      <c r="BE131" s="286">
        <v>0</v>
      </c>
      <c r="BF131" s="286">
        <v>0</v>
      </c>
      <c r="BG131" s="286">
        <v>0</v>
      </c>
      <c r="BH131" s="286">
        <v>0</v>
      </c>
      <c r="BI131" s="286">
        <v>0</v>
      </c>
      <c r="BJ131" s="286">
        <v>0</v>
      </c>
      <c r="BK131" s="286">
        <v>0</v>
      </c>
      <c r="BL131" s="286">
        <v>0</v>
      </c>
      <c r="BM131" s="286">
        <v>0</v>
      </c>
      <c r="BN131" s="286">
        <v>0</v>
      </c>
      <c r="BO131" s="286">
        <v>0</v>
      </c>
      <c r="BP131" s="286">
        <v>0</v>
      </c>
      <c r="BQ131" s="286">
        <v>0</v>
      </c>
      <c r="BR131" s="281">
        <v>0.1</v>
      </c>
    </row>
    <row r="132" spans="1:70" ht="14.25" customHeight="1" x14ac:dyDescent="0.35">
      <c r="A132" s="4" t="s">
        <v>458</v>
      </c>
      <c r="B132" s="384">
        <v>30053.361000000001</v>
      </c>
      <c r="C132" s="385"/>
      <c r="D132" s="41" t="s">
        <v>119</v>
      </c>
      <c r="E132" s="93">
        <v>0</v>
      </c>
      <c r="F132" s="93">
        <v>2025</v>
      </c>
      <c r="G132" s="93">
        <v>2050</v>
      </c>
      <c r="I132" s="41" t="s">
        <v>119</v>
      </c>
      <c r="J132" s="281">
        <v>0.1</v>
      </c>
      <c r="K132" s="281">
        <v>0.1</v>
      </c>
      <c r="L132" s="281">
        <v>0.1</v>
      </c>
      <c r="M132" s="281">
        <v>0.1</v>
      </c>
      <c r="N132" s="281">
        <v>0.1</v>
      </c>
      <c r="O132" s="281">
        <v>0.1</v>
      </c>
      <c r="P132" s="281">
        <v>0.1</v>
      </c>
      <c r="Q132" s="281">
        <v>0.1</v>
      </c>
      <c r="R132" s="281">
        <v>0.1</v>
      </c>
      <c r="S132" s="281">
        <v>0.1</v>
      </c>
      <c r="T132" s="281">
        <v>0.1</v>
      </c>
      <c r="U132" s="281">
        <v>0.1</v>
      </c>
      <c r="V132" s="281">
        <v>0.1</v>
      </c>
      <c r="W132" s="281">
        <v>0.1</v>
      </c>
      <c r="X132" s="281">
        <v>0.1</v>
      </c>
      <c r="Y132" s="281">
        <v>0.1</v>
      </c>
      <c r="Z132" s="281">
        <v>0.1</v>
      </c>
      <c r="AA132" s="281">
        <v>0.1</v>
      </c>
      <c r="AB132" s="281">
        <v>0.1</v>
      </c>
      <c r="AC132" s="281">
        <v>0.1</v>
      </c>
      <c r="AD132" s="281">
        <v>0.1</v>
      </c>
      <c r="AE132" s="281">
        <v>0.1</v>
      </c>
      <c r="AF132" s="281">
        <v>0.1</v>
      </c>
      <c r="AG132" s="281">
        <v>0.1</v>
      </c>
      <c r="AH132" s="281">
        <v>0.1</v>
      </c>
      <c r="AI132" s="281">
        <v>0.1</v>
      </c>
      <c r="AJ132" s="281">
        <v>0.1</v>
      </c>
      <c r="AK132" s="281">
        <v>0.1</v>
      </c>
      <c r="AL132" s="281">
        <v>0.1</v>
      </c>
      <c r="AM132" s="281">
        <v>0.1</v>
      </c>
      <c r="AN132" s="281">
        <v>0.1</v>
      </c>
      <c r="AO132" s="281">
        <v>0.1</v>
      </c>
      <c r="AP132" s="281">
        <v>0.1</v>
      </c>
      <c r="AQ132" s="281">
        <v>0.1</v>
      </c>
      <c r="AR132" s="281">
        <v>0.1</v>
      </c>
      <c r="AS132" s="281">
        <v>0.1</v>
      </c>
      <c r="AT132" s="281">
        <v>0.1</v>
      </c>
      <c r="AU132" s="281">
        <v>0.1</v>
      </c>
      <c r="AV132" s="281">
        <v>0.1</v>
      </c>
      <c r="AW132" s="281">
        <v>0.1</v>
      </c>
      <c r="AX132" s="281">
        <v>0.1</v>
      </c>
      <c r="AY132" s="281">
        <v>0.1</v>
      </c>
      <c r="AZ132" s="281">
        <v>0.1</v>
      </c>
      <c r="BA132" s="281">
        <v>0.1</v>
      </c>
      <c r="BB132" s="281">
        <v>0.1</v>
      </c>
      <c r="BC132" s="281">
        <v>0.1</v>
      </c>
      <c r="BD132" s="281">
        <v>0.1</v>
      </c>
      <c r="BE132" s="281">
        <v>0.1</v>
      </c>
      <c r="BF132" s="281">
        <v>0.1</v>
      </c>
      <c r="BG132" s="281">
        <v>0.1</v>
      </c>
      <c r="BH132" s="281">
        <v>0.1</v>
      </c>
      <c r="BI132" s="281">
        <v>0.1</v>
      </c>
      <c r="BJ132" s="281">
        <v>0.1</v>
      </c>
      <c r="BK132" s="281">
        <v>0.1</v>
      </c>
      <c r="BL132" s="281">
        <v>0.1</v>
      </c>
      <c r="BM132" s="281">
        <v>0.1</v>
      </c>
      <c r="BN132" s="281">
        <v>0.1</v>
      </c>
      <c r="BO132" s="281">
        <v>0.1</v>
      </c>
      <c r="BP132" s="281">
        <v>0.1</v>
      </c>
      <c r="BQ132" s="281">
        <v>0.1</v>
      </c>
      <c r="BR132" s="286">
        <v>0</v>
      </c>
    </row>
    <row r="133" spans="1:70" ht="14.25" customHeight="1" x14ac:dyDescent="0.35">
      <c r="A133" s="4" t="s">
        <v>459</v>
      </c>
      <c r="B133" s="384">
        <v>34739.1705</v>
      </c>
      <c r="C133" s="385"/>
      <c r="D133" s="41" t="s">
        <v>120</v>
      </c>
      <c r="E133" s="93">
        <v>0</v>
      </c>
      <c r="F133" s="93">
        <v>2025</v>
      </c>
      <c r="G133" s="93">
        <v>2050</v>
      </c>
      <c r="I133" s="41" t="s">
        <v>120</v>
      </c>
      <c r="J133" s="281">
        <v>0.1</v>
      </c>
      <c r="K133" s="281">
        <v>0.1</v>
      </c>
      <c r="L133" s="281">
        <v>0.1</v>
      </c>
      <c r="M133" s="281">
        <v>0.1</v>
      </c>
      <c r="N133" s="281">
        <v>0.1</v>
      </c>
      <c r="O133" s="281">
        <v>0.1</v>
      </c>
      <c r="P133" s="281">
        <v>0.1</v>
      </c>
      <c r="Q133" s="281">
        <v>0.1</v>
      </c>
      <c r="R133" s="281">
        <v>0.1</v>
      </c>
      <c r="S133" s="281">
        <v>0.1</v>
      </c>
      <c r="T133" s="281">
        <v>0.1</v>
      </c>
      <c r="U133" s="281">
        <v>0.1</v>
      </c>
      <c r="V133" s="281">
        <v>0.1</v>
      </c>
      <c r="W133" s="281">
        <v>0.1</v>
      </c>
      <c r="X133" s="281">
        <v>0.1</v>
      </c>
      <c r="Y133" s="281">
        <v>0.1</v>
      </c>
      <c r="Z133" s="281">
        <v>0.1</v>
      </c>
      <c r="AA133" s="281">
        <v>0.1</v>
      </c>
      <c r="AB133" s="281">
        <v>0.1</v>
      </c>
      <c r="AC133" s="281">
        <v>0.1</v>
      </c>
      <c r="AD133" s="281">
        <v>0.1</v>
      </c>
      <c r="AE133" s="281">
        <v>0.1</v>
      </c>
      <c r="AF133" s="281">
        <v>0.1</v>
      </c>
      <c r="AG133" s="281">
        <v>0.1</v>
      </c>
      <c r="AH133" s="281">
        <v>0.1</v>
      </c>
      <c r="AI133" s="281">
        <v>0.1</v>
      </c>
      <c r="AJ133" s="281">
        <v>0.1</v>
      </c>
      <c r="AK133" s="281">
        <v>0.1</v>
      </c>
      <c r="AL133" s="281">
        <v>0.1</v>
      </c>
      <c r="AM133" s="281">
        <v>0.1</v>
      </c>
      <c r="AN133" s="281">
        <v>0.1</v>
      </c>
      <c r="AO133" s="281">
        <v>0.1</v>
      </c>
      <c r="AP133" s="281">
        <v>0.1</v>
      </c>
      <c r="AQ133" s="281">
        <v>0.1</v>
      </c>
      <c r="AR133" s="281">
        <v>0.1</v>
      </c>
      <c r="AS133" s="281">
        <v>0.1</v>
      </c>
      <c r="AT133" s="281">
        <v>0.1</v>
      </c>
      <c r="AU133" s="281">
        <v>0.1</v>
      </c>
      <c r="AV133" s="281">
        <v>0.1</v>
      </c>
      <c r="AW133" s="281">
        <v>0.1</v>
      </c>
      <c r="AX133" s="281">
        <v>0.1</v>
      </c>
      <c r="AY133" s="281">
        <v>0.1</v>
      </c>
      <c r="AZ133" s="281">
        <v>0.1</v>
      </c>
      <c r="BA133" s="281">
        <v>0.1</v>
      </c>
      <c r="BB133" s="281">
        <v>0.1</v>
      </c>
      <c r="BC133" s="281">
        <v>0.1</v>
      </c>
      <c r="BD133" s="281">
        <v>0.1</v>
      </c>
      <c r="BE133" s="281">
        <v>0.1</v>
      </c>
      <c r="BF133" s="281">
        <v>0.1</v>
      </c>
      <c r="BG133" s="281">
        <v>0.1</v>
      </c>
      <c r="BH133" s="281">
        <v>0.1</v>
      </c>
      <c r="BI133" s="281">
        <v>0.1</v>
      </c>
      <c r="BJ133" s="281">
        <v>0.1</v>
      </c>
      <c r="BK133" s="281">
        <v>0.1</v>
      </c>
      <c r="BL133" s="281">
        <v>0.1</v>
      </c>
      <c r="BM133" s="281">
        <v>0.1</v>
      </c>
      <c r="BN133" s="281">
        <v>0.1</v>
      </c>
      <c r="BO133" s="281">
        <v>0.1</v>
      </c>
      <c r="BP133" s="281">
        <v>0.1</v>
      </c>
      <c r="BQ133" s="281">
        <v>0.1</v>
      </c>
      <c r="BR133" s="286">
        <v>0</v>
      </c>
    </row>
    <row r="134" spans="1:70" ht="14.25" customHeight="1" x14ac:dyDescent="0.35">
      <c r="A134" s="4" t="s">
        <v>83</v>
      </c>
      <c r="B134" s="384">
        <v>30937.475999999999</v>
      </c>
      <c r="C134" s="385"/>
      <c r="D134" s="42" t="s">
        <v>83</v>
      </c>
      <c r="E134" s="93">
        <v>0</v>
      </c>
      <c r="F134" s="93">
        <v>2025</v>
      </c>
      <c r="G134" s="93">
        <v>2050</v>
      </c>
      <c r="I134" s="42" t="s">
        <v>83</v>
      </c>
      <c r="J134" s="286">
        <v>0</v>
      </c>
      <c r="K134" s="286">
        <v>0</v>
      </c>
      <c r="L134" s="286">
        <v>0</v>
      </c>
      <c r="M134" s="286">
        <v>0</v>
      </c>
      <c r="N134" s="286">
        <v>0</v>
      </c>
      <c r="O134" s="286">
        <v>0</v>
      </c>
      <c r="P134" s="286">
        <v>0</v>
      </c>
      <c r="Q134" s="286">
        <v>0</v>
      </c>
      <c r="R134" s="286">
        <v>0</v>
      </c>
      <c r="S134" s="286">
        <v>0</v>
      </c>
      <c r="T134" s="286">
        <v>0</v>
      </c>
      <c r="U134" s="286">
        <v>0</v>
      </c>
      <c r="V134" s="286">
        <v>0</v>
      </c>
      <c r="W134" s="286">
        <v>0</v>
      </c>
      <c r="X134" s="286">
        <v>0</v>
      </c>
      <c r="Y134" s="286">
        <v>0</v>
      </c>
      <c r="Z134" s="286">
        <v>0</v>
      </c>
      <c r="AA134" s="286">
        <v>0</v>
      </c>
      <c r="AB134" s="286">
        <v>0</v>
      </c>
      <c r="AC134" s="286">
        <v>0</v>
      </c>
      <c r="AD134" s="286">
        <v>0</v>
      </c>
      <c r="AE134" s="286">
        <v>0</v>
      </c>
      <c r="AF134" s="286">
        <v>0</v>
      </c>
      <c r="AG134" s="286">
        <v>0</v>
      </c>
      <c r="AH134" s="286">
        <v>0</v>
      </c>
      <c r="AI134" s="286">
        <v>0</v>
      </c>
      <c r="AJ134" s="286">
        <v>0</v>
      </c>
      <c r="AK134" s="286">
        <v>0</v>
      </c>
      <c r="AL134" s="286">
        <v>0</v>
      </c>
      <c r="AM134" s="286">
        <v>0</v>
      </c>
      <c r="AN134" s="286">
        <v>0</v>
      </c>
      <c r="AO134" s="286">
        <v>0</v>
      </c>
      <c r="AP134" s="286">
        <v>0</v>
      </c>
      <c r="AQ134" s="286">
        <v>0</v>
      </c>
      <c r="AR134" s="286">
        <v>0</v>
      </c>
      <c r="AS134" s="286">
        <v>0</v>
      </c>
      <c r="AT134" s="286">
        <v>0</v>
      </c>
      <c r="AU134" s="286">
        <v>0</v>
      </c>
      <c r="AV134" s="286">
        <v>0</v>
      </c>
      <c r="AW134" s="286">
        <v>0</v>
      </c>
      <c r="AX134" s="286">
        <v>0</v>
      </c>
      <c r="AY134" s="286">
        <v>0</v>
      </c>
      <c r="AZ134" s="286">
        <v>0</v>
      </c>
      <c r="BA134" s="286">
        <v>0</v>
      </c>
      <c r="BB134" s="286">
        <v>0</v>
      </c>
      <c r="BC134" s="286">
        <v>0</v>
      </c>
      <c r="BD134" s="286">
        <v>0</v>
      </c>
      <c r="BE134" s="286">
        <v>0</v>
      </c>
      <c r="BF134" s="286">
        <v>0</v>
      </c>
      <c r="BG134" s="286">
        <v>0</v>
      </c>
      <c r="BH134" s="286">
        <v>0</v>
      </c>
      <c r="BI134" s="286">
        <v>0</v>
      </c>
      <c r="BJ134" s="286">
        <v>0</v>
      </c>
      <c r="BK134" s="286">
        <v>0</v>
      </c>
      <c r="BL134" s="286">
        <v>0</v>
      </c>
      <c r="BM134" s="286">
        <v>0</v>
      </c>
      <c r="BN134" s="286">
        <v>0</v>
      </c>
      <c r="BO134" s="286">
        <v>0</v>
      </c>
      <c r="BP134" s="286">
        <v>0</v>
      </c>
      <c r="BQ134" s="286">
        <v>0</v>
      </c>
      <c r="BR134" s="281">
        <v>0.1</v>
      </c>
    </row>
    <row r="135" spans="1:70" ht="14.25" customHeight="1" x14ac:dyDescent="0.35">
      <c r="A135" s="4" t="s">
        <v>758</v>
      </c>
      <c r="B135" s="384">
        <v>0</v>
      </c>
      <c r="C135" s="385"/>
      <c r="D135" s="42" t="s">
        <v>144</v>
      </c>
      <c r="E135" s="386">
        <v>0</v>
      </c>
      <c r="F135" s="386">
        <v>0</v>
      </c>
      <c r="G135" s="386">
        <v>0</v>
      </c>
      <c r="I135" s="42" t="s">
        <v>144</v>
      </c>
      <c r="J135" s="286">
        <v>0</v>
      </c>
      <c r="K135" s="286">
        <v>0</v>
      </c>
      <c r="L135" s="286">
        <v>0</v>
      </c>
      <c r="M135" s="286">
        <v>0</v>
      </c>
      <c r="N135" s="286">
        <v>0</v>
      </c>
      <c r="O135" s="286">
        <v>0</v>
      </c>
      <c r="P135" s="286">
        <v>0</v>
      </c>
      <c r="Q135" s="286">
        <v>0</v>
      </c>
      <c r="R135" s="286">
        <v>0</v>
      </c>
      <c r="S135" s="286">
        <v>0</v>
      </c>
      <c r="T135" s="286">
        <v>0</v>
      </c>
      <c r="U135" s="286">
        <v>0</v>
      </c>
      <c r="V135" s="286">
        <v>0</v>
      </c>
      <c r="W135" s="286">
        <v>0</v>
      </c>
      <c r="X135" s="286">
        <v>0</v>
      </c>
      <c r="Y135" s="286">
        <v>0</v>
      </c>
      <c r="Z135" s="286">
        <v>0</v>
      </c>
      <c r="AA135" s="286">
        <v>0</v>
      </c>
      <c r="AB135" s="286">
        <v>0</v>
      </c>
      <c r="AC135" s="286">
        <v>0</v>
      </c>
      <c r="AD135" s="286">
        <v>0</v>
      </c>
      <c r="AE135" s="286">
        <v>0</v>
      </c>
      <c r="AF135" s="286">
        <v>0</v>
      </c>
      <c r="AG135" s="286">
        <v>0</v>
      </c>
      <c r="AH135" s="286">
        <v>0</v>
      </c>
      <c r="AI135" s="286">
        <v>0</v>
      </c>
      <c r="AJ135" s="286">
        <v>0</v>
      </c>
      <c r="AK135" s="286">
        <v>0</v>
      </c>
      <c r="AL135" s="286">
        <v>0</v>
      </c>
      <c r="AM135" s="286">
        <v>0</v>
      </c>
      <c r="AN135" s="286">
        <v>0</v>
      </c>
      <c r="AO135" s="286">
        <v>0</v>
      </c>
      <c r="AP135" s="286">
        <v>0</v>
      </c>
      <c r="AQ135" s="286">
        <v>0</v>
      </c>
      <c r="AR135" s="286">
        <v>0</v>
      </c>
      <c r="AS135" s="286">
        <v>0</v>
      </c>
      <c r="AT135" s="286">
        <v>0</v>
      </c>
      <c r="AU135" s="286">
        <v>0</v>
      </c>
      <c r="AV135" s="286">
        <v>0</v>
      </c>
      <c r="AW135" s="286">
        <v>0</v>
      </c>
      <c r="AX135" s="286">
        <v>0</v>
      </c>
      <c r="AY135" s="286">
        <v>0</v>
      </c>
      <c r="AZ135" s="286">
        <v>0</v>
      </c>
      <c r="BA135" s="286">
        <v>0</v>
      </c>
      <c r="BB135" s="286">
        <v>0</v>
      </c>
      <c r="BC135" s="286">
        <v>0</v>
      </c>
      <c r="BD135" s="286">
        <v>0</v>
      </c>
      <c r="BE135" s="286">
        <v>0</v>
      </c>
      <c r="BF135" s="286">
        <v>0</v>
      </c>
      <c r="BG135" s="286">
        <v>0</v>
      </c>
      <c r="BH135" s="286">
        <v>0</v>
      </c>
      <c r="BI135" s="286">
        <v>0</v>
      </c>
      <c r="BJ135" s="286">
        <v>0</v>
      </c>
      <c r="BK135" s="286">
        <v>0</v>
      </c>
      <c r="BL135" s="286">
        <v>0</v>
      </c>
      <c r="BM135" s="286">
        <v>0</v>
      </c>
      <c r="BN135" s="286">
        <v>0</v>
      </c>
      <c r="BO135" s="286">
        <v>0</v>
      </c>
      <c r="BP135" s="286">
        <v>0</v>
      </c>
      <c r="BQ135" s="286">
        <v>0</v>
      </c>
      <c r="BR135" s="286">
        <v>0</v>
      </c>
    </row>
    <row r="136" spans="1:70" ht="14.25" customHeight="1" x14ac:dyDescent="0.35">
      <c r="A136" s="4" t="s">
        <v>164</v>
      </c>
      <c r="B136" s="384">
        <v>0</v>
      </c>
      <c r="C136" s="385"/>
      <c r="D136" s="42" t="s">
        <v>164</v>
      </c>
      <c r="E136" s="386">
        <v>0</v>
      </c>
      <c r="F136" s="386">
        <v>0</v>
      </c>
      <c r="G136" s="386">
        <v>0</v>
      </c>
      <c r="I136" s="42" t="s">
        <v>164</v>
      </c>
      <c r="J136" s="286">
        <v>0</v>
      </c>
      <c r="K136" s="286">
        <v>0</v>
      </c>
      <c r="L136" s="286">
        <v>0</v>
      </c>
      <c r="M136" s="286">
        <v>0</v>
      </c>
      <c r="N136" s="286">
        <v>0</v>
      </c>
      <c r="O136" s="286">
        <v>0</v>
      </c>
      <c r="P136" s="286">
        <v>0</v>
      </c>
      <c r="Q136" s="286">
        <v>0</v>
      </c>
      <c r="R136" s="286">
        <v>0</v>
      </c>
      <c r="S136" s="286">
        <v>0</v>
      </c>
      <c r="T136" s="286">
        <v>0</v>
      </c>
      <c r="U136" s="286">
        <v>0</v>
      </c>
      <c r="V136" s="286">
        <v>0</v>
      </c>
      <c r="W136" s="286">
        <v>0</v>
      </c>
      <c r="X136" s="286">
        <v>0</v>
      </c>
      <c r="Y136" s="286">
        <v>0</v>
      </c>
      <c r="Z136" s="286">
        <v>0</v>
      </c>
      <c r="AA136" s="286">
        <v>0</v>
      </c>
      <c r="AB136" s="286">
        <v>0</v>
      </c>
      <c r="AC136" s="286">
        <v>0</v>
      </c>
      <c r="AD136" s="286">
        <v>0</v>
      </c>
      <c r="AE136" s="286">
        <v>0</v>
      </c>
      <c r="AF136" s="286">
        <v>0</v>
      </c>
      <c r="AG136" s="286">
        <v>0</v>
      </c>
      <c r="AH136" s="286">
        <v>0</v>
      </c>
      <c r="AI136" s="286">
        <v>0</v>
      </c>
      <c r="AJ136" s="286">
        <v>0</v>
      </c>
      <c r="AK136" s="286">
        <v>0</v>
      </c>
      <c r="AL136" s="286">
        <v>0</v>
      </c>
      <c r="AM136" s="286">
        <v>0</v>
      </c>
      <c r="AN136" s="286">
        <v>0</v>
      </c>
      <c r="AO136" s="286">
        <v>0</v>
      </c>
      <c r="AP136" s="286">
        <v>0</v>
      </c>
      <c r="AQ136" s="286">
        <v>0</v>
      </c>
      <c r="AR136" s="286">
        <v>0</v>
      </c>
      <c r="AS136" s="286">
        <v>0</v>
      </c>
      <c r="AT136" s="286">
        <v>0</v>
      </c>
      <c r="AU136" s="286">
        <v>0</v>
      </c>
      <c r="AV136" s="286">
        <v>0</v>
      </c>
      <c r="AW136" s="286">
        <v>0</v>
      </c>
      <c r="AX136" s="286">
        <v>0</v>
      </c>
      <c r="AY136" s="286">
        <v>0</v>
      </c>
      <c r="AZ136" s="286">
        <v>0</v>
      </c>
      <c r="BA136" s="286">
        <v>0</v>
      </c>
      <c r="BB136" s="286">
        <v>0</v>
      </c>
      <c r="BC136" s="286">
        <v>0</v>
      </c>
      <c r="BD136" s="286">
        <v>0</v>
      </c>
      <c r="BE136" s="286">
        <v>0</v>
      </c>
      <c r="BF136" s="286">
        <v>0</v>
      </c>
      <c r="BG136" s="286">
        <v>0</v>
      </c>
      <c r="BH136" s="286">
        <v>0</v>
      </c>
      <c r="BI136" s="286">
        <v>0</v>
      </c>
      <c r="BJ136" s="286">
        <v>0</v>
      </c>
      <c r="BK136" s="286">
        <v>0</v>
      </c>
      <c r="BL136" s="286">
        <v>0</v>
      </c>
      <c r="BM136" s="286">
        <v>0</v>
      </c>
      <c r="BN136" s="286">
        <v>0</v>
      </c>
      <c r="BO136" s="286">
        <v>0</v>
      </c>
      <c r="BP136" s="286">
        <v>0</v>
      </c>
      <c r="BQ136" s="286">
        <v>0</v>
      </c>
      <c r="BR136" s="286">
        <v>0</v>
      </c>
    </row>
    <row r="137" spans="1:70" ht="14.25" customHeight="1" x14ac:dyDescent="0.35">
      <c r="A137" s="4" t="s">
        <v>759</v>
      </c>
      <c r="B137" s="384">
        <v>0</v>
      </c>
      <c r="C137" s="385"/>
      <c r="D137" s="42" t="s">
        <v>145</v>
      </c>
      <c r="E137" s="386">
        <v>0</v>
      </c>
      <c r="F137" s="386">
        <v>0</v>
      </c>
      <c r="G137" s="386">
        <v>0</v>
      </c>
      <c r="I137" s="42" t="s">
        <v>145</v>
      </c>
      <c r="J137" s="286">
        <v>0</v>
      </c>
      <c r="K137" s="286">
        <v>0</v>
      </c>
      <c r="L137" s="286">
        <v>0</v>
      </c>
      <c r="M137" s="286">
        <v>0</v>
      </c>
      <c r="N137" s="286">
        <v>0</v>
      </c>
      <c r="O137" s="286">
        <v>0</v>
      </c>
      <c r="P137" s="286">
        <v>0</v>
      </c>
      <c r="Q137" s="286">
        <v>0</v>
      </c>
      <c r="R137" s="286">
        <v>0</v>
      </c>
      <c r="S137" s="286">
        <v>0</v>
      </c>
      <c r="T137" s="286">
        <v>0</v>
      </c>
      <c r="U137" s="286">
        <v>0</v>
      </c>
      <c r="V137" s="286">
        <v>0</v>
      </c>
      <c r="W137" s="286">
        <v>0</v>
      </c>
      <c r="X137" s="286">
        <v>0</v>
      </c>
      <c r="Y137" s="286">
        <v>0</v>
      </c>
      <c r="Z137" s="286">
        <v>0</v>
      </c>
      <c r="AA137" s="286">
        <v>0</v>
      </c>
      <c r="AB137" s="286">
        <v>0</v>
      </c>
      <c r="AC137" s="286">
        <v>0</v>
      </c>
      <c r="AD137" s="286">
        <v>0</v>
      </c>
      <c r="AE137" s="286">
        <v>0</v>
      </c>
      <c r="AF137" s="286">
        <v>0</v>
      </c>
      <c r="AG137" s="286">
        <v>0</v>
      </c>
      <c r="AH137" s="286">
        <v>0</v>
      </c>
      <c r="AI137" s="286">
        <v>0</v>
      </c>
      <c r="AJ137" s="286">
        <v>0</v>
      </c>
      <c r="AK137" s="286">
        <v>0</v>
      </c>
      <c r="AL137" s="286">
        <v>0</v>
      </c>
      <c r="AM137" s="286">
        <v>0</v>
      </c>
      <c r="AN137" s="286">
        <v>0</v>
      </c>
      <c r="AO137" s="286">
        <v>0</v>
      </c>
      <c r="AP137" s="286">
        <v>0</v>
      </c>
      <c r="AQ137" s="286">
        <v>0</v>
      </c>
      <c r="AR137" s="286">
        <v>0</v>
      </c>
      <c r="AS137" s="286">
        <v>0</v>
      </c>
      <c r="AT137" s="286">
        <v>0</v>
      </c>
      <c r="AU137" s="286">
        <v>0</v>
      </c>
      <c r="AV137" s="286">
        <v>0</v>
      </c>
      <c r="AW137" s="286">
        <v>0</v>
      </c>
      <c r="AX137" s="286">
        <v>0</v>
      </c>
      <c r="AY137" s="286">
        <v>0</v>
      </c>
      <c r="AZ137" s="286">
        <v>0</v>
      </c>
      <c r="BA137" s="286">
        <v>0</v>
      </c>
      <c r="BB137" s="286">
        <v>0</v>
      </c>
      <c r="BC137" s="286">
        <v>0</v>
      </c>
      <c r="BD137" s="286">
        <v>0</v>
      </c>
      <c r="BE137" s="286">
        <v>0</v>
      </c>
      <c r="BF137" s="286">
        <v>0</v>
      </c>
      <c r="BG137" s="286">
        <v>0</v>
      </c>
      <c r="BH137" s="286">
        <v>0</v>
      </c>
      <c r="BI137" s="286">
        <v>0</v>
      </c>
      <c r="BJ137" s="286">
        <v>0</v>
      </c>
      <c r="BK137" s="286">
        <v>0</v>
      </c>
      <c r="BL137" s="286">
        <v>0</v>
      </c>
      <c r="BM137" s="286">
        <v>0</v>
      </c>
      <c r="BN137" s="286">
        <v>0</v>
      </c>
      <c r="BO137" s="286">
        <v>0</v>
      </c>
      <c r="BP137" s="286">
        <v>0</v>
      </c>
      <c r="BQ137" s="286">
        <v>0</v>
      </c>
      <c r="BR137" s="286">
        <v>0</v>
      </c>
    </row>
    <row r="138" spans="1:70" ht="14.25" customHeight="1" x14ac:dyDescent="0.35">
      <c r="A138" s="4" t="s">
        <v>87</v>
      </c>
      <c r="B138" s="384">
        <v>0</v>
      </c>
      <c r="C138" s="385"/>
      <c r="D138" s="42" t="s">
        <v>87</v>
      </c>
      <c r="E138" s="386">
        <v>0</v>
      </c>
      <c r="F138" s="386">
        <v>0</v>
      </c>
      <c r="G138" s="386">
        <v>0</v>
      </c>
      <c r="I138" s="42" t="s">
        <v>87</v>
      </c>
      <c r="J138" s="286">
        <v>0</v>
      </c>
      <c r="K138" s="286">
        <v>0</v>
      </c>
      <c r="L138" s="286">
        <v>0</v>
      </c>
      <c r="M138" s="286">
        <v>0</v>
      </c>
      <c r="N138" s="286">
        <v>0</v>
      </c>
      <c r="O138" s="286">
        <v>0</v>
      </c>
      <c r="P138" s="286">
        <v>0</v>
      </c>
      <c r="Q138" s="286">
        <v>0</v>
      </c>
      <c r="R138" s="286">
        <v>0</v>
      </c>
      <c r="S138" s="286">
        <v>0</v>
      </c>
      <c r="T138" s="286">
        <v>0</v>
      </c>
      <c r="U138" s="286">
        <v>0</v>
      </c>
      <c r="V138" s="286">
        <v>0</v>
      </c>
      <c r="W138" s="286">
        <v>0</v>
      </c>
      <c r="X138" s="286">
        <v>0</v>
      </c>
      <c r="Y138" s="286">
        <v>0</v>
      </c>
      <c r="Z138" s="286">
        <v>0</v>
      </c>
      <c r="AA138" s="286">
        <v>0</v>
      </c>
      <c r="AB138" s="286">
        <v>0</v>
      </c>
      <c r="AC138" s="286">
        <v>0</v>
      </c>
      <c r="AD138" s="286">
        <v>0</v>
      </c>
      <c r="AE138" s="286">
        <v>0</v>
      </c>
      <c r="AF138" s="286">
        <v>0</v>
      </c>
      <c r="AG138" s="286">
        <v>0</v>
      </c>
      <c r="AH138" s="286">
        <v>0</v>
      </c>
      <c r="AI138" s="286">
        <v>0</v>
      </c>
      <c r="AJ138" s="286">
        <v>0</v>
      </c>
      <c r="AK138" s="286">
        <v>0</v>
      </c>
      <c r="AL138" s="286">
        <v>0</v>
      </c>
      <c r="AM138" s="286">
        <v>0</v>
      </c>
      <c r="AN138" s="286">
        <v>0</v>
      </c>
      <c r="AO138" s="286">
        <v>0</v>
      </c>
      <c r="AP138" s="286">
        <v>0</v>
      </c>
      <c r="AQ138" s="286">
        <v>0</v>
      </c>
      <c r="AR138" s="286">
        <v>0</v>
      </c>
      <c r="AS138" s="286">
        <v>0</v>
      </c>
      <c r="AT138" s="286">
        <v>0</v>
      </c>
      <c r="AU138" s="286">
        <v>0</v>
      </c>
      <c r="AV138" s="286">
        <v>0</v>
      </c>
      <c r="AW138" s="286">
        <v>0</v>
      </c>
      <c r="AX138" s="286">
        <v>0</v>
      </c>
      <c r="AY138" s="286">
        <v>0</v>
      </c>
      <c r="AZ138" s="286">
        <v>0</v>
      </c>
      <c r="BA138" s="286">
        <v>0</v>
      </c>
      <c r="BB138" s="286">
        <v>0</v>
      </c>
      <c r="BC138" s="286">
        <v>0</v>
      </c>
      <c r="BD138" s="286">
        <v>0</v>
      </c>
      <c r="BE138" s="286">
        <v>0</v>
      </c>
      <c r="BF138" s="286">
        <v>0</v>
      </c>
      <c r="BG138" s="286">
        <v>0</v>
      </c>
      <c r="BH138" s="286">
        <v>0</v>
      </c>
      <c r="BI138" s="286">
        <v>0</v>
      </c>
      <c r="BJ138" s="286">
        <v>0</v>
      </c>
      <c r="BK138" s="286">
        <v>0</v>
      </c>
      <c r="BL138" s="286">
        <v>0</v>
      </c>
      <c r="BM138" s="286">
        <v>0</v>
      </c>
      <c r="BN138" s="286">
        <v>0</v>
      </c>
      <c r="BO138" s="286">
        <v>0</v>
      </c>
      <c r="BP138" s="286">
        <v>0</v>
      </c>
      <c r="BQ138" s="286">
        <v>0</v>
      </c>
      <c r="BR138" s="286">
        <v>0</v>
      </c>
    </row>
    <row r="139" spans="1:70" ht="14.25" customHeight="1" x14ac:dyDescent="0.35">
      <c r="A139" s="4" t="s">
        <v>760</v>
      </c>
      <c r="B139" s="384">
        <v>0</v>
      </c>
      <c r="C139" s="385"/>
      <c r="D139" s="42" t="s">
        <v>146</v>
      </c>
      <c r="E139" s="386">
        <v>0</v>
      </c>
      <c r="F139" s="386">
        <v>0</v>
      </c>
      <c r="G139" s="386">
        <v>0</v>
      </c>
      <c r="I139" s="42" t="s">
        <v>146</v>
      </c>
      <c r="J139" s="286">
        <v>0</v>
      </c>
      <c r="K139" s="286">
        <v>0</v>
      </c>
      <c r="L139" s="286">
        <v>0</v>
      </c>
      <c r="M139" s="286">
        <v>0</v>
      </c>
      <c r="N139" s="286">
        <v>0</v>
      </c>
      <c r="O139" s="286">
        <v>0</v>
      </c>
      <c r="P139" s="286">
        <v>0</v>
      </c>
      <c r="Q139" s="286">
        <v>0</v>
      </c>
      <c r="R139" s="286">
        <v>0</v>
      </c>
      <c r="S139" s="286">
        <v>0</v>
      </c>
      <c r="T139" s="286">
        <v>0</v>
      </c>
      <c r="U139" s="286">
        <v>0</v>
      </c>
      <c r="V139" s="286">
        <v>0</v>
      </c>
      <c r="W139" s="286">
        <v>0</v>
      </c>
      <c r="X139" s="286">
        <v>0</v>
      </c>
      <c r="Y139" s="286">
        <v>0</v>
      </c>
      <c r="Z139" s="286">
        <v>0</v>
      </c>
      <c r="AA139" s="286">
        <v>0</v>
      </c>
      <c r="AB139" s="286">
        <v>0</v>
      </c>
      <c r="AC139" s="286">
        <v>0</v>
      </c>
      <c r="AD139" s="286">
        <v>0</v>
      </c>
      <c r="AE139" s="286">
        <v>0</v>
      </c>
      <c r="AF139" s="286">
        <v>0</v>
      </c>
      <c r="AG139" s="286">
        <v>0</v>
      </c>
      <c r="AH139" s="286">
        <v>0</v>
      </c>
      <c r="AI139" s="286">
        <v>0</v>
      </c>
      <c r="AJ139" s="286">
        <v>0</v>
      </c>
      <c r="AK139" s="286">
        <v>0</v>
      </c>
      <c r="AL139" s="286">
        <v>0</v>
      </c>
      <c r="AM139" s="286">
        <v>0</v>
      </c>
      <c r="AN139" s="286">
        <v>0</v>
      </c>
      <c r="AO139" s="286">
        <v>0</v>
      </c>
      <c r="AP139" s="286">
        <v>0</v>
      </c>
      <c r="AQ139" s="286">
        <v>0</v>
      </c>
      <c r="AR139" s="286">
        <v>0</v>
      </c>
      <c r="AS139" s="286">
        <v>0</v>
      </c>
      <c r="AT139" s="286">
        <v>0</v>
      </c>
      <c r="AU139" s="286">
        <v>0</v>
      </c>
      <c r="AV139" s="286">
        <v>0</v>
      </c>
      <c r="AW139" s="286">
        <v>0</v>
      </c>
      <c r="AX139" s="286">
        <v>0</v>
      </c>
      <c r="AY139" s="286">
        <v>0</v>
      </c>
      <c r="AZ139" s="286">
        <v>0</v>
      </c>
      <c r="BA139" s="286">
        <v>0</v>
      </c>
      <c r="BB139" s="286">
        <v>0</v>
      </c>
      <c r="BC139" s="286">
        <v>0</v>
      </c>
      <c r="BD139" s="286">
        <v>0</v>
      </c>
      <c r="BE139" s="286">
        <v>0</v>
      </c>
      <c r="BF139" s="286">
        <v>0</v>
      </c>
      <c r="BG139" s="286">
        <v>0</v>
      </c>
      <c r="BH139" s="286">
        <v>0</v>
      </c>
      <c r="BI139" s="286">
        <v>0</v>
      </c>
      <c r="BJ139" s="286">
        <v>0</v>
      </c>
      <c r="BK139" s="286">
        <v>0</v>
      </c>
      <c r="BL139" s="286">
        <v>0</v>
      </c>
      <c r="BM139" s="286">
        <v>0</v>
      </c>
      <c r="BN139" s="286">
        <v>0</v>
      </c>
      <c r="BO139" s="286">
        <v>0</v>
      </c>
      <c r="BP139" s="286">
        <v>0</v>
      </c>
      <c r="BQ139" s="286">
        <v>0</v>
      </c>
      <c r="BR139" s="286">
        <v>0</v>
      </c>
    </row>
    <row r="140" spans="1:70" ht="14.25" customHeight="1" x14ac:dyDescent="0.35">
      <c r="A140" s="4" t="s">
        <v>89</v>
      </c>
      <c r="B140" s="384">
        <v>0</v>
      </c>
      <c r="C140" s="385"/>
      <c r="D140" s="42" t="s">
        <v>89</v>
      </c>
      <c r="E140" s="386">
        <v>0</v>
      </c>
      <c r="F140" s="386">
        <v>0</v>
      </c>
      <c r="G140" s="386">
        <v>0</v>
      </c>
      <c r="I140" s="42" t="s">
        <v>89</v>
      </c>
      <c r="J140" s="286">
        <v>0</v>
      </c>
      <c r="K140" s="286">
        <v>0</v>
      </c>
      <c r="L140" s="286">
        <v>0</v>
      </c>
      <c r="M140" s="286">
        <v>0</v>
      </c>
      <c r="N140" s="286">
        <v>0</v>
      </c>
      <c r="O140" s="286">
        <v>0</v>
      </c>
      <c r="P140" s="286">
        <v>0</v>
      </c>
      <c r="Q140" s="286">
        <v>0</v>
      </c>
      <c r="R140" s="286">
        <v>0</v>
      </c>
      <c r="S140" s="286">
        <v>0</v>
      </c>
      <c r="T140" s="286">
        <v>0</v>
      </c>
      <c r="U140" s="286">
        <v>0</v>
      </c>
      <c r="V140" s="286">
        <v>0</v>
      </c>
      <c r="W140" s="286">
        <v>0</v>
      </c>
      <c r="X140" s="286">
        <v>0</v>
      </c>
      <c r="Y140" s="286">
        <v>0</v>
      </c>
      <c r="Z140" s="286">
        <v>0</v>
      </c>
      <c r="AA140" s="286">
        <v>0</v>
      </c>
      <c r="AB140" s="286">
        <v>0</v>
      </c>
      <c r="AC140" s="286">
        <v>0</v>
      </c>
      <c r="AD140" s="286">
        <v>0</v>
      </c>
      <c r="AE140" s="286">
        <v>0</v>
      </c>
      <c r="AF140" s="286">
        <v>0</v>
      </c>
      <c r="AG140" s="286">
        <v>0</v>
      </c>
      <c r="AH140" s="286">
        <v>0</v>
      </c>
      <c r="AI140" s="286">
        <v>0</v>
      </c>
      <c r="AJ140" s="286">
        <v>0</v>
      </c>
      <c r="AK140" s="286">
        <v>0</v>
      </c>
      <c r="AL140" s="286">
        <v>0</v>
      </c>
      <c r="AM140" s="286">
        <v>0</v>
      </c>
      <c r="AN140" s="286">
        <v>0</v>
      </c>
      <c r="AO140" s="286">
        <v>0</v>
      </c>
      <c r="AP140" s="286">
        <v>0</v>
      </c>
      <c r="AQ140" s="286">
        <v>0</v>
      </c>
      <c r="AR140" s="286">
        <v>0</v>
      </c>
      <c r="AS140" s="286">
        <v>0</v>
      </c>
      <c r="AT140" s="286">
        <v>0</v>
      </c>
      <c r="AU140" s="286">
        <v>0</v>
      </c>
      <c r="AV140" s="286">
        <v>0</v>
      </c>
      <c r="AW140" s="286">
        <v>0</v>
      </c>
      <c r="AX140" s="286">
        <v>0</v>
      </c>
      <c r="AY140" s="286">
        <v>0</v>
      </c>
      <c r="AZ140" s="286">
        <v>0</v>
      </c>
      <c r="BA140" s="286">
        <v>0</v>
      </c>
      <c r="BB140" s="286">
        <v>0</v>
      </c>
      <c r="BC140" s="286">
        <v>0</v>
      </c>
      <c r="BD140" s="286">
        <v>0</v>
      </c>
      <c r="BE140" s="286">
        <v>0</v>
      </c>
      <c r="BF140" s="286">
        <v>0</v>
      </c>
      <c r="BG140" s="286">
        <v>0</v>
      </c>
      <c r="BH140" s="286">
        <v>0</v>
      </c>
      <c r="BI140" s="286">
        <v>0</v>
      </c>
      <c r="BJ140" s="286">
        <v>0</v>
      </c>
      <c r="BK140" s="286">
        <v>0</v>
      </c>
      <c r="BL140" s="286">
        <v>0</v>
      </c>
      <c r="BM140" s="286">
        <v>0</v>
      </c>
      <c r="BN140" s="286">
        <v>0</v>
      </c>
      <c r="BO140" s="286">
        <v>0</v>
      </c>
      <c r="BP140" s="286">
        <v>0</v>
      </c>
      <c r="BQ140" s="286">
        <v>0</v>
      </c>
      <c r="BR140" s="286">
        <v>0</v>
      </c>
    </row>
    <row r="141" spans="1:70" ht="14.25" customHeight="1" x14ac:dyDescent="0.35">
      <c r="A141" s="4" t="s">
        <v>90</v>
      </c>
      <c r="B141" s="384">
        <v>0</v>
      </c>
      <c r="C141" s="385"/>
      <c r="D141" s="42" t="s">
        <v>90</v>
      </c>
      <c r="E141" s="386">
        <v>0</v>
      </c>
      <c r="F141" s="386">
        <v>0</v>
      </c>
      <c r="G141" s="386">
        <v>0</v>
      </c>
      <c r="I141" s="42" t="s">
        <v>90</v>
      </c>
      <c r="J141" s="286">
        <v>0</v>
      </c>
      <c r="K141" s="286">
        <v>0</v>
      </c>
      <c r="L141" s="286">
        <v>0</v>
      </c>
      <c r="M141" s="286">
        <v>0</v>
      </c>
      <c r="N141" s="286">
        <v>0</v>
      </c>
      <c r="O141" s="286">
        <v>0</v>
      </c>
      <c r="P141" s="286">
        <v>0</v>
      </c>
      <c r="Q141" s="286">
        <v>0</v>
      </c>
      <c r="R141" s="286">
        <v>0</v>
      </c>
      <c r="S141" s="286">
        <v>0</v>
      </c>
      <c r="T141" s="286">
        <v>0</v>
      </c>
      <c r="U141" s="286">
        <v>0</v>
      </c>
      <c r="V141" s="286">
        <v>0</v>
      </c>
      <c r="W141" s="286">
        <v>0</v>
      </c>
      <c r="X141" s="286">
        <v>0</v>
      </c>
      <c r="Y141" s="286">
        <v>0</v>
      </c>
      <c r="Z141" s="286">
        <v>0</v>
      </c>
      <c r="AA141" s="286">
        <v>0</v>
      </c>
      <c r="AB141" s="286">
        <v>0</v>
      </c>
      <c r="AC141" s="286">
        <v>0</v>
      </c>
      <c r="AD141" s="286">
        <v>0</v>
      </c>
      <c r="AE141" s="286">
        <v>0</v>
      </c>
      <c r="AF141" s="286">
        <v>0</v>
      </c>
      <c r="AG141" s="286">
        <v>0</v>
      </c>
      <c r="AH141" s="286">
        <v>0</v>
      </c>
      <c r="AI141" s="286">
        <v>0</v>
      </c>
      <c r="AJ141" s="286">
        <v>0</v>
      </c>
      <c r="AK141" s="286">
        <v>0</v>
      </c>
      <c r="AL141" s="286">
        <v>0</v>
      </c>
      <c r="AM141" s="286">
        <v>0</v>
      </c>
      <c r="AN141" s="286">
        <v>0</v>
      </c>
      <c r="AO141" s="286">
        <v>0</v>
      </c>
      <c r="AP141" s="286">
        <v>0</v>
      </c>
      <c r="AQ141" s="286">
        <v>0</v>
      </c>
      <c r="AR141" s="286">
        <v>0</v>
      </c>
      <c r="AS141" s="286">
        <v>0</v>
      </c>
      <c r="AT141" s="286">
        <v>0</v>
      </c>
      <c r="AU141" s="286">
        <v>0</v>
      </c>
      <c r="AV141" s="286">
        <v>0</v>
      </c>
      <c r="AW141" s="286">
        <v>0</v>
      </c>
      <c r="AX141" s="286">
        <v>0</v>
      </c>
      <c r="AY141" s="286">
        <v>0</v>
      </c>
      <c r="AZ141" s="286">
        <v>0</v>
      </c>
      <c r="BA141" s="286">
        <v>0</v>
      </c>
      <c r="BB141" s="286">
        <v>0</v>
      </c>
      <c r="BC141" s="286">
        <v>0</v>
      </c>
      <c r="BD141" s="286">
        <v>0</v>
      </c>
      <c r="BE141" s="286">
        <v>0</v>
      </c>
      <c r="BF141" s="286">
        <v>0</v>
      </c>
      <c r="BG141" s="286">
        <v>0</v>
      </c>
      <c r="BH141" s="286">
        <v>0</v>
      </c>
      <c r="BI141" s="286">
        <v>0</v>
      </c>
      <c r="BJ141" s="286">
        <v>0</v>
      </c>
      <c r="BK141" s="286">
        <v>0</v>
      </c>
      <c r="BL141" s="286">
        <v>0</v>
      </c>
      <c r="BM141" s="286">
        <v>0</v>
      </c>
      <c r="BN141" s="286">
        <v>0</v>
      </c>
      <c r="BO141" s="286">
        <v>0</v>
      </c>
      <c r="BP141" s="286">
        <v>0</v>
      </c>
      <c r="BQ141" s="286">
        <v>0</v>
      </c>
      <c r="BR141" s="286">
        <v>0</v>
      </c>
    </row>
    <row r="143" spans="1:70" ht="15" customHeight="1" x14ac:dyDescent="0.35"/>
    <row r="144" spans="1:70" x14ac:dyDescent="0.35">
      <c r="A144" s="143" t="s">
        <v>1659</v>
      </c>
      <c r="E144" s="224"/>
    </row>
    <row r="145" spans="1:70" ht="14.25" customHeight="1" x14ac:dyDescent="0.35">
      <c r="A145" s="383" t="s">
        <v>1744</v>
      </c>
      <c r="D145" s="25" t="s">
        <v>1745</v>
      </c>
      <c r="E145" s="25" t="s">
        <v>1746</v>
      </c>
      <c r="I145" s="94" t="s">
        <v>1747</v>
      </c>
    </row>
    <row r="146" spans="1:70" ht="14.25" customHeight="1" x14ac:dyDescent="0.35">
      <c r="A146" s="39" t="s">
        <v>1748</v>
      </c>
      <c r="B146" s="4"/>
      <c r="D146" s="39" t="s">
        <v>1232</v>
      </c>
      <c r="E146" s="279" t="s">
        <v>1749</v>
      </c>
      <c r="F146" s="279" t="s">
        <v>1750</v>
      </c>
      <c r="G146" s="279" t="s">
        <v>1751</v>
      </c>
      <c r="I146" s="39" t="s">
        <v>1232</v>
      </c>
      <c r="J146" s="387" t="s">
        <v>927</v>
      </c>
      <c r="K146" s="387" t="s">
        <v>928</v>
      </c>
      <c r="L146" s="387" t="s">
        <v>929</v>
      </c>
      <c r="M146" s="387" t="s">
        <v>930</v>
      </c>
      <c r="N146" s="387" t="s">
        <v>931</v>
      </c>
      <c r="O146" s="387" t="s">
        <v>932</v>
      </c>
      <c r="P146" s="387" t="s">
        <v>933</v>
      </c>
      <c r="Q146" s="387" t="s">
        <v>934</v>
      </c>
      <c r="R146" s="387" t="s">
        <v>935</v>
      </c>
      <c r="S146" s="387" t="s">
        <v>936</v>
      </c>
      <c r="T146" s="387" t="s">
        <v>937</v>
      </c>
      <c r="U146" s="387" t="s">
        <v>938</v>
      </c>
      <c r="V146" s="387" t="s">
        <v>939</v>
      </c>
      <c r="W146" s="387" t="s">
        <v>940</v>
      </c>
      <c r="X146" s="387" t="s">
        <v>941</v>
      </c>
      <c r="Y146" s="387" t="s">
        <v>942</v>
      </c>
      <c r="Z146" s="387" t="s">
        <v>943</v>
      </c>
      <c r="AA146" s="387" t="s">
        <v>944</v>
      </c>
      <c r="AB146" s="387" t="s">
        <v>945</v>
      </c>
      <c r="AC146" s="387" t="s">
        <v>946</v>
      </c>
      <c r="AD146" s="387" t="s">
        <v>947</v>
      </c>
      <c r="AE146" s="387" t="s">
        <v>948</v>
      </c>
      <c r="AF146" s="387" t="s">
        <v>949</v>
      </c>
      <c r="AG146" s="387" t="s">
        <v>950</v>
      </c>
      <c r="AH146" s="387" t="s">
        <v>951</v>
      </c>
      <c r="AI146" s="387" t="s">
        <v>952</v>
      </c>
      <c r="AJ146" s="387" t="s">
        <v>953</v>
      </c>
      <c r="AK146" s="387" t="s">
        <v>954</v>
      </c>
      <c r="AL146" s="387" t="s">
        <v>955</v>
      </c>
      <c r="AM146" s="387" t="s">
        <v>956</v>
      </c>
      <c r="AN146" s="387" t="s">
        <v>957</v>
      </c>
      <c r="AO146" s="387" t="s">
        <v>958</v>
      </c>
      <c r="AP146" s="387" t="s">
        <v>959</v>
      </c>
      <c r="AQ146" s="387" t="s">
        <v>960</v>
      </c>
      <c r="AR146" s="387" t="s">
        <v>961</v>
      </c>
      <c r="AS146" s="387" t="s">
        <v>962</v>
      </c>
      <c r="AT146" s="387" t="s">
        <v>963</v>
      </c>
      <c r="AU146" s="387" t="s">
        <v>964</v>
      </c>
      <c r="AV146" s="387" t="s">
        <v>965</v>
      </c>
      <c r="AW146" s="387" t="s">
        <v>966</v>
      </c>
      <c r="AX146" s="387" t="s">
        <v>967</v>
      </c>
      <c r="AY146" s="387" t="s">
        <v>968</v>
      </c>
      <c r="AZ146" s="387" t="s">
        <v>969</v>
      </c>
      <c r="BA146" s="387" t="s">
        <v>970</v>
      </c>
      <c r="BB146" s="387" t="s">
        <v>971</v>
      </c>
      <c r="BC146" s="387" t="s">
        <v>972</v>
      </c>
      <c r="BD146" s="387" t="s">
        <v>973</v>
      </c>
      <c r="BE146" s="387" t="s">
        <v>974</v>
      </c>
      <c r="BF146" s="387" t="s">
        <v>975</v>
      </c>
      <c r="BG146" s="387" t="s">
        <v>976</v>
      </c>
      <c r="BH146" s="387" t="s">
        <v>977</v>
      </c>
      <c r="BI146" s="387" t="s">
        <v>978</v>
      </c>
      <c r="BJ146" s="387" t="s">
        <v>979</v>
      </c>
      <c r="BK146" s="387" t="s">
        <v>980</v>
      </c>
      <c r="BL146" s="387" t="s">
        <v>981</v>
      </c>
      <c r="BM146" s="387" t="s">
        <v>982</v>
      </c>
      <c r="BN146" s="387" t="s">
        <v>983</v>
      </c>
      <c r="BO146" s="387" t="s">
        <v>984</v>
      </c>
      <c r="BP146" s="387" t="s">
        <v>985</v>
      </c>
      <c r="BQ146" s="387" t="s">
        <v>986</v>
      </c>
      <c r="BR146" s="387" t="s">
        <v>987</v>
      </c>
    </row>
    <row r="147" spans="1:70" ht="14.25" customHeight="1" x14ac:dyDescent="0.35">
      <c r="A147" s="4" t="s">
        <v>433</v>
      </c>
      <c r="B147" s="384">
        <v>679.97877100840356</v>
      </c>
      <c r="C147" s="385"/>
      <c r="D147" s="45" t="s">
        <v>228</v>
      </c>
      <c r="E147" s="93">
        <f>+$E$144</f>
        <v>0</v>
      </c>
      <c r="F147" s="93">
        <v>2025</v>
      </c>
      <c r="G147" s="93">
        <v>2050</v>
      </c>
      <c r="I147" s="45" t="s">
        <v>228</v>
      </c>
      <c r="J147" s="286">
        <v>0</v>
      </c>
      <c r="K147" s="286">
        <v>0</v>
      </c>
      <c r="L147" s="286">
        <v>0</v>
      </c>
      <c r="M147" s="286">
        <v>0</v>
      </c>
      <c r="N147" s="286">
        <v>0</v>
      </c>
      <c r="O147" s="286">
        <v>0</v>
      </c>
      <c r="P147" s="286">
        <v>0</v>
      </c>
      <c r="Q147" s="286">
        <v>0</v>
      </c>
      <c r="R147" s="286">
        <v>0</v>
      </c>
      <c r="S147" s="286">
        <v>0</v>
      </c>
      <c r="T147" s="286">
        <v>0</v>
      </c>
      <c r="U147" s="286">
        <v>0</v>
      </c>
      <c r="V147" s="286">
        <v>0</v>
      </c>
      <c r="W147" s="286">
        <v>0</v>
      </c>
      <c r="X147" s="286">
        <v>0</v>
      </c>
      <c r="Y147" s="286">
        <v>0</v>
      </c>
      <c r="Z147" s="286">
        <v>0</v>
      </c>
      <c r="AA147" s="286">
        <v>0</v>
      </c>
      <c r="AB147" s="286">
        <v>0</v>
      </c>
      <c r="AC147" s="286">
        <v>0</v>
      </c>
      <c r="AD147" s="286">
        <v>0</v>
      </c>
      <c r="AE147" s="286">
        <v>0</v>
      </c>
      <c r="AF147" s="286">
        <v>0</v>
      </c>
      <c r="AG147" s="286">
        <v>0</v>
      </c>
      <c r="AH147" s="286">
        <v>0</v>
      </c>
      <c r="AI147" s="286">
        <v>0</v>
      </c>
      <c r="AJ147" s="286">
        <v>0</v>
      </c>
      <c r="AK147" s="286">
        <v>0</v>
      </c>
      <c r="AL147" s="286">
        <v>0</v>
      </c>
      <c r="AM147" s="286">
        <v>0</v>
      </c>
      <c r="AN147" s="286">
        <v>0</v>
      </c>
      <c r="AO147" s="286">
        <v>0</v>
      </c>
      <c r="AP147" s="286">
        <v>0</v>
      </c>
      <c r="AQ147" s="286">
        <v>0</v>
      </c>
      <c r="AR147" s="286">
        <v>0</v>
      </c>
      <c r="AS147" s="286">
        <v>0</v>
      </c>
      <c r="AT147" s="286">
        <v>0</v>
      </c>
      <c r="AU147" s="286">
        <v>0</v>
      </c>
      <c r="AV147" s="286">
        <v>0</v>
      </c>
      <c r="AW147" s="286">
        <v>0</v>
      </c>
      <c r="AX147" s="286">
        <v>0</v>
      </c>
      <c r="AY147" s="286">
        <v>0</v>
      </c>
      <c r="AZ147" s="286">
        <v>0</v>
      </c>
      <c r="BA147" s="286">
        <v>0</v>
      </c>
      <c r="BB147" s="286">
        <v>0</v>
      </c>
      <c r="BC147" s="286">
        <v>0</v>
      </c>
      <c r="BD147" s="286">
        <v>0</v>
      </c>
      <c r="BE147" s="286">
        <v>0</v>
      </c>
      <c r="BF147" s="286">
        <v>0</v>
      </c>
      <c r="BG147" s="286">
        <v>0</v>
      </c>
      <c r="BH147" s="286">
        <v>0</v>
      </c>
      <c r="BI147" s="286">
        <v>0</v>
      </c>
      <c r="BJ147" s="286">
        <v>0</v>
      </c>
      <c r="BK147" s="286">
        <v>0</v>
      </c>
      <c r="BL147" s="286">
        <v>0</v>
      </c>
      <c r="BM147" s="286">
        <v>0</v>
      </c>
      <c r="BN147" s="286">
        <v>0</v>
      </c>
      <c r="BO147" s="286">
        <v>0</v>
      </c>
      <c r="BP147" s="286">
        <v>0</v>
      </c>
      <c r="BQ147" s="286">
        <v>0</v>
      </c>
      <c r="BR147" s="281">
        <v>0.65</v>
      </c>
    </row>
    <row r="148" spans="1:70" ht="14.25" customHeight="1" x14ac:dyDescent="0.35">
      <c r="A148" s="4" t="s">
        <v>434</v>
      </c>
      <c r="B148" s="384">
        <v>679.97877100840356</v>
      </c>
      <c r="C148" s="385"/>
      <c r="D148" s="41" t="s">
        <v>95</v>
      </c>
      <c r="E148" s="93">
        <f t="shared" ref="E148:E174" si="0">+$E$144</f>
        <v>0</v>
      </c>
      <c r="F148" s="93">
        <v>2025</v>
      </c>
      <c r="G148" s="93">
        <v>2050</v>
      </c>
      <c r="I148" s="41" t="s">
        <v>95</v>
      </c>
      <c r="J148" s="281">
        <v>0.85</v>
      </c>
      <c r="K148" s="281">
        <v>0.85</v>
      </c>
      <c r="L148" s="281">
        <v>0.85</v>
      </c>
      <c r="M148" s="281">
        <v>0.85</v>
      </c>
      <c r="N148" s="281">
        <v>0.85</v>
      </c>
      <c r="O148" s="281">
        <v>0.85</v>
      </c>
      <c r="P148" s="281">
        <v>0.85</v>
      </c>
      <c r="Q148" s="281">
        <v>0.85</v>
      </c>
      <c r="R148" s="281">
        <v>0.85</v>
      </c>
      <c r="S148" s="281">
        <v>0.85</v>
      </c>
      <c r="T148" s="281">
        <v>0.85</v>
      </c>
      <c r="U148" s="281">
        <v>0.85</v>
      </c>
      <c r="V148" s="281">
        <v>0.85</v>
      </c>
      <c r="W148" s="281">
        <v>0.85</v>
      </c>
      <c r="X148" s="281">
        <v>0.85</v>
      </c>
      <c r="Y148" s="281">
        <v>0.85</v>
      </c>
      <c r="Z148" s="281">
        <v>0.85</v>
      </c>
      <c r="AA148" s="281">
        <v>0.85</v>
      </c>
      <c r="AB148" s="281">
        <v>0.85</v>
      </c>
      <c r="AC148" s="281">
        <v>0.85</v>
      </c>
      <c r="AD148" s="281">
        <v>0.85</v>
      </c>
      <c r="AE148" s="281">
        <v>0.85</v>
      </c>
      <c r="AF148" s="281">
        <v>0.85</v>
      </c>
      <c r="AG148" s="281">
        <v>0.85</v>
      </c>
      <c r="AH148" s="281">
        <v>0.65</v>
      </c>
      <c r="AI148" s="281">
        <v>0.65</v>
      </c>
      <c r="AJ148" s="281">
        <v>0.65</v>
      </c>
      <c r="AK148" s="281">
        <v>0.65</v>
      </c>
      <c r="AL148" s="281">
        <v>0.65</v>
      </c>
      <c r="AM148" s="281">
        <v>0.65</v>
      </c>
      <c r="AN148" s="281">
        <v>0.65</v>
      </c>
      <c r="AO148" s="281">
        <v>0.65</v>
      </c>
      <c r="AP148" s="281">
        <v>0.65</v>
      </c>
      <c r="AQ148" s="281">
        <v>0.65</v>
      </c>
      <c r="AR148" s="281">
        <v>0.65</v>
      </c>
      <c r="AS148" s="281">
        <v>0.65</v>
      </c>
      <c r="AT148" s="281">
        <v>0.5</v>
      </c>
      <c r="AU148" s="281">
        <v>0.5</v>
      </c>
      <c r="AV148" s="281">
        <v>0.5</v>
      </c>
      <c r="AW148" s="281">
        <v>0.5</v>
      </c>
      <c r="AX148" s="281">
        <v>0.5</v>
      </c>
      <c r="AY148" s="281">
        <v>0.5</v>
      </c>
      <c r="AZ148" s="281">
        <v>0.5</v>
      </c>
      <c r="BA148" s="281">
        <v>0.5</v>
      </c>
      <c r="BB148" s="281">
        <v>0.5</v>
      </c>
      <c r="BC148" s="281">
        <v>0.5</v>
      </c>
      <c r="BD148" s="281">
        <v>0.5</v>
      </c>
      <c r="BE148" s="281">
        <v>0.5</v>
      </c>
      <c r="BF148" s="281">
        <v>0.5</v>
      </c>
      <c r="BG148" s="281">
        <v>0.3</v>
      </c>
      <c r="BH148" s="281">
        <v>0.3</v>
      </c>
      <c r="BI148" s="281">
        <v>0.3</v>
      </c>
      <c r="BJ148" s="281">
        <v>0.3</v>
      </c>
      <c r="BK148" s="281">
        <v>0.3</v>
      </c>
      <c r="BL148" s="281">
        <v>0.3</v>
      </c>
      <c r="BM148" s="281">
        <v>0.3</v>
      </c>
      <c r="BN148" s="281">
        <v>0.3</v>
      </c>
      <c r="BO148" s="281">
        <v>0.3</v>
      </c>
      <c r="BP148" s="281">
        <v>0.3</v>
      </c>
      <c r="BQ148" s="281">
        <v>0.3</v>
      </c>
      <c r="BR148" s="286">
        <v>0</v>
      </c>
    </row>
    <row r="149" spans="1:70" ht="14.25" customHeight="1" x14ac:dyDescent="0.35">
      <c r="A149" s="4" t="s">
        <v>435</v>
      </c>
      <c r="B149" s="384">
        <v>679.97877100840356</v>
      </c>
      <c r="C149" s="385"/>
      <c r="D149" s="41" t="s">
        <v>96</v>
      </c>
      <c r="E149" s="93">
        <f t="shared" si="0"/>
        <v>0</v>
      </c>
      <c r="F149" s="93">
        <v>2025</v>
      </c>
      <c r="G149" s="93">
        <v>2050</v>
      </c>
      <c r="I149" s="41" t="s">
        <v>96</v>
      </c>
      <c r="J149" s="281">
        <v>0.85</v>
      </c>
      <c r="K149" s="281">
        <v>0.85</v>
      </c>
      <c r="L149" s="281">
        <v>0.85</v>
      </c>
      <c r="M149" s="281">
        <v>0.85</v>
      </c>
      <c r="N149" s="281">
        <v>0.85</v>
      </c>
      <c r="O149" s="281">
        <v>0.85</v>
      </c>
      <c r="P149" s="281">
        <v>0.85</v>
      </c>
      <c r="Q149" s="281">
        <v>0.85</v>
      </c>
      <c r="R149" s="281">
        <v>0.85</v>
      </c>
      <c r="S149" s="281">
        <v>0.85</v>
      </c>
      <c r="T149" s="281">
        <v>0.85</v>
      </c>
      <c r="U149" s="281">
        <v>0.85</v>
      </c>
      <c r="V149" s="281">
        <v>0.85</v>
      </c>
      <c r="W149" s="281">
        <v>0.85</v>
      </c>
      <c r="X149" s="281">
        <v>0.85</v>
      </c>
      <c r="Y149" s="281">
        <v>0.85</v>
      </c>
      <c r="Z149" s="281">
        <v>0.85</v>
      </c>
      <c r="AA149" s="281">
        <v>0.85</v>
      </c>
      <c r="AB149" s="281">
        <v>0.85</v>
      </c>
      <c r="AC149" s="281">
        <v>0.85</v>
      </c>
      <c r="AD149" s="281">
        <v>0.85</v>
      </c>
      <c r="AE149" s="281">
        <v>0.85</v>
      </c>
      <c r="AF149" s="281">
        <v>0.85</v>
      </c>
      <c r="AG149" s="281">
        <v>0.85</v>
      </c>
      <c r="AH149" s="281">
        <v>0.65</v>
      </c>
      <c r="AI149" s="281">
        <v>0.65</v>
      </c>
      <c r="AJ149" s="281">
        <v>0.65</v>
      </c>
      <c r="AK149" s="281">
        <v>0.65</v>
      </c>
      <c r="AL149" s="281">
        <v>0.65</v>
      </c>
      <c r="AM149" s="281">
        <v>0.65</v>
      </c>
      <c r="AN149" s="281">
        <v>0.65</v>
      </c>
      <c r="AO149" s="281">
        <v>0.65</v>
      </c>
      <c r="AP149" s="281">
        <v>0.65</v>
      </c>
      <c r="AQ149" s="281">
        <v>0.65</v>
      </c>
      <c r="AR149" s="281">
        <v>0.65</v>
      </c>
      <c r="AS149" s="281">
        <v>0.65</v>
      </c>
      <c r="AT149" s="281">
        <v>0.5</v>
      </c>
      <c r="AU149" s="281">
        <v>0.5</v>
      </c>
      <c r="AV149" s="281">
        <v>0.5</v>
      </c>
      <c r="AW149" s="281">
        <v>0.5</v>
      </c>
      <c r="AX149" s="281">
        <v>0.5</v>
      </c>
      <c r="AY149" s="281">
        <v>0.5</v>
      </c>
      <c r="AZ149" s="281">
        <v>0.5</v>
      </c>
      <c r="BA149" s="281">
        <v>0.5</v>
      </c>
      <c r="BB149" s="281">
        <v>0.5</v>
      </c>
      <c r="BC149" s="281">
        <v>0.5</v>
      </c>
      <c r="BD149" s="281">
        <v>0.5</v>
      </c>
      <c r="BE149" s="281">
        <v>0.5</v>
      </c>
      <c r="BF149" s="281">
        <v>0.5</v>
      </c>
      <c r="BG149" s="281">
        <v>0.3</v>
      </c>
      <c r="BH149" s="281">
        <v>0.3</v>
      </c>
      <c r="BI149" s="281">
        <v>0.3</v>
      </c>
      <c r="BJ149" s="281">
        <v>0.3</v>
      </c>
      <c r="BK149" s="281">
        <v>0.3</v>
      </c>
      <c r="BL149" s="281">
        <v>0.3</v>
      </c>
      <c r="BM149" s="281">
        <v>0.3</v>
      </c>
      <c r="BN149" s="281">
        <v>0.3</v>
      </c>
      <c r="BO149" s="281">
        <v>0.3</v>
      </c>
      <c r="BP149" s="281">
        <v>0.3</v>
      </c>
      <c r="BQ149" s="281">
        <v>0.3</v>
      </c>
      <c r="BR149" s="286">
        <v>0</v>
      </c>
    </row>
    <row r="150" spans="1:70" ht="14.25" customHeight="1" x14ac:dyDescent="0.35">
      <c r="A150" s="4" t="s">
        <v>436</v>
      </c>
      <c r="B150" s="384">
        <v>679.97877100840356</v>
      </c>
      <c r="C150" s="385"/>
      <c r="D150" s="41" t="s">
        <v>97</v>
      </c>
      <c r="E150" s="93">
        <f t="shared" si="0"/>
        <v>0</v>
      </c>
      <c r="F150" s="93">
        <v>2025</v>
      </c>
      <c r="G150" s="93">
        <v>2050</v>
      </c>
      <c r="I150" s="41" t="s">
        <v>97</v>
      </c>
      <c r="J150" s="281">
        <v>0.85</v>
      </c>
      <c r="K150" s="281">
        <v>0.85</v>
      </c>
      <c r="L150" s="281">
        <v>0.85</v>
      </c>
      <c r="M150" s="281">
        <v>0.85</v>
      </c>
      <c r="N150" s="281">
        <v>0.85</v>
      </c>
      <c r="O150" s="281">
        <v>0.85</v>
      </c>
      <c r="P150" s="281">
        <v>0.85</v>
      </c>
      <c r="Q150" s="281">
        <v>0.85</v>
      </c>
      <c r="R150" s="281">
        <v>0.85</v>
      </c>
      <c r="S150" s="281">
        <v>0.85</v>
      </c>
      <c r="T150" s="281">
        <v>0.85</v>
      </c>
      <c r="U150" s="281">
        <v>0.85</v>
      </c>
      <c r="V150" s="281">
        <v>0.85</v>
      </c>
      <c r="W150" s="281">
        <v>0.85</v>
      </c>
      <c r="X150" s="281">
        <v>0.85</v>
      </c>
      <c r="Y150" s="281">
        <v>0.85</v>
      </c>
      <c r="Z150" s="281">
        <v>0.85</v>
      </c>
      <c r="AA150" s="281">
        <v>0.85</v>
      </c>
      <c r="AB150" s="281">
        <v>0.85</v>
      </c>
      <c r="AC150" s="281">
        <v>0.85</v>
      </c>
      <c r="AD150" s="281">
        <v>0.85</v>
      </c>
      <c r="AE150" s="281">
        <v>0.85</v>
      </c>
      <c r="AF150" s="281">
        <v>0.85</v>
      </c>
      <c r="AG150" s="281">
        <v>0.85</v>
      </c>
      <c r="AH150" s="281">
        <v>0.65</v>
      </c>
      <c r="AI150" s="281">
        <v>0.65</v>
      </c>
      <c r="AJ150" s="281">
        <v>0.65</v>
      </c>
      <c r="AK150" s="281">
        <v>0.65</v>
      </c>
      <c r="AL150" s="281">
        <v>0.65</v>
      </c>
      <c r="AM150" s="281">
        <v>0.65</v>
      </c>
      <c r="AN150" s="281">
        <v>0.65</v>
      </c>
      <c r="AO150" s="281">
        <v>0.65</v>
      </c>
      <c r="AP150" s="281">
        <v>0.65</v>
      </c>
      <c r="AQ150" s="281">
        <v>0.65</v>
      </c>
      <c r="AR150" s="281">
        <v>0.65</v>
      </c>
      <c r="AS150" s="281">
        <v>0.65</v>
      </c>
      <c r="AT150" s="281">
        <v>0.5</v>
      </c>
      <c r="AU150" s="281">
        <v>0.5</v>
      </c>
      <c r="AV150" s="281">
        <v>0.5</v>
      </c>
      <c r="AW150" s="281">
        <v>0.5</v>
      </c>
      <c r="AX150" s="281">
        <v>0.5</v>
      </c>
      <c r="AY150" s="281">
        <v>0.5</v>
      </c>
      <c r="AZ150" s="281">
        <v>0.5</v>
      </c>
      <c r="BA150" s="281">
        <v>0.5</v>
      </c>
      <c r="BB150" s="281">
        <v>0.5</v>
      </c>
      <c r="BC150" s="281">
        <v>0.5</v>
      </c>
      <c r="BD150" s="281">
        <v>0.5</v>
      </c>
      <c r="BE150" s="281">
        <v>0.5</v>
      </c>
      <c r="BF150" s="281">
        <v>0.5</v>
      </c>
      <c r="BG150" s="281">
        <v>0.3</v>
      </c>
      <c r="BH150" s="281">
        <v>0.3</v>
      </c>
      <c r="BI150" s="281">
        <v>0.3</v>
      </c>
      <c r="BJ150" s="281">
        <v>0.3</v>
      </c>
      <c r="BK150" s="281">
        <v>0.3</v>
      </c>
      <c r="BL150" s="281">
        <v>0.3</v>
      </c>
      <c r="BM150" s="281">
        <v>0.3</v>
      </c>
      <c r="BN150" s="281">
        <v>0.3</v>
      </c>
      <c r="BO150" s="281">
        <v>0.3</v>
      </c>
      <c r="BP150" s="281">
        <v>0.3</v>
      </c>
      <c r="BQ150" s="281">
        <v>0.3</v>
      </c>
      <c r="BR150" s="286">
        <v>0</v>
      </c>
    </row>
    <row r="151" spans="1:70" ht="14.25" customHeight="1" x14ac:dyDescent="0.35">
      <c r="A151" s="4" t="s">
        <v>437</v>
      </c>
      <c r="B151" s="384">
        <v>679.97877100840356</v>
      </c>
      <c r="C151" s="385"/>
      <c r="D151" s="41" t="s">
        <v>98</v>
      </c>
      <c r="E151" s="93">
        <f t="shared" si="0"/>
        <v>0</v>
      </c>
      <c r="F151" s="93">
        <v>2025</v>
      </c>
      <c r="G151" s="93">
        <v>2050</v>
      </c>
      <c r="I151" s="41" t="s">
        <v>98</v>
      </c>
      <c r="J151" s="281">
        <v>0.85</v>
      </c>
      <c r="K151" s="281">
        <v>0.85</v>
      </c>
      <c r="L151" s="281">
        <v>0.85</v>
      </c>
      <c r="M151" s="281">
        <v>0.85</v>
      </c>
      <c r="N151" s="281">
        <v>0.85</v>
      </c>
      <c r="O151" s="281">
        <v>0.85</v>
      </c>
      <c r="P151" s="281">
        <v>0.85</v>
      </c>
      <c r="Q151" s="281">
        <v>0.85</v>
      </c>
      <c r="R151" s="281">
        <v>0.85</v>
      </c>
      <c r="S151" s="281">
        <v>0.85</v>
      </c>
      <c r="T151" s="281">
        <v>0.85</v>
      </c>
      <c r="U151" s="281">
        <v>0.85</v>
      </c>
      <c r="V151" s="281">
        <v>0.85</v>
      </c>
      <c r="W151" s="281">
        <v>0.85</v>
      </c>
      <c r="X151" s="281">
        <v>0.85</v>
      </c>
      <c r="Y151" s="281">
        <v>0.85</v>
      </c>
      <c r="Z151" s="281">
        <v>0.85</v>
      </c>
      <c r="AA151" s="281">
        <v>0.85</v>
      </c>
      <c r="AB151" s="281">
        <v>0.85</v>
      </c>
      <c r="AC151" s="281">
        <v>0.85</v>
      </c>
      <c r="AD151" s="281">
        <v>0.85</v>
      </c>
      <c r="AE151" s="281">
        <v>0.85</v>
      </c>
      <c r="AF151" s="281">
        <v>0.85</v>
      </c>
      <c r="AG151" s="281">
        <v>0.85</v>
      </c>
      <c r="AH151" s="281">
        <v>0.65</v>
      </c>
      <c r="AI151" s="281">
        <v>0.65</v>
      </c>
      <c r="AJ151" s="281">
        <v>0.65</v>
      </c>
      <c r="AK151" s="281">
        <v>0.65</v>
      </c>
      <c r="AL151" s="281">
        <v>0.65</v>
      </c>
      <c r="AM151" s="281">
        <v>0.65</v>
      </c>
      <c r="AN151" s="281">
        <v>0.65</v>
      </c>
      <c r="AO151" s="281">
        <v>0.65</v>
      </c>
      <c r="AP151" s="281">
        <v>0.65</v>
      </c>
      <c r="AQ151" s="281">
        <v>0.65</v>
      </c>
      <c r="AR151" s="281">
        <v>0.65</v>
      </c>
      <c r="AS151" s="281">
        <v>0.65</v>
      </c>
      <c r="AT151" s="281">
        <v>0.5</v>
      </c>
      <c r="AU151" s="281">
        <v>0.5</v>
      </c>
      <c r="AV151" s="281">
        <v>0.5</v>
      </c>
      <c r="AW151" s="281">
        <v>0.5</v>
      </c>
      <c r="AX151" s="281">
        <v>0.5</v>
      </c>
      <c r="AY151" s="281">
        <v>0.5</v>
      </c>
      <c r="AZ151" s="281">
        <v>0.5</v>
      </c>
      <c r="BA151" s="281">
        <v>0.5</v>
      </c>
      <c r="BB151" s="281">
        <v>0.5</v>
      </c>
      <c r="BC151" s="281">
        <v>0.5</v>
      </c>
      <c r="BD151" s="281">
        <v>0.5</v>
      </c>
      <c r="BE151" s="281">
        <v>0.5</v>
      </c>
      <c r="BF151" s="281">
        <v>0.5</v>
      </c>
      <c r="BG151" s="281">
        <v>0.3</v>
      </c>
      <c r="BH151" s="281">
        <v>0.3</v>
      </c>
      <c r="BI151" s="281">
        <v>0.3</v>
      </c>
      <c r="BJ151" s="281">
        <v>0.3</v>
      </c>
      <c r="BK151" s="281">
        <v>0.3</v>
      </c>
      <c r="BL151" s="281">
        <v>0.3</v>
      </c>
      <c r="BM151" s="281">
        <v>0.3</v>
      </c>
      <c r="BN151" s="281">
        <v>0.3</v>
      </c>
      <c r="BO151" s="281">
        <v>0.3</v>
      </c>
      <c r="BP151" s="281">
        <v>0.3</v>
      </c>
      <c r="BQ151" s="281">
        <v>0.3</v>
      </c>
      <c r="BR151" s="286">
        <v>0</v>
      </c>
    </row>
    <row r="152" spans="1:70" ht="14.25" customHeight="1" x14ac:dyDescent="0.35">
      <c r="A152" s="4" t="s">
        <v>438</v>
      </c>
      <c r="B152" s="384">
        <v>679.97877100840356</v>
      </c>
      <c r="C152" s="385"/>
      <c r="D152" s="41" t="s">
        <v>163</v>
      </c>
      <c r="E152" s="93">
        <f t="shared" si="0"/>
        <v>0</v>
      </c>
      <c r="F152" s="93">
        <v>2025</v>
      </c>
      <c r="G152" s="93">
        <v>2050</v>
      </c>
      <c r="I152" s="41" t="s">
        <v>163</v>
      </c>
      <c r="J152" s="281">
        <v>0.85</v>
      </c>
      <c r="K152" s="281">
        <v>0.85</v>
      </c>
      <c r="L152" s="281">
        <v>0.85</v>
      </c>
      <c r="M152" s="281">
        <v>0.85</v>
      </c>
      <c r="N152" s="281">
        <v>0.85</v>
      </c>
      <c r="O152" s="281">
        <v>0.85</v>
      </c>
      <c r="P152" s="281">
        <v>0.85</v>
      </c>
      <c r="Q152" s="281">
        <v>0.85</v>
      </c>
      <c r="R152" s="281">
        <v>0.85</v>
      </c>
      <c r="S152" s="281">
        <v>0.85</v>
      </c>
      <c r="T152" s="281">
        <v>0.85</v>
      </c>
      <c r="U152" s="281">
        <v>0.85</v>
      </c>
      <c r="V152" s="281">
        <v>0.85</v>
      </c>
      <c r="W152" s="281">
        <v>0.85</v>
      </c>
      <c r="X152" s="281">
        <v>0.85</v>
      </c>
      <c r="Y152" s="281">
        <v>0.85</v>
      </c>
      <c r="Z152" s="281">
        <v>0.85</v>
      </c>
      <c r="AA152" s="281">
        <v>0.85</v>
      </c>
      <c r="AB152" s="281">
        <v>0.85</v>
      </c>
      <c r="AC152" s="281">
        <v>0.85</v>
      </c>
      <c r="AD152" s="281">
        <v>0.85</v>
      </c>
      <c r="AE152" s="281">
        <v>0.85</v>
      </c>
      <c r="AF152" s="281">
        <v>0.85</v>
      </c>
      <c r="AG152" s="281">
        <v>0.85</v>
      </c>
      <c r="AH152" s="281">
        <v>0.65</v>
      </c>
      <c r="AI152" s="281">
        <v>0.65</v>
      </c>
      <c r="AJ152" s="281">
        <v>0.65</v>
      </c>
      <c r="AK152" s="281">
        <v>0.65</v>
      </c>
      <c r="AL152" s="281">
        <v>0.65</v>
      </c>
      <c r="AM152" s="281">
        <v>0.65</v>
      </c>
      <c r="AN152" s="281">
        <v>0.65</v>
      </c>
      <c r="AO152" s="281">
        <v>0.65</v>
      </c>
      <c r="AP152" s="281">
        <v>0.65</v>
      </c>
      <c r="AQ152" s="281">
        <v>0.65</v>
      </c>
      <c r="AR152" s="281">
        <v>0.65</v>
      </c>
      <c r="AS152" s="281">
        <v>0.65</v>
      </c>
      <c r="AT152" s="281">
        <v>0.5</v>
      </c>
      <c r="AU152" s="281">
        <v>0.5</v>
      </c>
      <c r="AV152" s="281">
        <v>0.5</v>
      </c>
      <c r="AW152" s="281">
        <v>0.5</v>
      </c>
      <c r="AX152" s="281">
        <v>0.5</v>
      </c>
      <c r="AY152" s="281">
        <v>0.5</v>
      </c>
      <c r="AZ152" s="281">
        <v>0.5</v>
      </c>
      <c r="BA152" s="281">
        <v>0.5</v>
      </c>
      <c r="BB152" s="281">
        <v>0.5</v>
      </c>
      <c r="BC152" s="281">
        <v>0.5</v>
      </c>
      <c r="BD152" s="281">
        <v>0.5</v>
      </c>
      <c r="BE152" s="281">
        <v>0.5</v>
      </c>
      <c r="BF152" s="281">
        <v>0.5</v>
      </c>
      <c r="BG152" s="281">
        <v>0.3</v>
      </c>
      <c r="BH152" s="281">
        <v>0.3</v>
      </c>
      <c r="BI152" s="281">
        <v>0.3</v>
      </c>
      <c r="BJ152" s="281">
        <v>0.3</v>
      </c>
      <c r="BK152" s="281">
        <v>0.3</v>
      </c>
      <c r="BL152" s="281">
        <v>0.3</v>
      </c>
      <c r="BM152" s="281">
        <v>0.3</v>
      </c>
      <c r="BN152" s="281">
        <v>0.3</v>
      </c>
      <c r="BO152" s="281">
        <v>0.3</v>
      </c>
      <c r="BP152" s="281">
        <v>0.3</v>
      </c>
      <c r="BQ152" s="281">
        <v>0.3</v>
      </c>
      <c r="BR152" s="286">
        <v>0</v>
      </c>
    </row>
    <row r="153" spans="1:70" ht="14.25" customHeight="1" x14ac:dyDescent="0.35">
      <c r="A153" s="4" t="s">
        <v>439</v>
      </c>
      <c r="B153" s="384">
        <v>679.97877100840356</v>
      </c>
      <c r="C153" s="385"/>
      <c r="D153" s="41" t="s">
        <v>100</v>
      </c>
      <c r="E153" s="93">
        <f t="shared" si="0"/>
        <v>0</v>
      </c>
      <c r="F153" s="93">
        <v>2025</v>
      </c>
      <c r="G153" s="93">
        <v>2050</v>
      </c>
      <c r="I153" s="41" t="s">
        <v>100</v>
      </c>
      <c r="J153" s="281">
        <v>0.85</v>
      </c>
      <c r="K153" s="281">
        <v>0.85</v>
      </c>
      <c r="L153" s="281">
        <v>0.85</v>
      </c>
      <c r="M153" s="281">
        <v>0.85</v>
      </c>
      <c r="N153" s="281">
        <v>0.85</v>
      </c>
      <c r="O153" s="281">
        <v>0.85</v>
      </c>
      <c r="P153" s="281">
        <v>0.85</v>
      </c>
      <c r="Q153" s="281">
        <v>0.85</v>
      </c>
      <c r="R153" s="281">
        <v>0.85</v>
      </c>
      <c r="S153" s="281">
        <v>0.85</v>
      </c>
      <c r="T153" s="281">
        <v>0.85</v>
      </c>
      <c r="U153" s="281">
        <v>0.85</v>
      </c>
      <c r="V153" s="281">
        <v>0.85</v>
      </c>
      <c r="W153" s="281">
        <v>0.85</v>
      </c>
      <c r="X153" s="281">
        <v>0.85</v>
      </c>
      <c r="Y153" s="281">
        <v>0.85</v>
      </c>
      <c r="Z153" s="281">
        <v>0.85</v>
      </c>
      <c r="AA153" s="281">
        <v>0.85</v>
      </c>
      <c r="AB153" s="281">
        <v>0.85</v>
      </c>
      <c r="AC153" s="281">
        <v>0.85</v>
      </c>
      <c r="AD153" s="281">
        <v>0.85</v>
      </c>
      <c r="AE153" s="281">
        <v>0.85</v>
      </c>
      <c r="AF153" s="281">
        <v>0.85</v>
      </c>
      <c r="AG153" s="281">
        <v>0.85</v>
      </c>
      <c r="AH153" s="281">
        <v>0.65</v>
      </c>
      <c r="AI153" s="281">
        <v>0.65</v>
      </c>
      <c r="AJ153" s="281">
        <v>0.65</v>
      </c>
      <c r="AK153" s="281">
        <v>0.65</v>
      </c>
      <c r="AL153" s="281">
        <v>0.65</v>
      </c>
      <c r="AM153" s="281">
        <v>0.65</v>
      </c>
      <c r="AN153" s="281">
        <v>0.65</v>
      </c>
      <c r="AO153" s="281">
        <v>0.65</v>
      </c>
      <c r="AP153" s="281">
        <v>0.65</v>
      </c>
      <c r="AQ153" s="281">
        <v>0.65</v>
      </c>
      <c r="AR153" s="281">
        <v>0.65</v>
      </c>
      <c r="AS153" s="281">
        <v>0.65</v>
      </c>
      <c r="AT153" s="281">
        <v>0.5</v>
      </c>
      <c r="AU153" s="281">
        <v>0.5</v>
      </c>
      <c r="AV153" s="281">
        <v>0.5</v>
      </c>
      <c r="AW153" s="281">
        <v>0.5</v>
      </c>
      <c r="AX153" s="281">
        <v>0.5</v>
      </c>
      <c r="AY153" s="281">
        <v>0.5</v>
      </c>
      <c r="AZ153" s="281">
        <v>0.5</v>
      </c>
      <c r="BA153" s="281">
        <v>0.5</v>
      </c>
      <c r="BB153" s="281">
        <v>0.5</v>
      </c>
      <c r="BC153" s="281">
        <v>0.5</v>
      </c>
      <c r="BD153" s="281">
        <v>0.5</v>
      </c>
      <c r="BE153" s="281">
        <v>0.5</v>
      </c>
      <c r="BF153" s="281">
        <v>0.5</v>
      </c>
      <c r="BG153" s="281">
        <v>0.3</v>
      </c>
      <c r="BH153" s="281">
        <v>0.3</v>
      </c>
      <c r="BI153" s="281">
        <v>0.3</v>
      </c>
      <c r="BJ153" s="281">
        <v>0.3</v>
      </c>
      <c r="BK153" s="281">
        <v>0.3</v>
      </c>
      <c r="BL153" s="281">
        <v>0.3</v>
      </c>
      <c r="BM153" s="281">
        <v>0.3</v>
      </c>
      <c r="BN153" s="281">
        <v>0.3</v>
      </c>
      <c r="BO153" s="281">
        <v>0.3</v>
      </c>
      <c r="BP153" s="281">
        <v>0.3</v>
      </c>
      <c r="BQ153" s="281">
        <v>0.3</v>
      </c>
      <c r="BR153" s="286">
        <v>0</v>
      </c>
    </row>
    <row r="154" spans="1:70" ht="14.25" customHeight="1" x14ac:dyDescent="0.35">
      <c r="A154" s="4" t="s">
        <v>440</v>
      </c>
      <c r="B154" s="384">
        <v>679.97877100840356</v>
      </c>
      <c r="C154" s="385"/>
      <c r="D154" s="41" t="s">
        <v>101</v>
      </c>
      <c r="E154" s="93">
        <f t="shared" si="0"/>
        <v>0</v>
      </c>
      <c r="F154" s="93">
        <v>2025</v>
      </c>
      <c r="G154" s="93">
        <v>2050</v>
      </c>
      <c r="I154" s="41" t="s">
        <v>101</v>
      </c>
      <c r="J154" s="281">
        <v>0.85</v>
      </c>
      <c r="K154" s="281">
        <v>0.85</v>
      </c>
      <c r="L154" s="281">
        <v>0.85</v>
      </c>
      <c r="M154" s="281">
        <v>0.85</v>
      </c>
      <c r="N154" s="281">
        <v>0.85</v>
      </c>
      <c r="O154" s="281">
        <v>0.85</v>
      </c>
      <c r="P154" s="281">
        <v>0.85</v>
      </c>
      <c r="Q154" s="281">
        <v>0.85</v>
      </c>
      <c r="R154" s="281">
        <v>0.85</v>
      </c>
      <c r="S154" s="281">
        <v>0.85</v>
      </c>
      <c r="T154" s="281">
        <v>0.85</v>
      </c>
      <c r="U154" s="281">
        <v>0.85</v>
      </c>
      <c r="V154" s="281">
        <v>0.85</v>
      </c>
      <c r="W154" s="281">
        <v>0.85</v>
      </c>
      <c r="X154" s="281">
        <v>0.85</v>
      </c>
      <c r="Y154" s="281">
        <v>0.85</v>
      </c>
      <c r="Z154" s="281">
        <v>0.85</v>
      </c>
      <c r="AA154" s="281">
        <v>0.85</v>
      </c>
      <c r="AB154" s="281">
        <v>0.85</v>
      </c>
      <c r="AC154" s="281">
        <v>0.85</v>
      </c>
      <c r="AD154" s="281">
        <v>0.85</v>
      </c>
      <c r="AE154" s="281">
        <v>0.85</v>
      </c>
      <c r="AF154" s="281">
        <v>0.85</v>
      </c>
      <c r="AG154" s="281">
        <v>0.85</v>
      </c>
      <c r="AH154" s="281">
        <v>0.65</v>
      </c>
      <c r="AI154" s="281">
        <v>0.65</v>
      </c>
      <c r="AJ154" s="281">
        <v>0.65</v>
      </c>
      <c r="AK154" s="281">
        <v>0.65</v>
      </c>
      <c r="AL154" s="281">
        <v>0.65</v>
      </c>
      <c r="AM154" s="281">
        <v>0.65</v>
      </c>
      <c r="AN154" s="281">
        <v>0.65</v>
      </c>
      <c r="AO154" s="281">
        <v>0.65</v>
      </c>
      <c r="AP154" s="281">
        <v>0.65</v>
      </c>
      <c r="AQ154" s="281">
        <v>0.65</v>
      </c>
      <c r="AR154" s="281">
        <v>0.65</v>
      </c>
      <c r="AS154" s="281">
        <v>0.65</v>
      </c>
      <c r="AT154" s="281">
        <v>0.5</v>
      </c>
      <c r="AU154" s="281">
        <v>0.5</v>
      </c>
      <c r="AV154" s="281">
        <v>0.5</v>
      </c>
      <c r="AW154" s="281">
        <v>0.5</v>
      </c>
      <c r="AX154" s="281">
        <v>0.5</v>
      </c>
      <c r="AY154" s="281">
        <v>0.5</v>
      </c>
      <c r="AZ154" s="281">
        <v>0.5</v>
      </c>
      <c r="BA154" s="281">
        <v>0.5</v>
      </c>
      <c r="BB154" s="281">
        <v>0.5</v>
      </c>
      <c r="BC154" s="281">
        <v>0.5</v>
      </c>
      <c r="BD154" s="281">
        <v>0.5</v>
      </c>
      <c r="BE154" s="281">
        <v>0.5</v>
      </c>
      <c r="BF154" s="281">
        <v>0.5</v>
      </c>
      <c r="BG154" s="281">
        <v>0.3</v>
      </c>
      <c r="BH154" s="281">
        <v>0.3</v>
      </c>
      <c r="BI154" s="281">
        <v>0.3</v>
      </c>
      <c r="BJ154" s="281">
        <v>0.3</v>
      </c>
      <c r="BK154" s="281">
        <v>0.3</v>
      </c>
      <c r="BL154" s="281">
        <v>0.3</v>
      </c>
      <c r="BM154" s="281">
        <v>0.3</v>
      </c>
      <c r="BN154" s="281">
        <v>0.3</v>
      </c>
      <c r="BO154" s="281">
        <v>0.3</v>
      </c>
      <c r="BP154" s="281">
        <v>0.3</v>
      </c>
      <c r="BQ154" s="281">
        <v>0.3</v>
      </c>
      <c r="BR154" s="286">
        <v>0</v>
      </c>
    </row>
    <row r="155" spans="1:70" ht="14.25" customHeight="1" x14ac:dyDescent="0.35">
      <c r="A155" s="4" t="s">
        <v>441</v>
      </c>
      <c r="B155" s="384">
        <v>679.97877100840356</v>
      </c>
      <c r="C155" s="385"/>
      <c r="D155" s="41" t="s">
        <v>102</v>
      </c>
      <c r="E155" s="93">
        <f t="shared" si="0"/>
        <v>0</v>
      </c>
      <c r="F155" s="93">
        <v>2025</v>
      </c>
      <c r="G155" s="93">
        <v>2050</v>
      </c>
      <c r="I155" s="41" t="s">
        <v>102</v>
      </c>
      <c r="J155" s="281">
        <v>0.85</v>
      </c>
      <c r="K155" s="281">
        <v>0.85</v>
      </c>
      <c r="L155" s="281">
        <v>0.85</v>
      </c>
      <c r="M155" s="281">
        <v>0.85</v>
      </c>
      <c r="N155" s="281">
        <v>0.85</v>
      </c>
      <c r="O155" s="281">
        <v>0.85</v>
      </c>
      <c r="P155" s="281">
        <v>0.85</v>
      </c>
      <c r="Q155" s="281">
        <v>0.85</v>
      </c>
      <c r="R155" s="281">
        <v>0.85</v>
      </c>
      <c r="S155" s="281">
        <v>0.85</v>
      </c>
      <c r="T155" s="281">
        <v>0.85</v>
      </c>
      <c r="U155" s="281">
        <v>0.85</v>
      </c>
      <c r="V155" s="281">
        <v>0.85</v>
      </c>
      <c r="W155" s="281">
        <v>0.85</v>
      </c>
      <c r="X155" s="281">
        <v>0.85</v>
      </c>
      <c r="Y155" s="281">
        <v>0.85</v>
      </c>
      <c r="Z155" s="281">
        <v>0.85</v>
      </c>
      <c r="AA155" s="281">
        <v>0.85</v>
      </c>
      <c r="AB155" s="281">
        <v>0.85</v>
      </c>
      <c r="AC155" s="281">
        <v>0.85</v>
      </c>
      <c r="AD155" s="281">
        <v>0.85</v>
      </c>
      <c r="AE155" s="281">
        <v>0.85</v>
      </c>
      <c r="AF155" s="281">
        <v>0.85</v>
      </c>
      <c r="AG155" s="281">
        <v>0.85</v>
      </c>
      <c r="AH155" s="281">
        <v>0.65</v>
      </c>
      <c r="AI155" s="281">
        <v>0.65</v>
      </c>
      <c r="AJ155" s="281">
        <v>0.65</v>
      </c>
      <c r="AK155" s="281">
        <v>0.65</v>
      </c>
      <c r="AL155" s="281">
        <v>0.65</v>
      </c>
      <c r="AM155" s="281">
        <v>0.65</v>
      </c>
      <c r="AN155" s="281">
        <v>0.65</v>
      </c>
      <c r="AO155" s="281">
        <v>0.65</v>
      </c>
      <c r="AP155" s="281">
        <v>0.65</v>
      </c>
      <c r="AQ155" s="281">
        <v>0.65</v>
      </c>
      <c r="AR155" s="281">
        <v>0.65</v>
      </c>
      <c r="AS155" s="281">
        <v>0.65</v>
      </c>
      <c r="AT155" s="281">
        <v>0.5</v>
      </c>
      <c r="AU155" s="281">
        <v>0.5</v>
      </c>
      <c r="AV155" s="281">
        <v>0.5</v>
      </c>
      <c r="AW155" s="281">
        <v>0.5</v>
      </c>
      <c r="AX155" s="281">
        <v>0.5</v>
      </c>
      <c r="AY155" s="281">
        <v>0.5</v>
      </c>
      <c r="AZ155" s="281">
        <v>0.5</v>
      </c>
      <c r="BA155" s="281">
        <v>0.5</v>
      </c>
      <c r="BB155" s="281">
        <v>0.5</v>
      </c>
      <c r="BC155" s="281">
        <v>0.5</v>
      </c>
      <c r="BD155" s="281">
        <v>0.5</v>
      </c>
      <c r="BE155" s="281">
        <v>0.5</v>
      </c>
      <c r="BF155" s="281">
        <v>0.5</v>
      </c>
      <c r="BG155" s="281">
        <v>0.3</v>
      </c>
      <c r="BH155" s="281">
        <v>0.3</v>
      </c>
      <c r="BI155" s="281">
        <v>0.3</v>
      </c>
      <c r="BJ155" s="281">
        <v>0.3</v>
      </c>
      <c r="BK155" s="281">
        <v>0.3</v>
      </c>
      <c r="BL155" s="281">
        <v>0.3</v>
      </c>
      <c r="BM155" s="281">
        <v>0.3</v>
      </c>
      <c r="BN155" s="281">
        <v>0.3</v>
      </c>
      <c r="BO155" s="281">
        <v>0.3</v>
      </c>
      <c r="BP155" s="281">
        <v>0.3</v>
      </c>
      <c r="BQ155" s="281">
        <v>0.3</v>
      </c>
      <c r="BR155" s="286">
        <v>0</v>
      </c>
    </row>
    <row r="156" spans="1:70" ht="14.25" customHeight="1" x14ac:dyDescent="0.35">
      <c r="A156" s="4" t="s">
        <v>442</v>
      </c>
      <c r="B156" s="384">
        <v>679.97877100840356</v>
      </c>
      <c r="C156" s="385"/>
      <c r="D156" s="41" t="s">
        <v>103</v>
      </c>
      <c r="E156" s="93">
        <f t="shared" si="0"/>
        <v>0</v>
      </c>
      <c r="F156" s="93">
        <v>2025</v>
      </c>
      <c r="G156" s="93">
        <v>2050</v>
      </c>
      <c r="I156" s="41" t="s">
        <v>103</v>
      </c>
      <c r="J156" s="281">
        <v>0.85</v>
      </c>
      <c r="K156" s="281">
        <v>0.85</v>
      </c>
      <c r="L156" s="281">
        <v>0.85</v>
      </c>
      <c r="M156" s="281">
        <v>0.85</v>
      </c>
      <c r="N156" s="281">
        <v>0.85</v>
      </c>
      <c r="O156" s="281">
        <v>0.85</v>
      </c>
      <c r="P156" s="281">
        <v>0.85</v>
      </c>
      <c r="Q156" s="281">
        <v>0.85</v>
      </c>
      <c r="R156" s="281">
        <v>0.85</v>
      </c>
      <c r="S156" s="281">
        <v>0.85</v>
      </c>
      <c r="T156" s="281">
        <v>0.85</v>
      </c>
      <c r="U156" s="281">
        <v>0.85</v>
      </c>
      <c r="V156" s="281">
        <v>0.85</v>
      </c>
      <c r="W156" s="281">
        <v>0.85</v>
      </c>
      <c r="X156" s="281">
        <v>0.85</v>
      </c>
      <c r="Y156" s="281">
        <v>0.85</v>
      </c>
      <c r="Z156" s="281">
        <v>0.85</v>
      </c>
      <c r="AA156" s="281">
        <v>0.85</v>
      </c>
      <c r="AB156" s="281">
        <v>0.85</v>
      </c>
      <c r="AC156" s="281">
        <v>0.85</v>
      </c>
      <c r="AD156" s="281">
        <v>0.85</v>
      </c>
      <c r="AE156" s="281">
        <v>0.85</v>
      </c>
      <c r="AF156" s="281">
        <v>0.85</v>
      </c>
      <c r="AG156" s="281">
        <v>0.85</v>
      </c>
      <c r="AH156" s="281">
        <v>0.65</v>
      </c>
      <c r="AI156" s="281">
        <v>0.65</v>
      </c>
      <c r="AJ156" s="281">
        <v>0.65</v>
      </c>
      <c r="AK156" s="281">
        <v>0.65</v>
      </c>
      <c r="AL156" s="281">
        <v>0.65</v>
      </c>
      <c r="AM156" s="281">
        <v>0.65</v>
      </c>
      <c r="AN156" s="281">
        <v>0.65</v>
      </c>
      <c r="AO156" s="281">
        <v>0.65</v>
      </c>
      <c r="AP156" s="281">
        <v>0.65</v>
      </c>
      <c r="AQ156" s="281">
        <v>0.65</v>
      </c>
      <c r="AR156" s="281">
        <v>0.65</v>
      </c>
      <c r="AS156" s="281">
        <v>0.65</v>
      </c>
      <c r="AT156" s="281">
        <v>0.5</v>
      </c>
      <c r="AU156" s="281">
        <v>0.5</v>
      </c>
      <c r="AV156" s="281">
        <v>0.5</v>
      </c>
      <c r="AW156" s="281">
        <v>0.5</v>
      </c>
      <c r="AX156" s="281">
        <v>0.5</v>
      </c>
      <c r="AY156" s="281">
        <v>0.5</v>
      </c>
      <c r="AZ156" s="281">
        <v>0.5</v>
      </c>
      <c r="BA156" s="281">
        <v>0.5</v>
      </c>
      <c r="BB156" s="281">
        <v>0.5</v>
      </c>
      <c r="BC156" s="281">
        <v>0.5</v>
      </c>
      <c r="BD156" s="281">
        <v>0.5</v>
      </c>
      <c r="BE156" s="281">
        <v>0.5</v>
      </c>
      <c r="BF156" s="281">
        <v>0.5</v>
      </c>
      <c r="BG156" s="281">
        <v>0.3</v>
      </c>
      <c r="BH156" s="281">
        <v>0.3</v>
      </c>
      <c r="BI156" s="281">
        <v>0.3</v>
      </c>
      <c r="BJ156" s="281">
        <v>0.3</v>
      </c>
      <c r="BK156" s="281">
        <v>0.3</v>
      </c>
      <c r="BL156" s="281">
        <v>0.3</v>
      </c>
      <c r="BM156" s="281">
        <v>0.3</v>
      </c>
      <c r="BN156" s="281">
        <v>0.3</v>
      </c>
      <c r="BO156" s="281">
        <v>0.3</v>
      </c>
      <c r="BP156" s="281">
        <v>0.3</v>
      </c>
      <c r="BQ156" s="281">
        <v>0.3</v>
      </c>
      <c r="BR156" s="286">
        <v>0</v>
      </c>
    </row>
    <row r="157" spans="1:70" ht="14.25" customHeight="1" x14ac:dyDescent="0.35">
      <c r="A157" s="4" t="s">
        <v>443</v>
      </c>
      <c r="B157" s="384">
        <v>679.97877100840356</v>
      </c>
      <c r="C157" s="385"/>
      <c r="D157" s="41" t="s">
        <v>104</v>
      </c>
      <c r="E157" s="93">
        <f t="shared" si="0"/>
        <v>0</v>
      </c>
      <c r="F157" s="93">
        <v>2025</v>
      </c>
      <c r="G157" s="93">
        <v>2050</v>
      </c>
      <c r="I157" s="41" t="s">
        <v>104</v>
      </c>
      <c r="J157" s="281">
        <v>0.85</v>
      </c>
      <c r="K157" s="281">
        <v>0.85</v>
      </c>
      <c r="L157" s="281">
        <v>0.85</v>
      </c>
      <c r="M157" s="281">
        <v>0.85</v>
      </c>
      <c r="N157" s="281">
        <v>0.85</v>
      </c>
      <c r="O157" s="281">
        <v>0.85</v>
      </c>
      <c r="P157" s="281">
        <v>0.85</v>
      </c>
      <c r="Q157" s="281">
        <v>0.85</v>
      </c>
      <c r="R157" s="281">
        <v>0.85</v>
      </c>
      <c r="S157" s="281">
        <v>0.85</v>
      </c>
      <c r="T157" s="281">
        <v>0.85</v>
      </c>
      <c r="U157" s="281">
        <v>0.85</v>
      </c>
      <c r="V157" s="281">
        <v>0.85</v>
      </c>
      <c r="W157" s="281">
        <v>0.85</v>
      </c>
      <c r="X157" s="281">
        <v>0.85</v>
      </c>
      <c r="Y157" s="281">
        <v>0.85</v>
      </c>
      <c r="Z157" s="281">
        <v>0.85</v>
      </c>
      <c r="AA157" s="281">
        <v>0.85</v>
      </c>
      <c r="AB157" s="281">
        <v>0.85</v>
      </c>
      <c r="AC157" s="281">
        <v>0.85</v>
      </c>
      <c r="AD157" s="281">
        <v>0.85</v>
      </c>
      <c r="AE157" s="281">
        <v>0.85</v>
      </c>
      <c r="AF157" s="281">
        <v>0.85</v>
      </c>
      <c r="AG157" s="281">
        <v>0.85</v>
      </c>
      <c r="AH157" s="281">
        <v>0.65</v>
      </c>
      <c r="AI157" s="281">
        <v>0.65</v>
      </c>
      <c r="AJ157" s="281">
        <v>0.65</v>
      </c>
      <c r="AK157" s="281">
        <v>0.65</v>
      </c>
      <c r="AL157" s="281">
        <v>0.65</v>
      </c>
      <c r="AM157" s="281">
        <v>0.65</v>
      </c>
      <c r="AN157" s="281">
        <v>0.65</v>
      </c>
      <c r="AO157" s="281">
        <v>0.65</v>
      </c>
      <c r="AP157" s="281">
        <v>0.65</v>
      </c>
      <c r="AQ157" s="281">
        <v>0.65</v>
      </c>
      <c r="AR157" s="281">
        <v>0.65</v>
      </c>
      <c r="AS157" s="281">
        <v>0.65</v>
      </c>
      <c r="AT157" s="281">
        <v>0.5</v>
      </c>
      <c r="AU157" s="281">
        <v>0.5</v>
      </c>
      <c r="AV157" s="281">
        <v>0.5</v>
      </c>
      <c r="AW157" s="281">
        <v>0.5</v>
      </c>
      <c r="AX157" s="281">
        <v>0.5</v>
      </c>
      <c r="AY157" s="281">
        <v>0.5</v>
      </c>
      <c r="AZ157" s="281">
        <v>0.5</v>
      </c>
      <c r="BA157" s="281">
        <v>0.5</v>
      </c>
      <c r="BB157" s="281">
        <v>0.5</v>
      </c>
      <c r="BC157" s="281">
        <v>0.5</v>
      </c>
      <c r="BD157" s="281">
        <v>0.5</v>
      </c>
      <c r="BE157" s="281">
        <v>0.5</v>
      </c>
      <c r="BF157" s="281">
        <v>0.5</v>
      </c>
      <c r="BG157" s="281">
        <v>0.3</v>
      </c>
      <c r="BH157" s="281">
        <v>0.3</v>
      </c>
      <c r="BI157" s="281">
        <v>0.3</v>
      </c>
      <c r="BJ157" s="281">
        <v>0.3</v>
      </c>
      <c r="BK157" s="281">
        <v>0.3</v>
      </c>
      <c r="BL157" s="281">
        <v>0.3</v>
      </c>
      <c r="BM157" s="281">
        <v>0.3</v>
      </c>
      <c r="BN157" s="281">
        <v>0.3</v>
      </c>
      <c r="BO157" s="281">
        <v>0.3</v>
      </c>
      <c r="BP157" s="281">
        <v>0.3</v>
      </c>
      <c r="BQ157" s="281">
        <v>0.3</v>
      </c>
      <c r="BR157" s="286">
        <v>0</v>
      </c>
    </row>
    <row r="158" spans="1:70" ht="14.25" customHeight="1" x14ac:dyDescent="0.35">
      <c r="A158" s="4" t="s">
        <v>444</v>
      </c>
      <c r="B158" s="384">
        <v>679.97877100840356</v>
      </c>
      <c r="C158" s="385"/>
      <c r="D158" s="41" t="s">
        <v>105</v>
      </c>
      <c r="E158" s="93">
        <f t="shared" si="0"/>
        <v>0</v>
      </c>
      <c r="F158" s="93">
        <v>2025</v>
      </c>
      <c r="G158" s="93">
        <v>2050</v>
      </c>
      <c r="I158" s="41" t="s">
        <v>105</v>
      </c>
      <c r="J158" s="281">
        <v>0.85</v>
      </c>
      <c r="K158" s="281">
        <v>0.85</v>
      </c>
      <c r="L158" s="281">
        <v>0.85</v>
      </c>
      <c r="M158" s="281">
        <v>0.85</v>
      </c>
      <c r="N158" s="281">
        <v>0.85</v>
      </c>
      <c r="O158" s="281">
        <v>0.85</v>
      </c>
      <c r="P158" s="281">
        <v>0.85</v>
      </c>
      <c r="Q158" s="281">
        <v>0.85</v>
      </c>
      <c r="R158" s="281">
        <v>0.85</v>
      </c>
      <c r="S158" s="281">
        <v>0.85</v>
      </c>
      <c r="T158" s="281">
        <v>0.85</v>
      </c>
      <c r="U158" s="281">
        <v>0.85</v>
      </c>
      <c r="V158" s="281">
        <v>0.85</v>
      </c>
      <c r="W158" s="281">
        <v>0.85</v>
      </c>
      <c r="X158" s="281">
        <v>0.85</v>
      </c>
      <c r="Y158" s="281">
        <v>0.85</v>
      </c>
      <c r="Z158" s="281">
        <v>0.85</v>
      </c>
      <c r="AA158" s="281">
        <v>0.85</v>
      </c>
      <c r="AB158" s="281">
        <v>0.85</v>
      </c>
      <c r="AC158" s="281">
        <v>0.85</v>
      </c>
      <c r="AD158" s="281">
        <v>0.85</v>
      </c>
      <c r="AE158" s="281">
        <v>0.85</v>
      </c>
      <c r="AF158" s="281">
        <v>0.85</v>
      </c>
      <c r="AG158" s="281">
        <v>0.85</v>
      </c>
      <c r="AH158" s="281">
        <v>0.65</v>
      </c>
      <c r="AI158" s="281">
        <v>0.65</v>
      </c>
      <c r="AJ158" s="281">
        <v>0.65</v>
      </c>
      <c r="AK158" s="281">
        <v>0.65</v>
      </c>
      <c r="AL158" s="281">
        <v>0.65</v>
      </c>
      <c r="AM158" s="281">
        <v>0.65</v>
      </c>
      <c r="AN158" s="281">
        <v>0.65</v>
      </c>
      <c r="AO158" s="281">
        <v>0.65</v>
      </c>
      <c r="AP158" s="281">
        <v>0.65</v>
      </c>
      <c r="AQ158" s="281">
        <v>0.65</v>
      </c>
      <c r="AR158" s="281">
        <v>0.65</v>
      </c>
      <c r="AS158" s="281">
        <v>0.65</v>
      </c>
      <c r="AT158" s="281">
        <v>0.5</v>
      </c>
      <c r="AU158" s="281">
        <v>0.5</v>
      </c>
      <c r="AV158" s="281">
        <v>0.5</v>
      </c>
      <c r="AW158" s="281">
        <v>0.5</v>
      </c>
      <c r="AX158" s="281">
        <v>0.5</v>
      </c>
      <c r="AY158" s="281">
        <v>0.5</v>
      </c>
      <c r="AZ158" s="281">
        <v>0.5</v>
      </c>
      <c r="BA158" s="281">
        <v>0.5</v>
      </c>
      <c r="BB158" s="281">
        <v>0.5</v>
      </c>
      <c r="BC158" s="281">
        <v>0.5</v>
      </c>
      <c r="BD158" s="281">
        <v>0.5</v>
      </c>
      <c r="BE158" s="281">
        <v>0.5</v>
      </c>
      <c r="BF158" s="281">
        <v>0.5</v>
      </c>
      <c r="BG158" s="281">
        <v>0.3</v>
      </c>
      <c r="BH158" s="281">
        <v>0.3</v>
      </c>
      <c r="BI158" s="281">
        <v>0.3</v>
      </c>
      <c r="BJ158" s="281">
        <v>0.3</v>
      </c>
      <c r="BK158" s="281">
        <v>0.3</v>
      </c>
      <c r="BL158" s="281">
        <v>0.3</v>
      </c>
      <c r="BM158" s="281">
        <v>0.3</v>
      </c>
      <c r="BN158" s="281">
        <v>0.3</v>
      </c>
      <c r="BO158" s="281">
        <v>0.3</v>
      </c>
      <c r="BP158" s="281">
        <v>0.3</v>
      </c>
      <c r="BQ158" s="281">
        <v>0.3</v>
      </c>
      <c r="BR158" s="286">
        <v>0</v>
      </c>
    </row>
    <row r="159" spans="1:70" ht="14.25" customHeight="1" x14ac:dyDescent="0.35">
      <c r="A159" s="4" t="s">
        <v>445</v>
      </c>
      <c r="B159" s="384">
        <v>679.97877100840356</v>
      </c>
      <c r="C159" s="385"/>
      <c r="D159" s="41" t="s">
        <v>106</v>
      </c>
      <c r="E159" s="93">
        <f t="shared" si="0"/>
        <v>0</v>
      </c>
      <c r="F159" s="93">
        <v>2025</v>
      </c>
      <c r="G159" s="93">
        <v>2050</v>
      </c>
      <c r="I159" s="41" t="s">
        <v>106</v>
      </c>
      <c r="J159" s="281">
        <v>0.85</v>
      </c>
      <c r="K159" s="281">
        <v>0.85</v>
      </c>
      <c r="L159" s="281">
        <v>0.85</v>
      </c>
      <c r="M159" s="281">
        <v>0.85</v>
      </c>
      <c r="N159" s="281">
        <v>0.85</v>
      </c>
      <c r="O159" s="281">
        <v>0.85</v>
      </c>
      <c r="P159" s="281">
        <v>0.85</v>
      </c>
      <c r="Q159" s="281">
        <v>0.85</v>
      </c>
      <c r="R159" s="281">
        <v>0.85</v>
      </c>
      <c r="S159" s="281">
        <v>0.85</v>
      </c>
      <c r="T159" s="281">
        <v>0.85</v>
      </c>
      <c r="U159" s="281">
        <v>0.85</v>
      </c>
      <c r="V159" s="281">
        <v>0.85</v>
      </c>
      <c r="W159" s="281">
        <v>0.85</v>
      </c>
      <c r="X159" s="281">
        <v>0.85</v>
      </c>
      <c r="Y159" s="281">
        <v>0.85</v>
      </c>
      <c r="Z159" s="281">
        <v>0.85</v>
      </c>
      <c r="AA159" s="281">
        <v>0.85</v>
      </c>
      <c r="AB159" s="281">
        <v>0.85</v>
      </c>
      <c r="AC159" s="281">
        <v>0.85</v>
      </c>
      <c r="AD159" s="281">
        <v>0.85</v>
      </c>
      <c r="AE159" s="281">
        <v>0.85</v>
      </c>
      <c r="AF159" s="281">
        <v>0.85</v>
      </c>
      <c r="AG159" s="281">
        <v>0.85</v>
      </c>
      <c r="AH159" s="281">
        <v>0.65</v>
      </c>
      <c r="AI159" s="281">
        <v>0.65</v>
      </c>
      <c r="AJ159" s="281">
        <v>0.65</v>
      </c>
      <c r="AK159" s="281">
        <v>0.65</v>
      </c>
      <c r="AL159" s="281">
        <v>0.65</v>
      </c>
      <c r="AM159" s="281">
        <v>0.65</v>
      </c>
      <c r="AN159" s="281">
        <v>0.65</v>
      </c>
      <c r="AO159" s="281">
        <v>0.65</v>
      </c>
      <c r="AP159" s="281">
        <v>0.65</v>
      </c>
      <c r="AQ159" s="281">
        <v>0.65</v>
      </c>
      <c r="AR159" s="281">
        <v>0.65</v>
      </c>
      <c r="AS159" s="281">
        <v>0.65</v>
      </c>
      <c r="AT159" s="281">
        <v>0.5</v>
      </c>
      <c r="AU159" s="281">
        <v>0.5</v>
      </c>
      <c r="AV159" s="281">
        <v>0.5</v>
      </c>
      <c r="AW159" s="281">
        <v>0.5</v>
      </c>
      <c r="AX159" s="281">
        <v>0.5</v>
      </c>
      <c r="AY159" s="281">
        <v>0.5</v>
      </c>
      <c r="AZ159" s="281">
        <v>0.5</v>
      </c>
      <c r="BA159" s="281">
        <v>0.5</v>
      </c>
      <c r="BB159" s="281">
        <v>0.5</v>
      </c>
      <c r="BC159" s="281">
        <v>0.5</v>
      </c>
      <c r="BD159" s="281">
        <v>0.5</v>
      </c>
      <c r="BE159" s="281">
        <v>0.5</v>
      </c>
      <c r="BF159" s="281">
        <v>0.5</v>
      </c>
      <c r="BG159" s="281">
        <v>0.3</v>
      </c>
      <c r="BH159" s="281">
        <v>0.3</v>
      </c>
      <c r="BI159" s="281">
        <v>0.3</v>
      </c>
      <c r="BJ159" s="281">
        <v>0.3</v>
      </c>
      <c r="BK159" s="281">
        <v>0.3</v>
      </c>
      <c r="BL159" s="281">
        <v>0.3</v>
      </c>
      <c r="BM159" s="281">
        <v>0.3</v>
      </c>
      <c r="BN159" s="281">
        <v>0.3</v>
      </c>
      <c r="BO159" s="281">
        <v>0.3</v>
      </c>
      <c r="BP159" s="281">
        <v>0.3</v>
      </c>
      <c r="BQ159" s="281">
        <v>0.3</v>
      </c>
      <c r="BR159" s="286">
        <v>0</v>
      </c>
    </row>
    <row r="160" spans="1:70" ht="14.25" customHeight="1" x14ac:dyDescent="0.35">
      <c r="A160" s="4" t="s">
        <v>446</v>
      </c>
      <c r="B160" s="384">
        <v>679.97877100840356</v>
      </c>
      <c r="C160" s="385"/>
      <c r="D160" s="41" t="s">
        <v>107</v>
      </c>
      <c r="E160" s="93">
        <f t="shared" si="0"/>
        <v>0</v>
      </c>
      <c r="F160" s="93">
        <v>2025</v>
      </c>
      <c r="G160" s="93">
        <v>2050</v>
      </c>
      <c r="I160" s="41" t="s">
        <v>107</v>
      </c>
      <c r="J160" s="281">
        <v>0.85</v>
      </c>
      <c r="K160" s="281">
        <v>0.85</v>
      </c>
      <c r="L160" s="281">
        <v>0.85</v>
      </c>
      <c r="M160" s="281">
        <v>0.85</v>
      </c>
      <c r="N160" s="281">
        <v>0.85</v>
      </c>
      <c r="O160" s="281">
        <v>0.85</v>
      </c>
      <c r="P160" s="281">
        <v>0.85</v>
      </c>
      <c r="Q160" s="281">
        <v>0.85</v>
      </c>
      <c r="R160" s="281">
        <v>0.85</v>
      </c>
      <c r="S160" s="281">
        <v>0.85</v>
      </c>
      <c r="T160" s="281">
        <v>0.85</v>
      </c>
      <c r="U160" s="281">
        <v>0.85</v>
      </c>
      <c r="V160" s="281">
        <v>0.85</v>
      </c>
      <c r="W160" s="281">
        <v>0.85</v>
      </c>
      <c r="X160" s="281">
        <v>0.85</v>
      </c>
      <c r="Y160" s="281">
        <v>0.85</v>
      </c>
      <c r="Z160" s="281">
        <v>0.85</v>
      </c>
      <c r="AA160" s="281">
        <v>0.85</v>
      </c>
      <c r="AB160" s="281">
        <v>0.85</v>
      </c>
      <c r="AC160" s="281">
        <v>0.85</v>
      </c>
      <c r="AD160" s="281">
        <v>0.85</v>
      </c>
      <c r="AE160" s="281">
        <v>0.85</v>
      </c>
      <c r="AF160" s="281">
        <v>0.85</v>
      </c>
      <c r="AG160" s="281">
        <v>0.85</v>
      </c>
      <c r="AH160" s="281">
        <v>0.65</v>
      </c>
      <c r="AI160" s="281">
        <v>0.65</v>
      </c>
      <c r="AJ160" s="281">
        <v>0.65</v>
      </c>
      <c r="AK160" s="281">
        <v>0.65</v>
      </c>
      <c r="AL160" s="281">
        <v>0.65</v>
      </c>
      <c r="AM160" s="281">
        <v>0.65</v>
      </c>
      <c r="AN160" s="281">
        <v>0.65</v>
      </c>
      <c r="AO160" s="281">
        <v>0.65</v>
      </c>
      <c r="AP160" s="281">
        <v>0.65</v>
      </c>
      <c r="AQ160" s="281">
        <v>0.65</v>
      </c>
      <c r="AR160" s="281">
        <v>0.65</v>
      </c>
      <c r="AS160" s="281">
        <v>0.65</v>
      </c>
      <c r="AT160" s="281">
        <v>0.5</v>
      </c>
      <c r="AU160" s="281">
        <v>0.5</v>
      </c>
      <c r="AV160" s="281">
        <v>0.5</v>
      </c>
      <c r="AW160" s="281">
        <v>0.5</v>
      </c>
      <c r="AX160" s="281">
        <v>0.5</v>
      </c>
      <c r="AY160" s="281">
        <v>0.5</v>
      </c>
      <c r="AZ160" s="281">
        <v>0.5</v>
      </c>
      <c r="BA160" s="281">
        <v>0.5</v>
      </c>
      <c r="BB160" s="281">
        <v>0.5</v>
      </c>
      <c r="BC160" s="281">
        <v>0.5</v>
      </c>
      <c r="BD160" s="281">
        <v>0.5</v>
      </c>
      <c r="BE160" s="281">
        <v>0.5</v>
      </c>
      <c r="BF160" s="281">
        <v>0.5</v>
      </c>
      <c r="BG160" s="281">
        <v>0.3</v>
      </c>
      <c r="BH160" s="281">
        <v>0.3</v>
      </c>
      <c r="BI160" s="281">
        <v>0.3</v>
      </c>
      <c r="BJ160" s="281">
        <v>0.3</v>
      </c>
      <c r="BK160" s="281">
        <v>0.3</v>
      </c>
      <c r="BL160" s="281">
        <v>0.3</v>
      </c>
      <c r="BM160" s="281">
        <v>0.3</v>
      </c>
      <c r="BN160" s="281">
        <v>0.3</v>
      </c>
      <c r="BO160" s="281">
        <v>0.3</v>
      </c>
      <c r="BP160" s="281">
        <v>0.3</v>
      </c>
      <c r="BQ160" s="281">
        <v>0.3</v>
      </c>
      <c r="BR160" s="286">
        <v>0</v>
      </c>
    </row>
    <row r="161" spans="1:70" ht="14.25" customHeight="1" x14ac:dyDescent="0.35">
      <c r="A161" s="4" t="s">
        <v>447</v>
      </c>
      <c r="B161" s="384">
        <v>679.97877100840356</v>
      </c>
      <c r="C161" s="385"/>
      <c r="D161" s="41" t="s">
        <v>108</v>
      </c>
      <c r="E161" s="93">
        <f t="shared" si="0"/>
        <v>0</v>
      </c>
      <c r="F161" s="93">
        <v>2025</v>
      </c>
      <c r="G161" s="93">
        <v>2050</v>
      </c>
      <c r="I161" s="41" t="s">
        <v>108</v>
      </c>
      <c r="J161" s="286">
        <v>0</v>
      </c>
      <c r="K161" s="286">
        <v>0</v>
      </c>
      <c r="L161" s="286">
        <v>0</v>
      </c>
      <c r="M161" s="286">
        <v>0</v>
      </c>
      <c r="N161" s="286">
        <v>0</v>
      </c>
      <c r="O161" s="286">
        <v>0</v>
      </c>
      <c r="P161" s="286">
        <v>0</v>
      </c>
      <c r="Q161" s="286">
        <v>0</v>
      </c>
      <c r="R161" s="286">
        <v>0</v>
      </c>
      <c r="S161" s="286">
        <v>0</v>
      </c>
      <c r="T161" s="286">
        <v>0</v>
      </c>
      <c r="U161" s="286">
        <v>0</v>
      </c>
      <c r="V161" s="286">
        <v>0</v>
      </c>
      <c r="W161" s="286">
        <v>0</v>
      </c>
      <c r="X161" s="286">
        <v>0</v>
      </c>
      <c r="Y161" s="286">
        <v>0</v>
      </c>
      <c r="Z161" s="286">
        <v>0</v>
      </c>
      <c r="AA161" s="286">
        <v>0</v>
      </c>
      <c r="AB161" s="286">
        <v>0</v>
      </c>
      <c r="AC161" s="286">
        <v>0</v>
      </c>
      <c r="AD161" s="286">
        <v>0</v>
      </c>
      <c r="AE161" s="286">
        <v>0</v>
      </c>
      <c r="AF161" s="286">
        <v>0</v>
      </c>
      <c r="AG161" s="286">
        <v>0</v>
      </c>
      <c r="AH161" s="286">
        <v>0</v>
      </c>
      <c r="AI161" s="286">
        <v>0</v>
      </c>
      <c r="AJ161" s="286">
        <v>0</v>
      </c>
      <c r="AK161" s="286">
        <v>0</v>
      </c>
      <c r="AL161" s="286">
        <v>0</v>
      </c>
      <c r="AM161" s="286">
        <v>0</v>
      </c>
      <c r="AN161" s="286">
        <v>0</v>
      </c>
      <c r="AO161" s="286">
        <v>0</v>
      </c>
      <c r="AP161" s="286">
        <v>0</v>
      </c>
      <c r="AQ161" s="286">
        <v>0</v>
      </c>
      <c r="AR161" s="286">
        <v>0</v>
      </c>
      <c r="AS161" s="286">
        <v>0</v>
      </c>
      <c r="AT161" s="286">
        <v>0</v>
      </c>
      <c r="AU161" s="286">
        <v>0</v>
      </c>
      <c r="AV161" s="286">
        <v>0</v>
      </c>
      <c r="AW161" s="286">
        <v>0</v>
      </c>
      <c r="AX161" s="286">
        <v>0</v>
      </c>
      <c r="AY161" s="286">
        <v>0</v>
      </c>
      <c r="AZ161" s="286">
        <v>0</v>
      </c>
      <c r="BA161" s="286">
        <v>0</v>
      </c>
      <c r="BB161" s="286">
        <v>0</v>
      </c>
      <c r="BC161" s="286">
        <v>0</v>
      </c>
      <c r="BD161" s="286">
        <v>0</v>
      </c>
      <c r="BE161" s="286">
        <v>0</v>
      </c>
      <c r="BF161" s="286">
        <v>0</v>
      </c>
      <c r="BG161" s="286">
        <v>0</v>
      </c>
      <c r="BH161" s="286">
        <v>0</v>
      </c>
      <c r="BI161" s="286">
        <v>0</v>
      </c>
      <c r="BJ161" s="286">
        <v>0</v>
      </c>
      <c r="BK161" s="286">
        <v>0</v>
      </c>
      <c r="BL161" s="286">
        <v>0</v>
      </c>
      <c r="BM161" s="286">
        <v>0</v>
      </c>
      <c r="BN161" s="286">
        <v>0</v>
      </c>
      <c r="BO161" s="286">
        <v>0</v>
      </c>
      <c r="BP161" s="286">
        <v>0</v>
      </c>
      <c r="BQ161" s="286">
        <v>0</v>
      </c>
      <c r="BR161" s="281">
        <v>0.65</v>
      </c>
    </row>
    <row r="162" spans="1:70" ht="14.25" customHeight="1" x14ac:dyDescent="0.35">
      <c r="A162" s="4" t="s">
        <v>448</v>
      </c>
      <c r="B162" s="384">
        <v>679.97877100840356</v>
      </c>
      <c r="C162" s="385"/>
      <c r="D162" s="41" t="s">
        <v>109</v>
      </c>
      <c r="E162" s="93">
        <f t="shared" si="0"/>
        <v>0</v>
      </c>
      <c r="F162" s="93">
        <v>2025</v>
      </c>
      <c r="G162" s="93">
        <v>2050</v>
      </c>
      <c r="I162" s="41" t="s">
        <v>109</v>
      </c>
      <c r="J162" s="281">
        <v>0.85</v>
      </c>
      <c r="K162" s="281">
        <v>0.85</v>
      </c>
      <c r="L162" s="281">
        <v>0.85</v>
      </c>
      <c r="M162" s="281">
        <v>0.85</v>
      </c>
      <c r="N162" s="281">
        <v>0.85</v>
      </c>
      <c r="O162" s="281">
        <v>0.85</v>
      </c>
      <c r="P162" s="281">
        <v>0.85</v>
      </c>
      <c r="Q162" s="281">
        <v>0.85</v>
      </c>
      <c r="R162" s="281">
        <v>0.85</v>
      </c>
      <c r="S162" s="281">
        <v>0.85</v>
      </c>
      <c r="T162" s="281">
        <v>0.85</v>
      </c>
      <c r="U162" s="281">
        <v>0.85</v>
      </c>
      <c r="V162" s="281">
        <v>0.85</v>
      </c>
      <c r="W162" s="281">
        <v>0.85</v>
      </c>
      <c r="X162" s="281">
        <v>0.85</v>
      </c>
      <c r="Y162" s="281">
        <v>0.85</v>
      </c>
      <c r="Z162" s="281">
        <v>0.85</v>
      </c>
      <c r="AA162" s="281">
        <v>0.85</v>
      </c>
      <c r="AB162" s="281">
        <v>0.85</v>
      </c>
      <c r="AC162" s="281">
        <v>0.85</v>
      </c>
      <c r="AD162" s="281">
        <v>0.85</v>
      </c>
      <c r="AE162" s="281">
        <v>0.85</v>
      </c>
      <c r="AF162" s="281">
        <v>0.85</v>
      </c>
      <c r="AG162" s="281">
        <v>0.85</v>
      </c>
      <c r="AH162" s="281">
        <v>0.65</v>
      </c>
      <c r="AI162" s="281">
        <v>0.65</v>
      </c>
      <c r="AJ162" s="281">
        <v>0.65</v>
      </c>
      <c r="AK162" s="281">
        <v>0.65</v>
      </c>
      <c r="AL162" s="281">
        <v>0.65</v>
      </c>
      <c r="AM162" s="281">
        <v>0.65</v>
      </c>
      <c r="AN162" s="281">
        <v>0.65</v>
      </c>
      <c r="AO162" s="281">
        <v>0.65</v>
      </c>
      <c r="AP162" s="281">
        <v>0.65</v>
      </c>
      <c r="AQ162" s="281">
        <v>0.65</v>
      </c>
      <c r="AR162" s="281">
        <v>0.65</v>
      </c>
      <c r="AS162" s="281">
        <v>0.65</v>
      </c>
      <c r="AT162" s="281">
        <v>0.5</v>
      </c>
      <c r="AU162" s="281">
        <v>0.5</v>
      </c>
      <c r="AV162" s="281">
        <v>0.5</v>
      </c>
      <c r="AW162" s="281">
        <v>0.5</v>
      </c>
      <c r="AX162" s="281">
        <v>0.5</v>
      </c>
      <c r="AY162" s="281">
        <v>0.5</v>
      </c>
      <c r="AZ162" s="281">
        <v>0.5</v>
      </c>
      <c r="BA162" s="281">
        <v>0.5</v>
      </c>
      <c r="BB162" s="281">
        <v>0.5</v>
      </c>
      <c r="BC162" s="281">
        <v>0.5</v>
      </c>
      <c r="BD162" s="281">
        <v>0.5</v>
      </c>
      <c r="BE162" s="281">
        <v>0.5</v>
      </c>
      <c r="BF162" s="281">
        <v>0.5</v>
      </c>
      <c r="BG162" s="281">
        <v>0.3</v>
      </c>
      <c r="BH162" s="281">
        <v>0.3</v>
      </c>
      <c r="BI162" s="281">
        <v>0.3</v>
      </c>
      <c r="BJ162" s="281">
        <v>0.3</v>
      </c>
      <c r="BK162" s="281">
        <v>0.3</v>
      </c>
      <c r="BL162" s="281">
        <v>0.3</v>
      </c>
      <c r="BM162" s="281">
        <v>0.3</v>
      </c>
      <c r="BN162" s="281">
        <v>0.3</v>
      </c>
      <c r="BO162" s="281">
        <v>0.3</v>
      </c>
      <c r="BP162" s="281">
        <v>0.3</v>
      </c>
      <c r="BQ162" s="281">
        <v>0.3</v>
      </c>
      <c r="BR162" s="286">
        <v>0</v>
      </c>
    </row>
    <row r="163" spans="1:70" ht="14.25" customHeight="1" x14ac:dyDescent="0.35">
      <c r="A163" s="4" t="s">
        <v>449</v>
      </c>
      <c r="B163" s="384">
        <v>679.97877100840356</v>
      </c>
      <c r="C163" s="385"/>
      <c r="D163" s="41" t="s">
        <v>229</v>
      </c>
      <c r="E163" s="93">
        <f t="shared" si="0"/>
        <v>0</v>
      </c>
      <c r="F163" s="93">
        <v>2025</v>
      </c>
      <c r="G163" s="93">
        <v>2050</v>
      </c>
      <c r="I163" s="41" t="s">
        <v>229</v>
      </c>
      <c r="J163" s="281">
        <v>0.85</v>
      </c>
      <c r="K163" s="281">
        <v>0.85</v>
      </c>
      <c r="L163" s="281">
        <v>0.85</v>
      </c>
      <c r="M163" s="281">
        <v>0.85</v>
      </c>
      <c r="N163" s="281">
        <v>0.85</v>
      </c>
      <c r="O163" s="281">
        <v>0.85</v>
      </c>
      <c r="P163" s="281">
        <v>0.85</v>
      </c>
      <c r="Q163" s="281">
        <v>0.85</v>
      </c>
      <c r="R163" s="281">
        <v>0.85</v>
      </c>
      <c r="S163" s="281">
        <v>0.85</v>
      </c>
      <c r="T163" s="281">
        <v>0.85</v>
      </c>
      <c r="U163" s="281">
        <v>0.85</v>
      </c>
      <c r="V163" s="281">
        <v>0.85</v>
      </c>
      <c r="W163" s="281">
        <v>0.85</v>
      </c>
      <c r="X163" s="281">
        <v>0.85</v>
      </c>
      <c r="Y163" s="281">
        <v>0.85</v>
      </c>
      <c r="Z163" s="281">
        <v>0.85</v>
      </c>
      <c r="AA163" s="281">
        <v>0.85</v>
      </c>
      <c r="AB163" s="281">
        <v>0.85</v>
      </c>
      <c r="AC163" s="281">
        <v>0.85</v>
      </c>
      <c r="AD163" s="281">
        <v>0.85</v>
      </c>
      <c r="AE163" s="281">
        <v>0.85</v>
      </c>
      <c r="AF163" s="281">
        <v>0.85</v>
      </c>
      <c r="AG163" s="281">
        <v>0.85</v>
      </c>
      <c r="AH163" s="281">
        <v>0.65</v>
      </c>
      <c r="AI163" s="281">
        <v>0.65</v>
      </c>
      <c r="AJ163" s="281">
        <v>0.65</v>
      </c>
      <c r="AK163" s="281">
        <v>0.65</v>
      </c>
      <c r="AL163" s="281">
        <v>0.65</v>
      </c>
      <c r="AM163" s="281">
        <v>0.65</v>
      </c>
      <c r="AN163" s="281">
        <v>0.65</v>
      </c>
      <c r="AO163" s="281">
        <v>0.65</v>
      </c>
      <c r="AP163" s="281">
        <v>0.65</v>
      </c>
      <c r="AQ163" s="281">
        <v>0.65</v>
      </c>
      <c r="AR163" s="281">
        <v>0.65</v>
      </c>
      <c r="AS163" s="281">
        <v>0.65</v>
      </c>
      <c r="AT163" s="281">
        <v>0.5</v>
      </c>
      <c r="AU163" s="281">
        <v>0.5</v>
      </c>
      <c r="AV163" s="281">
        <v>0.5</v>
      </c>
      <c r="AW163" s="281">
        <v>0.5</v>
      </c>
      <c r="AX163" s="281">
        <v>0.5</v>
      </c>
      <c r="AY163" s="281">
        <v>0.5</v>
      </c>
      <c r="AZ163" s="281">
        <v>0.5</v>
      </c>
      <c r="BA163" s="281">
        <v>0.5</v>
      </c>
      <c r="BB163" s="281">
        <v>0.5</v>
      </c>
      <c r="BC163" s="281">
        <v>0.5</v>
      </c>
      <c r="BD163" s="281">
        <v>0.5</v>
      </c>
      <c r="BE163" s="281">
        <v>0.5</v>
      </c>
      <c r="BF163" s="281">
        <v>0.5</v>
      </c>
      <c r="BG163" s="281">
        <v>0.3</v>
      </c>
      <c r="BH163" s="281">
        <v>0.3</v>
      </c>
      <c r="BI163" s="281">
        <v>0.3</v>
      </c>
      <c r="BJ163" s="281">
        <v>0.3</v>
      </c>
      <c r="BK163" s="281">
        <v>0.3</v>
      </c>
      <c r="BL163" s="281">
        <v>0.3</v>
      </c>
      <c r="BM163" s="281">
        <v>0.3</v>
      </c>
      <c r="BN163" s="281">
        <v>0.3</v>
      </c>
      <c r="BO163" s="281">
        <v>0.3</v>
      </c>
      <c r="BP163" s="281">
        <v>0.3</v>
      </c>
      <c r="BQ163" s="281">
        <v>0.3</v>
      </c>
      <c r="BR163" s="286">
        <v>0</v>
      </c>
    </row>
    <row r="164" spans="1:70" ht="14.25" customHeight="1" x14ac:dyDescent="0.35">
      <c r="A164" s="4" t="s">
        <v>450</v>
      </c>
      <c r="B164" s="384">
        <v>679.97877100840356</v>
      </c>
      <c r="C164" s="385"/>
      <c r="D164" s="41" t="s">
        <v>111</v>
      </c>
      <c r="E164" s="93">
        <f t="shared" si="0"/>
        <v>0</v>
      </c>
      <c r="F164" s="93">
        <v>2025</v>
      </c>
      <c r="G164" s="93">
        <v>2050</v>
      </c>
      <c r="I164" s="41" t="s">
        <v>111</v>
      </c>
      <c r="J164" s="281">
        <v>0.85</v>
      </c>
      <c r="K164" s="281">
        <v>0.85</v>
      </c>
      <c r="L164" s="281">
        <v>0.85</v>
      </c>
      <c r="M164" s="281">
        <v>0.85</v>
      </c>
      <c r="N164" s="281">
        <v>0.85</v>
      </c>
      <c r="O164" s="281">
        <v>0.85</v>
      </c>
      <c r="P164" s="281">
        <v>0.85</v>
      </c>
      <c r="Q164" s="281">
        <v>0.85</v>
      </c>
      <c r="R164" s="281">
        <v>0.85</v>
      </c>
      <c r="S164" s="281">
        <v>0.85</v>
      </c>
      <c r="T164" s="281">
        <v>0.85</v>
      </c>
      <c r="U164" s="281">
        <v>0.85</v>
      </c>
      <c r="V164" s="281">
        <v>0.85</v>
      </c>
      <c r="W164" s="281">
        <v>0.85</v>
      </c>
      <c r="X164" s="281">
        <v>0.85</v>
      </c>
      <c r="Y164" s="281">
        <v>0.85</v>
      </c>
      <c r="Z164" s="281">
        <v>0.85</v>
      </c>
      <c r="AA164" s="281">
        <v>0.85</v>
      </c>
      <c r="AB164" s="281">
        <v>0.85</v>
      </c>
      <c r="AC164" s="281">
        <v>0.85</v>
      </c>
      <c r="AD164" s="281">
        <v>0.85</v>
      </c>
      <c r="AE164" s="281">
        <v>0.85</v>
      </c>
      <c r="AF164" s="281">
        <v>0.85</v>
      </c>
      <c r="AG164" s="281">
        <v>0.85</v>
      </c>
      <c r="AH164" s="281">
        <v>0.65</v>
      </c>
      <c r="AI164" s="281">
        <v>0.65</v>
      </c>
      <c r="AJ164" s="281">
        <v>0.65</v>
      </c>
      <c r="AK164" s="281">
        <v>0.65</v>
      </c>
      <c r="AL164" s="281">
        <v>0.65</v>
      </c>
      <c r="AM164" s="281">
        <v>0.65</v>
      </c>
      <c r="AN164" s="281">
        <v>0.65</v>
      </c>
      <c r="AO164" s="281">
        <v>0.65</v>
      </c>
      <c r="AP164" s="281">
        <v>0.65</v>
      </c>
      <c r="AQ164" s="281">
        <v>0.65</v>
      </c>
      <c r="AR164" s="281">
        <v>0.65</v>
      </c>
      <c r="AS164" s="281">
        <v>0.65</v>
      </c>
      <c r="AT164" s="281">
        <v>0.5</v>
      </c>
      <c r="AU164" s="281">
        <v>0.5</v>
      </c>
      <c r="AV164" s="281">
        <v>0.5</v>
      </c>
      <c r="AW164" s="281">
        <v>0.5</v>
      </c>
      <c r="AX164" s="281">
        <v>0.5</v>
      </c>
      <c r="AY164" s="281">
        <v>0.5</v>
      </c>
      <c r="AZ164" s="281">
        <v>0.5</v>
      </c>
      <c r="BA164" s="281">
        <v>0.5</v>
      </c>
      <c r="BB164" s="281">
        <v>0.5</v>
      </c>
      <c r="BC164" s="281">
        <v>0.5</v>
      </c>
      <c r="BD164" s="281">
        <v>0.5</v>
      </c>
      <c r="BE164" s="281">
        <v>0.5</v>
      </c>
      <c r="BF164" s="281">
        <v>0.5</v>
      </c>
      <c r="BG164" s="281">
        <v>0.3</v>
      </c>
      <c r="BH164" s="281">
        <v>0.3</v>
      </c>
      <c r="BI164" s="281">
        <v>0.3</v>
      </c>
      <c r="BJ164" s="281">
        <v>0.3</v>
      </c>
      <c r="BK164" s="281">
        <v>0.3</v>
      </c>
      <c r="BL164" s="281">
        <v>0.3</v>
      </c>
      <c r="BM164" s="281">
        <v>0.3</v>
      </c>
      <c r="BN164" s="281">
        <v>0.3</v>
      </c>
      <c r="BO164" s="281">
        <v>0.3</v>
      </c>
      <c r="BP164" s="281">
        <v>0.3</v>
      </c>
      <c r="BQ164" s="281">
        <v>0.3</v>
      </c>
      <c r="BR164" s="286">
        <v>0</v>
      </c>
    </row>
    <row r="165" spans="1:70" ht="14.25" customHeight="1" x14ac:dyDescent="0.35">
      <c r="A165" s="4" t="s">
        <v>451</v>
      </c>
      <c r="B165" s="384">
        <v>679.97877100840356</v>
      </c>
      <c r="C165" s="385"/>
      <c r="D165" s="41" t="s">
        <v>112</v>
      </c>
      <c r="E165" s="93">
        <f t="shared" si="0"/>
        <v>0</v>
      </c>
      <c r="F165" s="93">
        <v>2025</v>
      </c>
      <c r="G165" s="93">
        <v>2050</v>
      </c>
      <c r="I165" s="41" t="s">
        <v>112</v>
      </c>
      <c r="J165" s="286">
        <v>0</v>
      </c>
      <c r="K165" s="286">
        <v>0</v>
      </c>
      <c r="L165" s="286">
        <v>0</v>
      </c>
      <c r="M165" s="286">
        <v>0</v>
      </c>
      <c r="N165" s="286">
        <v>0</v>
      </c>
      <c r="O165" s="286">
        <v>0</v>
      </c>
      <c r="P165" s="286">
        <v>0</v>
      </c>
      <c r="Q165" s="286">
        <v>0</v>
      </c>
      <c r="R165" s="286">
        <v>0</v>
      </c>
      <c r="S165" s="286">
        <v>0</v>
      </c>
      <c r="T165" s="286">
        <v>0</v>
      </c>
      <c r="U165" s="286">
        <v>0</v>
      </c>
      <c r="V165" s="286">
        <v>0</v>
      </c>
      <c r="W165" s="286">
        <v>0</v>
      </c>
      <c r="X165" s="286">
        <v>0</v>
      </c>
      <c r="Y165" s="286">
        <v>0</v>
      </c>
      <c r="Z165" s="286">
        <v>0</v>
      </c>
      <c r="AA165" s="286">
        <v>0</v>
      </c>
      <c r="AB165" s="286">
        <v>0</v>
      </c>
      <c r="AC165" s="286">
        <v>0</v>
      </c>
      <c r="AD165" s="286">
        <v>0</v>
      </c>
      <c r="AE165" s="286">
        <v>0</v>
      </c>
      <c r="AF165" s="286">
        <v>0</v>
      </c>
      <c r="AG165" s="286">
        <v>0</v>
      </c>
      <c r="AH165" s="286">
        <v>0</v>
      </c>
      <c r="AI165" s="286">
        <v>0</v>
      </c>
      <c r="AJ165" s="286">
        <v>0</v>
      </c>
      <c r="AK165" s="286">
        <v>0</v>
      </c>
      <c r="AL165" s="286">
        <v>0</v>
      </c>
      <c r="AM165" s="286">
        <v>0</v>
      </c>
      <c r="AN165" s="286">
        <v>0</v>
      </c>
      <c r="AO165" s="286">
        <v>0</v>
      </c>
      <c r="AP165" s="286">
        <v>0</v>
      </c>
      <c r="AQ165" s="286">
        <v>0</v>
      </c>
      <c r="AR165" s="286">
        <v>0</v>
      </c>
      <c r="AS165" s="286">
        <v>0</v>
      </c>
      <c r="AT165" s="286">
        <v>0</v>
      </c>
      <c r="AU165" s="286">
        <v>0</v>
      </c>
      <c r="AV165" s="286">
        <v>0</v>
      </c>
      <c r="AW165" s="286">
        <v>0</v>
      </c>
      <c r="AX165" s="286">
        <v>0</v>
      </c>
      <c r="AY165" s="286">
        <v>0</v>
      </c>
      <c r="AZ165" s="286">
        <v>0</v>
      </c>
      <c r="BA165" s="286">
        <v>0</v>
      </c>
      <c r="BB165" s="286">
        <v>0</v>
      </c>
      <c r="BC165" s="286">
        <v>0</v>
      </c>
      <c r="BD165" s="286">
        <v>0</v>
      </c>
      <c r="BE165" s="286">
        <v>0</v>
      </c>
      <c r="BF165" s="286">
        <v>0</v>
      </c>
      <c r="BG165" s="286">
        <v>0</v>
      </c>
      <c r="BH165" s="286">
        <v>0</v>
      </c>
      <c r="BI165" s="286">
        <v>0</v>
      </c>
      <c r="BJ165" s="286">
        <v>0</v>
      </c>
      <c r="BK165" s="286">
        <v>0</v>
      </c>
      <c r="BL165" s="286">
        <v>0</v>
      </c>
      <c r="BM165" s="286">
        <v>0</v>
      </c>
      <c r="BN165" s="286">
        <v>0</v>
      </c>
      <c r="BO165" s="286">
        <v>0</v>
      </c>
      <c r="BP165" s="286">
        <v>0</v>
      </c>
      <c r="BQ165" s="286">
        <v>0</v>
      </c>
      <c r="BR165" s="281">
        <v>0.65</v>
      </c>
    </row>
    <row r="166" spans="1:70" ht="14.25" customHeight="1" x14ac:dyDescent="0.35">
      <c r="A166" s="4" t="s">
        <v>452</v>
      </c>
      <c r="B166" s="384">
        <v>679.97877100840356</v>
      </c>
      <c r="C166" s="385"/>
      <c r="D166" s="41" t="s">
        <v>113</v>
      </c>
      <c r="E166" s="93">
        <f t="shared" si="0"/>
        <v>0</v>
      </c>
      <c r="F166" s="93">
        <v>2025</v>
      </c>
      <c r="G166" s="93">
        <v>2050</v>
      </c>
      <c r="I166" s="41" t="s">
        <v>113</v>
      </c>
      <c r="J166" s="286">
        <v>0</v>
      </c>
      <c r="K166" s="286">
        <v>0</v>
      </c>
      <c r="L166" s="286">
        <v>0</v>
      </c>
      <c r="M166" s="286">
        <v>0</v>
      </c>
      <c r="N166" s="286">
        <v>0</v>
      </c>
      <c r="O166" s="286">
        <v>0</v>
      </c>
      <c r="P166" s="286">
        <v>0</v>
      </c>
      <c r="Q166" s="286">
        <v>0</v>
      </c>
      <c r="R166" s="286">
        <v>0</v>
      </c>
      <c r="S166" s="286">
        <v>0</v>
      </c>
      <c r="T166" s="286">
        <v>0</v>
      </c>
      <c r="U166" s="286">
        <v>0</v>
      </c>
      <c r="V166" s="286">
        <v>0</v>
      </c>
      <c r="W166" s="286">
        <v>0</v>
      </c>
      <c r="X166" s="286">
        <v>0</v>
      </c>
      <c r="Y166" s="286">
        <v>0</v>
      </c>
      <c r="Z166" s="286">
        <v>0</v>
      </c>
      <c r="AA166" s="286">
        <v>0</v>
      </c>
      <c r="AB166" s="286">
        <v>0</v>
      </c>
      <c r="AC166" s="286">
        <v>0</v>
      </c>
      <c r="AD166" s="286">
        <v>0</v>
      </c>
      <c r="AE166" s="286">
        <v>0</v>
      </c>
      <c r="AF166" s="286">
        <v>0</v>
      </c>
      <c r="AG166" s="286">
        <v>0</v>
      </c>
      <c r="AH166" s="286">
        <v>0</v>
      </c>
      <c r="AI166" s="286">
        <v>0</v>
      </c>
      <c r="AJ166" s="286">
        <v>0</v>
      </c>
      <c r="AK166" s="286">
        <v>0</v>
      </c>
      <c r="AL166" s="286">
        <v>0</v>
      </c>
      <c r="AM166" s="286">
        <v>0</v>
      </c>
      <c r="AN166" s="286">
        <v>0</v>
      </c>
      <c r="AO166" s="286">
        <v>0</v>
      </c>
      <c r="AP166" s="286">
        <v>0</v>
      </c>
      <c r="AQ166" s="286">
        <v>0</v>
      </c>
      <c r="AR166" s="286">
        <v>0</v>
      </c>
      <c r="AS166" s="286">
        <v>0</v>
      </c>
      <c r="AT166" s="286">
        <v>0</v>
      </c>
      <c r="AU166" s="286">
        <v>0</v>
      </c>
      <c r="AV166" s="286">
        <v>0</v>
      </c>
      <c r="AW166" s="286">
        <v>0</v>
      </c>
      <c r="AX166" s="286">
        <v>0</v>
      </c>
      <c r="AY166" s="286">
        <v>0</v>
      </c>
      <c r="AZ166" s="286">
        <v>0</v>
      </c>
      <c r="BA166" s="286">
        <v>0</v>
      </c>
      <c r="BB166" s="286">
        <v>0</v>
      </c>
      <c r="BC166" s="286">
        <v>0</v>
      </c>
      <c r="BD166" s="286">
        <v>0</v>
      </c>
      <c r="BE166" s="286">
        <v>0</v>
      </c>
      <c r="BF166" s="286">
        <v>0</v>
      </c>
      <c r="BG166" s="286">
        <v>0</v>
      </c>
      <c r="BH166" s="286">
        <v>0</v>
      </c>
      <c r="BI166" s="286">
        <v>0</v>
      </c>
      <c r="BJ166" s="286">
        <v>0</v>
      </c>
      <c r="BK166" s="286">
        <v>0</v>
      </c>
      <c r="BL166" s="286">
        <v>0</v>
      </c>
      <c r="BM166" s="286">
        <v>0</v>
      </c>
      <c r="BN166" s="286">
        <v>0</v>
      </c>
      <c r="BO166" s="286">
        <v>0</v>
      </c>
      <c r="BP166" s="286">
        <v>0</v>
      </c>
      <c r="BQ166" s="286">
        <v>0</v>
      </c>
      <c r="BR166" s="281">
        <v>0.65</v>
      </c>
    </row>
    <row r="167" spans="1:70" ht="14.25" customHeight="1" x14ac:dyDescent="0.35">
      <c r="A167" s="4" t="s">
        <v>453</v>
      </c>
      <c r="B167" s="384">
        <v>679.97877100840356</v>
      </c>
      <c r="C167" s="385"/>
      <c r="D167" s="41" t="s">
        <v>114</v>
      </c>
      <c r="E167" s="93">
        <f t="shared" si="0"/>
        <v>0</v>
      </c>
      <c r="F167" s="93">
        <v>2025</v>
      </c>
      <c r="G167" s="93">
        <v>2050</v>
      </c>
      <c r="I167" s="41" t="s">
        <v>114</v>
      </c>
      <c r="J167" s="281">
        <v>0.85</v>
      </c>
      <c r="K167" s="281">
        <v>0.85</v>
      </c>
      <c r="L167" s="281">
        <v>0.85</v>
      </c>
      <c r="M167" s="281">
        <v>0.85</v>
      </c>
      <c r="N167" s="281">
        <v>0.85</v>
      </c>
      <c r="O167" s="281">
        <v>0.85</v>
      </c>
      <c r="P167" s="281">
        <v>0.85</v>
      </c>
      <c r="Q167" s="281">
        <v>0.85</v>
      </c>
      <c r="R167" s="281">
        <v>0.85</v>
      </c>
      <c r="S167" s="281">
        <v>0.85</v>
      </c>
      <c r="T167" s="281">
        <v>0.85</v>
      </c>
      <c r="U167" s="281">
        <v>0.85</v>
      </c>
      <c r="V167" s="281">
        <v>0.85</v>
      </c>
      <c r="W167" s="281">
        <v>0.85</v>
      </c>
      <c r="X167" s="281">
        <v>0.85</v>
      </c>
      <c r="Y167" s="281">
        <v>0.85</v>
      </c>
      <c r="Z167" s="281">
        <v>0.85</v>
      </c>
      <c r="AA167" s="281">
        <v>0.85</v>
      </c>
      <c r="AB167" s="281">
        <v>0.85</v>
      </c>
      <c r="AC167" s="281">
        <v>0.85</v>
      </c>
      <c r="AD167" s="281">
        <v>0.85</v>
      </c>
      <c r="AE167" s="281">
        <v>0.85</v>
      </c>
      <c r="AF167" s="281">
        <v>0.85</v>
      </c>
      <c r="AG167" s="281">
        <v>0.85</v>
      </c>
      <c r="AH167" s="281">
        <v>0.65</v>
      </c>
      <c r="AI167" s="281">
        <v>0.65</v>
      </c>
      <c r="AJ167" s="281">
        <v>0.65</v>
      </c>
      <c r="AK167" s="281">
        <v>0.65</v>
      </c>
      <c r="AL167" s="281">
        <v>0.65</v>
      </c>
      <c r="AM167" s="281">
        <v>0.65</v>
      </c>
      <c r="AN167" s="281">
        <v>0.65</v>
      </c>
      <c r="AO167" s="281">
        <v>0.65</v>
      </c>
      <c r="AP167" s="281">
        <v>0.65</v>
      </c>
      <c r="AQ167" s="281">
        <v>0.65</v>
      </c>
      <c r="AR167" s="281">
        <v>0.65</v>
      </c>
      <c r="AS167" s="281">
        <v>0.65</v>
      </c>
      <c r="AT167" s="281">
        <v>0.5</v>
      </c>
      <c r="AU167" s="281">
        <v>0.5</v>
      </c>
      <c r="AV167" s="281">
        <v>0.5</v>
      </c>
      <c r="AW167" s="281">
        <v>0.5</v>
      </c>
      <c r="AX167" s="281">
        <v>0.5</v>
      </c>
      <c r="AY167" s="281">
        <v>0.5</v>
      </c>
      <c r="AZ167" s="281">
        <v>0.5</v>
      </c>
      <c r="BA167" s="281">
        <v>0.5</v>
      </c>
      <c r="BB167" s="281">
        <v>0.5</v>
      </c>
      <c r="BC167" s="281">
        <v>0.5</v>
      </c>
      <c r="BD167" s="281">
        <v>0.5</v>
      </c>
      <c r="BE167" s="281">
        <v>0.5</v>
      </c>
      <c r="BF167" s="281">
        <v>0.5</v>
      </c>
      <c r="BG167" s="281">
        <v>0.3</v>
      </c>
      <c r="BH167" s="281">
        <v>0.3</v>
      </c>
      <c r="BI167" s="281">
        <v>0.3</v>
      </c>
      <c r="BJ167" s="281">
        <v>0.3</v>
      </c>
      <c r="BK167" s="281">
        <v>0.3</v>
      </c>
      <c r="BL167" s="281">
        <v>0.3</v>
      </c>
      <c r="BM167" s="281">
        <v>0.3</v>
      </c>
      <c r="BN167" s="281">
        <v>0.3</v>
      </c>
      <c r="BO167" s="281">
        <v>0.3</v>
      </c>
      <c r="BP167" s="281">
        <v>0.3</v>
      </c>
      <c r="BQ167" s="281">
        <v>0.3</v>
      </c>
      <c r="BR167" s="286">
        <v>0</v>
      </c>
    </row>
    <row r="168" spans="1:70" ht="14.25" customHeight="1" x14ac:dyDescent="0.35">
      <c r="A168" s="4" t="s">
        <v>454</v>
      </c>
      <c r="B168" s="384">
        <v>679.97877100840356</v>
      </c>
      <c r="C168" s="385"/>
      <c r="D168" s="41" t="s">
        <v>115</v>
      </c>
      <c r="E168" s="93">
        <f t="shared" si="0"/>
        <v>0</v>
      </c>
      <c r="F168" s="93">
        <v>2025</v>
      </c>
      <c r="G168" s="93">
        <v>2050</v>
      </c>
      <c r="I168" s="41" t="s">
        <v>115</v>
      </c>
      <c r="J168" s="281">
        <v>0.85</v>
      </c>
      <c r="K168" s="281">
        <v>0.85</v>
      </c>
      <c r="L168" s="281">
        <v>0.85</v>
      </c>
      <c r="M168" s="281">
        <v>0.85</v>
      </c>
      <c r="N168" s="281">
        <v>0.85</v>
      </c>
      <c r="O168" s="281">
        <v>0.85</v>
      </c>
      <c r="P168" s="281">
        <v>0.85</v>
      </c>
      <c r="Q168" s="281">
        <v>0.85</v>
      </c>
      <c r="R168" s="281">
        <v>0.85</v>
      </c>
      <c r="S168" s="281">
        <v>0.85</v>
      </c>
      <c r="T168" s="281">
        <v>0.85</v>
      </c>
      <c r="U168" s="281">
        <v>0.85</v>
      </c>
      <c r="V168" s="281">
        <v>0.85</v>
      </c>
      <c r="W168" s="281">
        <v>0.85</v>
      </c>
      <c r="X168" s="281">
        <v>0.85</v>
      </c>
      <c r="Y168" s="281">
        <v>0.85</v>
      </c>
      <c r="Z168" s="281">
        <v>0.85</v>
      </c>
      <c r="AA168" s="281">
        <v>0.85</v>
      </c>
      <c r="AB168" s="281">
        <v>0.85</v>
      </c>
      <c r="AC168" s="281">
        <v>0.85</v>
      </c>
      <c r="AD168" s="281">
        <v>0.85</v>
      </c>
      <c r="AE168" s="281">
        <v>0.85</v>
      </c>
      <c r="AF168" s="281">
        <v>0.85</v>
      </c>
      <c r="AG168" s="281">
        <v>0.85</v>
      </c>
      <c r="AH168" s="281">
        <v>0.65</v>
      </c>
      <c r="AI168" s="281">
        <v>0.65</v>
      </c>
      <c r="AJ168" s="281">
        <v>0.65</v>
      </c>
      <c r="AK168" s="281">
        <v>0.65</v>
      </c>
      <c r="AL168" s="281">
        <v>0.65</v>
      </c>
      <c r="AM168" s="281">
        <v>0.65</v>
      </c>
      <c r="AN168" s="281">
        <v>0.65</v>
      </c>
      <c r="AO168" s="281">
        <v>0.65</v>
      </c>
      <c r="AP168" s="281">
        <v>0.65</v>
      </c>
      <c r="AQ168" s="281">
        <v>0.65</v>
      </c>
      <c r="AR168" s="281">
        <v>0.65</v>
      </c>
      <c r="AS168" s="281">
        <v>0.65</v>
      </c>
      <c r="AT168" s="281">
        <v>0.5</v>
      </c>
      <c r="AU168" s="281">
        <v>0.5</v>
      </c>
      <c r="AV168" s="281">
        <v>0.5</v>
      </c>
      <c r="AW168" s="281">
        <v>0.5</v>
      </c>
      <c r="AX168" s="281">
        <v>0.5</v>
      </c>
      <c r="AY168" s="281">
        <v>0.5</v>
      </c>
      <c r="AZ168" s="281">
        <v>0.5</v>
      </c>
      <c r="BA168" s="281">
        <v>0.5</v>
      </c>
      <c r="BB168" s="281">
        <v>0.5</v>
      </c>
      <c r="BC168" s="281">
        <v>0.5</v>
      </c>
      <c r="BD168" s="281">
        <v>0.5</v>
      </c>
      <c r="BE168" s="281">
        <v>0.5</v>
      </c>
      <c r="BF168" s="281">
        <v>0.5</v>
      </c>
      <c r="BG168" s="281">
        <v>0.3</v>
      </c>
      <c r="BH168" s="281">
        <v>0.3</v>
      </c>
      <c r="BI168" s="281">
        <v>0.3</v>
      </c>
      <c r="BJ168" s="281">
        <v>0.3</v>
      </c>
      <c r="BK168" s="281">
        <v>0.3</v>
      </c>
      <c r="BL168" s="281">
        <v>0.3</v>
      </c>
      <c r="BM168" s="281">
        <v>0.3</v>
      </c>
      <c r="BN168" s="281">
        <v>0.3</v>
      </c>
      <c r="BO168" s="281">
        <v>0.3</v>
      </c>
      <c r="BP168" s="281">
        <v>0.3</v>
      </c>
      <c r="BQ168" s="281">
        <v>0.3</v>
      </c>
      <c r="BR168" s="286">
        <v>0</v>
      </c>
    </row>
    <row r="169" spans="1:70" ht="14.25" customHeight="1" x14ac:dyDescent="0.35">
      <c r="A169" s="4" t="s">
        <v>455</v>
      </c>
      <c r="B169" s="384">
        <v>679.97877100840356</v>
      </c>
      <c r="C169" s="385"/>
      <c r="D169" s="41" t="s">
        <v>116</v>
      </c>
      <c r="E169" s="93">
        <f t="shared" si="0"/>
        <v>0</v>
      </c>
      <c r="F169" s="93">
        <v>2025</v>
      </c>
      <c r="G169" s="93">
        <v>2050</v>
      </c>
      <c r="I169" s="41" t="s">
        <v>116</v>
      </c>
      <c r="J169" s="286">
        <v>0</v>
      </c>
      <c r="K169" s="286">
        <v>0</v>
      </c>
      <c r="L169" s="286">
        <v>0</v>
      </c>
      <c r="M169" s="286">
        <v>0</v>
      </c>
      <c r="N169" s="286">
        <v>0</v>
      </c>
      <c r="O169" s="286">
        <v>0</v>
      </c>
      <c r="P169" s="286">
        <v>0</v>
      </c>
      <c r="Q169" s="286">
        <v>0</v>
      </c>
      <c r="R169" s="286">
        <v>0</v>
      </c>
      <c r="S169" s="286">
        <v>0</v>
      </c>
      <c r="T169" s="286">
        <v>0</v>
      </c>
      <c r="U169" s="286">
        <v>0</v>
      </c>
      <c r="V169" s="286">
        <v>0</v>
      </c>
      <c r="W169" s="286">
        <v>0</v>
      </c>
      <c r="X169" s="286">
        <v>0</v>
      </c>
      <c r="Y169" s="286">
        <v>0</v>
      </c>
      <c r="Z169" s="286">
        <v>0</v>
      </c>
      <c r="AA169" s="286">
        <v>0</v>
      </c>
      <c r="AB169" s="286">
        <v>0</v>
      </c>
      <c r="AC169" s="286">
        <v>0</v>
      </c>
      <c r="AD169" s="286">
        <v>0</v>
      </c>
      <c r="AE169" s="286">
        <v>0</v>
      </c>
      <c r="AF169" s="286">
        <v>0</v>
      </c>
      <c r="AG169" s="286">
        <v>0</v>
      </c>
      <c r="AH169" s="286">
        <v>0</v>
      </c>
      <c r="AI169" s="286">
        <v>0</v>
      </c>
      <c r="AJ169" s="286">
        <v>0</v>
      </c>
      <c r="AK169" s="286">
        <v>0</v>
      </c>
      <c r="AL169" s="286">
        <v>0</v>
      </c>
      <c r="AM169" s="286">
        <v>0</v>
      </c>
      <c r="AN169" s="286">
        <v>0</v>
      </c>
      <c r="AO169" s="286">
        <v>0</v>
      </c>
      <c r="AP169" s="286">
        <v>0</v>
      </c>
      <c r="AQ169" s="286">
        <v>0</v>
      </c>
      <c r="AR169" s="286">
        <v>0</v>
      </c>
      <c r="AS169" s="286">
        <v>0</v>
      </c>
      <c r="AT169" s="286">
        <v>0</v>
      </c>
      <c r="AU169" s="286">
        <v>0</v>
      </c>
      <c r="AV169" s="286">
        <v>0</v>
      </c>
      <c r="AW169" s="286">
        <v>0</v>
      </c>
      <c r="AX169" s="286">
        <v>0</v>
      </c>
      <c r="AY169" s="286">
        <v>0</v>
      </c>
      <c r="AZ169" s="286">
        <v>0</v>
      </c>
      <c r="BA169" s="286">
        <v>0</v>
      </c>
      <c r="BB169" s="286">
        <v>0</v>
      </c>
      <c r="BC169" s="286">
        <v>0</v>
      </c>
      <c r="BD169" s="286">
        <v>0</v>
      </c>
      <c r="BE169" s="286">
        <v>0</v>
      </c>
      <c r="BF169" s="286">
        <v>0</v>
      </c>
      <c r="BG169" s="286">
        <v>0</v>
      </c>
      <c r="BH169" s="286">
        <v>0</v>
      </c>
      <c r="BI169" s="286">
        <v>0</v>
      </c>
      <c r="BJ169" s="286">
        <v>0</v>
      </c>
      <c r="BK169" s="286">
        <v>0</v>
      </c>
      <c r="BL169" s="286">
        <v>0</v>
      </c>
      <c r="BM169" s="286">
        <v>0</v>
      </c>
      <c r="BN169" s="286">
        <v>0</v>
      </c>
      <c r="BO169" s="286">
        <v>0</v>
      </c>
      <c r="BP169" s="286">
        <v>0</v>
      </c>
      <c r="BQ169" s="286">
        <v>0</v>
      </c>
      <c r="BR169" s="281">
        <v>0.65</v>
      </c>
    </row>
    <row r="170" spans="1:70" ht="14.25" customHeight="1" x14ac:dyDescent="0.35">
      <c r="A170" s="4" t="s">
        <v>456</v>
      </c>
      <c r="B170" s="384">
        <v>679.97877100840356</v>
      </c>
      <c r="C170" s="385"/>
      <c r="D170" s="41" t="s">
        <v>117</v>
      </c>
      <c r="E170" s="93">
        <f t="shared" si="0"/>
        <v>0</v>
      </c>
      <c r="F170" s="93">
        <v>2025</v>
      </c>
      <c r="G170" s="93">
        <v>2050</v>
      </c>
      <c r="I170" s="41" t="s">
        <v>117</v>
      </c>
      <c r="J170" s="281">
        <v>0.85</v>
      </c>
      <c r="K170" s="281">
        <v>0.85</v>
      </c>
      <c r="L170" s="281">
        <v>0.85</v>
      </c>
      <c r="M170" s="281">
        <v>0.85</v>
      </c>
      <c r="N170" s="281">
        <v>0.85</v>
      </c>
      <c r="O170" s="281">
        <v>0.85</v>
      </c>
      <c r="P170" s="281">
        <v>0.85</v>
      </c>
      <c r="Q170" s="281">
        <v>0.85</v>
      </c>
      <c r="R170" s="281">
        <v>0.85</v>
      </c>
      <c r="S170" s="281">
        <v>0.85</v>
      </c>
      <c r="T170" s="281">
        <v>0.85</v>
      </c>
      <c r="U170" s="281">
        <v>0.85</v>
      </c>
      <c r="V170" s="281">
        <v>0.85</v>
      </c>
      <c r="W170" s="281">
        <v>0.85</v>
      </c>
      <c r="X170" s="281">
        <v>0.85</v>
      </c>
      <c r="Y170" s="281">
        <v>0.85</v>
      </c>
      <c r="Z170" s="281">
        <v>0.85</v>
      </c>
      <c r="AA170" s="281">
        <v>0.85</v>
      </c>
      <c r="AB170" s="281">
        <v>0.85</v>
      </c>
      <c r="AC170" s="281">
        <v>0.85</v>
      </c>
      <c r="AD170" s="281">
        <v>0.85</v>
      </c>
      <c r="AE170" s="281">
        <v>0.85</v>
      </c>
      <c r="AF170" s="281">
        <v>0.85</v>
      </c>
      <c r="AG170" s="281">
        <v>0.85</v>
      </c>
      <c r="AH170" s="281">
        <v>0.65</v>
      </c>
      <c r="AI170" s="281">
        <v>0.65</v>
      </c>
      <c r="AJ170" s="281">
        <v>0.65</v>
      </c>
      <c r="AK170" s="281">
        <v>0.65</v>
      </c>
      <c r="AL170" s="281">
        <v>0.65</v>
      </c>
      <c r="AM170" s="281">
        <v>0.65</v>
      </c>
      <c r="AN170" s="281">
        <v>0.65</v>
      </c>
      <c r="AO170" s="281">
        <v>0.65</v>
      </c>
      <c r="AP170" s="281">
        <v>0.65</v>
      </c>
      <c r="AQ170" s="281">
        <v>0.65</v>
      </c>
      <c r="AR170" s="281">
        <v>0.65</v>
      </c>
      <c r="AS170" s="281">
        <v>0.65</v>
      </c>
      <c r="AT170" s="281">
        <v>0.5</v>
      </c>
      <c r="AU170" s="281">
        <v>0.5</v>
      </c>
      <c r="AV170" s="281">
        <v>0.5</v>
      </c>
      <c r="AW170" s="281">
        <v>0.5</v>
      </c>
      <c r="AX170" s="281">
        <v>0.5</v>
      </c>
      <c r="AY170" s="281">
        <v>0.5</v>
      </c>
      <c r="AZ170" s="281">
        <v>0.5</v>
      </c>
      <c r="BA170" s="281">
        <v>0.5</v>
      </c>
      <c r="BB170" s="281">
        <v>0.5</v>
      </c>
      <c r="BC170" s="281">
        <v>0.5</v>
      </c>
      <c r="BD170" s="281">
        <v>0.5</v>
      </c>
      <c r="BE170" s="281">
        <v>0.5</v>
      </c>
      <c r="BF170" s="281">
        <v>0.5</v>
      </c>
      <c r="BG170" s="281">
        <v>0.3</v>
      </c>
      <c r="BH170" s="281">
        <v>0.3</v>
      </c>
      <c r="BI170" s="281">
        <v>0.3</v>
      </c>
      <c r="BJ170" s="281">
        <v>0.3</v>
      </c>
      <c r="BK170" s="281">
        <v>0.3</v>
      </c>
      <c r="BL170" s="281">
        <v>0.3</v>
      </c>
      <c r="BM170" s="281">
        <v>0.3</v>
      </c>
      <c r="BN170" s="281">
        <v>0.3</v>
      </c>
      <c r="BO170" s="281">
        <v>0.3</v>
      </c>
      <c r="BP170" s="281">
        <v>0.3</v>
      </c>
      <c r="BQ170" s="281">
        <v>0.3</v>
      </c>
      <c r="BR170" s="286">
        <v>0</v>
      </c>
    </row>
    <row r="171" spans="1:70" ht="14.25" customHeight="1" x14ac:dyDescent="0.35">
      <c r="A171" s="4" t="s">
        <v>457</v>
      </c>
      <c r="B171" s="384">
        <v>679.97877100840356</v>
      </c>
      <c r="C171" s="385"/>
      <c r="D171" s="41" t="s">
        <v>118</v>
      </c>
      <c r="E171" s="93">
        <f t="shared" si="0"/>
        <v>0</v>
      </c>
      <c r="F171" s="93">
        <v>2025</v>
      </c>
      <c r="G171" s="93">
        <v>2050</v>
      </c>
      <c r="I171" s="41" t="s">
        <v>118</v>
      </c>
      <c r="J171" s="286">
        <v>0</v>
      </c>
      <c r="K171" s="286">
        <v>0</v>
      </c>
      <c r="L171" s="286">
        <v>0</v>
      </c>
      <c r="M171" s="286">
        <v>0</v>
      </c>
      <c r="N171" s="286">
        <v>0</v>
      </c>
      <c r="O171" s="286">
        <v>0</v>
      </c>
      <c r="P171" s="286">
        <v>0</v>
      </c>
      <c r="Q171" s="286">
        <v>0</v>
      </c>
      <c r="R171" s="286">
        <v>0</v>
      </c>
      <c r="S171" s="286">
        <v>0</v>
      </c>
      <c r="T171" s="286">
        <v>0</v>
      </c>
      <c r="U171" s="286">
        <v>0</v>
      </c>
      <c r="V171" s="286">
        <v>0</v>
      </c>
      <c r="W171" s="286">
        <v>0</v>
      </c>
      <c r="X171" s="286">
        <v>0</v>
      </c>
      <c r="Y171" s="286">
        <v>0</v>
      </c>
      <c r="Z171" s="286">
        <v>0</v>
      </c>
      <c r="AA171" s="286">
        <v>0</v>
      </c>
      <c r="AB171" s="286">
        <v>0</v>
      </c>
      <c r="AC171" s="286">
        <v>0</v>
      </c>
      <c r="AD171" s="286">
        <v>0</v>
      </c>
      <c r="AE171" s="286">
        <v>0</v>
      </c>
      <c r="AF171" s="286">
        <v>0</v>
      </c>
      <c r="AG171" s="286">
        <v>0</v>
      </c>
      <c r="AH171" s="286">
        <v>0</v>
      </c>
      <c r="AI171" s="286">
        <v>0</v>
      </c>
      <c r="AJ171" s="286">
        <v>0</v>
      </c>
      <c r="AK171" s="286">
        <v>0</v>
      </c>
      <c r="AL171" s="286">
        <v>0</v>
      </c>
      <c r="AM171" s="286">
        <v>0</v>
      </c>
      <c r="AN171" s="286">
        <v>0</v>
      </c>
      <c r="AO171" s="286">
        <v>0</v>
      </c>
      <c r="AP171" s="286">
        <v>0</v>
      </c>
      <c r="AQ171" s="286">
        <v>0</v>
      </c>
      <c r="AR171" s="286">
        <v>0</v>
      </c>
      <c r="AS171" s="286">
        <v>0</v>
      </c>
      <c r="AT171" s="286">
        <v>0</v>
      </c>
      <c r="AU171" s="286">
        <v>0</v>
      </c>
      <c r="AV171" s="286">
        <v>0</v>
      </c>
      <c r="AW171" s="286">
        <v>0</v>
      </c>
      <c r="AX171" s="286">
        <v>0</v>
      </c>
      <c r="AY171" s="286">
        <v>0</v>
      </c>
      <c r="AZ171" s="286">
        <v>0</v>
      </c>
      <c r="BA171" s="286">
        <v>0</v>
      </c>
      <c r="BB171" s="286">
        <v>0</v>
      </c>
      <c r="BC171" s="286">
        <v>0</v>
      </c>
      <c r="BD171" s="286">
        <v>0</v>
      </c>
      <c r="BE171" s="286">
        <v>0</v>
      </c>
      <c r="BF171" s="286">
        <v>0</v>
      </c>
      <c r="BG171" s="286">
        <v>0</v>
      </c>
      <c r="BH171" s="286">
        <v>0</v>
      </c>
      <c r="BI171" s="286">
        <v>0</v>
      </c>
      <c r="BJ171" s="286">
        <v>0</v>
      </c>
      <c r="BK171" s="286">
        <v>0</v>
      </c>
      <c r="BL171" s="286">
        <v>0</v>
      </c>
      <c r="BM171" s="286">
        <v>0</v>
      </c>
      <c r="BN171" s="286">
        <v>0</v>
      </c>
      <c r="BO171" s="286">
        <v>0</v>
      </c>
      <c r="BP171" s="286">
        <v>0</v>
      </c>
      <c r="BQ171" s="286">
        <v>0</v>
      </c>
      <c r="BR171" s="281">
        <v>0.65</v>
      </c>
    </row>
    <row r="172" spans="1:70" ht="14.25" customHeight="1" x14ac:dyDescent="0.35">
      <c r="A172" s="4" t="s">
        <v>458</v>
      </c>
      <c r="B172" s="384">
        <v>679.97877100840356</v>
      </c>
      <c r="C172" s="385"/>
      <c r="D172" s="41" t="s">
        <v>119</v>
      </c>
      <c r="E172" s="93">
        <f t="shared" si="0"/>
        <v>0</v>
      </c>
      <c r="F172" s="93">
        <v>2025</v>
      </c>
      <c r="G172" s="93">
        <v>2050</v>
      </c>
      <c r="I172" s="41" t="s">
        <v>119</v>
      </c>
      <c r="J172" s="281">
        <v>0.85</v>
      </c>
      <c r="K172" s="281">
        <v>0.85</v>
      </c>
      <c r="L172" s="281">
        <v>0.85</v>
      </c>
      <c r="M172" s="281">
        <v>0.85</v>
      </c>
      <c r="N172" s="281">
        <v>0.85</v>
      </c>
      <c r="O172" s="281">
        <v>0.85</v>
      </c>
      <c r="P172" s="281">
        <v>0.85</v>
      </c>
      <c r="Q172" s="281">
        <v>0.85</v>
      </c>
      <c r="R172" s="281">
        <v>0.85</v>
      </c>
      <c r="S172" s="281">
        <v>0.85</v>
      </c>
      <c r="T172" s="281">
        <v>0.85</v>
      </c>
      <c r="U172" s="281">
        <v>0.85</v>
      </c>
      <c r="V172" s="281">
        <v>0.85</v>
      </c>
      <c r="W172" s="281">
        <v>0.85</v>
      </c>
      <c r="X172" s="281">
        <v>0.85</v>
      </c>
      <c r="Y172" s="281">
        <v>0.85</v>
      </c>
      <c r="Z172" s="281">
        <v>0.85</v>
      </c>
      <c r="AA172" s="281">
        <v>0.85</v>
      </c>
      <c r="AB172" s="281">
        <v>0.85</v>
      </c>
      <c r="AC172" s="281">
        <v>0.85</v>
      </c>
      <c r="AD172" s="281">
        <v>0.85</v>
      </c>
      <c r="AE172" s="281">
        <v>0.85</v>
      </c>
      <c r="AF172" s="281">
        <v>0.85</v>
      </c>
      <c r="AG172" s="281">
        <v>0.85</v>
      </c>
      <c r="AH172" s="281">
        <v>0.65</v>
      </c>
      <c r="AI172" s="281">
        <v>0.65</v>
      </c>
      <c r="AJ172" s="281">
        <v>0.65</v>
      </c>
      <c r="AK172" s="281">
        <v>0.65</v>
      </c>
      <c r="AL172" s="281">
        <v>0.65</v>
      </c>
      <c r="AM172" s="281">
        <v>0.65</v>
      </c>
      <c r="AN172" s="281">
        <v>0.65</v>
      </c>
      <c r="AO172" s="281">
        <v>0.65</v>
      </c>
      <c r="AP172" s="281">
        <v>0.65</v>
      </c>
      <c r="AQ172" s="281">
        <v>0.65</v>
      </c>
      <c r="AR172" s="281">
        <v>0.65</v>
      </c>
      <c r="AS172" s="281">
        <v>0.65</v>
      </c>
      <c r="AT172" s="281">
        <v>0.5</v>
      </c>
      <c r="AU172" s="281">
        <v>0.5</v>
      </c>
      <c r="AV172" s="281">
        <v>0.5</v>
      </c>
      <c r="AW172" s="281">
        <v>0.5</v>
      </c>
      <c r="AX172" s="281">
        <v>0.5</v>
      </c>
      <c r="AY172" s="281">
        <v>0.5</v>
      </c>
      <c r="AZ172" s="281">
        <v>0.5</v>
      </c>
      <c r="BA172" s="281">
        <v>0.5</v>
      </c>
      <c r="BB172" s="281">
        <v>0.5</v>
      </c>
      <c r="BC172" s="281">
        <v>0.5</v>
      </c>
      <c r="BD172" s="281">
        <v>0.5</v>
      </c>
      <c r="BE172" s="281">
        <v>0.5</v>
      </c>
      <c r="BF172" s="281">
        <v>0.5</v>
      </c>
      <c r="BG172" s="281">
        <v>0.3</v>
      </c>
      <c r="BH172" s="281">
        <v>0.3</v>
      </c>
      <c r="BI172" s="281">
        <v>0.3</v>
      </c>
      <c r="BJ172" s="281">
        <v>0.3</v>
      </c>
      <c r="BK172" s="281">
        <v>0.3</v>
      </c>
      <c r="BL172" s="281">
        <v>0.3</v>
      </c>
      <c r="BM172" s="281">
        <v>0.3</v>
      </c>
      <c r="BN172" s="281">
        <v>0.3</v>
      </c>
      <c r="BO172" s="281">
        <v>0.3</v>
      </c>
      <c r="BP172" s="281">
        <v>0.3</v>
      </c>
      <c r="BQ172" s="281">
        <v>0.3</v>
      </c>
      <c r="BR172" s="286">
        <v>0</v>
      </c>
    </row>
    <row r="173" spans="1:70" ht="14.25" customHeight="1" x14ac:dyDescent="0.35">
      <c r="A173" s="4" t="s">
        <v>459</v>
      </c>
      <c r="B173" s="384">
        <v>679.97877100840356</v>
      </c>
      <c r="C173" s="385"/>
      <c r="D173" s="41" t="s">
        <v>120</v>
      </c>
      <c r="E173" s="93">
        <f t="shared" si="0"/>
        <v>0</v>
      </c>
      <c r="F173" s="93">
        <v>2025</v>
      </c>
      <c r="G173" s="93">
        <v>2050</v>
      </c>
      <c r="I173" s="41" t="s">
        <v>120</v>
      </c>
      <c r="J173" s="281">
        <v>0.85</v>
      </c>
      <c r="K173" s="281">
        <v>0.85</v>
      </c>
      <c r="L173" s="281">
        <v>0.85</v>
      </c>
      <c r="M173" s="281">
        <v>0.85</v>
      </c>
      <c r="N173" s="281">
        <v>0.85</v>
      </c>
      <c r="O173" s="281">
        <v>0.85</v>
      </c>
      <c r="P173" s="281">
        <v>0.85</v>
      </c>
      <c r="Q173" s="281">
        <v>0.85</v>
      </c>
      <c r="R173" s="281">
        <v>0.85</v>
      </c>
      <c r="S173" s="281">
        <v>0.85</v>
      </c>
      <c r="T173" s="281">
        <v>0.85</v>
      </c>
      <c r="U173" s="281">
        <v>0.85</v>
      </c>
      <c r="V173" s="281">
        <v>0.85</v>
      </c>
      <c r="W173" s="281">
        <v>0.85</v>
      </c>
      <c r="X173" s="281">
        <v>0.85</v>
      </c>
      <c r="Y173" s="281">
        <v>0.85</v>
      </c>
      <c r="Z173" s="281">
        <v>0.85</v>
      </c>
      <c r="AA173" s="281">
        <v>0.85</v>
      </c>
      <c r="AB173" s="281">
        <v>0.85</v>
      </c>
      <c r="AC173" s="281">
        <v>0.85</v>
      </c>
      <c r="AD173" s="281">
        <v>0.85</v>
      </c>
      <c r="AE173" s="281">
        <v>0.85</v>
      </c>
      <c r="AF173" s="281">
        <v>0.85</v>
      </c>
      <c r="AG173" s="281">
        <v>0.85</v>
      </c>
      <c r="AH173" s="281">
        <v>0.65</v>
      </c>
      <c r="AI173" s="281">
        <v>0.65</v>
      </c>
      <c r="AJ173" s="281">
        <v>0.65</v>
      </c>
      <c r="AK173" s="281">
        <v>0.65</v>
      </c>
      <c r="AL173" s="281">
        <v>0.65</v>
      </c>
      <c r="AM173" s="281">
        <v>0.65</v>
      </c>
      <c r="AN173" s="281">
        <v>0.65</v>
      </c>
      <c r="AO173" s="281">
        <v>0.65</v>
      </c>
      <c r="AP173" s="281">
        <v>0.65</v>
      </c>
      <c r="AQ173" s="281">
        <v>0.65</v>
      </c>
      <c r="AR173" s="281">
        <v>0.65</v>
      </c>
      <c r="AS173" s="281">
        <v>0.65</v>
      </c>
      <c r="AT173" s="281">
        <v>0.5</v>
      </c>
      <c r="AU173" s="281">
        <v>0.5</v>
      </c>
      <c r="AV173" s="281">
        <v>0.5</v>
      </c>
      <c r="AW173" s="281">
        <v>0.5</v>
      </c>
      <c r="AX173" s="281">
        <v>0.5</v>
      </c>
      <c r="AY173" s="281">
        <v>0.5</v>
      </c>
      <c r="AZ173" s="281">
        <v>0.5</v>
      </c>
      <c r="BA173" s="281">
        <v>0.5</v>
      </c>
      <c r="BB173" s="281">
        <v>0.5</v>
      </c>
      <c r="BC173" s="281">
        <v>0.5</v>
      </c>
      <c r="BD173" s="281">
        <v>0.5</v>
      </c>
      <c r="BE173" s="281">
        <v>0.5</v>
      </c>
      <c r="BF173" s="281">
        <v>0.5</v>
      </c>
      <c r="BG173" s="281">
        <v>0.3</v>
      </c>
      <c r="BH173" s="281">
        <v>0.3</v>
      </c>
      <c r="BI173" s="281">
        <v>0.3</v>
      </c>
      <c r="BJ173" s="281">
        <v>0.3</v>
      </c>
      <c r="BK173" s="281">
        <v>0.3</v>
      </c>
      <c r="BL173" s="281">
        <v>0.3</v>
      </c>
      <c r="BM173" s="281">
        <v>0.3</v>
      </c>
      <c r="BN173" s="281">
        <v>0.3</v>
      </c>
      <c r="BO173" s="281">
        <v>0.3</v>
      </c>
      <c r="BP173" s="281">
        <v>0.3</v>
      </c>
      <c r="BQ173" s="281">
        <v>0.3</v>
      </c>
      <c r="BR173" s="286">
        <v>0</v>
      </c>
    </row>
    <row r="174" spans="1:70" ht="14.25" customHeight="1" x14ac:dyDescent="0.35">
      <c r="A174" s="4" t="s">
        <v>83</v>
      </c>
      <c r="B174" s="384">
        <v>679.97877100840356</v>
      </c>
      <c r="C174" s="385"/>
      <c r="D174" s="42" t="s">
        <v>83</v>
      </c>
      <c r="E174" s="93">
        <f t="shared" si="0"/>
        <v>0</v>
      </c>
      <c r="F174" s="93">
        <v>2025</v>
      </c>
      <c r="G174" s="93">
        <v>2050</v>
      </c>
      <c r="I174" s="42" t="s">
        <v>83</v>
      </c>
      <c r="J174" s="286">
        <v>0</v>
      </c>
      <c r="K174" s="286">
        <v>0</v>
      </c>
      <c r="L174" s="286">
        <v>0</v>
      </c>
      <c r="M174" s="286">
        <v>0</v>
      </c>
      <c r="N174" s="286">
        <v>0</v>
      </c>
      <c r="O174" s="286">
        <v>0</v>
      </c>
      <c r="P174" s="286">
        <v>0</v>
      </c>
      <c r="Q174" s="286">
        <v>0</v>
      </c>
      <c r="R174" s="286">
        <v>0</v>
      </c>
      <c r="S174" s="286">
        <v>0</v>
      </c>
      <c r="T174" s="286">
        <v>0</v>
      </c>
      <c r="U174" s="286">
        <v>0</v>
      </c>
      <c r="V174" s="286">
        <v>0</v>
      </c>
      <c r="W174" s="286">
        <v>0</v>
      </c>
      <c r="X174" s="286">
        <v>0</v>
      </c>
      <c r="Y174" s="286">
        <v>0</v>
      </c>
      <c r="Z174" s="286">
        <v>0</v>
      </c>
      <c r="AA174" s="286">
        <v>0</v>
      </c>
      <c r="AB174" s="286">
        <v>0</v>
      </c>
      <c r="AC174" s="286">
        <v>0</v>
      </c>
      <c r="AD174" s="286">
        <v>0</v>
      </c>
      <c r="AE174" s="286">
        <v>0</v>
      </c>
      <c r="AF174" s="286">
        <v>0</v>
      </c>
      <c r="AG174" s="286">
        <v>0</v>
      </c>
      <c r="AH174" s="286">
        <v>0</v>
      </c>
      <c r="AI174" s="286">
        <v>0</v>
      </c>
      <c r="AJ174" s="286">
        <v>0</v>
      </c>
      <c r="AK174" s="286">
        <v>0</v>
      </c>
      <c r="AL174" s="286">
        <v>0</v>
      </c>
      <c r="AM174" s="286">
        <v>0</v>
      </c>
      <c r="AN174" s="286">
        <v>0</v>
      </c>
      <c r="AO174" s="286">
        <v>0</v>
      </c>
      <c r="AP174" s="286">
        <v>0</v>
      </c>
      <c r="AQ174" s="286">
        <v>0</v>
      </c>
      <c r="AR174" s="286">
        <v>0</v>
      </c>
      <c r="AS174" s="286">
        <v>0</v>
      </c>
      <c r="AT174" s="286">
        <v>0</v>
      </c>
      <c r="AU174" s="286">
        <v>0</v>
      </c>
      <c r="AV174" s="286">
        <v>0</v>
      </c>
      <c r="AW174" s="286">
        <v>0</v>
      </c>
      <c r="AX174" s="286">
        <v>0</v>
      </c>
      <c r="AY174" s="286">
        <v>0</v>
      </c>
      <c r="AZ174" s="286">
        <v>0</v>
      </c>
      <c r="BA174" s="286">
        <v>0</v>
      </c>
      <c r="BB174" s="286">
        <v>0</v>
      </c>
      <c r="BC174" s="286">
        <v>0</v>
      </c>
      <c r="BD174" s="286">
        <v>0</v>
      </c>
      <c r="BE174" s="286">
        <v>0</v>
      </c>
      <c r="BF174" s="286">
        <v>0</v>
      </c>
      <c r="BG174" s="286">
        <v>0</v>
      </c>
      <c r="BH174" s="286">
        <v>0</v>
      </c>
      <c r="BI174" s="286">
        <v>0</v>
      </c>
      <c r="BJ174" s="286">
        <v>0</v>
      </c>
      <c r="BK174" s="286">
        <v>0</v>
      </c>
      <c r="BL174" s="286">
        <v>0</v>
      </c>
      <c r="BM174" s="286">
        <v>0</v>
      </c>
      <c r="BN174" s="286">
        <v>0</v>
      </c>
      <c r="BO174" s="286">
        <v>0</v>
      </c>
      <c r="BP174" s="286">
        <v>0</v>
      </c>
      <c r="BQ174" s="286">
        <v>0</v>
      </c>
      <c r="BR174" s="281">
        <v>0.65</v>
      </c>
    </row>
    <row r="175" spans="1:70" ht="14.25" customHeight="1" x14ac:dyDescent="0.35">
      <c r="A175" s="4" t="s">
        <v>758</v>
      </c>
      <c r="B175" s="384">
        <v>0</v>
      </c>
      <c r="C175" s="385"/>
      <c r="D175" s="42" t="s">
        <v>144</v>
      </c>
      <c r="E175" s="386">
        <v>0</v>
      </c>
      <c r="F175" s="386">
        <v>0</v>
      </c>
      <c r="G175" s="386">
        <v>0</v>
      </c>
      <c r="I175" s="42" t="s">
        <v>144</v>
      </c>
      <c r="J175" s="286">
        <v>0</v>
      </c>
      <c r="K175" s="286">
        <v>0</v>
      </c>
      <c r="L175" s="286">
        <v>0</v>
      </c>
      <c r="M175" s="286">
        <v>0</v>
      </c>
      <c r="N175" s="286">
        <v>0</v>
      </c>
      <c r="O175" s="286">
        <v>0</v>
      </c>
      <c r="P175" s="286">
        <v>0</v>
      </c>
      <c r="Q175" s="286">
        <v>0</v>
      </c>
      <c r="R175" s="286">
        <v>0</v>
      </c>
      <c r="S175" s="286">
        <v>0</v>
      </c>
      <c r="T175" s="286">
        <v>0</v>
      </c>
      <c r="U175" s="286">
        <v>0</v>
      </c>
      <c r="V175" s="286">
        <v>0</v>
      </c>
      <c r="W175" s="286">
        <v>0</v>
      </c>
      <c r="X175" s="286">
        <v>0</v>
      </c>
      <c r="Y175" s="286">
        <v>0</v>
      </c>
      <c r="Z175" s="286">
        <v>0</v>
      </c>
      <c r="AA175" s="286">
        <v>0</v>
      </c>
      <c r="AB175" s="286">
        <v>0</v>
      </c>
      <c r="AC175" s="286">
        <v>0</v>
      </c>
      <c r="AD175" s="286">
        <v>0</v>
      </c>
      <c r="AE175" s="286">
        <v>0</v>
      </c>
      <c r="AF175" s="286">
        <v>0</v>
      </c>
      <c r="AG175" s="286">
        <v>0</v>
      </c>
      <c r="AH175" s="286">
        <v>0</v>
      </c>
      <c r="AI175" s="286">
        <v>0</v>
      </c>
      <c r="AJ175" s="286">
        <v>0</v>
      </c>
      <c r="AK175" s="286">
        <v>0</v>
      </c>
      <c r="AL175" s="286">
        <v>0</v>
      </c>
      <c r="AM175" s="286">
        <v>0</v>
      </c>
      <c r="AN175" s="286">
        <v>0</v>
      </c>
      <c r="AO175" s="286">
        <v>0</v>
      </c>
      <c r="AP175" s="286">
        <v>0</v>
      </c>
      <c r="AQ175" s="286">
        <v>0</v>
      </c>
      <c r="AR175" s="286">
        <v>0</v>
      </c>
      <c r="AS175" s="286">
        <v>0</v>
      </c>
      <c r="AT175" s="286">
        <v>0</v>
      </c>
      <c r="AU175" s="286">
        <v>0</v>
      </c>
      <c r="AV175" s="286">
        <v>0</v>
      </c>
      <c r="AW175" s="286">
        <v>0</v>
      </c>
      <c r="AX175" s="286">
        <v>0</v>
      </c>
      <c r="AY175" s="286">
        <v>0</v>
      </c>
      <c r="AZ175" s="286">
        <v>0</v>
      </c>
      <c r="BA175" s="286">
        <v>0</v>
      </c>
      <c r="BB175" s="286">
        <v>0</v>
      </c>
      <c r="BC175" s="286">
        <v>0</v>
      </c>
      <c r="BD175" s="286">
        <v>0</v>
      </c>
      <c r="BE175" s="286">
        <v>0</v>
      </c>
      <c r="BF175" s="286">
        <v>0</v>
      </c>
      <c r="BG175" s="286">
        <v>0</v>
      </c>
      <c r="BH175" s="286">
        <v>0</v>
      </c>
      <c r="BI175" s="286">
        <v>0</v>
      </c>
      <c r="BJ175" s="286">
        <v>0</v>
      </c>
      <c r="BK175" s="286">
        <v>0</v>
      </c>
      <c r="BL175" s="286">
        <v>0</v>
      </c>
      <c r="BM175" s="286">
        <v>0</v>
      </c>
      <c r="BN175" s="286">
        <v>0</v>
      </c>
      <c r="BO175" s="286">
        <v>0</v>
      </c>
      <c r="BP175" s="286">
        <v>0</v>
      </c>
      <c r="BQ175" s="286">
        <v>0</v>
      </c>
      <c r="BR175" s="286">
        <v>0</v>
      </c>
    </row>
    <row r="176" spans="1:70" ht="14.25" customHeight="1" x14ac:dyDescent="0.35">
      <c r="A176" s="4" t="s">
        <v>164</v>
      </c>
      <c r="B176" s="384">
        <v>0</v>
      </c>
      <c r="C176" s="385"/>
      <c r="D176" s="42" t="s">
        <v>164</v>
      </c>
      <c r="E176" s="386">
        <v>0</v>
      </c>
      <c r="F176" s="386">
        <v>0</v>
      </c>
      <c r="G176" s="386">
        <v>0</v>
      </c>
      <c r="I176" s="42" t="s">
        <v>164</v>
      </c>
      <c r="J176" s="286">
        <v>0</v>
      </c>
      <c r="K176" s="286">
        <v>0</v>
      </c>
      <c r="L176" s="286">
        <v>0</v>
      </c>
      <c r="M176" s="286">
        <v>0</v>
      </c>
      <c r="N176" s="286">
        <v>0</v>
      </c>
      <c r="O176" s="286">
        <v>0</v>
      </c>
      <c r="P176" s="286">
        <v>0</v>
      </c>
      <c r="Q176" s="286">
        <v>0</v>
      </c>
      <c r="R176" s="286">
        <v>0</v>
      </c>
      <c r="S176" s="286">
        <v>0</v>
      </c>
      <c r="T176" s="286">
        <v>0</v>
      </c>
      <c r="U176" s="286">
        <v>0</v>
      </c>
      <c r="V176" s="286">
        <v>0</v>
      </c>
      <c r="W176" s="286">
        <v>0</v>
      </c>
      <c r="X176" s="286">
        <v>0</v>
      </c>
      <c r="Y176" s="286">
        <v>0</v>
      </c>
      <c r="Z176" s="286">
        <v>0</v>
      </c>
      <c r="AA176" s="286">
        <v>0</v>
      </c>
      <c r="AB176" s="286">
        <v>0</v>
      </c>
      <c r="AC176" s="286">
        <v>0</v>
      </c>
      <c r="AD176" s="286">
        <v>0</v>
      </c>
      <c r="AE176" s="286">
        <v>0</v>
      </c>
      <c r="AF176" s="286">
        <v>0</v>
      </c>
      <c r="AG176" s="286">
        <v>0</v>
      </c>
      <c r="AH176" s="286">
        <v>0</v>
      </c>
      <c r="AI176" s="286">
        <v>0</v>
      </c>
      <c r="AJ176" s="286">
        <v>0</v>
      </c>
      <c r="AK176" s="286">
        <v>0</v>
      </c>
      <c r="AL176" s="286">
        <v>0</v>
      </c>
      <c r="AM176" s="286">
        <v>0</v>
      </c>
      <c r="AN176" s="286">
        <v>0</v>
      </c>
      <c r="AO176" s="286">
        <v>0</v>
      </c>
      <c r="AP176" s="286">
        <v>0</v>
      </c>
      <c r="AQ176" s="286">
        <v>0</v>
      </c>
      <c r="AR176" s="286">
        <v>0</v>
      </c>
      <c r="AS176" s="286">
        <v>0</v>
      </c>
      <c r="AT176" s="286">
        <v>0</v>
      </c>
      <c r="AU176" s="286">
        <v>0</v>
      </c>
      <c r="AV176" s="286">
        <v>0</v>
      </c>
      <c r="AW176" s="286">
        <v>0</v>
      </c>
      <c r="AX176" s="286">
        <v>0</v>
      </c>
      <c r="AY176" s="286">
        <v>0</v>
      </c>
      <c r="AZ176" s="286">
        <v>0</v>
      </c>
      <c r="BA176" s="286">
        <v>0</v>
      </c>
      <c r="BB176" s="286">
        <v>0</v>
      </c>
      <c r="BC176" s="286">
        <v>0</v>
      </c>
      <c r="BD176" s="286">
        <v>0</v>
      </c>
      <c r="BE176" s="286">
        <v>0</v>
      </c>
      <c r="BF176" s="286">
        <v>0</v>
      </c>
      <c r="BG176" s="286">
        <v>0</v>
      </c>
      <c r="BH176" s="286">
        <v>0</v>
      </c>
      <c r="BI176" s="286">
        <v>0</v>
      </c>
      <c r="BJ176" s="286">
        <v>0</v>
      </c>
      <c r="BK176" s="286">
        <v>0</v>
      </c>
      <c r="BL176" s="286">
        <v>0</v>
      </c>
      <c r="BM176" s="286">
        <v>0</v>
      </c>
      <c r="BN176" s="286">
        <v>0</v>
      </c>
      <c r="BO176" s="286">
        <v>0</v>
      </c>
      <c r="BP176" s="286">
        <v>0</v>
      </c>
      <c r="BQ176" s="286">
        <v>0</v>
      </c>
      <c r="BR176" s="286">
        <v>0</v>
      </c>
    </row>
    <row r="177" spans="1:70" ht="14.25" customHeight="1" x14ac:dyDescent="0.35">
      <c r="A177" s="4" t="s">
        <v>759</v>
      </c>
      <c r="B177" s="384">
        <v>0</v>
      </c>
      <c r="C177" s="385"/>
      <c r="D177" s="42" t="s">
        <v>145</v>
      </c>
      <c r="E177" s="386">
        <v>0</v>
      </c>
      <c r="F177" s="386">
        <v>0</v>
      </c>
      <c r="G177" s="386">
        <v>0</v>
      </c>
      <c r="I177" s="42" t="s">
        <v>145</v>
      </c>
      <c r="J177" s="286">
        <v>0</v>
      </c>
      <c r="K177" s="286">
        <v>0</v>
      </c>
      <c r="L177" s="286">
        <v>0</v>
      </c>
      <c r="M177" s="286">
        <v>0</v>
      </c>
      <c r="N177" s="286">
        <v>0</v>
      </c>
      <c r="O177" s="286">
        <v>0</v>
      </c>
      <c r="P177" s="286">
        <v>0</v>
      </c>
      <c r="Q177" s="286">
        <v>0</v>
      </c>
      <c r="R177" s="286">
        <v>0</v>
      </c>
      <c r="S177" s="286">
        <v>0</v>
      </c>
      <c r="T177" s="286">
        <v>0</v>
      </c>
      <c r="U177" s="286">
        <v>0</v>
      </c>
      <c r="V177" s="286">
        <v>0</v>
      </c>
      <c r="W177" s="286">
        <v>0</v>
      </c>
      <c r="X177" s="286">
        <v>0</v>
      </c>
      <c r="Y177" s="286">
        <v>0</v>
      </c>
      <c r="Z177" s="286">
        <v>0</v>
      </c>
      <c r="AA177" s="286">
        <v>0</v>
      </c>
      <c r="AB177" s="286">
        <v>0</v>
      </c>
      <c r="AC177" s="286">
        <v>0</v>
      </c>
      <c r="AD177" s="286">
        <v>0</v>
      </c>
      <c r="AE177" s="286">
        <v>0</v>
      </c>
      <c r="AF177" s="286">
        <v>0</v>
      </c>
      <c r="AG177" s="286">
        <v>0</v>
      </c>
      <c r="AH177" s="286">
        <v>0</v>
      </c>
      <c r="AI177" s="286">
        <v>0</v>
      </c>
      <c r="AJ177" s="286">
        <v>0</v>
      </c>
      <c r="AK177" s="286">
        <v>0</v>
      </c>
      <c r="AL177" s="286">
        <v>0</v>
      </c>
      <c r="AM177" s="286">
        <v>0</v>
      </c>
      <c r="AN177" s="286">
        <v>0</v>
      </c>
      <c r="AO177" s="286">
        <v>0</v>
      </c>
      <c r="AP177" s="286">
        <v>0</v>
      </c>
      <c r="AQ177" s="286">
        <v>0</v>
      </c>
      <c r="AR177" s="286">
        <v>0</v>
      </c>
      <c r="AS177" s="286">
        <v>0</v>
      </c>
      <c r="AT177" s="286">
        <v>0</v>
      </c>
      <c r="AU177" s="286">
        <v>0</v>
      </c>
      <c r="AV177" s="286">
        <v>0</v>
      </c>
      <c r="AW177" s="286">
        <v>0</v>
      </c>
      <c r="AX177" s="286">
        <v>0</v>
      </c>
      <c r="AY177" s="286">
        <v>0</v>
      </c>
      <c r="AZ177" s="286">
        <v>0</v>
      </c>
      <c r="BA177" s="286">
        <v>0</v>
      </c>
      <c r="BB177" s="286">
        <v>0</v>
      </c>
      <c r="BC177" s="286">
        <v>0</v>
      </c>
      <c r="BD177" s="286">
        <v>0</v>
      </c>
      <c r="BE177" s="286">
        <v>0</v>
      </c>
      <c r="BF177" s="286">
        <v>0</v>
      </c>
      <c r="BG177" s="286">
        <v>0</v>
      </c>
      <c r="BH177" s="286">
        <v>0</v>
      </c>
      <c r="BI177" s="286">
        <v>0</v>
      </c>
      <c r="BJ177" s="286">
        <v>0</v>
      </c>
      <c r="BK177" s="286">
        <v>0</v>
      </c>
      <c r="BL177" s="286">
        <v>0</v>
      </c>
      <c r="BM177" s="286">
        <v>0</v>
      </c>
      <c r="BN177" s="286">
        <v>0</v>
      </c>
      <c r="BO177" s="286">
        <v>0</v>
      </c>
      <c r="BP177" s="286">
        <v>0</v>
      </c>
      <c r="BQ177" s="286">
        <v>0</v>
      </c>
      <c r="BR177" s="286">
        <v>0</v>
      </c>
    </row>
    <row r="178" spans="1:70" ht="14.25" customHeight="1" x14ac:dyDescent="0.35">
      <c r="A178" s="4" t="s">
        <v>87</v>
      </c>
      <c r="B178" s="384">
        <v>0</v>
      </c>
      <c r="C178" s="385"/>
      <c r="D178" s="42" t="s">
        <v>87</v>
      </c>
      <c r="E178" s="386">
        <v>0</v>
      </c>
      <c r="F178" s="386">
        <v>0</v>
      </c>
      <c r="G178" s="386">
        <v>0</v>
      </c>
      <c r="I178" s="42" t="s">
        <v>87</v>
      </c>
      <c r="J178" s="286">
        <v>0</v>
      </c>
      <c r="K178" s="286">
        <v>0</v>
      </c>
      <c r="L178" s="286">
        <v>0</v>
      </c>
      <c r="M178" s="286">
        <v>0</v>
      </c>
      <c r="N178" s="286">
        <v>0</v>
      </c>
      <c r="O178" s="286">
        <v>0</v>
      </c>
      <c r="P178" s="286">
        <v>0</v>
      </c>
      <c r="Q178" s="286">
        <v>0</v>
      </c>
      <c r="R178" s="286">
        <v>0</v>
      </c>
      <c r="S178" s="286">
        <v>0</v>
      </c>
      <c r="T178" s="286">
        <v>0</v>
      </c>
      <c r="U178" s="286">
        <v>0</v>
      </c>
      <c r="V178" s="286">
        <v>0</v>
      </c>
      <c r="W178" s="286">
        <v>0</v>
      </c>
      <c r="X178" s="286">
        <v>0</v>
      </c>
      <c r="Y178" s="286">
        <v>0</v>
      </c>
      <c r="Z178" s="286">
        <v>0</v>
      </c>
      <c r="AA178" s="286">
        <v>0</v>
      </c>
      <c r="AB178" s="286">
        <v>0</v>
      </c>
      <c r="AC178" s="286">
        <v>0</v>
      </c>
      <c r="AD178" s="286">
        <v>0</v>
      </c>
      <c r="AE178" s="286">
        <v>0</v>
      </c>
      <c r="AF178" s="286">
        <v>0</v>
      </c>
      <c r="AG178" s="286">
        <v>0</v>
      </c>
      <c r="AH178" s="286">
        <v>0</v>
      </c>
      <c r="AI178" s="286">
        <v>0</v>
      </c>
      <c r="AJ178" s="286">
        <v>0</v>
      </c>
      <c r="AK178" s="286">
        <v>0</v>
      </c>
      <c r="AL178" s="286">
        <v>0</v>
      </c>
      <c r="AM178" s="286">
        <v>0</v>
      </c>
      <c r="AN178" s="286">
        <v>0</v>
      </c>
      <c r="AO178" s="286">
        <v>0</v>
      </c>
      <c r="AP178" s="286">
        <v>0</v>
      </c>
      <c r="AQ178" s="286">
        <v>0</v>
      </c>
      <c r="AR178" s="286">
        <v>0</v>
      </c>
      <c r="AS178" s="286">
        <v>0</v>
      </c>
      <c r="AT178" s="286">
        <v>0</v>
      </c>
      <c r="AU178" s="286">
        <v>0</v>
      </c>
      <c r="AV178" s="286">
        <v>0</v>
      </c>
      <c r="AW178" s="286">
        <v>0</v>
      </c>
      <c r="AX178" s="286">
        <v>0</v>
      </c>
      <c r="AY178" s="286">
        <v>0</v>
      </c>
      <c r="AZ178" s="286">
        <v>0</v>
      </c>
      <c r="BA178" s="286">
        <v>0</v>
      </c>
      <c r="BB178" s="286">
        <v>0</v>
      </c>
      <c r="BC178" s="286">
        <v>0</v>
      </c>
      <c r="BD178" s="286">
        <v>0</v>
      </c>
      <c r="BE178" s="286">
        <v>0</v>
      </c>
      <c r="BF178" s="286">
        <v>0</v>
      </c>
      <c r="BG178" s="286">
        <v>0</v>
      </c>
      <c r="BH178" s="286">
        <v>0</v>
      </c>
      <c r="BI178" s="286">
        <v>0</v>
      </c>
      <c r="BJ178" s="286">
        <v>0</v>
      </c>
      <c r="BK178" s="286">
        <v>0</v>
      </c>
      <c r="BL178" s="286">
        <v>0</v>
      </c>
      <c r="BM178" s="286">
        <v>0</v>
      </c>
      <c r="BN178" s="286">
        <v>0</v>
      </c>
      <c r="BO178" s="286">
        <v>0</v>
      </c>
      <c r="BP178" s="286">
        <v>0</v>
      </c>
      <c r="BQ178" s="286">
        <v>0</v>
      </c>
      <c r="BR178" s="286">
        <v>0</v>
      </c>
    </row>
    <row r="179" spans="1:70" ht="14.25" customHeight="1" x14ac:dyDescent="0.35">
      <c r="A179" s="4" t="s">
        <v>760</v>
      </c>
      <c r="B179" s="384">
        <v>0</v>
      </c>
      <c r="C179" s="385"/>
      <c r="D179" s="42" t="s">
        <v>146</v>
      </c>
      <c r="E179" s="386">
        <v>0</v>
      </c>
      <c r="F179" s="386">
        <v>0</v>
      </c>
      <c r="G179" s="386">
        <v>0</v>
      </c>
      <c r="I179" s="42" t="s">
        <v>146</v>
      </c>
      <c r="J179" s="286">
        <v>0</v>
      </c>
      <c r="K179" s="286">
        <v>0</v>
      </c>
      <c r="L179" s="286">
        <v>0</v>
      </c>
      <c r="M179" s="286">
        <v>0</v>
      </c>
      <c r="N179" s="286">
        <v>0</v>
      </c>
      <c r="O179" s="286">
        <v>0</v>
      </c>
      <c r="P179" s="286">
        <v>0</v>
      </c>
      <c r="Q179" s="286">
        <v>0</v>
      </c>
      <c r="R179" s="286">
        <v>0</v>
      </c>
      <c r="S179" s="286">
        <v>0</v>
      </c>
      <c r="T179" s="286">
        <v>0</v>
      </c>
      <c r="U179" s="286">
        <v>0</v>
      </c>
      <c r="V179" s="286">
        <v>0</v>
      </c>
      <c r="W179" s="286">
        <v>0</v>
      </c>
      <c r="X179" s="286">
        <v>0</v>
      </c>
      <c r="Y179" s="286">
        <v>0</v>
      </c>
      <c r="Z179" s="286">
        <v>0</v>
      </c>
      <c r="AA179" s="286">
        <v>0</v>
      </c>
      <c r="AB179" s="286">
        <v>0</v>
      </c>
      <c r="AC179" s="286">
        <v>0</v>
      </c>
      <c r="AD179" s="286">
        <v>0</v>
      </c>
      <c r="AE179" s="286">
        <v>0</v>
      </c>
      <c r="AF179" s="286">
        <v>0</v>
      </c>
      <c r="AG179" s="286">
        <v>0</v>
      </c>
      <c r="AH179" s="286">
        <v>0</v>
      </c>
      <c r="AI179" s="286">
        <v>0</v>
      </c>
      <c r="AJ179" s="286">
        <v>0</v>
      </c>
      <c r="AK179" s="286">
        <v>0</v>
      </c>
      <c r="AL179" s="286">
        <v>0</v>
      </c>
      <c r="AM179" s="286">
        <v>0</v>
      </c>
      <c r="AN179" s="286">
        <v>0</v>
      </c>
      <c r="AO179" s="286">
        <v>0</v>
      </c>
      <c r="AP179" s="286">
        <v>0</v>
      </c>
      <c r="AQ179" s="286">
        <v>0</v>
      </c>
      <c r="AR179" s="286">
        <v>0</v>
      </c>
      <c r="AS179" s="286">
        <v>0</v>
      </c>
      <c r="AT179" s="286">
        <v>0</v>
      </c>
      <c r="AU179" s="286">
        <v>0</v>
      </c>
      <c r="AV179" s="286">
        <v>0</v>
      </c>
      <c r="AW179" s="286">
        <v>0</v>
      </c>
      <c r="AX179" s="286">
        <v>0</v>
      </c>
      <c r="AY179" s="286">
        <v>0</v>
      </c>
      <c r="AZ179" s="286">
        <v>0</v>
      </c>
      <c r="BA179" s="286">
        <v>0</v>
      </c>
      <c r="BB179" s="286">
        <v>0</v>
      </c>
      <c r="BC179" s="286">
        <v>0</v>
      </c>
      <c r="BD179" s="286">
        <v>0</v>
      </c>
      <c r="BE179" s="286">
        <v>0</v>
      </c>
      <c r="BF179" s="286">
        <v>0</v>
      </c>
      <c r="BG179" s="286">
        <v>0</v>
      </c>
      <c r="BH179" s="286">
        <v>0</v>
      </c>
      <c r="BI179" s="286">
        <v>0</v>
      </c>
      <c r="BJ179" s="286">
        <v>0</v>
      </c>
      <c r="BK179" s="286">
        <v>0</v>
      </c>
      <c r="BL179" s="286">
        <v>0</v>
      </c>
      <c r="BM179" s="286">
        <v>0</v>
      </c>
      <c r="BN179" s="286">
        <v>0</v>
      </c>
      <c r="BO179" s="286">
        <v>0</v>
      </c>
      <c r="BP179" s="286">
        <v>0</v>
      </c>
      <c r="BQ179" s="286">
        <v>0</v>
      </c>
      <c r="BR179" s="286">
        <v>0</v>
      </c>
    </row>
    <row r="180" spans="1:70" ht="14.25" customHeight="1" x14ac:dyDescent="0.35">
      <c r="A180" s="4" t="s">
        <v>89</v>
      </c>
      <c r="B180" s="384">
        <v>0</v>
      </c>
      <c r="C180" s="385"/>
      <c r="D180" s="42" t="s">
        <v>89</v>
      </c>
      <c r="E180" s="386">
        <v>0</v>
      </c>
      <c r="F180" s="386">
        <v>0</v>
      </c>
      <c r="G180" s="386">
        <v>0</v>
      </c>
      <c r="I180" s="42" t="s">
        <v>89</v>
      </c>
      <c r="J180" s="286">
        <v>0</v>
      </c>
      <c r="K180" s="286">
        <v>0</v>
      </c>
      <c r="L180" s="286">
        <v>0</v>
      </c>
      <c r="M180" s="286">
        <v>0</v>
      </c>
      <c r="N180" s="286">
        <v>0</v>
      </c>
      <c r="O180" s="286">
        <v>0</v>
      </c>
      <c r="P180" s="286">
        <v>0</v>
      </c>
      <c r="Q180" s="286">
        <v>0</v>
      </c>
      <c r="R180" s="286">
        <v>0</v>
      </c>
      <c r="S180" s="286">
        <v>0</v>
      </c>
      <c r="T180" s="286">
        <v>0</v>
      </c>
      <c r="U180" s="286">
        <v>0</v>
      </c>
      <c r="V180" s="286">
        <v>0</v>
      </c>
      <c r="W180" s="286">
        <v>0</v>
      </c>
      <c r="X180" s="286">
        <v>0</v>
      </c>
      <c r="Y180" s="286">
        <v>0</v>
      </c>
      <c r="Z180" s="286">
        <v>0</v>
      </c>
      <c r="AA180" s="286">
        <v>0</v>
      </c>
      <c r="AB180" s="286">
        <v>0</v>
      </c>
      <c r="AC180" s="286">
        <v>0</v>
      </c>
      <c r="AD180" s="286">
        <v>0</v>
      </c>
      <c r="AE180" s="286">
        <v>0</v>
      </c>
      <c r="AF180" s="286">
        <v>0</v>
      </c>
      <c r="AG180" s="286">
        <v>0</v>
      </c>
      <c r="AH180" s="286">
        <v>0</v>
      </c>
      <c r="AI180" s="286">
        <v>0</v>
      </c>
      <c r="AJ180" s="286">
        <v>0</v>
      </c>
      <c r="AK180" s="286">
        <v>0</v>
      </c>
      <c r="AL180" s="286">
        <v>0</v>
      </c>
      <c r="AM180" s="286">
        <v>0</v>
      </c>
      <c r="AN180" s="286">
        <v>0</v>
      </c>
      <c r="AO180" s="286">
        <v>0</v>
      </c>
      <c r="AP180" s="286">
        <v>0</v>
      </c>
      <c r="AQ180" s="286">
        <v>0</v>
      </c>
      <c r="AR180" s="286">
        <v>0</v>
      </c>
      <c r="AS180" s="286">
        <v>0</v>
      </c>
      <c r="AT180" s="286">
        <v>0</v>
      </c>
      <c r="AU180" s="286">
        <v>0</v>
      </c>
      <c r="AV180" s="286">
        <v>0</v>
      </c>
      <c r="AW180" s="286">
        <v>0</v>
      </c>
      <c r="AX180" s="286">
        <v>0</v>
      </c>
      <c r="AY180" s="286">
        <v>0</v>
      </c>
      <c r="AZ180" s="286">
        <v>0</v>
      </c>
      <c r="BA180" s="286">
        <v>0</v>
      </c>
      <c r="BB180" s="286">
        <v>0</v>
      </c>
      <c r="BC180" s="286">
        <v>0</v>
      </c>
      <c r="BD180" s="286">
        <v>0</v>
      </c>
      <c r="BE180" s="286">
        <v>0</v>
      </c>
      <c r="BF180" s="286">
        <v>0</v>
      </c>
      <c r="BG180" s="286">
        <v>0</v>
      </c>
      <c r="BH180" s="286">
        <v>0</v>
      </c>
      <c r="BI180" s="286">
        <v>0</v>
      </c>
      <c r="BJ180" s="286">
        <v>0</v>
      </c>
      <c r="BK180" s="286">
        <v>0</v>
      </c>
      <c r="BL180" s="286">
        <v>0</v>
      </c>
      <c r="BM180" s="286">
        <v>0</v>
      </c>
      <c r="BN180" s="286">
        <v>0</v>
      </c>
      <c r="BO180" s="286">
        <v>0</v>
      </c>
      <c r="BP180" s="286">
        <v>0</v>
      </c>
      <c r="BQ180" s="286">
        <v>0</v>
      </c>
      <c r="BR180" s="286">
        <v>0</v>
      </c>
    </row>
    <row r="181" spans="1:70" ht="14.25" customHeight="1" x14ac:dyDescent="0.35">
      <c r="A181" s="4" t="s">
        <v>90</v>
      </c>
      <c r="B181" s="384">
        <v>0</v>
      </c>
      <c r="C181" s="385"/>
      <c r="D181" s="42" t="s">
        <v>90</v>
      </c>
      <c r="E181" s="386">
        <v>0</v>
      </c>
      <c r="F181" s="386">
        <v>0</v>
      </c>
      <c r="G181" s="386">
        <v>0</v>
      </c>
      <c r="I181" s="42" t="s">
        <v>90</v>
      </c>
      <c r="J181" s="286">
        <v>0</v>
      </c>
      <c r="K181" s="286">
        <v>0</v>
      </c>
      <c r="L181" s="286">
        <v>0</v>
      </c>
      <c r="M181" s="286">
        <v>0</v>
      </c>
      <c r="N181" s="286">
        <v>0</v>
      </c>
      <c r="O181" s="286">
        <v>0</v>
      </c>
      <c r="P181" s="286">
        <v>0</v>
      </c>
      <c r="Q181" s="286">
        <v>0</v>
      </c>
      <c r="R181" s="286">
        <v>0</v>
      </c>
      <c r="S181" s="286">
        <v>0</v>
      </c>
      <c r="T181" s="286">
        <v>0</v>
      </c>
      <c r="U181" s="286">
        <v>0</v>
      </c>
      <c r="V181" s="286">
        <v>0</v>
      </c>
      <c r="W181" s="286">
        <v>0</v>
      </c>
      <c r="X181" s="286">
        <v>0</v>
      </c>
      <c r="Y181" s="286">
        <v>0</v>
      </c>
      <c r="Z181" s="286">
        <v>0</v>
      </c>
      <c r="AA181" s="286">
        <v>0</v>
      </c>
      <c r="AB181" s="286">
        <v>0</v>
      </c>
      <c r="AC181" s="286">
        <v>0</v>
      </c>
      <c r="AD181" s="286">
        <v>0</v>
      </c>
      <c r="AE181" s="286">
        <v>0</v>
      </c>
      <c r="AF181" s="286">
        <v>0</v>
      </c>
      <c r="AG181" s="286">
        <v>0</v>
      </c>
      <c r="AH181" s="286">
        <v>0</v>
      </c>
      <c r="AI181" s="286">
        <v>0</v>
      </c>
      <c r="AJ181" s="286">
        <v>0</v>
      </c>
      <c r="AK181" s="286">
        <v>0</v>
      </c>
      <c r="AL181" s="286">
        <v>0</v>
      </c>
      <c r="AM181" s="286">
        <v>0</v>
      </c>
      <c r="AN181" s="286">
        <v>0</v>
      </c>
      <c r="AO181" s="286">
        <v>0</v>
      </c>
      <c r="AP181" s="286">
        <v>0</v>
      </c>
      <c r="AQ181" s="286">
        <v>0</v>
      </c>
      <c r="AR181" s="286">
        <v>0</v>
      </c>
      <c r="AS181" s="286">
        <v>0</v>
      </c>
      <c r="AT181" s="286">
        <v>0</v>
      </c>
      <c r="AU181" s="286">
        <v>0</v>
      </c>
      <c r="AV181" s="286">
        <v>0</v>
      </c>
      <c r="AW181" s="286">
        <v>0</v>
      </c>
      <c r="AX181" s="286">
        <v>0</v>
      </c>
      <c r="AY181" s="286">
        <v>0</v>
      </c>
      <c r="AZ181" s="286">
        <v>0</v>
      </c>
      <c r="BA181" s="286">
        <v>0</v>
      </c>
      <c r="BB181" s="286">
        <v>0</v>
      </c>
      <c r="BC181" s="286">
        <v>0</v>
      </c>
      <c r="BD181" s="286">
        <v>0</v>
      </c>
      <c r="BE181" s="286">
        <v>0</v>
      </c>
      <c r="BF181" s="286">
        <v>0</v>
      </c>
      <c r="BG181" s="286">
        <v>0</v>
      </c>
      <c r="BH181" s="286">
        <v>0</v>
      </c>
      <c r="BI181" s="286">
        <v>0</v>
      </c>
      <c r="BJ181" s="286">
        <v>0</v>
      </c>
      <c r="BK181" s="286">
        <v>0</v>
      </c>
      <c r="BL181" s="286">
        <v>0</v>
      </c>
      <c r="BM181" s="286">
        <v>0</v>
      </c>
      <c r="BN181" s="286">
        <v>0</v>
      </c>
      <c r="BO181" s="286">
        <v>0</v>
      </c>
      <c r="BP181" s="286">
        <v>0</v>
      </c>
      <c r="BQ181" s="286">
        <v>0</v>
      </c>
      <c r="BR181" s="286">
        <v>0</v>
      </c>
    </row>
    <row r="183" spans="1:70" ht="14.25" customHeight="1" x14ac:dyDescent="0.35">
      <c r="A183" s="383" t="s">
        <v>1744</v>
      </c>
      <c r="D183" s="25" t="s">
        <v>1752</v>
      </c>
      <c r="E183" s="25" t="s">
        <v>1753</v>
      </c>
      <c r="I183" s="94" t="s">
        <v>1754</v>
      </c>
    </row>
    <row r="184" spans="1:70" ht="14.25" customHeight="1" x14ac:dyDescent="0.35">
      <c r="A184" s="39" t="s">
        <v>1748</v>
      </c>
      <c r="B184" s="4"/>
      <c r="D184" s="39" t="s">
        <v>1232</v>
      </c>
      <c r="E184" s="279" t="s">
        <v>1755</v>
      </c>
      <c r="F184" s="279" t="s">
        <v>1756</v>
      </c>
      <c r="G184" s="279" t="s">
        <v>1757</v>
      </c>
      <c r="I184" s="39" t="s">
        <v>1232</v>
      </c>
      <c r="J184" s="387" t="s">
        <v>927</v>
      </c>
      <c r="K184" s="387" t="s">
        <v>928</v>
      </c>
      <c r="L184" s="387" t="s">
        <v>929</v>
      </c>
      <c r="M184" s="387" t="s">
        <v>930</v>
      </c>
      <c r="N184" s="387" t="s">
        <v>931</v>
      </c>
      <c r="O184" s="387" t="s">
        <v>932</v>
      </c>
      <c r="P184" s="387" t="s">
        <v>933</v>
      </c>
      <c r="Q184" s="387" t="s">
        <v>934</v>
      </c>
      <c r="R184" s="387" t="s">
        <v>935</v>
      </c>
      <c r="S184" s="387" t="s">
        <v>936</v>
      </c>
      <c r="T184" s="387" t="s">
        <v>937</v>
      </c>
      <c r="U184" s="387" t="s">
        <v>938</v>
      </c>
      <c r="V184" s="387" t="s">
        <v>939</v>
      </c>
      <c r="W184" s="387" t="s">
        <v>940</v>
      </c>
      <c r="X184" s="387" t="s">
        <v>941</v>
      </c>
      <c r="Y184" s="387" t="s">
        <v>942</v>
      </c>
      <c r="Z184" s="387" t="s">
        <v>943</v>
      </c>
      <c r="AA184" s="387" t="s">
        <v>944</v>
      </c>
      <c r="AB184" s="387" t="s">
        <v>945</v>
      </c>
      <c r="AC184" s="387" t="s">
        <v>946</v>
      </c>
      <c r="AD184" s="387" t="s">
        <v>947</v>
      </c>
      <c r="AE184" s="387" t="s">
        <v>948</v>
      </c>
      <c r="AF184" s="387" t="s">
        <v>949</v>
      </c>
      <c r="AG184" s="387" t="s">
        <v>950</v>
      </c>
      <c r="AH184" s="387" t="s">
        <v>951</v>
      </c>
      <c r="AI184" s="387" t="s">
        <v>952</v>
      </c>
      <c r="AJ184" s="387" t="s">
        <v>953</v>
      </c>
      <c r="AK184" s="387" t="s">
        <v>954</v>
      </c>
      <c r="AL184" s="387" t="s">
        <v>955</v>
      </c>
      <c r="AM184" s="387" t="s">
        <v>956</v>
      </c>
      <c r="AN184" s="387" t="s">
        <v>957</v>
      </c>
      <c r="AO184" s="387" t="s">
        <v>958</v>
      </c>
      <c r="AP184" s="387" t="s">
        <v>959</v>
      </c>
      <c r="AQ184" s="387" t="s">
        <v>960</v>
      </c>
      <c r="AR184" s="387" t="s">
        <v>961</v>
      </c>
      <c r="AS184" s="387" t="s">
        <v>962</v>
      </c>
      <c r="AT184" s="387" t="s">
        <v>963</v>
      </c>
      <c r="AU184" s="387" t="s">
        <v>964</v>
      </c>
      <c r="AV184" s="387" t="s">
        <v>965</v>
      </c>
      <c r="AW184" s="387" t="s">
        <v>966</v>
      </c>
      <c r="AX184" s="387" t="s">
        <v>967</v>
      </c>
      <c r="AY184" s="387" t="s">
        <v>968</v>
      </c>
      <c r="AZ184" s="387" t="s">
        <v>969</v>
      </c>
      <c r="BA184" s="387" t="s">
        <v>970</v>
      </c>
      <c r="BB184" s="387" t="s">
        <v>971</v>
      </c>
      <c r="BC184" s="387" t="s">
        <v>972</v>
      </c>
      <c r="BD184" s="387" t="s">
        <v>973</v>
      </c>
      <c r="BE184" s="387" t="s">
        <v>974</v>
      </c>
      <c r="BF184" s="387" t="s">
        <v>975</v>
      </c>
      <c r="BG184" s="387" t="s">
        <v>976</v>
      </c>
      <c r="BH184" s="387" t="s">
        <v>977</v>
      </c>
      <c r="BI184" s="387" t="s">
        <v>978</v>
      </c>
      <c r="BJ184" s="387" t="s">
        <v>979</v>
      </c>
      <c r="BK184" s="387" t="s">
        <v>980</v>
      </c>
      <c r="BL184" s="387" t="s">
        <v>981</v>
      </c>
      <c r="BM184" s="387" t="s">
        <v>982</v>
      </c>
      <c r="BN184" s="387" t="s">
        <v>983</v>
      </c>
      <c r="BO184" s="387" t="s">
        <v>984</v>
      </c>
      <c r="BP184" s="387" t="s">
        <v>985</v>
      </c>
      <c r="BQ184" s="387" t="s">
        <v>986</v>
      </c>
      <c r="BR184" s="387" t="s">
        <v>987</v>
      </c>
    </row>
    <row r="185" spans="1:70" ht="14.25" customHeight="1" x14ac:dyDescent="0.35">
      <c r="A185" s="4" t="s">
        <v>433</v>
      </c>
      <c r="B185" s="384">
        <v>141.16666666666669</v>
      </c>
      <c r="C185" s="385"/>
      <c r="D185" s="45" t="s">
        <v>228</v>
      </c>
      <c r="E185" s="93">
        <v>0</v>
      </c>
      <c r="F185" s="93">
        <v>2025</v>
      </c>
      <c r="G185" s="93">
        <v>2050</v>
      </c>
      <c r="I185" s="45" t="s">
        <v>228</v>
      </c>
      <c r="J185" s="286">
        <v>0</v>
      </c>
      <c r="K185" s="286">
        <v>0</v>
      </c>
      <c r="L185" s="286">
        <v>0</v>
      </c>
      <c r="M185" s="286">
        <v>0</v>
      </c>
      <c r="N185" s="286">
        <v>0</v>
      </c>
      <c r="O185" s="286">
        <v>0</v>
      </c>
      <c r="P185" s="286">
        <v>0</v>
      </c>
      <c r="Q185" s="286">
        <v>0</v>
      </c>
      <c r="R185" s="286">
        <v>0</v>
      </c>
      <c r="S185" s="286">
        <v>0</v>
      </c>
      <c r="T185" s="286">
        <v>0</v>
      </c>
      <c r="U185" s="286">
        <v>0</v>
      </c>
      <c r="V185" s="286">
        <v>0</v>
      </c>
      <c r="W185" s="286">
        <v>0</v>
      </c>
      <c r="X185" s="286">
        <v>0</v>
      </c>
      <c r="Y185" s="286">
        <v>0</v>
      </c>
      <c r="Z185" s="286">
        <v>0</v>
      </c>
      <c r="AA185" s="286">
        <v>0</v>
      </c>
      <c r="AB185" s="286">
        <v>0</v>
      </c>
      <c r="AC185" s="286">
        <v>0</v>
      </c>
      <c r="AD185" s="286">
        <v>0</v>
      </c>
      <c r="AE185" s="286">
        <v>0</v>
      </c>
      <c r="AF185" s="286">
        <v>0</v>
      </c>
      <c r="AG185" s="286">
        <v>0</v>
      </c>
      <c r="AH185" s="286">
        <v>0</v>
      </c>
      <c r="AI185" s="286">
        <v>0</v>
      </c>
      <c r="AJ185" s="286">
        <v>0</v>
      </c>
      <c r="AK185" s="286">
        <v>0</v>
      </c>
      <c r="AL185" s="286">
        <v>0</v>
      </c>
      <c r="AM185" s="286">
        <v>0</v>
      </c>
      <c r="AN185" s="286">
        <v>0</v>
      </c>
      <c r="AO185" s="286">
        <v>0</v>
      </c>
      <c r="AP185" s="286">
        <v>0</v>
      </c>
      <c r="AQ185" s="286">
        <v>0</v>
      </c>
      <c r="AR185" s="286">
        <v>0</v>
      </c>
      <c r="AS185" s="286">
        <v>0</v>
      </c>
      <c r="AT185" s="286">
        <v>0</v>
      </c>
      <c r="AU185" s="286">
        <v>0</v>
      </c>
      <c r="AV185" s="286">
        <v>0</v>
      </c>
      <c r="AW185" s="286">
        <v>0</v>
      </c>
      <c r="AX185" s="286">
        <v>0</v>
      </c>
      <c r="AY185" s="286">
        <v>0</v>
      </c>
      <c r="AZ185" s="286">
        <v>0</v>
      </c>
      <c r="BA185" s="286">
        <v>0</v>
      </c>
      <c r="BB185" s="286">
        <v>0</v>
      </c>
      <c r="BC185" s="286">
        <v>0</v>
      </c>
      <c r="BD185" s="286">
        <v>0</v>
      </c>
      <c r="BE185" s="286">
        <v>0</v>
      </c>
      <c r="BF185" s="286">
        <v>0</v>
      </c>
      <c r="BG185" s="286">
        <v>0</v>
      </c>
      <c r="BH185" s="286">
        <v>0</v>
      </c>
      <c r="BI185" s="286">
        <v>0</v>
      </c>
      <c r="BJ185" s="286">
        <v>0</v>
      </c>
      <c r="BK185" s="286">
        <v>0</v>
      </c>
      <c r="BL185" s="286">
        <v>0</v>
      </c>
      <c r="BM185" s="286">
        <v>0</v>
      </c>
      <c r="BN185" s="286">
        <v>0</v>
      </c>
      <c r="BO185" s="286">
        <v>0</v>
      </c>
      <c r="BP185" s="286">
        <v>0</v>
      </c>
      <c r="BQ185" s="286">
        <v>0</v>
      </c>
      <c r="BR185" s="281">
        <v>0.65</v>
      </c>
    </row>
    <row r="186" spans="1:70" ht="14.25" customHeight="1" x14ac:dyDescent="0.35">
      <c r="A186" s="4" t="s">
        <v>434</v>
      </c>
      <c r="B186" s="384">
        <v>141.16666666666669</v>
      </c>
      <c r="C186" s="385"/>
      <c r="D186" s="41" t="s">
        <v>95</v>
      </c>
      <c r="E186" s="93">
        <v>0</v>
      </c>
      <c r="F186" s="93">
        <v>2025</v>
      </c>
      <c r="G186" s="93">
        <v>2050</v>
      </c>
      <c r="I186" s="41" t="s">
        <v>95</v>
      </c>
      <c r="J186" s="281">
        <v>0.85</v>
      </c>
      <c r="K186" s="281">
        <v>0.85</v>
      </c>
      <c r="L186" s="281">
        <v>0.85</v>
      </c>
      <c r="M186" s="281">
        <v>0.85</v>
      </c>
      <c r="N186" s="281">
        <v>0.85</v>
      </c>
      <c r="O186" s="281">
        <v>0.85</v>
      </c>
      <c r="P186" s="281">
        <v>0.85</v>
      </c>
      <c r="Q186" s="281">
        <v>0.85</v>
      </c>
      <c r="R186" s="281">
        <v>0.85</v>
      </c>
      <c r="S186" s="281">
        <v>0.85</v>
      </c>
      <c r="T186" s="281">
        <v>0.85</v>
      </c>
      <c r="U186" s="281">
        <v>0.85</v>
      </c>
      <c r="V186" s="281">
        <v>0.85</v>
      </c>
      <c r="W186" s="281">
        <v>0.85</v>
      </c>
      <c r="X186" s="281">
        <v>0.85</v>
      </c>
      <c r="Y186" s="281">
        <v>0.85</v>
      </c>
      <c r="Z186" s="281">
        <v>0.85</v>
      </c>
      <c r="AA186" s="281">
        <v>0.85</v>
      </c>
      <c r="AB186" s="281">
        <v>0.85</v>
      </c>
      <c r="AC186" s="281">
        <v>0.85</v>
      </c>
      <c r="AD186" s="281">
        <v>0.85</v>
      </c>
      <c r="AE186" s="281">
        <v>0.85</v>
      </c>
      <c r="AF186" s="281">
        <v>0.85</v>
      </c>
      <c r="AG186" s="281">
        <v>0.85</v>
      </c>
      <c r="AH186" s="281">
        <v>0.65</v>
      </c>
      <c r="AI186" s="281">
        <v>0.65</v>
      </c>
      <c r="AJ186" s="281">
        <v>0.65</v>
      </c>
      <c r="AK186" s="281">
        <v>0.65</v>
      </c>
      <c r="AL186" s="281">
        <v>0.65</v>
      </c>
      <c r="AM186" s="281">
        <v>0.65</v>
      </c>
      <c r="AN186" s="281">
        <v>0.65</v>
      </c>
      <c r="AO186" s="281">
        <v>0.65</v>
      </c>
      <c r="AP186" s="281">
        <v>0.65</v>
      </c>
      <c r="AQ186" s="281">
        <v>0.65</v>
      </c>
      <c r="AR186" s="281">
        <v>0.65</v>
      </c>
      <c r="AS186" s="281">
        <v>0.65</v>
      </c>
      <c r="AT186" s="281">
        <v>0.5</v>
      </c>
      <c r="AU186" s="281">
        <v>0.5</v>
      </c>
      <c r="AV186" s="281">
        <v>0.5</v>
      </c>
      <c r="AW186" s="281">
        <v>0.5</v>
      </c>
      <c r="AX186" s="281">
        <v>0.5</v>
      </c>
      <c r="AY186" s="281">
        <v>0.5</v>
      </c>
      <c r="AZ186" s="281">
        <v>0.5</v>
      </c>
      <c r="BA186" s="281">
        <v>0.5</v>
      </c>
      <c r="BB186" s="281">
        <v>0.5</v>
      </c>
      <c r="BC186" s="281">
        <v>0.5</v>
      </c>
      <c r="BD186" s="281">
        <v>0.5</v>
      </c>
      <c r="BE186" s="281">
        <v>0.5</v>
      </c>
      <c r="BF186" s="281">
        <v>0.5</v>
      </c>
      <c r="BG186" s="281">
        <v>0.3</v>
      </c>
      <c r="BH186" s="281">
        <v>0.3</v>
      </c>
      <c r="BI186" s="281">
        <v>0.3</v>
      </c>
      <c r="BJ186" s="281">
        <v>0.3</v>
      </c>
      <c r="BK186" s="281">
        <v>0.3</v>
      </c>
      <c r="BL186" s="281">
        <v>0.3</v>
      </c>
      <c r="BM186" s="281">
        <v>0.3</v>
      </c>
      <c r="BN186" s="281">
        <v>0.3</v>
      </c>
      <c r="BO186" s="281">
        <v>0.3</v>
      </c>
      <c r="BP186" s="281">
        <v>0.3</v>
      </c>
      <c r="BQ186" s="281">
        <v>0.3</v>
      </c>
      <c r="BR186" s="286">
        <v>0</v>
      </c>
    </row>
    <row r="187" spans="1:70" ht="14.25" customHeight="1" x14ac:dyDescent="0.35">
      <c r="A187" s="4" t="s">
        <v>435</v>
      </c>
      <c r="B187" s="384">
        <v>141.16666666666669</v>
      </c>
      <c r="C187" s="385"/>
      <c r="D187" s="41" t="s">
        <v>96</v>
      </c>
      <c r="E187" s="93">
        <v>0</v>
      </c>
      <c r="F187" s="93">
        <v>2025</v>
      </c>
      <c r="G187" s="93">
        <v>2050</v>
      </c>
      <c r="I187" s="41" t="s">
        <v>96</v>
      </c>
      <c r="J187" s="281">
        <v>0.85</v>
      </c>
      <c r="K187" s="281">
        <v>0.85</v>
      </c>
      <c r="L187" s="281">
        <v>0.85</v>
      </c>
      <c r="M187" s="281">
        <v>0.85</v>
      </c>
      <c r="N187" s="281">
        <v>0.85</v>
      </c>
      <c r="O187" s="281">
        <v>0.85</v>
      </c>
      <c r="P187" s="281">
        <v>0.85</v>
      </c>
      <c r="Q187" s="281">
        <v>0.85</v>
      </c>
      <c r="R187" s="281">
        <v>0.85</v>
      </c>
      <c r="S187" s="281">
        <v>0.85</v>
      </c>
      <c r="T187" s="281">
        <v>0.85</v>
      </c>
      <c r="U187" s="281">
        <v>0.85</v>
      </c>
      <c r="V187" s="281">
        <v>0.85</v>
      </c>
      <c r="W187" s="281">
        <v>0.85</v>
      </c>
      <c r="X187" s="281">
        <v>0.85</v>
      </c>
      <c r="Y187" s="281">
        <v>0.85</v>
      </c>
      <c r="Z187" s="281">
        <v>0.85</v>
      </c>
      <c r="AA187" s="281">
        <v>0.85</v>
      </c>
      <c r="AB187" s="281">
        <v>0.85</v>
      </c>
      <c r="AC187" s="281">
        <v>0.85</v>
      </c>
      <c r="AD187" s="281">
        <v>0.85</v>
      </c>
      <c r="AE187" s="281">
        <v>0.85</v>
      </c>
      <c r="AF187" s="281">
        <v>0.85</v>
      </c>
      <c r="AG187" s="281">
        <v>0.85</v>
      </c>
      <c r="AH187" s="281">
        <v>0.65</v>
      </c>
      <c r="AI187" s="281">
        <v>0.65</v>
      </c>
      <c r="AJ187" s="281">
        <v>0.65</v>
      </c>
      <c r="AK187" s="281">
        <v>0.65</v>
      </c>
      <c r="AL187" s="281">
        <v>0.65</v>
      </c>
      <c r="AM187" s="281">
        <v>0.65</v>
      </c>
      <c r="AN187" s="281">
        <v>0.65</v>
      </c>
      <c r="AO187" s="281">
        <v>0.65</v>
      </c>
      <c r="AP187" s="281">
        <v>0.65</v>
      </c>
      <c r="AQ187" s="281">
        <v>0.65</v>
      </c>
      <c r="AR187" s="281">
        <v>0.65</v>
      </c>
      <c r="AS187" s="281">
        <v>0.65</v>
      </c>
      <c r="AT187" s="281">
        <v>0.5</v>
      </c>
      <c r="AU187" s="281">
        <v>0.5</v>
      </c>
      <c r="AV187" s="281">
        <v>0.5</v>
      </c>
      <c r="AW187" s="281">
        <v>0.5</v>
      </c>
      <c r="AX187" s="281">
        <v>0.5</v>
      </c>
      <c r="AY187" s="281">
        <v>0.5</v>
      </c>
      <c r="AZ187" s="281">
        <v>0.5</v>
      </c>
      <c r="BA187" s="281">
        <v>0.5</v>
      </c>
      <c r="BB187" s="281">
        <v>0.5</v>
      </c>
      <c r="BC187" s="281">
        <v>0.5</v>
      </c>
      <c r="BD187" s="281">
        <v>0.5</v>
      </c>
      <c r="BE187" s="281">
        <v>0.5</v>
      </c>
      <c r="BF187" s="281">
        <v>0.5</v>
      </c>
      <c r="BG187" s="281">
        <v>0.3</v>
      </c>
      <c r="BH187" s="281">
        <v>0.3</v>
      </c>
      <c r="BI187" s="281">
        <v>0.3</v>
      </c>
      <c r="BJ187" s="281">
        <v>0.3</v>
      </c>
      <c r="BK187" s="281">
        <v>0.3</v>
      </c>
      <c r="BL187" s="281">
        <v>0.3</v>
      </c>
      <c r="BM187" s="281">
        <v>0.3</v>
      </c>
      <c r="BN187" s="281">
        <v>0.3</v>
      </c>
      <c r="BO187" s="281">
        <v>0.3</v>
      </c>
      <c r="BP187" s="281">
        <v>0.3</v>
      </c>
      <c r="BQ187" s="281">
        <v>0.3</v>
      </c>
      <c r="BR187" s="286">
        <v>0</v>
      </c>
    </row>
    <row r="188" spans="1:70" ht="14.25" customHeight="1" x14ac:dyDescent="0.35">
      <c r="A188" s="4" t="s">
        <v>436</v>
      </c>
      <c r="B188" s="384">
        <v>141.16666666666669</v>
      </c>
      <c r="C188" s="385"/>
      <c r="D188" s="41" t="s">
        <v>97</v>
      </c>
      <c r="E188" s="93">
        <v>0</v>
      </c>
      <c r="F188" s="93">
        <v>2025</v>
      </c>
      <c r="G188" s="93">
        <v>2050</v>
      </c>
      <c r="I188" s="41" t="s">
        <v>97</v>
      </c>
      <c r="J188" s="281">
        <v>0.85</v>
      </c>
      <c r="K188" s="281">
        <v>0.85</v>
      </c>
      <c r="L188" s="281">
        <v>0.85</v>
      </c>
      <c r="M188" s="281">
        <v>0.85</v>
      </c>
      <c r="N188" s="281">
        <v>0.85</v>
      </c>
      <c r="O188" s="281">
        <v>0.85</v>
      </c>
      <c r="P188" s="281">
        <v>0.85</v>
      </c>
      <c r="Q188" s="281">
        <v>0.85</v>
      </c>
      <c r="R188" s="281">
        <v>0.85</v>
      </c>
      <c r="S188" s="281">
        <v>0.85</v>
      </c>
      <c r="T188" s="281">
        <v>0.85</v>
      </c>
      <c r="U188" s="281">
        <v>0.85</v>
      </c>
      <c r="V188" s="281">
        <v>0.85</v>
      </c>
      <c r="W188" s="281">
        <v>0.85</v>
      </c>
      <c r="X188" s="281">
        <v>0.85</v>
      </c>
      <c r="Y188" s="281">
        <v>0.85</v>
      </c>
      <c r="Z188" s="281">
        <v>0.85</v>
      </c>
      <c r="AA188" s="281">
        <v>0.85</v>
      </c>
      <c r="AB188" s="281">
        <v>0.85</v>
      </c>
      <c r="AC188" s="281">
        <v>0.85</v>
      </c>
      <c r="AD188" s="281">
        <v>0.85</v>
      </c>
      <c r="AE188" s="281">
        <v>0.85</v>
      </c>
      <c r="AF188" s="281">
        <v>0.85</v>
      </c>
      <c r="AG188" s="281">
        <v>0.85</v>
      </c>
      <c r="AH188" s="281">
        <v>0.65</v>
      </c>
      <c r="AI188" s="281">
        <v>0.65</v>
      </c>
      <c r="AJ188" s="281">
        <v>0.65</v>
      </c>
      <c r="AK188" s="281">
        <v>0.65</v>
      </c>
      <c r="AL188" s="281">
        <v>0.65</v>
      </c>
      <c r="AM188" s="281">
        <v>0.65</v>
      </c>
      <c r="AN188" s="281">
        <v>0.65</v>
      </c>
      <c r="AO188" s="281">
        <v>0.65</v>
      </c>
      <c r="AP188" s="281">
        <v>0.65</v>
      </c>
      <c r="AQ188" s="281">
        <v>0.65</v>
      </c>
      <c r="AR188" s="281">
        <v>0.65</v>
      </c>
      <c r="AS188" s="281">
        <v>0.65</v>
      </c>
      <c r="AT188" s="281">
        <v>0.5</v>
      </c>
      <c r="AU188" s="281">
        <v>0.5</v>
      </c>
      <c r="AV188" s="281">
        <v>0.5</v>
      </c>
      <c r="AW188" s="281">
        <v>0.5</v>
      </c>
      <c r="AX188" s="281">
        <v>0.5</v>
      </c>
      <c r="AY188" s="281">
        <v>0.5</v>
      </c>
      <c r="AZ188" s="281">
        <v>0.5</v>
      </c>
      <c r="BA188" s="281">
        <v>0.5</v>
      </c>
      <c r="BB188" s="281">
        <v>0.5</v>
      </c>
      <c r="BC188" s="281">
        <v>0.5</v>
      </c>
      <c r="BD188" s="281">
        <v>0.5</v>
      </c>
      <c r="BE188" s="281">
        <v>0.5</v>
      </c>
      <c r="BF188" s="281">
        <v>0.5</v>
      </c>
      <c r="BG188" s="281">
        <v>0.3</v>
      </c>
      <c r="BH188" s="281">
        <v>0.3</v>
      </c>
      <c r="BI188" s="281">
        <v>0.3</v>
      </c>
      <c r="BJ188" s="281">
        <v>0.3</v>
      </c>
      <c r="BK188" s="281">
        <v>0.3</v>
      </c>
      <c r="BL188" s="281">
        <v>0.3</v>
      </c>
      <c r="BM188" s="281">
        <v>0.3</v>
      </c>
      <c r="BN188" s="281">
        <v>0.3</v>
      </c>
      <c r="BO188" s="281">
        <v>0.3</v>
      </c>
      <c r="BP188" s="281">
        <v>0.3</v>
      </c>
      <c r="BQ188" s="281">
        <v>0.3</v>
      </c>
      <c r="BR188" s="286">
        <v>0</v>
      </c>
    </row>
    <row r="189" spans="1:70" ht="14.25" customHeight="1" x14ac:dyDescent="0.35">
      <c r="A189" s="4" t="s">
        <v>437</v>
      </c>
      <c r="B189" s="384">
        <v>141.16666666666669</v>
      </c>
      <c r="C189" s="385"/>
      <c r="D189" s="41" t="s">
        <v>98</v>
      </c>
      <c r="E189" s="93">
        <v>0</v>
      </c>
      <c r="F189" s="93">
        <v>2025</v>
      </c>
      <c r="G189" s="93">
        <v>2050</v>
      </c>
      <c r="I189" s="41" t="s">
        <v>98</v>
      </c>
      <c r="J189" s="281">
        <v>0.85</v>
      </c>
      <c r="K189" s="281">
        <v>0.85</v>
      </c>
      <c r="L189" s="281">
        <v>0.85</v>
      </c>
      <c r="M189" s="281">
        <v>0.85</v>
      </c>
      <c r="N189" s="281">
        <v>0.85</v>
      </c>
      <c r="O189" s="281">
        <v>0.85</v>
      </c>
      <c r="P189" s="281">
        <v>0.85</v>
      </c>
      <c r="Q189" s="281">
        <v>0.85</v>
      </c>
      <c r="R189" s="281">
        <v>0.85</v>
      </c>
      <c r="S189" s="281">
        <v>0.85</v>
      </c>
      <c r="T189" s="281">
        <v>0.85</v>
      </c>
      <c r="U189" s="281">
        <v>0.85</v>
      </c>
      <c r="V189" s="281">
        <v>0.85</v>
      </c>
      <c r="W189" s="281">
        <v>0.85</v>
      </c>
      <c r="X189" s="281">
        <v>0.85</v>
      </c>
      <c r="Y189" s="281">
        <v>0.85</v>
      </c>
      <c r="Z189" s="281">
        <v>0.85</v>
      </c>
      <c r="AA189" s="281">
        <v>0.85</v>
      </c>
      <c r="AB189" s="281">
        <v>0.85</v>
      </c>
      <c r="AC189" s="281">
        <v>0.85</v>
      </c>
      <c r="AD189" s="281">
        <v>0.85</v>
      </c>
      <c r="AE189" s="281">
        <v>0.85</v>
      </c>
      <c r="AF189" s="281">
        <v>0.85</v>
      </c>
      <c r="AG189" s="281">
        <v>0.85</v>
      </c>
      <c r="AH189" s="281">
        <v>0.65</v>
      </c>
      <c r="AI189" s="281">
        <v>0.65</v>
      </c>
      <c r="AJ189" s="281">
        <v>0.65</v>
      </c>
      <c r="AK189" s="281">
        <v>0.65</v>
      </c>
      <c r="AL189" s="281">
        <v>0.65</v>
      </c>
      <c r="AM189" s="281">
        <v>0.65</v>
      </c>
      <c r="AN189" s="281">
        <v>0.65</v>
      </c>
      <c r="AO189" s="281">
        <v>0.65</v>
      </c>
      <c r="AP189" s="281">
        <v>0.65</v>
      </c>
      <c r="AQ189" s="281">
        <v>0.65</v>
      </c>
      <c r="AR189" s="281">
        <v>0.65</v>
      </c>
      <c r="AS189" s="281">
        <v>0.65</v>
      </c>
      <c r="AT189" s="281">
        <v>0.5</v>
      </c>
      <c r="AU189" s="281">
        <v>0.5</v>
      </c>
      <c r="AV189" s="281">
        <v>0.5</v>
      </c>
      <c r="AW189" s="281">
        <v>0.5</v>
      </c>
      <c r="AX189" s="281">
        <v>0.5</v>
      </c>
      <c r="AY189" s="281">
        <v>0.5</v>
      </c>
      <c r="AZ189" s="281">
        <v>0.5</v>
      </c>
      <c r="BA189" s="281">
        <v>0.5</v>
      </c>
      <c r="BB189" s="281">
        <v>0.5</v>
      </c>
      <c r="BC189" s="281">
        <v>0.5</v>
      </c>
      <c r="BD189" s="281">
        <v>0.5</v>
      </c>
      <c r="BE189" s="281">
        <v>0.5</v>
      </c>
      <c r="BF189" s="281">
        <v>0.5</v>
      </c>
      <c r="BG189" s="281">
        <v>0.3</v>
      </c>
      <c r="BH189" s="281">
        <v>0.3</v>
      </c>
      <c r="BI189" s="281">
        <v>0.3</v>
      </c>
      <c r="BJ189" s="281">
        <v>0.3</v>
      </c>
      <c r="BK189" s="281">
        <v>0.3</v>
      </c>
      <c r="BL189" s="281">
        <v>0.3</v>
      </c>
      <c r="BM189" s="281">
        <v>0.3</v>
      </c>
      <c r="BN189" s="281">
        <v>0.3</v>
      </c>
      <c r="BO189" s="281">
        <v>0.3</v>
      </c>
      <c r="BP189" s="281">
        <v>0.3</v>
      </c>
      <c r="BQ189" s="281">
        <v>0.3</v>
      </c>
      <c r="BR189" s="286">
        <v>0</v>
      </c>
    </row>
    <row r="190" spans="1:70" ht="14.25" customHeight="1" x14ac:dyDescent="0.35">
      <c r="A190" s="4" t="s">
        <v>438</v>
      </c>
      <c r="B190" s="384">
        <v>141.16666666666669</v>
      </c>
      <c r="C190" s="385"/>
      <c r="D190" s="41" t="s">
        <v>163</v>
      </c>
      <c r="E190" s="93">
        <v>0</v>
      </c>
      <c r="F190" s="93">
        <v>2025</v>
      </c>
      <c r="G190" s="93">
        <v>2050</v>
      </c>
      <c r="I190" s="41" t="s">
        <v>163</v>
      </c>
      <c r="J190" s="281">
        <v>0.85</v>
      </c>
      <c r="K190" s="281">
        <v>0.85</v>
      </c>
      <c r="L190" s="281">
        <v>0.85</v>
      </c>
      <c r="M190" s="281">
        <v>0.85</v>
      </c>
      <c r="N190" s="281">
        <v>0.85</v>
      </c>
      <c r="O190" s="281">
        <v>0.85</v>
      </c>
      <c r="P190" s="281">
        <v>0.85</v>
      </c>
      <c r="Q190" s="281">
        <v>0.85</v>
      </c>
      <c r="R190" s="281">
        <v>0.85</v>
      </c>
      <c r="S190" s="281">
        <v>0.85</v>
      </c>
      <c r="T190" s="281">
        <v>0.85</v>
      </c>
      <c r="U190" s="281">
        <v>0.85</v>
      </c>
      <c r="V190" s="281">
        <v>0.85</v>
      </c>
      <c r="W190" s="281">
        <v>0.85</v>
      </c>
      <c r="X190" s="281">
        <v>0.85</v>
      </c>
      <c r="Y190" s="281">
        <v>0.85</v>
      </c>
      <c r="Z190" s="281">
        <v>0.85</v>
      </c>
      <c r="AA190" s="281">
        <v>0.85</v>
      </c>
      <c r="AB190" s="281">
        <v>0.85</v>
      </c>
      <c r="AC190" s="281">
        <v>0.85</v>
      </c>
      <c r="AD190" s="281">
        <v>0.85</v>
      </c>
      <c r="AE190" s="281">
        <v>0.85</v>
      </c>
      <c r="AF190" s="281">
        <v>0.85</v>
      </c>
      <c r="AG190" s="281">
        <v>0.85</v>
      </c>
      <c r="AH190" s="281">
        <v>0.65</v>
      </c>
      <c r="AI190" s="281">
        <v>0.65</v>
      </c>
      <c r="AJ190" s="281">
        <v>0.65</v>
      </c>
      <c r="AK190" s="281">
        <v>0.65</v>
      </c>
      <c r="AL190" s="281">
        <v>0.65</v>
      </c>
      <c r="AM190" s="281">
        <v>0.65</v>
      </c>
      <c r="AN190" s="281">
        <v>0.65</v>
      </c>
      <c r="AO190" s="281">
        <v>0.65</v>
      </c>
      <c r="AP190" s="281">
        <v>0.65</v>
      </c>
      <c r="AQ190" s="281">
        <v>0.65</v>
      </c>
      <c r="AR190" s="281">
        <v>0.65</v>
      </c>
      <c r="AS190" s="281">
        <v>0.65</v>
      </c>
      <c r="AT190" s="281">
        <v>0.5</v>
      </c>
      <c r="AU190" s="281">
        <v>0.5</v>
      </c>
      <c r="AV190" s="281">
        <v>0.5</v>
      </c>
      <c r="AW190" s="281">
        <v>0.5</v>
      </c>
      <c r="AX190" s="281">
        <v>0.5</v>
      </c>
      <c r="AY190" s="281">
        <v>0.5</v>
      </c>
      <c r="AZ190" s="281">
        <v>0.5</v>
      </c>
      <c r="BA190" s="281">
        <v>0.5</v>
      </c>
      <c r="BB190" s="281">
        <v>0.5</v>
      </c>
      <c r="BC190" s="281">
        <v>0.5</v>
      </c>
      <c r="BD190" s="281">
        <v>0.5</v>
      </c>
      <c r="BE190" s="281">
        <v>0.5</v>
      </c>
      <c r="BF190" s="281">
        <v>0.5</v>
      </c>
      <c r="BG190" s="281">
        <v>0.3</v>
      </c>
      <c r="BH190" s="281">
        <v>0.3</v>
      </c>
      <c r="BI190" s="281">
        <v>0.3</v>
      </c>
      <c r="BJ190" s="281">
        <v>0.3</v>
      </c>
      <c r="BK190" s="281">
        <v>0.3</v>
      </c>
      <c r="BL190" s="281">
        <v>0.3</v>
      </c>
      <c r="BM190" s="281">
        <v>0.3</v>
      </c>
      <c r="BN190" s="281">
        <v>0.3</v>
      </c>
      <c r="BO190" s="281">
        <v>0.3</v>
      </c>
      <c r="BP190" s="281">
        <v>0.3</v>
      </c>
      <c r="BQ190" s="281">
        <v>0.3</v>
      </c>
      <c r="BR190" s="286">
        <v>0</v>
      </c>
    </row>
    <row r="191" spans="1:70" ht="14.25" customHeight="1" x14ac:dyDescent="0.35">
      <c r="A191" s="4" t="s">
        <v>439</v>
      </c>
      <c r="B191" s="384">
        <v>141.16666666666669</v>
      </c>
      <c r="C191" s="385"/>
      <c r="D191" s="41" t="s">
        <v>100</v>
      </c>
      <c r="E191" s="93">
        <v>0</v>
      </c>
      <c r="F191" s="93">
        <v>2025</v>
      </c>
      <c r="G191" s="93">
        <v>2050</v>
      </c>
      <c r="I191" s="41" t="s">
        <v>100</v>
      </c>
      <c r="J191" s="281">
        <v>0.85</v>
      </c>
      <c r="K191" s="281">
        <v>0.85</v>
      </c>
      <c r="L191" s="281">
        <v>0.85</v>
      </c>
      <c r="M191" s="281">
        <v>0.85</v>
      </c>
      <c r="N191" s="281">
        <v>0.85</v>
      </c>
      <c r="O191" s="281">
        <v>0.85</v>
      </c>
      <c r="P191" s="281">
        <v>0.85</v>
      </c>
      <c r="Q191" s="281">
        <v>0.85</v>
      </c>
      <c r="R191" s="281">
        <v>0.85</v>
      </c>
      <c r="S191" s="281">
        <v>0.85</v>
      </c>
      <c r="T191" s="281">
        <v>0.85</v>
      </c>
      <c r="U191" s="281">
        <v>0.85</v>
      </c>
      <c r="V191" s="281">
        <v>0.85</v>
      </c>
      <c r="W191" s="281">
        <v>0.85</v>
      </c>
      <c r="X191" s="281">
        <v>0.85</v>
      </c>
      <c r="Y191" s="281">
        <v>0.85</v>
      </c>
      <c r="Z191" s="281">
        <v>0.85</v>
      </c>
      <c r="AA191" s="281">
        <v>0.85</v>
      </c>
      <c r="AB191" s="281">
        <v>0.85</v>
      </c>
      <c r="AC191" s="281">
        <v>0.85</v>
      </c>
      <c r="AD191" s="281">
        <v>0.85</v>
      </c>
      <c r="AE191" s="281">
        <v>0.85</v>
      </c>
      <c r="AF191" s="281">
        <v>0.85</v>
      </c>
      <c r="AG191" s="281">
        <v>0.85</v>
      </c>
      <c r="AH191" s="281">
        <v>0.65</v>
      </c>
      <c r="AI191" s="281">
        <v>0.65</v>
      </c>
      <c r="AJ191" s="281">
        <v>0.65</v>
      </c>
      <c r="AK191" s="281">
        <v>0.65</v>
      </c>
      <c r="AL191" s="281">
        <v>0.65</v>
      </c>
      <c r="AM191" s="281">
        <v>0.65</v>
      </c>
      <c r="AN191" s="281">
        <v>0.65</v>
      </c>
      <c r="AO191" s="281">
        <v>0.65</v>
      </c>
      <c r="AP191" s="281">
        <v>0.65</v>
      </c>
      <c r="AQ191" s="281">
        <v>0.65</v>
      </c>
      <c r="AR191" s="281">
        <v>0.65</v>
      </c>
      <c r="AS191" s="281">
        <v>0.65</v>
      </c>
      <c r="AT191" s="281">
        <v>0.5</v>
      </c>
      <c r="AU191" s="281">
        <v>0.5</v>
      </c>
      <c r="AV191" s="281">
        <v>0.5</v>
      </c>
      <c r="AW191" s="281">
        <v>0.5</v>
      </c>
      <c r="AX191" s="281">
        <v>0.5</v>
      </c>
      <c r="AY191" s="281">
        <v>0.5</v>
      </c>
      <c r="AZ191" s="281">
        <v>0.5</v>
      </c>
      <c r="BA191" s="281">
        <v>0.5</v>
      </c>
      <c r="BB191" s="281">
        <v>0.5</v>
      </c>
      <c r="BC191" s="281">
        <v>0.5</v>
      </c>
      <c r="BD191" s="281">
        <v>0.5</v>
      </c>
      <c r="BE191" s="281">
        <v>0.5</v>
      </c>
      <c r="BF191" s="281">
        <v>0.5</v>
      </c>
      <c r="BG191" s="281">
        <v>0.3</v>
      </c>
      <c r="BH191" s="281">
        <v>0.3</v>
      </c>
      <c r="BI191" s="281">
        <v>0.3</v>
      </c>
      <c r="BJ191" s="281">
        <v>0.3</v>
      </c>
      <c r="BK191" s="281">
        <v>0.3</v>
      </c>
      <c r="BL191" s="281">
        <v>0.3</v>
      </c>
      <c r="BM191" s="281">
        <v>0.3</v>
      </c>
      <c r="BN191" s="281">
        <v>0.3</v>
      </c>
      <c r="BO191" s="281">
        <v>0.3</v>
      </c>
      <c r="BP191" s="281">
        <v>0.3</v>
      </c>
      <c r="BQ191" s="281">
        <v>0.3</v>
      </c>
      <c r="BR191" s="286">
        <v>0</v>
      </c>
    </row>
    <row r="192" spans="1:70" ht="14.25" customHeight="1" x14ac:dyDescent="0.35">
      <c r="A192" s="4" t="s">
        <v>440</v>
      </c>
      <c r="B192" s="384">
        <v>141.16666666666669</v>
      </c>
      <c r="C192" s="385"/>
      <c r="D192" s="41" t="s">
        <v>101</v>
      </c>
      <c r="E192" s="93">
        <v>0</v>
      </c>
      <c r="F192" s="93">
        <v>2025</v>
      </c>
      <c r="G192" s="93">
        <v>2050</v>
      </c>
      <c r="I192" s="41" t="s">
        <v>101</v>
      </c>
      <c r="J192" s="281">
        <v>0.85</v>
      </c>
      <c r="K192" s="281">
        <v>0.85</v>
      </c>
      <c r="L192" s="281">
        <v>0.85</v>
      </c>
      <c r="M192" s="281">
        <v>0.85</v>
      </c>
      <c r="N192" s="281">
        <v>0.85</v>
      </c>
      <c r="O192" s="281">
        <v>0.85</v>
      </c>
      <c r="P192" s="281">
        <v>0.85</v>
      </c>
      <c r="Q192" s="281">
        <v>0.85</v>
      </c>
      <c r="R192" s="281">
        <v>0.85</v>
      </c>
      <c r="S192" s="281">
        <v>0.85</v>
      </c>
      <c r="T192" s="281">
        <v>0.85</v>
      </c>
      <c r="U192" s="281">
        <v>0.85</v>
      </c>
      <c r="V192" s="281">
        <v>0.85</v>
      </c>
      <c r="W192" s="281">
        <v>0.85</v>
      </c>
      <c r="X192" s="281">
        <v>0.85</v>
      </c>
      <c r="Y192" s="281">
        <v>0.85</v>
      </c>
      <c r="Z192" s="281">
        <v>0.85</v>
      </c>
      <c r="AA192" s="281">
        <v>0.85</v>
      </c>
      <c r="AB192" s="281">
        <v>0.85</v>
      </c>
      <c r="AC192" s="281">
        <v>0.85</v>
      </c>
      <c r="AD192" s="281">
        <v>0.85</v>
      </c>
      <c r="AE192" s="281">
        <v>0.85</v>
      </c>
      <c r="AF192" s="281">
        <v>0.85</v>
      </c>
      <c r="AG192" s="281">
        <v>0.85</v>
      </c>
      <c r="AH192" s="281">
        <v>0.65</v>
      </c>
      <c r="AI192" s="281">
        <v>0.65</v>
      </c>
      <c r="AJ192" s="281">
        <v>0.65</v>
      </c>
      <c r="AK192" s="281">
        <v>0.65</v>
      </c>
      <c r="AL192" s="281">
        <v>0.65</v>
      </c>
      <c r="AM192" s="281">
        <v>0.65</v>
      </c>
      <c r="AN192" s="281">
        <v>0.65</v>
      </c>
      <c r="AO192" s="281">
        <v>0.65</v>
      </c>
      <c r="AP192" s="281">
        <v>0.65</v>
      </c>
      <c r="AQ192" s="281">
        <v>0.65</v>
      </c>
      <c r="AR192" s="281">
        <v>0.65</v>
      </c>
      <c r="AS192" s="281">
        <v>0.65</v>
      </c>
      <c r="AT192" s="281">
        <v>0.5</v>
      </c>
      <c r="AU192" s="281">
        <v>0.5</v>
      </c>
      <c r="AV192" s="281">
        <v>0.5</v>
      </c>
      <c r="AW192" s="281">
        <v>0.5</v>
      </c>
      <c r="AX192" s="281">
        <v>0.5</v>
      </c>
      <c r="AY192" s="281">
        <v>0.5</v>
      </c>
      <c r="AZ192" s="281">
        <v>0.5</v>
      </c>
      <c r="BA192" s="281">
        <v>0.5</v>
      </c>
      <c r="BB192" s="281">
        <v>0.5</v>
      </c>
      <c r="BC192" s="281">
        <v>0.5</v>
      </c>
      <c r="BD192" s="281">
        <v>0.5</v>
      </c>
      <c r="BE192" s="281">
        <v>0.5</v>
      </c>
      <c r="BF192" s="281">
        <v>0.5</v>
      </c>
      <c r="BG192" s="281">
        <v>0.3</v>
      </c>
      <c r="BH192" s="281">
        <v>0.3</v>
      </c>
      <c r="BI192" s="281">
        <v>0.3</v>
      </c>
      <c r="BJ192" s="281">
        <v>0.3</v>
      </c>
      <c r="BK192" s="281">
        <v>0.3</v>
      </c>
      <c r="BL192" s="281">
        <v>0.3</v>
      </c>
      <c r="BM192" s="281">
        <v>0.3</v>
      </c>
      <c r="BN192" s="281">
        <v>0.3</v>
      </c>
      <c r="BO192" s="281">
        <v>0.3</v>
      </c>
      <c r="BP192" s="281">
        <v>0.3</v>
      </c>
      <c r="BQ192" s="281">
        <v>0.3</v>
      </c>
      <c r="BR192" s="286">
        <v>0</v>
      </c>
    </row>
    <row r="193" spans="1:70" ht="14.25" customHeight="1" x14ac:dyDescent="0.35">
      <c r="A193" s="4" t="s">
        <v>441</v>
      </c>
      <c r="B193" s="384">
        <v>141.16666666666669</v>
      </c>
      <c r="C193" s="385"/>
      <c r="D193" s="41" t="s">
        <v>102</v>
      </c>
      <c r="E193" s="93">
        <v>0</v>
      </c>
      <c r="F193" s="93">
        <v>2025</v>
      </c>
      <c r="G193" s="93">
        <v>2050</v>
      </c>
      <c r="I193" s="41" t="s">
        <v>102</v>
      </c>
      <c r="J193" s="281">
        <v>0.85</v>
      </c>
      <c r="K193" s="281">
        <v>0.85</v>
      </c>
      <c r="L193" s="281">
        <v>0.85</v>
      </c>
      <c r="M193" s="281">
        <v>0.85</v>
      </c>
      <c r="N193" s="281">
        <v>0.85</v>
      </c>
      <c r="O193" s="281">
        <v>0.85</v>
      </c>
      <c r="P193" s="281">
        <v>0.85</v>
      </c>
      <c r="Q193" s="281">
        <v>0.85</v>
      </c>
      <c r="R193" s="281">
        <v>0.85</v>
      </c>
      <c r="S193" s="281">
        <v>0.85</v>
      </c>
      <c r="T193" s="281">
        <v>0.85</v>
      </c>
      <c r="U193" s="281">
        <v>0.85</v>
      </c>
      <c r="V193" s="281">
        <v>0.85</v>
      </c>
      <c r="W193" s="281">
        <v>0.85</v>
      </c>
      <c r="X193" s="281">
        <v>0.85</v>
      </c>
      <c r="Y193" s="281">
        <v>0.85</v>
      </c>
      <c r="Z193" s="281">
        <v>0.85</v>
      </c>
      <c r="AA193" s="281">
        <v>0.85</v>
      </c>
      <c r="AB193" s="281">
        <v>0.85</v>
      </c>
      <c r="AC193" s="281">
        <v>0.85</v>
      </c>
      <c r="AD193" s="281">
        <v>0.85</v>
      </c>
      <c r="AE193" s="281">
        <v>0.85</v>
      </c>
      <c r="AF193" s="281">
        <v>0.85</v>
      </c>
      <c r="AG193" s="281">
        <v>0.85</v>
      </c>
      <c r="AH193" s="281">
        <v>0.65</v>
      </c>
      <c r="AI193" s="281">
        <v>0.65</v>
      </c>
      <c r="AJ193" s="281">
        <v>0.65</v>
      </c>
      <c r="AK193" s="281">
        <v>0.65</v>
      </c>
      <c r="AL193" s="281">
        <v>0.65</v>
      </c>
      <c r="AM193" s="281">
        <v>0.65</v>
      </c>
      <c r="AN193" s="281">
        <v>0.65</v>
      </c>
      <c r="AO193" s="281">
        <v>0.65</v>
      </c>
      <c r="AP193" s="281">
        <v>0.65</v>
      </c>
      <c r="AQ193" s="281">
        <v>0.65</v>
      </c>
      <c r="AR193" s="281">
        <v>0.65</v>
      </c>
      <c r="AS193" s="281">
        <v>0.65</v>
      </c>
      <c r="AT193" s="281">
        <v>0.5</v>
      </c>
      <c r="AU193" s="281">
        <v>0.5</v>
      </c>
      <c r="AV193" s="281">
        <v>0.5</v>
      </c>
      <c r="AW193" s="281">
        <v>0.5</v>
      </c>
      <c r="AX193" s="281">
        <v>0.5</v>
      </c>
      <c r="AY193" s="281">
        <v>0.5</v>
      </c>
      <c r="AZ193" s="281">
        <v>0.5</v>
      </c>
      <c r="BA193" s="281">
        <v>0.5</v>
      </c>
      <c r="BB193" s="281">
        <v>0.5</v>
      </c>
      <c r="BC193" s="281">
        <v>0.5</v>
      </c>
      <c r="BD193" s="281">
        <v>0.5</v>
      </c>
      <c r="BE193" s="281">
        <v>0.5</v>
      </c>
      <c r="BF193" s="281">
        <v>0.5</v>
      </c>
      <c r="BG193" s="281">
        <v>0.3</v>
      </c>
      <c r="BH193" s="281">
        <v>0.3</v>
      </c>
      <c r="BI193" s="281">
        <v>0.3</v>
      </c>
      <c r="BJ193" s="281">
        <v>0.3</v>
      </c>
      <c r="BK193" s="281">
        <v>0.3</v>
      </c>
      <c r="BL193" s="281">
        <v>0.3</v>
      </c>
      <c r="BM193" s="281">
        <v>0.3</v>
      </c>
      <c r="BN193" s="281">
        <v>0.3</v>
      </c>
      <c r="BO193" s="281">
        <v>0.3</v>
      </c>
      <c r="BP193" s="281">
        <v>0.3</v>
      </c>
      <c r="BQ193" s="281">
        <v>0.3</v>
      </c>
      <c r="BR193" s="286">
        <v>0</v>
      </c>
    </row>
    <row r="194" spans="1:70" ht="14.25" customHeight="1" x14ac:dyDescent="0.35">
      <c r="A194" s="4" t="s">
        <v>442</v>
      </c>
      <c r="B194" s="384">
        <v>141.16666666666669</v>
      </c>
      <c r="C194" s="385"/>
      <c r="D194" s="41" t="s">
        <v>103</v>
      </c>
      <c r="E194" s="93">
        <v>0</v>
      </c>
      <c r="F194" s="93">
        <v>2025</v>
      </c>
      <c r="G194" s="93">
        <v>2050</v>
      </c>
      <c r="I194" s="41" t="s">
        <v>103</v>
      </c>
      <c r="J194" s="281">
        <v>0.85</v>
      </c>
      <c r="K194" s="281">
        <v>0.85</v>
      </c>
      <c r="L194" s="281">
        <v>0.85</v>
      </c>
      <c r="M194" s="281">
        <v>0.85</v>
      </c>
      <c r="N194" s="281">
        <v>0.85</v>
      </c>
      <c r="O194" s="281">
        <v>0.85</v>
      </c>
      <c r="P194" s="281">
        <v>0.85</v>
      </c>
      <c r="Q194" s="281">
        <v>0.85</v>
      </c>
      <c r="R194" s="281">
        <v>0.85</v>
      </c>
      <c r="S194" s="281">
        <v>0.85</v>
      </c>
      <c r="T194" s="281">
        <v>0.85</v>
      </c>
      <c r="U194" s="281">
        <v>0.85</v>
      </c>
      <c r="V194" s="281">
        <v>0.85</v>
      </c>
      <c r="W194" s="281">
        <v>0.85</v>
      </c>
      <c r="X194" s="281">
        <v>0.85</v>
      </c>
      <c r="Y194" s="281">
        <v>0.85</v>
      </c>
      <c r="Z194" s="281">
        <v>0.85</v>
      </c>
      <c r="AA194" s="281">
        <v>0.85</v>
      </c>
      <c r="AB194" s="281">
        <v>0.85</v>
      </c>
      <c r="AC194" s="281">
        <v>0.85</v>
      </c>
      <c r="AD194" s="281">
        <v>0.85</v>
      </c>
      <c r="AE194" s="281">
        <v>0.85</v>
      </c>
      <c r="AF194" s="281">
        <v>0.85</v>
      </c>
      <c r="AG194" s="281">
        <v>0.85</v>
      </c>
      <c r="AH194" s="281">
        <v>0.65</v>
      </c>
      <c r="AI194" s="281">
        <v>0.65</v>
      </c>
      <c r="AJ194" s="281">
        <v>0.65</v>
      </c>
      <c r="AK194" s="281">
        <v>0.65</v>
      </c>
      <c r="AL194" s="281">
        <v>0.65</v>
      </c>
      <c r="AM194" s="281">
        <v>0.65</v>
      </c>
      <c r="AN194" s="281">
        <v>0.65</v>
      </c>
      <c r="AO194" s="281">
        <v>0.65</v>
      </c>
      <c r="AP194" s="281">
        <v>0.65</v>
      </c>
      <c r="AQ194" s="281">
        <v>0.65</v>
      </c>
      <c r="AR194" s="281">
        <v>0.65</v>
      </c>
      <c r="AS194" s="281">
        <v>0.65</v>
      </c>
      <c r="AT194" s="281">
        <v>0.5</v>
      </c>
      <c r="AU194" s="281">
        <v>0.5</v>
      </c>
      <c r="AV194" s="281">
        <v>0.5</v>
      </c>
      <c r="AW194" s="281">
        <v>0.5</v>
      </c>
      <c r="AX194" s="281">
        <v>0.5</v>
      </c>
      <c r="AY194" s="281">
        <v>0.5</v>
      </c>
      <c r="AZ194" s="281">
        <v>0.5</v>
      </c>
      <c r="BA194" s="281">
        <v>0.5</v>
      </c>
      <c r="BB194" s="281">
        <v>0.5</v>
      </c>
      <c r="BC194" s="281">
        <v>0.5</v>
      </c>
      <c r="BD194" s="281">
        <v>0.5</v>
      </c>
      <c r="BE194" s="281">
        <v>0.5</v>
      </c>
      <c r="BF194" s="281">
        <v>0.5</v>
      </c>
      <c r="BG194" s="281">
        <v>0.3</v>
      </c>
      <c r="BH194" s="281">
        <v>0.3</v>
      </c>
      <c r="BI194" s="281">
        <v>0.3</v>
      </c>
      <c r="BJ194" s="281">
        <v>0.3</v>
      </c>
      <c r="BK194" s="281">
        <v>0.3</v>
      </c>
      <c r="BL194" s="281">
        <v>0.3</v>
      </c>
      <c r="BM194" s="281">
        <v>0.3</v>
      </c>
      <c r="BN194" s="281">
        <v>0.3</v>
      </c>
      <c r="BO194" s="281">
        <v>0.3</v>
      </c>
      <c r="BP194" s="281">
        <v>0.3</v>
      </c>
      <c r="BQ194" s="281">
        <v>0.3</v>
      </c>
      <c r="BR194" s="286">
        <v>0</v>
      </c>
    </row>
    <row r="195" spans="1:70" ht="14.25" customHeight="1" x14ac:dyDescent="0.35">
      <c r="A195" s="4" t="s">
        <v>443</v>
      </c>
      <c r="B195" s="384">
        <v>141.16666666666669</v>
      </c>
      <c r="C195" s="385"/>
      <c r="D195" s="41" t="s">
        <v>104</v>
      </c>
      <c r="E195" s="93">
        <v>0</v>
      </c>
      <c r="F195" s="93">
        <v>2025</v>
      </c>
      <c r="G195" s="93">
        <v>2050</v>
      </c>
      <c r="I195" s="41" t="s">
        <v>104</v>
      </c>
      <c r="J195" s="281">
        <v>0.85</v>
      </c>
      <c r="K195" s="281">
        <v>0.85</v>
      </c>
      <c r="L195" s="281">
        <v>0.85</v>
      </c>
      <c r="M195" s="281">
        <v>0.85</v>
      </c>
      <c r="N195" s="281">
        <v>0.85</v>
      </c>
      <c r="O195" s="281">
        <v>0.85</v>
      </c>
      <c r="P195" s="281">
        <v>0.85</v>
      </c>
      <c r="Q195" s="281">
        <v>0.85</v>
      </c>
      <c r="R195" s="281">
        <v>0.85</v>
      </c>
      <c r="S195" s="281">
        <v>0.85</v>
      </c>
      <c r="T195" s="281">
        <v>0.85</v>
      </c>
      <c r="U195" s="281">
        <v>0.85</v>
      </c>
      <c r="V195" s="281">
        <v>0.85</v>
      </c>
      <c r="W195" s="281">
        <v>0.85</v>
      </c>
      <c r="X195" s="281">
        <v>0.85</v>
      </c>
      <c r="Y195" s="281">
        <v>0.85</v>
      </c>
      <c r="Z195" s="281">
        <v>0.85</v>
      </c>
      <c r="AA195" s="281">
        <v>0.85</v>
      </c>
      <c r="AB195" s="281">
        <v>0.85</v>
      </c>
      <c r="AC195" s="281">
        <v>0.85</v>
      </c>
      <c r="AD195" s="281">
        <v>0.85</v>
      </c>
      <c r="AE195" s="281">
        <v>0.85</v>
      </c>
      <c r="AF195" s="281">
        <v>0.85</v>
      </c>
      <c r="AG195" s="281">
        <v>0.85</v>
      </c>
      <c r="AH195" s="281">
        <v>0.65</v>
      </c>
      <c r="AI195" s="281">
        <v>0.65</v>
      </c>
      <c r="AJ195" s="281">
        <v>0.65</v>
      </c>
      <c r="AK195" s="281">
        <v>0.65</v>
      </c>
      <c r="AL195" s="281">
        <v>0.65</v>
      </c>
      <c r="AM195" s="281">
        <v>0.65</v>
      </c>
      <c r="AN195" s="281">
        <v>0.65</v>
      </c>
      <c r="AO195" s="281">
        <v>0.65</v>
      </c>
      <c r="AP195" s="281">
        <v>0.65</v>
      </c>
      <c r="AQ195" s="281">
        <v>0.65</v>
      </c>
      <c r="AR195" s="281">
        <v>0.65</v>
      </c>
      <c r="AS195" s="281">
        <v>0.65</v>
      </c>
      <c r="AT195" s="281">
        <v>0.5</v>
      </c>
      <c r="AU195" s="281">
        <v>0.5</v>
      </c>
      <c r="AV195" s="281">
        <v>0.5</v>
      </c>
      <c r="AW195" s="281">
        <v>0.5</v>
      </c>
      <c r="AX195" s="281">
        <v>0.5</v>
      </c>
      <c r="AY195" s="281">
        <v>0.5</v>
      </c>
      <c r="AZ195" s="281">
        <v>0.5</v>
      </c>
      <c r="BA195" s="281">
        <v>0.5</v>
      </c>
      <c r="BB195" s="281">
        <v>0.5</v>
      </c>
      <c r="BC195" s="281">
        <v>0.5</v>
      </c>
      <c r="BD195" s="281">
        <v>0.5</v>
      </c>
      <c r="BE195" s="281">
        <v>0.5</v>
      </c>
      <c r="BF195" s="281">
        <v>0.5</v>
      </c>
      <c r="BG195" s="281">
        <v>0.3</v>
      </c>
      <c r="BH195" s="281">
        <v>0.3</v>
      </c>
      <c r="BI195" s="281">
        <v>0.3</v>
      </c>
      <c r="BJ195" s="281">
        <v>0.3</v>
      </c>
      <c r="BK195" s="281">
        <v>0.3</v>
      </c>
      <c r="BL195" s="281">
        <v>0.3</v>
      </c>
      <c r="BM195" s="281">
        <v>0.3</v>
      </c>
      <c r="BN195" s="281">
        <v>0.3</v>
      </c>
      <c r="BO195" s="281">
        <v>0.3</v>
      </c>
      <c r="BP195" s="281">
        <v>0.3</v>
      </c>
      <c r="BQ195" s="281">
        <v>0.3</v>
      </c>
      <c r="BR195" s="286">
        <v>0</v>
      </c>
    </row>
    <row r="196" spans="1:70" ht="14.25" customHeight="1" x14ac:dyDescent="0.35">
      <c r="A196" s="4" t="s">
        <v>444</v>
      </c>
      <c r="B196" s="384">
        <v>141.16666666666669</v>
      </c>
      <c r="C196" s="385"/>
      <c r="D196" s="41" t="s">
        <v>105</v>
      </c>
      <c r="E196" s="93">
        <v>0</v>
      </c>
      <c r="F196" s="93">
        <v>2025</v>
      </c>
      <c r="G196" s="93">
        <v>2050</v>
      </c>
      <c r="I196" s="41" t="s">
        <v>105</v>
      </c>
      <c r="J196" s="281">
        <v>0.85</v>
      </c>
      <c r="K196" s="281">
        <v>0.85</v>
      </c>
      <c r="L196" s="281">
        <v>0.85</v>
      </c>
      <c r="M196" s="281">
        <v>0.85</v>
      </c>
      <c r="N196" s="281">
        <v>0.85</v>
      </c>
      <c r="O196" s="281">
        <v>0.85</v>
      </c>
      <c r="P196" s="281">
        <v>0.85</v>
      </c>
      <c r="Q196" s="281">
        <v>0.85</v>
      </c>
      <c r="R196" s="281">
        <v>0.85</v>
      </c>
      <c r="S196" s="281">
        <v>0.85</v>
      </c>
      <c r="T196" s="281">
        <v>0.85</v>
      </c>
      <c r="U196" s="281">
        <v>0.85</v>
      </c>
      <c r="V196" s="281">
        <v>0.85</v>
      </c>
      <c r="W196" s="281">
        <v>0.85</v>
      </c>
      <c r="X196" s="281">
        <v>0.85</v>
      </c>
      <c r="Y196" s="281">
        <v>0.85</v>
      </c>
      <c r="Z196" s="281">
        <v>0.85</v>
      </c>
      <c r="AA196" s="281">
        <v>0.85</v>
      </c>
      <c r="AB196" s="281">
        <v>0.85</v>
      </c>
      <c r="AC196" s="281">
        <v>0.85</v>
      </c>
      <c r="AD196" s="281">
        <v>0.85</v>
      </c>
      <c r="AE196" s="281">
        <v>0.85</v>
      </c>
      <c r="AF196" s="281">
        <v>0.85</v>
      </c>
      <c r="AG196" s="281">
        <v>0.85</v>
      </c>
      <c r="AH196" s="281">
        <v>0.65</v>
      </c>
      <c r="AI196" s="281">
        <v>0.65</v>
      </c>
      <c r="AJ196" s="281">
        <v>0.65</v>
      </c>
      <c r="AK196" s="281">
        <v>0.65</v>
      </c>
      <c r="AL196" s="281">
        <v>0.65</v>
      </c>
      <c r="AM196" s="281">
        <v>0.65</v>
      </c>
      <c r="AN196" s="281">
        <v>0.65</v>
      </c>
      <c r="AO196" s="281">
        <v>0.65</v>
      </c>
      <c r="AP196" s="281">
        <v>0.65</v>
      </c>
      <c r="AQ196" s="281">
        <v>0.65</v>
      </c>
      <c r="AR196" s="281">
        <v>0.65</v>
      </c>
      <c r="AS196" s="281">
        <v>0.65</v>
      </c>
      <c r="AT196" s="281">
        <v>0.5</v>
      </c>
      <c r="AU196" s="281">
        <v>0.5</v>
      </c>
      <c r="AV196" s="281">
        <v>0.5</v>
      </c>
      <c r="AW196" s="281">
        <v>0.5</v>
      </c>
      <c r="AX196" s="281">
        <v>0.5</v>
      </c>
      <c r="AY196" s="281">
        <v>0.5</v>
      </c>
      <c r="AZ196" s="281">
        <v>0.5</v>
      </c>
      <c r="BA196" s="281">
        <v>0.5</v>
      </c>
      <c r="BB196" s="281">
        <v>0.5</v>
      </c>
      <c r="BC196" s="281">
        <v>0.5</v>
      </c>
      <c r="BD196" s="281">
        <v>0.5</v>
      </c>
      <c r="BE196" s="281">
        <v>0.5</v>
      </c>
      <c r="BF196" s="281">
        <v>0.5</v>
      </c>
      <c r="BG196" s="281">
        <v>0.3</v>
      </c>
      <c r="BH196" s="281">
        <v>0.3</v>
      </c>
      <c r="BI196" s="281">
        <v>0.3</v>
      </c>
      <c r="BJ196" s="281">
        <v>0.3</v>
      </c>
      <c r="BK196" s="281">
        <v>0.3</v>
      </c>
      <c r="BL196" s="281">
        <v>0.3</v>
      </c>
      <c r="BM196" s="281">
        <v>0.3</v>
      </c>
      <c r="BN196" s="281">
        <v>0.3</v>
      </c>
      <c r="BO196" s="281">
        <v>0.3</v>
      </c>
      <c r="BP196" s="281">
        <v>0.3</v>
      </c>
      <c r="BQ196" s="281">
        <v>0.3</v>
      </c>
      <c r="BR196" s="286">
        <v>0</v>
      </c>
    </row>
    <row r="197" spans="1:70" ht="14.25" customHeight="1" x14ac:dyDescent="0.35">
      <c r="A197" s="4" t="s">
        <v>445</v>
      </c>
      <c r="B197" s="384">
        <v>141.16666666666669</v>
      </c>
      <c r="C197" s="385"/>
      <c r="D197" s="41" t="s">
        <v>106</v>
      </c>
      <c r="E197" s="93">
        <v>0</v>
      </c>
      <c r="F197" s="93">
        <v>2025</v>
      </c>
      <c r="G197" s="93">
        <v>2050</v>
      </c>
      <c r="I197" s="41" t="s">
        <v>106</v>
      </c>
      <c r="J197" s="281">
        <v>0.85</v>
      </c>
      <c r="K197" s="281">
        <v>0.85</v>
      </c>
      <c r="L197" s="281">
        <v>0.85</v>
      </c>
      <c r="M197" s="281">
        <v>0.85</v>
      </c>
      <c r="N197" s="281">
        <v>0.85</v>
      </c>
      <c r="O197" s="281">
        <v>0.85</v>
      </c>
      <c r="P197" s="281">
        <v>0.85</v>
      </c>
      <c r="Q197" s="281">
        <v>0.85</v>
      </c>
      <c r="R197" s="281">
        <v>0.85</v>
      </c>
      <c r="S197" s="281">
        <v>0.85</v>
      </c>
      <c r="T197" s="281">
        <v>0.85</v>
      </c>
      <c r="U197" s="281">
        <v>0.85</v>
      </c>
      <c r="V197" s="281">
        <v>0.85</v>
      </c>
      <c r="W197" s="281">
        <v>0.85</v>
      </c>
      <c r="X197" s="281">
        <v>0.85</v>
      </c>
      <c r="Y197" s="281">
        <v>0.85</v>
      </c>
      <c r="Z197" s="281">
        <v>0.85</v>
      </c>
      <c r="AA197" s="281">
        <v>0.85</v>
      </c>
      <c r="AB197" s="281">
        <v>0.85</v>
      </c>
      <c r="AC197" s="281">
        <v>0.85</v>
      </c>
      <c r="AD197" s="281">
        <v>0.85</v>
      </c>
      <c r="AE197" s="281">
        <v>0.85</v>
      </c>
      <c r="AF197" s="281">
        <v>0.85</v>
      </c>
      <c r="AG197" s="281">
        <v>0.85</v>
      </c>
      <c r="AH197" s="281">
        <v>0.65</v>
      </c>
      <c r="AI197" s="281">
        <v>0.65</v>
      </c>
      <c r="AJ197" s="281">
        <v>0.65</v>
      </c>
      <c r="AK197" s="281">
        <v>0.65</v>
      </c>
      <c r="AL197" s="281">
        <v>0.65</v>
      </c>
      <c r="AM197" s="281">
        <v>0.65</v>
      </c>
      <c r="AN197" s="281">
        <v>0.65</v>
      </c>
      <c r="AO197" s="281">
        <v>0.65</v>
      </c>
      <c r="AP197" s="281">
        <v>0.65</v>
      </c>
      <c r="AQ197" s="281">
        <v>0.65</v>
      </c>
      <c r="AR197" s="281">
        <v>0.65</v>
      </c>
      <c r="AS197" s="281">
        <v>0.65</v>
      </c>
      <c r="AT197" s="281">
        <v>0.5</v>
      </c>
      <c r="AU197" s="281">
        <v>0.5</v>
      </c>
      <c r="AV197" s="281">
        <v>0.5</v>
      </c>
      <c r="AW197" s="281">
        <v>0.5</v>
      </c>
      <c r="AX197" s="281">
        <v>0.5</v>
      </c>
      <c r="AY197" s="281">
        <v>0.5</v>
      </c>
      <c r="AZ197" s="281">
        <v>0.5</v>
      </c>
      <c r="BA197" s="281">
        <v>0.5</v>
      </c>
      <c r="BB197" s="281">
        <v>0.5</v>
      </c>
      <c r="BC197" s="281">
        <v>0.5</v>
      </c>
      <c r="BD197" s="281">
        <v>0.5</v>
      </c>
      <c r="BE197" s="281">
        <v>0.5</v>
      </c>
      <c r="BF197" s="281">
        <v>0.5</v>
      </c>
      <c r="BG197" s="281">
        <v>0.3</v>
      </c>
      <c r="BH197" s="281">
        <v>0.3</v>
      </c>
      <c r="BI197" s="281">
        <v>0.3</v>
      </c>
      <c r="BJ197" s="281">
        <v>0.3</v>
      </c>
      <c r="BK197" s="281">
        <v>0.3</v>
      </c>
      <c r="BL197" s="281">
        <v>0.3</v>
      </c>
      <c r="BM197" s="281">
        <v>0.3</v>
      </c>
      <c r="BN197" s="281">
        <v>0.3</v>
      </c>
      <c r="BO197" s="281">
        <v>0.3</v>
      </c>
      <c r="BP197" s="281">
        <v>0.3</v>
      </c>
      <c r="BQ197" s="281">
        <v>0.3</v>
      </c>
      <c r="BR197" s="286">
        <v>0</v>
      </c>
    </row>
    <row r="198" spans="1:70" ht="14.25" customHeight="1" x14ac:dyDescent="0.35">
      <c r="A198" s="4" t="s">
        <v>446</v>
      </c>
      <c r="B198" s="384">
        <v>141.16666666666669</v>
      </c>
      <c r="C198" s="385"/>
      <c r="D198" s="41" t="s">
        <v>107</v>
      </c>
      <c r="E198" s="93">
        <v>0</v>
      </c>
      <c r="F198" s="93">
        <v>2025</v>
      </c>
      <c r="G198" s="93">
        <v>2050</v>
      </c>
      <c r="I198" s="41" t="s">
        <v>107</v>
      </c>
      <c r="J198" s="281">
        <v>0.85</v>
      </c>
      <c r="K198" s="281">
        <v>0.85</v>
      </c>
      <c r="L198" s="281">
        <v>0.85</v>
      </c>
      <c r="M198" s="281">
        <v>0.85</v>
      </c>
      <c r="N198" s="281">
        <v>0.85</v>
      </c>
      <c r="O198" s="281">
        <v>0.85</v>
      </c>
      <c r="P198" s="281">
        <v>0.85</v>
      </c>
      <c r="Q198" s="281">
        <v>0.85</v>
      </c>
      <c r="R198" s="281">
        <v>0.85</v>
      </c>
      <c r="S198" s="281">
        <v>0.85</v>
      </c>
      <c r="T198" s="281">
        <v>0.85</v>
      </c>
      <c r="U198" s="281">
        <v>0.85</v>
      </c>
      <c r="V198" s="281">
        <v>0.85</v>
      </c>
      <c r="W198" s="281">
        <v>0.85</v>
      </c>
      <c r="X198" s="281">
        <v>0.85</v>
      </c>
      <c r="Y198" s="281">
        <v>0.85</v>
      </c>
      <c r="Z198" s="281">
        <v>0.85</v>
      </c>
      <c r="AA198" s="281">
        <v>0.85</v>
      </c>
      <c r="AB198" s="281">
        <v>0.85</v>
      </c>
      <c r="AC198" s="281">
        <v>0.85</v>
      </c>
      <c r="AD198" s="281">
        <v>0.85</v>
      </c>
      <c r="AE198" s="281">
        <v>0.85</v>
      </c>
      <c r="AF198" s="281">
        <v>0.85</v>
      </c>
      <c r="AG198" s="281">
        <v>0.85</v>
      </c>
      <c r="AH198" s="281">
        <v>0.65</v>
      </c>
      <c r="AI198" s="281">
        <v>0.65</v>
      </c>
      <c r="AJ198" s="281">
        <v>0.65</v>
      </c>
      <c r="AK198" s="281">
        <v>0.65</v>
      </c>
      <c r="AL198" s="281">
        <v>0.65</v>
      </c>
      <c r="AM198" s="281">
        <v>0.65</v>
      </c>
      <c r="AN198" s="281">
        <v>0.65</v>
      </c>
      <c r="AO198" s="281">
        <v>0.65</v>
      </c>
      <c r="AP198" s="281">
        <v>0.65</v>
      </c>
      <c r="AQ198" s="281">
        <v>0.65</v>
      </c>
      <c r="AR198" s="281">
        <v>0.65</v>
      </c>
      <c r="AS198" s="281">
        <v>0.65</v>
      </c>
      <c r="AT198" s="281">
        <v>0.5</v>
      </c>
      <c r="AU198" s="281">
        <v>0.5</v>
      </c>
      <c r="AV198" s="281">
        <v>0.5</v>
      </c>
      <c r="AW198" s="281">
        <v>0.5</v>
      </c>
      <c r="AX198" s="281">
        <v>0.5</v>
      </c>
      <c r="AY198" s="281">
        <v>0.5</v>
      </c>
      <c r="AZ198" s="281">
        <v>0.5</v>
      </c>
      <c r="BA198" s="281">
        <v>0.5</v>
      </c>
      <c r="BB198" s="281">
        <v>0.5</v>
      </c>
      <c r="BC198" s="281">
        <v>0.5</v>
      </c>
      <c r="BD198" s="281">
        <v>0.5</v>
      </c>
      <c r="BE198" s="281">
        <v>0.5</v>
      </c>
      <c r="BF198" s="281">
        <v>0.5</v>
      </c>
      <c r="BG198" s="281">
        <v>0.3</v>
      </c>
      <c r="BH198" s="281">
        <v>0.3</v>
      </c>
      <c r="BI198" s="281">
        <v>0.3</v>
      </c>
      <c r="BJ198" s="281">
        <v>0.3</v>
      </c>
      <c r="BK198" s="281">
        <v>0.3</v>
      </c>
      <c r="BL198" s="281">
        <v>0.3</v>
      </c>
      <c r="BM198" s="281">
        <v>0.3</v>
      </c>
      <c r="BN198" s="281">
        <v>0.3</v>
      </c>
      <c r="BO198" s="281">
        <v>0.3</v>
      </c>
      <c r="BP198" s="281">
        <v>0.3</v>
      </c>
      <c r="BQ198" s="281">
        <v>0.3</v>
      </c>
      <c r="BR198" s="286">
        <v>0</v>
      </c>
    </row>
    <row r="199" spans="1:70" ht="14.25" customHeight="1" x14ac:dyDescent="0.35">
      <c r="A199" s="4" t="s">
        <v>447</v>
      </c>
      <c r="B199" s="384">
        <v>141.16666666666669</v>
      </c>
      <c r="C199" s="385"/>
      <c r="D199" s="41" t="s">
        <v>108</v>
      </c>
      <c r="E199" s="93">
        <v>0</v>
      </c>
      <c r="F199" s="93">
        <v>2025</v>
      </c>
      <c r="G199" s="93">
        <v>2050</v>
      </c>
      <c r="I199" s="41" t="s">
        <v>108</v>
      </c>
      <c r="J199" s="286">
        <v>0</v>
      </c>
      <c r="K199" s="286">
        <v>0</v>
      </c>
      <c r="L199" s="286">
        <v>0</v>
      </c>
      <c r="M199" s="286">
        <v>0</v>
      </c>
      <c r="N199" s="286">
        <v>0</v>
      </c>
      <c r="O199" s="286">
        <v>0</v>
      </c>
      <c r="P199" s="286">
        <v>0</v>
      </c>
      <c r="Q199" s="286">
        <v>0</v>
      </c>
      <c r="R199" s="286">
        <v>0</v>
      </c>
      <c r="S199" s="286">
        <v>0</v>
      </c>
      <c r="T199" s="286">
        <v>0</v>
      </c>
      <c r="U199" s="286">
        <v>0</v>
      </c>
      <c r="V199" s="286">
        <v>0</v>
      </c>
      <c r="W199" s="286">
        <v>0</v>
      </c>
      <c r="X199" s="286">
        <v>0</v>
      </c>
      <c r="Y199" s="286">
        <v>0</v>
      </c>
      <c r="Z199" s="286">
        <v>0</v>
      </c>
      <c r="AA199" s="286">
        <v>0</v>
      </c>
      <c r="AB199" s="286">
        <v>0</v>
      </c>
      <c r="AC199" s="286">
        <v>0</v>
      </c>
      <c r="AD199" s="286">
        <v>0</v>
      </c>
      <c r="AE199" s="286">
        <v>0</v>
      </c>
      <c r="AF199" s="286">
        <v>0</v>
      </c>
      <c r="AG199" s="286">
        <v>0</v>
      </c>
      <c r="AH199" s="286">
        <v>0</v>
      </c>
      <c r="AI199" s="286">
        <v>0</v>
      </c>
      <c r="AJ199" s="286">
        <v>0</v>
      </c>
      <c r="AK199" s="286">
        <v>0</v>
      </c>
      <c r="AL199" s="286">
        <v>0</v>
      </c>
      <c r="AM199" s="286">
        <v>0</v>
      </c>
      <c r="AN199" s="286">
        <v>0</v>
      </c>
      <c r="AO199" s="286">
        <v>0</v>
      </c>
      <c r="AP199" s="286">
        <v>0</v>
      </c>
      <c r="AQ199" s="286">
        <v>0</v>
      </c>
      <c r="AR199" s="286">
        <v>0</v>
      </c>
      <c r="AS199" s="286">
        <v>0</v>
      </c>
      <c r="AT199" s="286">
        <v>0</v>
      </c>
      <c r="AU199" s="286">
        <v>0</v>
      </c>
      <c r="AV199" s="286">
        <v>0</v>
      </c>
      <c r="AW199" s="286">
        <v>0</v>
      </c>
      <c r="AX199" s="286">
        <v>0</v>
      </c>
      <c r="AY199" s="286">
        <v>0</v>
      </c>
      <c r="AZ199" s="286">
        <v>0</v>
      </c>
      <c r="BA199" s="286">
        <v>0</v>
      </c>
      <c r="BB199" s="286">
        <v>0</v>
      </c>
      <c r="BC199" s="286">
        <v>0</v>
      </c>
      <c r="BD199" s="286">
        <v>0</v>
      </c>
      <c r="BE199" s="286">
        <v>0</v>
      </c>
      <c r="BF199" s="286">
        <v>0</v>
      </c>
      <c r="BG199" s="286">
        <v>0</v>
      </c>
      <c r="BH199" s="286">
        <v>0</v>
      </c>
      <c r="BI199" s="286">
        <v>0</v>
      </c>
      <c r="BJ199" s="286">
        <v>0</v>
      </c>
      <c r="BK199" s="286">
        <v>0</v>
      </c>
      <c r="BL199" s="286">
        <v>0</v>
      </c>
      <c r="BM199" s="286">
        <v>0</v>
      </c>
      <c r="BN199" s="286">
        <v>0</v>
      </c>
      <c r="BO199" s="286">
        <v>0</v>
      </c>
      <c r="BP199" s="286">
        <v>0</v>
      </c>
      <c r="BQ199" s="286">
        <v>0</v>
      </c>
      <c r="BR199" s="281">
        <v>0.65</v>
      </c>
    </row>
    <row r="200" spans="1:70" ht="14.25" customHeight="1" x14ac:dyDescent="0.35">
      <c r="A200" s="4" t="s">
        <v>448</v>
      </c>
      <c r="B200" s="384">
        <v>141.16666666666669</v>
      </c>
      <c r="C200" s="385"/>
      <c r="D200" s="41" t="s">
        <v>109</v>
      </c>
      <c r="E200" s="93">
        <v>0</v>
      </c>
      <c r="F200" s="93">
        <v>2025</v>
      </c>
      <c r="G200" s="93">
        <v>2050</v>
      </c>
      <c r="I200" s="41" t="s">
        <v>109</v>
      </c>
      <c r="J200" s="281">
        <v>0.85</v>
      </c>
      <c r="K200" s="281">
        <v>0.85</v>
      </c>
      <c r="L200" s="281">
        <v>0.85</v>
      </c>
      <c r="M200" s="281">
        <v>0.85</v>
      </c>
      <c r="N200" s="281">
        <v>0.85</v>
      </c>
      <c r="O200" s="281">
        <v>0.85</v>
      </c>
      <c r="P200" s="281">
        <v>0.85</v>
      </c>
      <c r="Q200" s="281">
        <v>0.85</v>
      </c>
      <c r="R200" s="281">
        <v>0.85</v>
      </c>
      <c r="S200" s="281">
        <v>0.85</v>
      </c>
      <c r="T200" s="281">
        <v>0.85</v>
      </c>
      <c r="U200" s="281">
        <v>0.85</v>
      </c>
      <c r="V200" s="281">
        <v>0.85</v>
      </c>
      <c r="W200" s="281">
        <v>0.85</v>
      </c>
      <c r="X200" s="281">
        <v>0.85</v>
      </c>
      <c r="Y200" s="281">
        <v>0.85</v>
      </c>
      <c r="Z200" s="281">
        <v>0.85</v>
      </c>
      <c r="AA200" s="281">
        <v>0.85</v>
      </c>
      <c r="AB200" s="281">
        <v>0.85</v>
      </c>
      <c r="AC200" s="281">
        <v>0.85</v>
      </c>
      <c r="AD200" s="281">
        <v>0.85</v>
      </c>
      <c r="AE200" s="281">
        <v>0.85</v>
      </c>
      <c r="AF200" s="281">
        <v>0.85</v>
      </c>
      <c r="AG200" s="281">
        <v>0.85</v>
      </c>
      <c r="AH200" s="281">
        <v>0.65</v>
      </c>
      <c r="AI200" s="281">
        <v>0.65</v>
      </c>
      <c r="AJ200" s="281">
        <v>0.65</v>
      </c>
      <c r="AK200" s="281">
        <v>0.65</v>
      </c>
      <c r="AL200" s="281">
        <v>0.65</v>
      </c>
      <c r="AM200" s="281">
        <v>0.65</v>
      </c>
      <c r="AN200" s="281">
        <v>0.65</v>
      </c>
      <c r="AO200" s="281">
        <v>0.65</v>
      </c>
      <c r="AP200" s="281">
        <v>0.65</v>
      </c>
      <c r="AQ200" s="281">
        <v>0.65</v>
      </c>
      <c r="AR200" s="281">
        <v>0.65</v>
      </c>
      <c r="AS200" s="281">
        <v>0.65</v>
      </c>
      <c r="AT200" s="281">
        <v>0.5</v>
      </c>
      <c r="AU200" s="281">
        <v>0.5</v>
      </c>
      <c r="AV200" s="281">
        <v>0.5</v>
      </c>
      <c r="AW200" s="281">
        <v>0.5</v>
      </c>
      <c r="AX200" s="281">
        <v>0.5</v>
      </c>
      <c r="AY200" s="281">
        <v>0.5</v>
      </c>
      <c r="AZ200" s="281">
        <v>0.5</v>
      </c>
      <c r="BA200" s="281">
        <v>0.5</v>
      </c>
      <c r="BB200" s="281">
        <v>0.5</v>
      </c>
      <c r="BC200" s="281">
        <v>0.5</v>
      </c>
      <c r="BD200" s="281">
        <v>0.5</v>
      </c>
      <c r="BE200" s="281">
        <v>0.5</v>
      </c>
      <c r="BF200" s="281">
        <v>0.5</v>
      </c>
      <c r="BG200" s="281">
        <v>0.3</v>
      </c>
      <c r="BH200" s="281">
        <v>0.3</v>
      </c>
      <c r="BI200" s="281">
        <v>0.3</v>
      </c>
      <c r="BJ200" s="281">
        <v>0.3</v>
      </c>
      <c r="BK200" s="281">
        <v>0.3</v>
      </c>
      <c r="BL200" s="281">
        <v>0.3</v>
      </c>
      <c r="BM200" s="281">
        <v>0.3</v>
      </c>
      <c r="BN200" s="281">
        <v>0.3</v>
      </c>
      <c r="BO200" s="281">
        <v>0.3</v>
      </c>
      <c r="BP200" s="281">
        <v>0.3</v>
      </c>
      <c r="BQ200" s="281">
        <v>0.3</v>
      </c>
      <c r="BR200" s="286">
        <v>0</v>
      </c>
    </row>
    <row r="201" spans="1:70" ht="14.25" customHeight="1" x14ac:dyDescent="0.35">
      <c r="A201" s="4" t="s">
        <v>449</v>
      </c>
      <c r="B201" s="384">
        <v>141.16666666666669</v>
      </c>
      <c r="C201" s="385"/>
      <c r="D201" s="41" t="s">
        <v>229</v>
      </c>
      <c r="E201" s="93">
        <v>0</v>
      </c>
      <c r="F201" s="93">
        <v>2025</v>
      </c>
      <c r="G201" s="93">
        <v>2050</v>
      </c>
      <c r="I201" s="41" t="s">
        <v>229</v>
      </c>
      <c r="J201" s="281">
        <v>0.85</v>
      </c>
      <c r="K201" s="281">
        <v>0.85</v>
      </c>
      <c r="L201" s="281">
        <v>0.85</v>
      </c>
      <c r="M201" s="281">
        <v>0.85</v>
      </c>
      <c r="N201" s="281">
        <v>0.85</v>
      </c>
      <c r="O201" s="281">
        <v>0.85</v>
      </c>
      <c r="P201" s="281">
        <v>0.85</v>
      </c>
      <c r="Q201" s="281">
        <v>0.85</v>
      </c>
      <c r="R201" s="281">
        <v>0.85</v>
      </c>
      <c r="S201" s="281">
        <v>0.85</v>
      </c>
      <c r="T201" s="281">
        <v>0.85</v>
      </c>
      <c r="U201" s="281">
        <v>0.85</v>
      </c>
      <c r="V201" s="281">
        <v>0.85</v>
      </c>
      <c r="W201" s="281">
        <v>0.85</v>
      </c>
      <c r="X201" s="281">
        <v>0.85</v>
      </c>
      <c r="Y201" s="281">
        <v>0.85</v>
      </c>
      <c r="Z201" s="281">
        <v>0.85</v>
      </c>
      <c r="AA201" s="281">
        <v>0.85</v>
      </c>
      <c r="AB201" s="281">
        <v>0.85</v>
      </c>
      <c r="AC201" s="281">
        <v>0.85</v>
      </c>
      <c r="AD201" s="281">
        <v>0.85</v>
      </c>
      <c r="AE201" s="281">
        <v>0.85</v>
      </c>
      <c r="AF201" s="281">
        <v>0.85</v>
      </c>
      <c r="AG201" s="281">
        <v>0.85</v>
      </c>
      <c r="AH201" s="281">
        <v>0.65</v>
      </c>
      <c r="AI201" s="281">
        <v>0.65</v>
      </c>
      <c r="AJ201" s="281">
        <v>0.65</v>
      </c>
      <c r="AK201" s="281">
        <v>0.65</v>
      </c>
      <c r="AL201" s="281">
        <v>0.65</v>
      </c>
      <c r="AM201" s="281">
        <v>0.65</v>
      </c>
      <c r="AN201" s="281">
        <v>0.65</v>
      </c>
      <c r="AO201" s="281">
        <v>0.65</v>
      </c>
      <c r="AP201" s="281">
        <v>0.65</v>
      </c>
      <c r="AQ201" s="281">
        <v>0.65</v>
      </c>
      <c r="AR201" s="281">
        <v>0.65</v>
      </c>
      <c r="AS201" s="281">
        <v>0.65</v>
      </c>
      <c r="AT201" s="281">
        <v>0.5</v>
      </c>
      <c r="AU201" s="281">
        <v>0.5</v>
      </c>
      <c r="AV201" s="281">
        <v>0.5</v>
      </c>
      <c r="AW201" s="281">
        <v>0.5</v>
      </c>
      <c r="AX201" s="281">
        <v>0.5</v>
      </c>
      <c r="AY201" s="281">
        <v>0.5</v>
      </c>
      <c r="AZ201" s="281">
        <v>0.5</v>
      </c>
      <c r="BA201" s="281">
        <v>0.5</v>
      </c>
      <c r="BB201" s="281">
        <v>0.5</v>
      </c>
      <c r="BC201" s="281">
        <v>0.5</v>
      </c>
      <c r="BD201" s="281">
        <v>0.5</v>
      </c>
      <c r="BE201" s="281">
        <v>0.5</v>
      </c>
      <c r="BF201" s="281">
        <v>0.5</v>
      </c>
      <c r="BG201" s="281">
        <v>0.3</v>
      </c>
      <c r="BH201" s="281">
        <v>0.3</v>
      </c>
      <c r="BI201" s="281">
        <v>0.3</v>
      </c>
      <c r="BJ201" s="281">
        <v>0.3</v>
      </c>
      <c r="BK201" s="281">
        <v>0.3</v>
      </c>
      <c r="BL201" s="281">
        <v>0.3</v>
      </c>
      <c r="BM201" s="281">
        <v>0.3</v>
      </c>
      <c r="BN201" s="281">
        <v>0.3</v>
      </c>
      <c r="BO201" s="281">
        <v>0.3</v>
      </c>
      <c r="BP201" s="281">
        <v>0.3</v>
      </c>
      <c r="BQ201" s="281">
        <v>0.3</v>
      </c>
      <c r="BR201" s="286">
        <v>0</v>
      </c>
    </row>
    <row r="202" spans="1:70" ht="14.25" customHeight="1" x14ac:dyDescent="0.35">
      <c r="A202" s="4" t="s">
        <v>450</v>
      </c>
      <c r="B202" s="384">
        <v>141.16666666666669</v>
      </c>
      <c r="C202" s="385"/>
      <c r="D202" s="41" t="s">
        <v>111</v>
      </c>
      <c r="E202" s="93">
        <v>0</v>
      </c>
      <c r="F202" s="93">
        <v>2025</v>
      </c>
      <c r="G202" s="93">
        <v>2050</v>
      </c>
      <c r="I202" s="41" t="s">
        <v>111</v>
      </c>
      <c r="J202" s="281">
        <v>0.85</v>
      </c>
      <c r="K202" s="281">
        <v>0.85</v>
      </c>
      <c r="L202" s="281">
        <v>0.85</v>
      </c>
      <c r="M202" s="281">
        <v>0.85</v>
      </c>
      <c r="N202" s="281">
        <v>0.85</v>
      </c>
      <c r="O202" s="281">
        <v>0.85</v>
      </c>
      <c r="P202" s="281">
        <v>0.85</v>
      </c>
      <c r="Q202" s="281">
        <v>0.85</v>
      </c>
      <c r="R202" s="281">
        <v>0.85</v>
      </c>
      <c r="S202" s="281">
        <v>0.85</v>
      </c>
      <c r="T202" s="281">
        <v>0.85</v>
      </c>
      <c r="U202" s="281">
        <v>0.85</v>
      </c>
      <c r="V202" s="281">
        <v>0.85</v>
      </c>
      <c r="W202" s="281">
        <v>0.85</v>
      </c>
      <c r="X202" s="281">
        <v>0.85</v>
      </c>
      <c r="Y202" s="281">
        <v>0.85</v>
      </c>
      <c r="Z202" s="281">
        <v>0.85</v>
      </c>
      <c r="AA202" s="281">
        <v>0.85</v>
      </c>
      <c r="AB202" s="281">
        <v>0.85</v>
      </c>
      <c r="AC202" s="281">
        <v>0.85</v>
      </c>
      <c r="AD202" s="281">
        <v>0.85</v>
      </c>
      <c r="AE202" s="281">
        <v>0.85</v>
      </c>
      <c r="AF202" s="281">
        <v>0.85</v>
      </c>
      <c r="AG202" s="281">
        <v>0.85</v>
      </c>
      <c r="AH202" s="281">
        <v>0.65</v>
      </c>
      <c r="AI202" s="281">
        <v>0.65</v>
      </c>
      <c r="AJ202" s="281">
        <v>0.65</v>
      </c>
      <c r="AK202" s="281">
        <v>0.65</v>
      </c>
      <c r="AL202" s="281">
        <v>0.65</v>
      </c>
      <c r="AM202" s="281">
        <v>0.65</v>
      </c>
      <c r="AN202" s="281">
        <v>0.65</v>
      </c>
      <c r="AO202" s="281">
        <v>0.65</v>
      </c>
      <c r="AP202" s="281">
        <v>0.65</v>
      </c>
      <c r="AQ202" s="281">
        <v>0.65</v>
      </c>
      <c r="AR202" s="281">
        <v>0.65</v>
      </c>
      <c r="AS202" s="281">
        <v>0.65</v>
      </c>
      <c r="AT202" s="281">
        <v>0.5</v>
      </c>
      <c r="AU202" s="281">
        <v>0.5</v>
      </c>
      <c r="AV202" s="281">
        <v>0.5</v>
      </c>
      <c r="AW202" s="281">
        <v>0.5</v>
      </c>
      <c r="AX202" s="281">
        <v>0.5</v>
      </c>
      <c r="AY202" s="281">
        <v>0.5</v>
      </c>
      <c r="AZ202" s="281">
        <v>0.5</v>
      </c>
      <c r="BA202" s="281">
        <v>0.5</v>
      </c>
      <c r="BB202" s="281">
        <v>0.5</v>
      </c>
      <c r="BC202" s="281">
        <v>0.5</v>
      </c>
      <c r="BD202" s="281">
        <v>0.5</v>
      </c>
      <c r="BE202" s="281">
        <v>0.5</v>
      </c>
      <c r="BF202" s="281">
        <v>0.5</v>
      </c>
      <c r="BG202" s="281">
        <v>0.3</v>
      </c>
      <c r="BH202" s="281">
        <v>0.3</v>
      </c>
      <c r="BI202" s="281">
        <v>0.3</v>
      </c>
      <c r="BJ202" s="281">
        <v>0.3</v>
      </c>
      <c r="BK202" s="281">
        <v>0.3</v>
      </c>
      <c r="BL202" s="281">
        <v>0.3</v>
      </c>
      <c r="BM202" s="281">
        <v>0.3</v>
      </c>
      <c r="BN202" s="281">
        <v>0.3</v>
      </c>
      <c r="BO202" s="281">
        <v>0.3</v>
      </c>
      <c r="BP202" s="281">
        <v>0.3</v>
      </c>
      <c r="BQ202" s="281">
        <v>0.3</v>
      </c>
      <c r="BR202" s="286">
        <v>0</v>
      </c>
    </row>
    <row r="203" spans="1:70" ht="14.25" customHeight="1" x14ac:dyDescent="0.35">
      <c r="A203" s="4" t="s">
        <v>451</v>
      </c>
      <c r="B203" s="384">
        <v>141.16666666666669</v>
      </c>
      <c r="C203" s="385"/>
      <c r="D203" s="41" t="s">
        <v>112</v>
      </c>
      <c r="E203" s="93">
        <v>0</v>
      </c>
      <c r="F203" s="93">
        <v>2025</v>
      </c>
      <c r="G203" s="93">
        <v>2050</v>
      </c>
      <c r="I203" s="41" t="s">
        <v>112</v>
      </c>
      <c r="J203" s="286">
        <v>0</v>
      </c>
      <c r="K203" s="286">
        <v>0</v>
      </c>
      <c r="L203" s="286">
        <v>0</v>
      </c>
      <c r="M203" s="286">
        <v>0</v>
      </c>
      <c r="N203" s="286">
        <v>0</v>
      </c>
      <c r="O203" s="286">
        <v>0</v>
      </c>
      <c r="P203" s="286">
        <v>0</v>
      </c>
      <c r="Q203" s="286">
        <v>0</v>
      </c>
      <c r="R203" s="286">
        <v>0</v>
      </c>
      <c r="S203" s="286">
        <v>0</v>
      </c>
      <c r="T203" s="286">
        <v>0</v>
      </c>
      <c r="U203" s="286">
        <v>0</v>
      </c>
      <c r="V203" s="286">
        <v>0</v>
      </c>
      <c r="W203" s="286">
        <v>0</v>
      </c>
      <c r="X203" s="286">
        <v>0</v>
      </c>
      <c r="Y203" s="286">
        <v>0</v>
      </c>
      <c r="Z203" s="286">
        <v>0</v>
      </c>
      <c r="AA203" s="286">
        <v>0</v>
      </c>
      <c r="AB203" s="286">
        <v>0</v>
      </c>
      <c r="AC203" s="286">
        <v>0</v>
      </c>
      <c r="AD203" s="286">
        <v>0</v>
      </c>
      <c r="AE203" s="286">
        <v>0</v>
      </c>
      <c r="AF203" s="286">
        <v>0</v>
      </c>
      <c r="AG203" s="286">
        <v>0</v>
      </c>
      <c r="AH203" s="286">
        <v>0</v>
      </c>
      <c r="AI203" s="286">
        <v>0</v>
      </c>
      <c r="AJ203" s="286">
        <v>0</v>
      </c>
      <c r="AK203" s="286">
        <v>0</v>
      </c>
      <c r="AL203" s="286">
        <v>0</v>
      </c>
      <c r="AM203" s="286">
        <v>0</v>
      </c>
      <c r="AN203" s="286">
        <v>0</v>
      </c>
      <c r="AO203" s="286">
        <v>0</v>
      </c>
      <c r="AP203" s="286">
        <v>0</v>
      </c>
      <c r="AQ203" s="286">
        <v>0</v>
      </c>
      <c r="AR203" s="286">
        <v>0</v>
      </c>
      <c r="AS203" s="286">
        <v>0</v>
      </c>
      <c r="AT203" s="286">
        <v>0</v>
      </c>
      <c r="AU203" s="286">
        <v>0</v>
      </c>
      <c r="AV203" s="286">
        <v>0</v>
      </c>
      <c r="AW203" s="286">
        <v>0</v>
      </c>
      <c r="AX203" s="286">
        <v>0</v>
      </c>
      <c r="AY203" s="286">
        <v>0</v>
      </c>
      <c r="AZ203" s="286">
        <v>0</v>
      </c>
      <c r="BA203" s="286">
        <v>0</v>
      </c>
      <c r="BB203" s="286">
        <v>0</v>
      </c>
      <c r="BC203" s="286">
        <v>0</v>
      </c>
      <c r="BD203" s="286">
        <v>0</v>
      </c>
      <c r="BE203" s="286">
        <v>0</v>
      </c>
      <c r="BF203" s="286">
        <v>0</v>
      </c>
      <c r="BG203" s="286">
        <v>0</v>
      </c>
      <c r="BH203" s="286">
        <v>0</v>
      </c>
      <c r="BI203" s="286">
        <v>0</v>
      </c>
      <c r="BJ203" s="286">
        <v>0</v>
      </c>
      <c r="BK203" s="286">
        <v>0</v>
      </c>
      <c r="BL203" s="286">
        <v>0</v>
      </c>
      <c r="BM203" s="286">
        <v>0</v>
      </c>
      <c r="BN203" s="286">
        <v>0</v>
      </c>
      <c r="BO203" s="286">
        <v>0</v>
      </c>
      <c r="BP203" s="286">
        <v>0</v>
      </c>
      <c r="BQ203" s="286">
        <v>0</v>
      </c>
      <c r="BR203" s="281">
        <v>0.65</v>
      </c>
    </row>
    <row r="204" spans="1:70" ht="14.25" customHeight="1" x14ac:dyDescent="0.35">
      <c r="A204" s="4" t="s">
        <v>452</v>
      </c>
      <c r="B204" s="384">
        <v>141.16666666666669</v>
      </c>
      <c r="C204" s="385"/>
      <c r="D204" s="41" t="s">
        <v>113</v>
      </c>
      <c r="E204" s="93">
        <v>0</v>
      </c>
      <c r="F204" s="93">
        <v>2025</v>
      </c>
      <c r="G204" s="93">
        <v>2050</v>
      </c>
      <c r="I204" s="41" t="s">
        <v>113</v>
      </c>
      <c r="J204" s="286">
        <v>0</v>
      </c>
      <c r="K204" s="286">
        <v>0</v>
      </c>
      <c r="L204" s="286">
        <v>0</v>
      </c>
      <c r="M204" s="286">
        <v>0</v>
      </c>
      <c r="N204" s="286">
        <v>0</v>
      </c>
      <c r="O204" s="286">
        <v>0</v>
      </c>
      <c r="P204" s="286">
        <v>0</v>
      </c>
      <c r="Q204" s="286">
        <v>0</v>
      </c>
      <c r="R204" s="286">
        <v>0</v>
      </c>
      <c r="S204" s="286">
        <v>0</v>
      </c>
      <c r="T204" s="286">
        <v>0</v>
      </c>
      <c r="U204" s="286">
        <v>0</v>
      </c>
      <c r="V204" s="286">
        <v>0</v>
      </c>
      <c r="W204" s="286">
        <v>0</v>
      </c>
      <c r="X204" s="286">
        <v>0</v>
      </c>
      <c r="Y204" s="286">
        <v>0</v>
      </c>
      <c r="Z204" s="286">
        <v>0</v>
      </c>
      <c r="AA204" s="286">
        <v>0</v>
      </c>
      <c r="AB204" s="286">
        <v>0</v>
      </c>
      <c r="AC204" s="286">
        <v>0</v>
      </c>
      <c r="AD204" s="286">
        <v>0</v>
      </c>
      <c r="AE204" s="286">
        <v>0</v>
      </c>
      <c r="AF204" s="286">
        <v>0</v>
      </c>
      <c r="AG204" s="286">
        <v>0</v>
      </c>
      <c r="AH204" s="286">
        <v>0</v>
      </c>
      <c r="AI204" s="286">
        <v>0</v>
      </c>
      <c r="AJ204" s="286">
        <v>0</v>
      </c>
      <c r="AK204" s="286">
        <v>0</v>
      </c>
      <c r="AL204" s="286">
        <v>0</v>
      </c>
      <c r="AM204" s="286">
        <v>0</v>
      </c>
      <c r="AN204" s="286">
        <v>0</v>
      </c>
      <c r="AO204" s="286">
        <v>0</v>
      </c>
      <c r="AP204" s="286">
        <v>0</v>
      </c>
      <c r="AQ204" s="286">
        <v>0</v>
      </c>
      <c r="AR204" s="286">
        <v>0</v>
      </c>
      <c r="AS204" s="286">
        <v>0</v>
      </c>
      <c r="AT204" s="286">
        <v>0</v>
      </c>
      <c r="AU204" s="286">
        <v>0</v>
      </c>
      <c r="AV204" s="286">
        <v>0</v>
      </c>
      <c r="AW204" s="286">
        <v>0</v>
      </c>
      <c r="AX204" s="286">
        <v>0</v>
      </c>
      <c r="AY204" s="286">
        <v>0</v>
      </c>
      <c r="AZ204" s="286">
        <v>0</v>
      </c>
      <c r="BA204" s="286">
        <v>0</v>
      </c>
      <c r="BB204" s="286">
        <v>0</v>
      </c>
      <c r="BC204" s="286">
        <v>0</v>
      </c>
      <c r="BD204" s="286">
        <v>0</v>
      </c>
      <c r="BE204" s="286">
        <v>0</v>
      </c>
      <c r="BF204" s="286">
        <v>0</v>
      </c>
      <c r="BG204" s="286">
        <v>0</v>
      </c>
      <c r="BH204" s="286">
        <v>0</v>
      </c>
      <c r="BI204" s="286">
        <v>0</v>
      </c>
      <c r="BJ204" s="286">
        <v>0</v>
      </c>
      <c r="BK204" s="286">
        <v>0</v>
      </c>
      <c r="BL204" s="286">
        <v>0</v>
      </c>
      <c r="BM204" s="286">
        <v>0</v>
      </c>
      <c r="BN204" s="286">
        <v>0</v>
      </c>
      <c r="BO204" s="286">
        <v>0</v>
      </c>
      <c r="BP204" s="286">
        <v>0</v>
      </c>
      <c r="BQ204" s="286">
        <v>0</v>
      </c>
      <c r="BR204" s="281">
        <v>0.65</v>
      </c>
    </row>
    <row r="205" spans="1:70" ht="14.25" customHeight="1" x14ac:dyDescent="0.35">
      <c r="A205" s="4" t="s">
        <v>453</v>
      </c>
      <c r="B205" s="384">
        <v>141.16666666666669</v>
      </c>
      <c r="C205" s="385"/>
      <c r="D205" s="41" t="s">
        <v>114</v>
      </c>
      <c r="E205" s="93">
        <v>0</v>
      </c>
      <c r="F205" s="93">
        <v>2025</v>
      </c>
      <c r="G205" s="93">
        <v>2050</v>
      </c>
      <c r="I205" s="41" t="s">
        <v>114</v>
      </c>
      <c r="J205" s="281">
        <v>0.85</v>
      </c>
      <c r="K205" s="281">
        <v>0.85</v>
      </c>
      <c r="L205" s="281">
        <v>0.85</v>
      </c>
      <c r="M205" s="281">
        <v>0.85</v>
      </c>
      <c r="N205" s="281">
        <v>0.85</v>
      </c>
      <c r="O205" s="281">
        <v>0.85</v>
      </c>
      <c r="P205" s="281">
        <v>0.85</v>
      </c>
      <c r="Q205" s="281">
        <v>0.85</v>
      </c>
      <c r="R205" s="281">
        <v>0.85</v>
      </c>
      <c r="S205" s="281">
        <v>0.85</v>
      </c>
      <c r="T205" s="281">
        <v>0.85</v>
      </c>
      <c r="U205" s="281">
        <v>0.85</v>
      </c>
      <c r="V205" s="281">
        <v>0.85</v>
      </c>
      <c r="W205" s="281">
        <v>0.85</v>
      </c>
      <c r="X205" s="281">
        <v>0.85</v>
      </c>
      <c r="Y205" s="281">
        <v>0.85</v>
      </c>
      <c r="Z205" s="281">
        <v>0.85</v>
      </c>
      <c r="AA205" s="281">
        <v>0.85</v>
      </c>
      <c r="AB205" s="281">
        <v>0.85</v>
      </c>
      <c r="AC205" s="281">
        <v>0.85</v>
      </c>
      <c r="AD205" s="281">
        <v>0.85</v>
      </c>
      <c r="AE205" s="281">
        <v>0.85</v>
      </c>
      <c r="AF205" s="281">
        <v>0.85</v>
      </c>
      <c r="AG205" s="281">
        <v>0.85</v>
      </c>
      <c r="AH205" s="281">
        <v>0.65</v>
      </c>
      <c r="AI205" s="281">
        <v>0.65</v>
      </c>
      <c r="AJ205" s="281">
        <v>0.65</v>
      </c>
      <c r="AK205" s="281">
        <v>0.65</v>
      </c>
      <c r="AL205" s="281">
        <v>0.65</v>
      </c>
      <c r="AM205" s="281">
        <v>0.65</v>
      </c>
      <c r="AN205" s="281">
        <v>0.65</v>
      </c>
      <c r="AO205" s="281">
        <v>0.65</v>
      </c>
      <c r="AP205" s="281">
        <v>0.65</v>
      </c>
      <c r="AQ205" s="281">
        <v>0.65</v>
      </c>
      <c r="AR205" s="281">
        <v>0.65</v>
      </c>
      <c r="AS205" s="281">
        <v>0.65</v>
      </c>
      <c r="AT205" s="281">
        <v>0.5</v>
      </c>
      <c r="AU205" s="281">
        <v>0.5</v>
      </c>
      <c r="AV205" s="281">
        <v>0.5</v>
      </c>
      <c r="AW205" s="281">
        <v>0.5</v>
      </c>
      <c r="AX205" s="281">
        <v>0.5</v>
      </c>
      <c r="AY205" s="281">
        <v>0.5</v>
      </c>
      <c r="AZ205" s="281">
        <v>0.5</v>
      </c>
      <c r="BA205" s="281">
        <v>0.5</v>
      </c>
      <c r="BB205" s="281">
        <v>0.5</v>
      </c>
      <c r="BC205" s="281">
        <v>0.5</v>
      </c>
      <c r="BD205" s="281">
        <v>0.5</v>
      </c>
      <c r="BE205" s="281">
        <v>0.5</v>
      </c>
      <c r="BF205" s="281">
        <v>0.5</v>
      </c>
      <c r="BG205" s="281">
        <v>0.3</v>
      </c>
      <c r="BH205" s="281">
        <v>0.3</v>
      </c>
      <c r="BI205" s="281">
        <v>0.3</v>
      </c>
      <c r="BJ205" s="281">
        <v>0.3</v>
      </c>
      <c r="BK205" s="281">
        <v>0.3</v>
      </c>
      <c r="BL205" s="281">
        <v>0.3</v>
      </c>
      <c r="BM205" s="281">
        <v>0.3</v>
      </c>
      <c r="BN205" s="281">
        <v>0.3</v>
      </c>
      <c r="BO205" s="281">
        <v>0.3</v>
      </c>
      <c r="BP205" s="281">
        <v>0.3</v>
      </c>
      <c r="BQ205" s="281">
        <v>0.3</v>
      </c>
      <c r="BR205" s="286">
        <v>0</v>
      </c>
    </row>
    <row r="206" spans="1:70" ht="14.25" customHeight="1" x14ac:dyDescent="0.35">
      <c r="A206" s="4" t="s">
        <v>454</v>
      </c>
      <c r="B206" s="384">
        <v>141.16666666666669</v>
      </c>
      <c r="C206" s="385"/>
      <c r="D206" s="41" t="s">
        <v>115</v>
      </c>
      <c r="E206" s="93">
        <v>0</v>
      </c>
      <c r="F206" s="93">
        <v>2025</v>
      </c>
      <c r="G206" s="93">
        <v>2050</v>
      </c>
      <c r="I206" s="41" t="s">
        <v>115</v>
      </c>
      <c r="J206" s="281">
        <v>0.85</v>
      </c>
      <c r="K206" s="281">
        <v>0.85</v>
      </c>
      <c r="L206" s="281">
        <v>0.85</v>
      </c>
      <c r="M206" s="281">
        <v>0.85</v>
      </c>
      <c r="N206" s="281">
        <v>0.85</v>
      </c>
      <c r="O206" s="281">
        <v>0.85</v>
      </c>
      <c r="P206" s="281">
        <v>0.85</v>
      </c>
      <c r="Q206" s="281">
        <v>0.85</v>
      </c>
      <c r="R206" s="281">
        <v>0.85</v>
      </c>
      <c r="S206" s="281">
        <v>0.85</v>
      </c>
      <c r="T206" s="281">
        <v>0.85</v>
      </c>
      <c r="U206" s="281">
        <v>0.85</v>
      </c>
      <c r="V206" s="281">
        <v>0.85</v>
      </c>
      <c r="W206" s="281">
        <v>0.85</v>
      </c>
      <c r="X206" s="281">
        <v>0.85</v>
      </c>
      <c r="Y206" s="281">
        <v>0.85</v>
      </c>
      <c r="Z206" s="281">
        <v>0.85</v>
      </c>
      <c r="AA206" s="281">
        <v>0.85</v>
      </c>
      <c r="AB206" s="281">
        <v>0.85</v>
      </c>
      <c r="AC206" s="281">
        <v>0.85</v>
      </c>
      <c r="AD206" s="281">
        <v>0.85</v>
      </c>
      <c r="AE206" s="281">
        <v>0.85</v>
      </c>
      <c r="AF206" s="281">
        <v>0.85</v>
      </c>
      <c r="AG206" s="281">
        <v>0.85</v>
      </c>
      <c r="AH206" s="281">
        <v>0.65</v>
      </c>
      <c r="AI206" s="281">
        <v>0.65</v>
      </c>
      <c r="AJ206" s="281">
        <v>0.65</v>
      </c>
      <c r="AK206" s="281">
        <v>0.65</v>
      </c>
      <c r="AL206" s="281">
        <v>0.65</v>
      </c>
      <c r="AM206" s="281">
        <v>0.65</v>
      </c>
      <c r="AN206" s="281">
        <v>0.65</v>
      </c>
      <c r="AO206" s="281">
        <v>0.65</v>
      </c>
      <c r="AP206" s="281">
        <v>0.65</v>
      </c>
      <c r="AQ206" s="281">
        <v>0.65</v>
      </c>
      <c r="AR206" s="281">
        <v>0.65</v>
      </c>
      <c r="AS206" s="281">
        <v>0.65</v>
      </c>
      <c r="AT206" s="281">
        <v>0.5</v>
      </c>
      <c r="AU206" s="281">
        <v>0.5</v>
      </c>
      <c r="AV206" s="281">
        <v>0.5</v>
      </c>
      <c r="AW206" s="281">
        <v>0.5</v>
      </c>
      <c r="AX206" s="281">
        <v>0.5</v>
      </c>
      <c r="AY206" s="281">
        <v>0.5</v>
      </c>
      <c r="AZ206" s="281">
        <v>0.5</v>
      </c>
      <c r="BA206" s="281">
        <v>0.5</v>
      </c>
      <c r="BB206" s="281">
        <v>0.5</v>
      </c>
      <c r="BC206" s="281">
        <v>0.5</v>
      </c>
      <c r="BD206" s="281">
        <v>0.5</v>
      </c>
      <c r="BE206" s="281">
        <v>0.5</v>
      </c>
      <c r="BF206" s="281">
        <v>0.5</v>
      </c>
      <c r="BG206" s="281">
        <v>0.3</v>
      </c>
      <c r="BH206" s="281">
        <v>0.3</v>
      </c>
      <c r="BI206" s="281">
        <v>0.3</v>
      </c>
      <c r="BJ206" s="281">
        <v>0.3</v>
      </c>
      <c r="BK206" s="281">
        <v>0.3</v>
      </c>
      <c r="BL206" s="281">
        <v>0.3</v>
      </c>
      <c r="BM206" s="281">
        <v>0.3</v>
      </c>
      <c r="BN206" s="281">
        <v>0.3</v>
      </c>
      <c r="BO206" s="281">
        <v>0.3</v>
      </c>
      <c r="BP206" s="281">
        <v>0.3</v>
      </c>
      <c r="BQ206" s="281">
        <v>0.3</v>
      </c>
      <c r="BR206" s="286">
        <v>0</v>
      </c>
    </row>
    <row r="207" spans="1:70" ht="14.25" customHeight="1" x14ac:dyDescent="0.35">
      <c r="A207" s="4" t="s">
        <v>455</v>
      </c>
      <c r="B207" s="384">
        <v>141.16666666666669</v>
      </c>
      <c r="C207" s="385"/>
      <c r="D207" s="41" t="s">
        <v>116</v>
      </c>
      <c r="E207" s="93">
        <v>0</v>
      </c>
      <c r="F207" s="93">
        <v>2025</v>
      </c>
      <c r="G207" s="93">
        <v>2050</v>
      </c>
      <c r="I207" s="41" t="s">
        <v>116</v>
      </c>
      <c r="J207" s="286">
        <v>0</v>
      </c>
      <c r="K207" s="286">
        <v>0</v>
      </c>
      <c r="L207" s="286">
        <v>0</v>
      </c>
      <c r="M207" s="286">
        <v>0</v>
      </c>
      <c r="N207" s="286">
        <v>0</v>
      </c>
      <c r="O207" s="286">
        <v>0</v>
      </c>
      <c r="P207" s="286">
        <v>0</v>
      </c>
      <c r="Q207" s="286">
        <v>0</v>
      </c>
      <c r="R207" s="286">
        <v>0</v>
      </c>
      <c r="S207" s="286">
        <v>0</v>
      </c>
      <c r="T207" s="286">
        <v>0</v>
      </c>
      <c r="U207" s="286">
        <v>0</v>
      </c>
      <c r="V207" s="286">
        <v>0</v>
      </c>
      <c r="W207" s="286">
        <v>0</v>
      </c>
      <c r="X207" s="286">
        <v>0</v>
      </c>
      <c r="Y207" s="286">
        <v>0</v>
      </c>
      <c r="Z207" s="286">
        <v>0</v>
      </c>
      <c r="AA207" s="286">
        <v>0</v>
      </c>
      <c r="AB207" s="286">
        <v>0</v>
      </c>
      <c r="AC207" s="286">
        <v>0</v>
      </c>
      <c r="AD207" s="286">
        <v>0</v>
      </c>
      <c r="AE207" s="286">
        <v>0</v>
      </c>
      <c r="AF207" s="286">
        <v>0</v>
      </c>
      <c r="AG207" s="286">
        <v>0</v>
      </c>
      <c r="AH207" s="286">
        <v>0</v>
      </c>
      <c r="AI207" s="286">
        <v>0</v>
      </c>
      <c r="AJ207" s="286">
        <v>0</v>
      </c>
      <c r="AK207" s="286">
        <v>0</v>
      </c>
      <c r="AL207" s="286">
        <v>0</v>
      </c>
      <c r="AM207" s="286">
        <v>0</v>
      </c>
      <c r="AN207" s="286">
        <v>0</v>
      </c>
      <c r="AO207" s="286">
        <v>0</v>
      </c>
      <c r="AP207" s="286">
        <v>0</v>
      </c>
      <c r="AQ207" s="286">
        <v>0</v>
      </c>
      <c r="AR207" s="286">
        <v>0</v>
      </c>
      <c r="AS207" s="286">
        <v>0</v>
      </c>
      <c r="AT207" s="286">
        <v>0</v>
      </c>
      <c r="AU207" s="286">
        <v>0</v>
      </c>
      <c r="AV207" s="286">
        <v>0</v>
      </c>
      <c r="AW207" s="286">
        <v>0</v>
      </c>
      <c r="AX207" s="286">
        <v>0</v>
      </c>
      <c r="AY207" s="286">
        <v>0</v>
      </c>
      <c r="AZ207" s="286">
        <v>0</v>
      </c>
      <c r="BA207" s="286">
        <v>0</v>
      </c>
      <c r="BB207" s="286">
        <v>0</v>
      </c>
      <c r="BC207" s="286">
        <v>0</v>
      </c>
      <c r="BD207" s="286">
        <v>0</v>
      </c>
      <c r="BE207" s="286">
        <v>0</v>
      </c>
      <c r="BF207" s="286">
        <v>0</v>
      </c>
      <c r="BG207" s="286">
        <v>0</v>
      </c>
      <c r="BH207" s="286">
        <v>0</v>
      </c>
      <c r="BI207" s="286">
        <v>0</v>
      </c>
      <c r="BJ207" s="286">
        <v>0</v>
      </c>
      <c r="BK207" s="286">
        <v>0</v>
      </c>
      <c r="BL207" s="286">
        <v>0</v>
      </c>
      <c r="BM207" s="286">
        <v>0</v>
      </c>
      <c r="BN207" s="286">
        <v>0</v>
      </c>
      <c r="BO207" s="286">
        <v>0</v>
      </c>
      <c r="BP207" s="286">
        <v>0</v>
      </c>
      <c r="BQ207" s="286">
        <v>0</v>
      </c>
      <c r="BR207" s="281">
        <v>0.65</v>
      </c>
    </row>
    <row r="208" spans="1:70" ht="14.25" customHeight="1" x14ac:dyDescent="0.35">
      <c r="A208" s="4" t="s">
        <v>456</v>
      </c>
      <c r="B208" s="384">
        <v>141.16666666666669</v>
      </c>
      <c r="C208" s="385"/>
      <c r="D208" s="41" t="s">
        <v>117</v>
      </c>
      <c r="E208" s="93">
        <v>0</v>
      </c>
      <c r="F208" s="93">
        <v>2025</v>
      </c>
      <c r="G208" s="93">
        <v>2050</v>
      </c>
      <c r="I208" s="41" t="s">
        <v>117</v>
      </c>
      <c r="J208" s="281">
        <v>0.85</v>
      </c>
      <c r="K208" s="281">
        <v>0.85</v>
      </c>
      <c r="L208" s="281">
        <v>0.85</v>
      </c>
      <c r="M208" s="281">
        <v>0.85</v>
      </c>
      <c r="N208" s="281">
        <v>0.85</v>
      </c>
      <c r="O208" s="281">
        <v>0.85</v>
      </c>
      <c r="P208" s="281">
        <v>0.85</v>
      </c>
      <c r="Q208" s="281">
        <v>0.85</v>
      </c>
      <c r="R208" s="281">
        <v>0.85</v>
      </c>
      <c r="S208" s="281">
        <v>0.85</v>
      </c>
      <c r="T208" s="281">
        <v>0.85</v>
      </c>
      <c r="U208" s="281">
        <v>0.85</v>
      </c>
      <c r="V208" s="281">
        <v>0.85</v>
      </c>
      <c r="W208" s="281">
        <v>0.85</v>
      </c>
      <c r="X208" s="281">
        <v>0.85</v>
      </c>
      <c r="Y208" s="281">
        <v>0.85</v>
      </c>
      <c r="Z208" s="281">
        <v>0.85</v>
      </c>
      <c r="AA208" s="281">
        <v>0.85</v>
      </c>
      <c r="AB208" s="281">
        <v>0.85</v>
      </c>
      <c r="AC208" s="281">
        <v>0.85</v>
      </c>
      <c r="AD208" s="281">
        <v>0.85</v>
      </c>
      <c r="AE208" s="281">
        <v>0.85</v>
      </c>
      <c r="AF208" s="281">
        <v>0.85</v>
      </c>
      <c r="AG208" s="281">
        <v>0.85</v>
      </c>
      <c r="AH208" s="281">
        <v>0.65</v>
      </c>
      <c r="AI208" s="281">
        <v>0.65</v>
      </c>
      <c r="AJ208" s="281">
        <v>0.65</v>
      </c>
      <c r="AK208" s="281">
        <v>0.65</v>
      </c>
      <c r="AL208" s="281">
        <v>0.65</v>
      </c>
      <c r="AM208" s="281">
        <v>0.65</v>
      </c>
      <c r="AN208" s="281">
        <v>0.65</v>
      </c>
      <c r="AO208" s="281">
        <v>0.65</v>
      </c>
      <c r="AP208" s="281">
        <v>0.65</v>
      </c>
      <c r="AQ208" s="281">
        <v>0.65</v>
      </c>
      <c r="AR208" s="281">
        <v>0.65</v>
      </c>
      <c r="AS208" s="281">
        <v>0.65</v>
      </c>
      <c r="AT208" s="281">
        <v>0.5</v>
      </c>
      <c r="AU208" s="281">
        <v>0.5</v>
      </c>
      <c r="AV208" s="281">
        <v>0.5</v>
      </c>
      <c r="AW208" s="281">
        <v>0.5</v>
      </c>
      <c r="AX208" s="281">
        <v>0.5</v>
      </c>
      <c r="AY208" s="281">
        <v>0.5</v>
      </c>
      <c r="AZ208" s="281">
        <v>0.5</v>
      </c>
      <c r="BA208" s="281">
        <v>0.5</v>
      </c>
      <c r="BB208" s="281">
        <v>0.5</v>
      </c>
      <c r="BC208" s="281">
        <v>0.5</v>
      </c>
      <c r="BD208" s="281">
        <v>0.5</v>
      </c>
      <c r="BE208" s="281">
        <v>0.5</v>
      </c>
      <c r="BF208" s="281">
        <v>0.5</v>
      </c>
      <c r="BG208" s="281">
        <v>0.3</v>
      </c>
      <c r="BH208" s="281">
        <v>0.3</v>
      </c>
      <c r="BI208" s="281">
        <v>0.3</v>
      </c>
      <c r="BJ208" s="281">
        <v>0.3</v>
      </c>
      <c r="BK208" s="281">
        <v>0.3</v>
      </c>
      <c r="BL208" s="281">
        <v>0.3</v>
      </c>
      <c r="BM208" s="281">
        <v>0.3</v>
      </c>
      <c r="BN208" s="281">
        <v>0.3</v>
      </c>
      <c r="BO208" s="281">
        <v>0.3</v>
      </c>
      <c r="BP208" s="281">
        <v>0.3</v>
      </c>
      <c r="BQ208" s="281">
        <v>0.3</v>
      </c>
      <c r="BR208" s="286">
        <v>0</v>
      </c>
    </row>
    <row r="209" spans="1:70" ht="14.25" customHeight="1" x14ac:dyDescent="0.35">
      <c r="A209" s="4" t="s">
        <v>457</v>
      </c>
      <c r="B209" s="384">
        <v>141.16666666666669</v>
      </c>
      <c r="C209" s="385"/>
      <c r="D209" s="41" t="s">
        <v>118</v>
      </c>
      <c r="E209" s="93">
        <v>0</v>
      </c>
      <c r="F209" s="93">
        <v>2025</v>
      </c>
      <c r="G209" s="93">
        <v>2050</v>
      </c>
      <c r="I209" s="41" t="s">
        <v>118</v>
      </c>
      <c r="J209" s="286">
        <v>0</v>
      </c>
      <c r="K209" s="286">
        <v>0</v>
      </c>
      <c r="L209" s="286">
        <v>0</v>
      </c>
      <c r="M209" s="286">
        <v>0</v>
      </c>
      <c r="N209" s="286">
        <v>0</v>
      </c>
      <c r="O209" s="286">
        <v>0</v>
      </c>
      <c r="P209" s="286">
        <v>0</v>
      </c>
      <c r="Q209" s="286">
        <v>0</v>
      </c>
      <c r="R209" s="286">
        <v>0</v>
      </c>
      <c r="S209" s="286">
        <v>0</v>
      </c>
      <c r="T209" s="286">
        <v>0</v>
      </c>
      <c r="U209" s="286">
        <v>0</v>
      </c>
      <c r="V209" s="286">
        <v>0</v>
      </c>
      <c r="W209" s="286">
        <v>0</v>
      </c>
      <c r="X209" s="286">
        <v>0</v>
      </c>
      <c r="Y209" s="286">
        <v>0</v>
      </c>
      <c r="Z209" s="286">
        <v>0</v>
      </c>
      <c r="AA209" s="286">
        <v>0</v>
      </c>
      <c r="AB209" s="286">
        <v>0</v>
      </c>
      <c r="AC209" s="286">
        <v>0</v>
      </c>
      <c r="AD209" s="286">
        <v>0</v>
      </c>
      <c r="AE209" s="286">
        <v>0</v>
      </c>
      <c r="AF209" s="286">
        <v>0</v>
      </c>
      <c r="AG209" s="286">
        <v>0</v>
      </c>
      <c r="AH209" s="286">
        <v>0</v>
      </c>
      <c r="AI209" s="286">
        <v>0</v>
      </c>
      <c r="AJ209" s="286">
        <v>0</v>
      </c>
      <c r="AK209" s="286">
        <v>0</v>
      </c>
      <c r="AL209" s="286">
        <v>0</v>
      </c>
      <c r="AM209" s="286">
        <v>0</v>
      </c>
      <c r="AN209" s="286">
        <v>0</v>
      </c>
      <c r="AO209" s="286">
        <v>0</v>
      </c>
      <c r="AP209" s="286">
        <v>0</v>
      </c>
      <c r="AQ209" s="286">
        <v>0</v>
      </c>
      <c r="AR209" s="286">
        <v>0</v>
      </c>
      <c r="AS209" s="286">
        <v>0</v>
      </c>
      <c r="AT209" s="286">
        <v>0</v>
      </c>
      <c r="AU209" s="286">
        <v>0</v>
      </c>
      <c r="AV209" s="286">
        <v>0</v>
      </c>
      <c r="AW209" s="286">
        <v>0</v>
      </c>
      <c r="AX209" s="286">
        <v>0</v>
      </c>
      <c r="AY209" s="286">
        <v>0</v>
      </c>
      <c r="AZ209" s="286">
        <v>0</v>
      </c>
      <c r="BA209" s="286">
        <v>0</v>
      </c>
      <c r="BB209" s="286">
        <v>0</v>
      </c>
      <c r="BC209" s="286">
        <v>0</v>
      </c>
      <c r="BD209" s="286">
        <v>0</v>
      </c>
      <c r="BE209" s="286">
        <v>0</v>
      </c>
      <c r="BF209" s="286">
        <v>0</v>
      </c>
      <c r="BG209" s="286">
        <v>0</v>
      </c>
      <c r="BH209" s="286">
        <v>0</v>
      </c>
      <c r="BI209" s="286">
        <v>0</v>
      </c>
      <c r="BJ209" s="286">
        <v>0</v>
      </c>
      <c r="BK209" s="286">
        <v>0</v>
      </c>
      <c r="BL209" s="286">
        <v>0</v>
      </c>
      <c r="BM209" s="286">
        <v>0</v>
      </c>
      <c r="BN209" s="286">
        <v>0</v>
      </c>
      <c r="BO209" s="286">
        <v>0</v>
      </c>
      <c r="BP209" s="286">
        <v>0</v>
      </c>
      <c r="BQ209" s="286">
        <v>0</v>
      </c>
      <c r="BR209" s="281">
        <v>0.65</v>
      </c>
    </row>
    <row r="210" spans="1:70" ht="14.25" customHeight="1" x14ac:dyDescent="0.35">
      <c r="A210" s="4" t="s">
        <v>458</v>
      </c>
      <c r="B210" s="384">
        <v>141.16666666666669</v>
      </c>
      <c r="C210" s="385"/>
      <c r="D210" s="41" t="s">
        <v>119</v>
      </c>
      <c r="E210" s="93">
        <v>0</v>
      </c>
      <c r="F210" s="93">
        <v>2025</v>
      </c>
      <c r="G210" s="93">
        <v>2050</v>
      </c>
      <c r="I210" s="41" t="s">
        <v>119</v>
      </c>
      <c r="J210" s="281">
        <v>0.85</v>
      </c>
      <c r="K210" s="281">
        <v>0.85</v>
      </c>
      <c r="L210" s="281">
        <v>0.85</v>
      </c>
      <c r="M210" s="281">
        <v>0.85</v>
      </c>
      <c r="N210" s="281">
        <v>0.85</v>
      </c>
      <c r="O210" s="281">
        <v>0.85</v>
      </c>
      <c r="P210" s="281">
        <v>0.85</v>
      </c>
      <c r="Q210" s="281">
        <v>0.85</v>
      </c>
      <c r="R210" s="281">
        <v>0.85</v>
      </c>
      <c r="S210" s="281">
        <v>0.85</v>
      </c>
      <c r="T210" s="281">
        <v>0.85</v>
      </c>
      <c r="U210" s="281">
        <v>0.85</v>
      </c>
      <c r="V210" s="281">
        <v>0.85</v>
      </c>
      <c r="W210" s="281">
        <v>0.85</v>
      </c>
      <c r="X210" s="281">
        <v>0.85</v>
      </c>
      <c r="Y210" s="281">
        <v>0.85</v>
      </c>
      <c r="Z210" s="281">
        <v>0.85</v>
      </c>
      <c r="AA210" s="281">
        <v>0.85</v>
      </c>
      <c r="AB210" s="281">
        <v>0.85</v>
      </c>
      <c r="AC210" s="281">
        <v>0.85</v>
      </c>
      <c r="AD210" s="281">
        <v>0.85</v>
      </c>
      <c r="AE210" s="281">
        <v>0.85</v>
      </c>
      <c r="AF210" s="281">
        <v>0.85</v>
      </c>
      <c r="AG210" s="281">
        <v>0.85</v>
      </c>
      <c r="AH210" s="281">
        <v>0.65</v>
      </c>
      <c r="AI210" s="281">
        <v>0.65</v>
      </c>
      <c r="AJ210" s="281">
        <v>0.65</v>
      </c>
      <c r="AK210" s="281">
        <v>0.65</v>
      </c>
      <c r="AL210" s="281">
        <v>0.65</v>
      </c>
      <c r="AM210" s="281">
        <v>0.65</v>
      </c>
      <c r="AN210" s="281">
        <v>0.65</v>
      </c>
      <c r="AO210" s="281">
        <v>0.65</v>
      </c>
      <c r="AP210" s="281">
        <v>0.65</v>
      </c>
      <c r="AQ210" s="281">
        <v>0.65</v>
      </c>
      <c r="AR210" s="281">
        <v>0.65</v>
      </c>
      <c r="AS210" s="281">
        <v>0.65</v>
      </c>
      <c r="AT210" s="281">
        <v>0.5</v>
      </c>
      <c r="AU210" s="281">
        <v>0.5</v>
      </c>
      <c r="AV210" s="281">
        <v>0.5</v>
      </c>
      <c r="AW210" s="281">
        <v>0.5</v>
      </c>
      <c r="AX210" s="281">
        <v>0.5</v>
      </c>
      <c r="AY210" s="281">
        <v>0.5</v>
      </c>
      <c r="AZ210" s="281">
        <v>0.5</v>
      </c>
      <c r="BA210" s="281">
        <v>0.5</v>
      </c>
      <c r="BB210" s="281">
        <v>0.5</v>
      </c>
      <c r="BC210" s="281">
        <v>0.5</v>
      </c>
      <c r="BD210" s="281">
        <v>0.5</v>
      </c>
      <c r="BE210" s="281">
        <v>0.5</v>
      </c>
      <c r="BF210" s="281">
        <v>0.5</v>
      </c>
      <c r="BG210" s="281">
        <v>0.3</v>
      </c>
      <c r="BH210" s="281">
        <v>0.3</v>
      </c>
      <c r="BI210" s="281">
        <v>0.3</v>
      </c>
      <c r="BJ210" s="281">
        <v>0.3</v>
      </c>
      <c r="BK210" s="281">
        <v>0.3</v>
      </c>
      <c r="BL210" s="281">
        <v>0.3</v>
      </c>
      <c r="BM210" s="281">
        <v>0.3</v>
      </c>
      <c r="BN210" s="281">
        <v>0.3</v>
      </c>
      <c r="BO210" s="281">
        <v>0.3</v>
      </c>
      <c r="BP210" s="281">
        <v>0.3</v>
      </c>
      <c r="BQ210" s="281">
        <v>0.3</v>
      </c>
      <c r="BR210" s="286">
        <v>0</v>
      </c>
    </row>
    <row r="211" spans="1:70" ht="14.25" customHeight="1" x14ac:dyDescent="0.35">
      <c r="A211" s="4" t="s">
        <v>459</v>
      </c>
      <c r="B211" s="384">
        <v>141.16666666666669</v>
      </c>
      <c r="C211" s="385"/>
      <c r="D211" s="41" t="s">
        <v>120</v>
      </c>
      <c r="E211" s="93">
        <v>0</v>
      </c>
      <c r="F211" s="93">
        <v>2025</v>
      </c>
      <c r="G211" s="93">
        <v>2050</v>
      </c>
      <c r="I211" s="41" t="s">
        <v>120</v>
      </c>
      <c r="J211" s="281">
        <v>0.85</v>
      </c>
      <c r="K211" s="281">
        <v>0.85</v>
      </c>
      <c r="L211" s="281">
        <v>0.85</v>
      </c>
      <c r="M211" s="281">
        <v>0.85</v>
      </c>
      <c r="N211" s="281">
        <v>0.85</v>
      </c>
      <c r="O211" s="281">
        <v>0.85</v>
      </c>
      <c r="P211" s="281">
        <v>0.85</v>
      </c>
      <c r="Q211" s="281">
        <v>0.85</v>
      </c>
      <c r="R211" s="281">
        <v>0.85</v>
      </c>
      <c r="S211" s="281">
        <v>0.85</v>
      </c>
      <c r="T211" s="281">
        <v>0.85</v>
      </c>
      <c r="U211" s="281">
        <v>0.85</v>
      </c>
      <c r="V211" s="281">
        <v>0.85</v>
      </c>
      <c r="W211" s="281">
        <v>0.85</v>
      </c>
      <c r="X211" s="281">
        <v>0.85</v>
      </c>
      <c r="Y211" s="281">
        <v>0.85</v>
      </c>
      <c r="Z211" s="281">
        <v>0.85</v>
      </c>
      <c r="AA211" s="281">
        <v>0.85</v>
      </c>
      <c r="AB211" s="281">
        <v>0.85</v>
      </c>
      <c r="AC211" s="281">
        <v>0.85</v>
      </c>
      <c r="AD211" s="281">
        <v>0.85</v>
      </c>
      <c r="AE211" s="281">
        <v>0.85</v>
      </c>
      <c r="AF211" s="281">
        <v>0.85</v>
      </c>
      <c r="AG211" s="281">
        <v>0.85</v>
      </c>
      <c r="AH211" s="281">
        <v>0.65</v>
      </c>
      <c r="AI211" s="281">
        <v>0.65</v>
      </c>
      <c r="AJ211" s="281">
        <v>0.65</v>
      </c>
      <c r="AK211" s="281">
        <v>0.65</v>
      </c>
      <c r="AL211" s="281">
        <v>0.65</v>
      </c>
      <c r="AM211" s="281">
        <v>0.65</v>
      </c>
      <c r="AN211" s="281">
        <v>0.65</v>
      </c>
      <c r="AO211" s="281">
        <v>0.65</v>
      </c>
      <c r="AP211" s="281">
        <v>0.65</v>
      </c>
      <c r="AQ211" s="281">
        <v>0.65</v>
      </c>
      <c r="AR211" s="281">
        <v>0.65</v>
      </c>
      <c r="AS211" s="281">
        <v>0.65</v>
      </c>
      <c r="AT211" s="281">
        <v>0.5</v>
      </c>
      <c r="AU211" s="281">
        <v>0.5</v>
      </c>
      <c r="AV211" s="281">
        <v>0.5</v>
      </c>
      <c r="AW211" s="281">
        <v>0.5</v>
      </c>
      <c r="AX211" s="281">
        <v>0.5</v>
      </c>
      <c r="AY211" s="281">
        <v>0.5</v>
      </c>
      <c r="AZ211" s="281">
        <v>0.5</v>
      </c>
      <c r="BA211" s="281">
        <v>0.5</v>
      </c>
      <c r="BB211" s="281">
        <v>0.5</v>
      </c>
      <c r="BC211" s="281">
        <v>0.5</v>
      </c>
      <c r="BD211" s="281">
        <v>0.5</v>
      </c>
      <c r="BE211" s="281">
        <v>0.5</v>
      </c>
      <c r="BF211" s="281">
        <v>0.5</v>
      </c>
      <c r="BG211" s="281">
        <v>0.3</v>
      </c>
      <c r="BH211" s="281">
        <v>0.3</v>
      </c>
      <c r="BI211" s="281">
        <v>0.3</v>
      </c>
      <c r="BJ211" s="281">
        <v>0.3</v>
      </c>
      <c r="BK211" s="281">
        <v>0.3</v>
      </c>
      <c r="BL211" s="281">
        <v>0.3</v>
      </c>
      <c r="BM211" s="281">
        <v>0.3</v>
      </c>
      <c r="BN211" s="281">
        <v>0.3</v>
      </c>
      <c r="BO211" s="281">
        <v>0.3</v>
      </c>
      <c r="BP211" s="281">
        <v>0.3</v>
      </c>
      <c r="BQ211" s="281">
        <v>0.3</v>
      </c>
      <c r="BR211" s="286">
        <v>0</v>
      </c>
    </row>
    <row r="212" spans="1:70" ht="14.25" customHeight="1" x14ac:dyDescent="0.35">
      <c r="A212" s="4" t="s">
        <v>83</v>
      </c>
      <c r="B212" s="384">
        <v>141.16666666666669</v>
      </c>
      <c r="C212" s="385"/>
      <c r="D212" s="42" t="s">
        <v>83</v>
      </c>
      <c r="E212" s="93">
        <v>0</v>
      </c>
      <c r="F212" s="93">
        <v>2025</v>
      </c>
      <c r="G212" s="93">
        <v>2050</v>
      </c>
      <c r="I212" s="42" t="s">
        <v>83</v>
      </c>
      <c r="J212" s="286">
        <v>0</v>
      </c>
      <c r="K212" s="286">
        <v>0</v>
      </c>
      <c r="L212" s="286">
        <v>0</v>
      </c>
      <c r="M212" s="286">
        <v>0</v>
      </c>
      <c r="N212" s="286">
        <v>0</v>
      </c>
      <c r="O212" s="286">
        <v>0</v>
      </c>
      <c r="P212" s="286">
        <v>0</v>
      </c>
      <c r="Q212" s="286">
        <v>0</v>
      </c>
      <c r="R212" s="286">
        <v>0</v>
      </c>
      <c r="S212" s="286">
        <v>0</v>
      </c>
      <c r="T212" s="286">
        <v>0</v>
      </c>
      <c r="U212" s="286">
        <v>0</v>
      </c>
      <c r="V212" s="286">
        <v>0</v>
      </c>
      <c r="W212" s="286">
        <v>0</v>
      </c>
      <c r="X212" s="286">
        <v>0</v>
      </c>
      <c r="Y212" s="286">
        <v>0</v>
      </c>
      <c r="Z212" s="286">
        <v>0</v>
      </c>
      <c r="AA212" s="286">
        <v>0</v>
      </c>
      <c r="AB212" s="286">
        <v>0</v>
      </c>
      <c r="AC212" s="286">
        <v>0</v>
      </c>
      <c r="AD212" s="286">
        <v>0</v>
      </c>
      <c r="AE212" s="286">
        <v>0</v>
      </c>
      <c r="AF212" s="286">
        <v>0</v>
      </c>
      <c r="AG212" s="286">
        <v>0</v>
      </c>
      <c r="AH212" s="286">
        <v>0</v>
      </c>
      <c r="AI212" s="286">
        <v>0</v>
      </c>
      <c r="AJ212" s="286">
        <v>0</v>
      </c>
      <c r="AK212" s="286">
        <v>0</v>
      </c>
      <c r="AL212" s="286">
        <v>0</v>
      </c>
      <c r="AM212" s="286">
        <v>0</v>
      </c>
      <c r="AN212" s="286">
        <v>0</v>
      </c>
      <c r="AO212" s="286">
        <v>0</v>
      </c>
      <c r="AP212" s="286">
        <v>0</v>
      </c>
      <c r="AQ212" s="286">
        <v>0</v>
      </c>
      <c r="AR212" s="286">
        <v>0</v>
      </c>
      <c r="AS212" s="286">
        <v>0</v>
      </c>
      <c r="AT212" s="286">
        <v>0</v>
      </c>
      <c r="AU212" s="286">
        <v>0</v>
      </c>
      <c r="AV212" s="286">
        <v>0</v>
      </c>
      <c r="AW212" s="286">
        <v>0</v>
      </c>
      <c r="AX212" s="286">
        <v>0</v>
      </c>
      <c r="AY212" s="286">
        <v>0</v>
      </c>
      <c r="AZ212" s="286">
        <v>0</v>
      </c>
      <c r="BA212" s="286">
        <v>0</v>
      </c>
      <c r="BB212" s="286">
        <v>0</v>
      </c>
      <c r="BC212" s="286">
        <v>0</v>
      </c>
      <c r="BD212" s="286">
        <v>0</v>
      </c>
      <c r="BE212" s="286">
        <v>0</v>
      </c>
      <c r="BF212" s="286">
        <v>0</v>
      </c>
      <c r="BG212" s="286">
        <v>0</v>
      </c>
      <c r="BH212" s="286">
        <v>0</v>
      </c>
      <c r="BI212" s="286">
        <v>0</v>
      </c>
      <c r="BJ212" s="286">
        <v>0</v>
      </c>
      <c r="BK212" s="286">
        <v>0</v>
      </c>
      <c r="BL212" s="286">
        <v>0</v>
      </c>
      <c r="BM212" s="286">
        <v>0</v>
      </c>
      <c r="BN212" s="286">
        <v>0</v>
      </c>
      <c r="BO212" s="286">
        <v>0</v>
      </c>
      <c r="BP212" s="286">
        <v>0</v>
      </c>
      <c r="BQ212" s="286">
        <v>0</v>
      </c>
      <c r="BR212" s="281">
        <v>0.65</v>
      </c>
    </row>
    <row r="213" spans="1:70" ht="14.25" customHeight="1" x14ac:dyDescent="0.35">
      <c r="A213" s="4" t="s">
        <v>758</v>
      </c>
      <c r="B213" s="384">
        <v>0</v>
      </c>
      <c r="C213" s="385"/>
      <c r="D213" s="42" t="s">
        <v>144</v>
      </c>
      <c r="E213" s="386">
        <v>0</v>
      </c>
      <c r="F213" s="386">
        <v>0</v>
      </c>
      <c r="G213" s="386">
        <v>0</v>
      </c>
      <c r="I213" s="42" t="s">
        <v>144</v>
      </c>
      <c r="J213" s="286">
        <v>0</v>
      </c>
      <c r="K213" s="286">
        <v>0</v>
      </c>
      <c r="L213" s="286">
        <v>0</v>
      </c>
      <c r="M213" s="286">
        <v>0</v>
      </c>
      <c r="N213" s="286">
        <v>0</v>
      </c>
      <c r="O213" s="286">
        <v>0</v>
      </c>
      <c r="P213" s="286">
        <v>0</v>
      </c>
      <c r="Q213" s="286">
        <v>0</v>
      </c>
      <c r="R213" s="286">
        <v>0</v>
      </c>
      <c r="S213" s="286">
        <v>0</v>
      </c>
      <c r="T213" s="286">
        <v>0</v>
      </c>
      <c r="U213" s="286">
        <v>0</v>
      </c>
      <c r="V213" s="286">
        <v>0</v>
      </c>
      <c r="W213" s="286">
        <v>0</v>
      </c>
      <c r="X213" s="286">
        <v>0</v>
      </c>
      <c r="Y213" s="286">
        <v>0</v>
      </c>
      <c r="Z213" s="286">
        <v>0</v>
      </c>
      <c r="AA213" s="286">
        <v>0</v>
      </c>
      <c r="AB213" s="286">
        <v>0</v>
      </c>
      <c r="AC213" s="286">
        <v>0</v>
      </c>
      <c r="AD213" s="286">
        <v>0</v>
      </c>
      <c r="AE213" s="286">
        <v>0</v>
      </c>
      <c r="AF213" s="286">
        <v>0</v>
      </c>
      <c r="AG213" s="286">
        <v>0</v>
      </c>
      <c r="AH213" s="286">
        <v>0</v>
      </c>
      <c r="AI213" s="286">
        <v>0</v>
      </c>
      <c r="AJ213" s="286">
        <v>0</v>
      </c>
      <c r="AK213" s="286">
        <v>0</v>
      </c>
      <c r="AL213" s="286">
        <v>0</v>
      </c>
      <c r="AM213" s="286">
        <v>0</v>
      </c>
      <c r="AN213" s="286">
        <v>0</v>
      </c>
      <c r="AO213" s="286">
        <v>0</v>
      </c>
      <c r="AP213" s="286">
        <v>0</v>
      </c>
      <c r="AQ213" s="286">
        <v>0</v>
      </c>
      <c r="AR213" s="286">
        <v>0</v>
      </c>
      <c r="AS213" s="286">
        <v>0</v>
      </c>
      <c r="AT213" s="286">
        <v>0</v>
      </c>
      <c r="AU213" s="286">
        <v>0</v>
      </c>
      <c r="AV213" s="286">
        <v>0</v>
      </c>
      <c r="AW213" s="286">
        <v>0</v>
      </c>
      <c r="AX213" s="286">
        <v>0</v>
      </c>
      <c r="AY213" s="286">
        <v>0</v>
      </c>
      <c r="AZ213" s="286">
        <v>0</v>
      </c>
      <c r="BA213" s="286">
        <v>0</v>
      </c>
      <c r="BB213" s="286">
        <v>0</v>
      </c>
      <c r="BC213" s="286">
        <v>0</v>
      </c>
      <c r="BD213" s="286">
        <v>0</v>
      </c>
      <c r="BE213" s="286">
        <v>0</v>
      </c>
      <c r="BF213" s="286">
        <v>0</v>
      </c>
      <c r="BG213" s="286">
        <v>0</v>
      </c>
      <c r="BH213" s="286">
        <v>0</v>
      </c>
      <c r="BI213" s="286">
        <v>0</v>
      </c>
      <c r="BJ213" s="286">
        <v>0</v>
      </c>
      <c r="BK213" s="286">
        <v>0</v>
      </c>
      <c r="BL213" s="286">
        <v>0</v>
      </c>
      <c r="BM213" s="286">
        <v>0</v>
      </c>
      <c r="BN213" s="286">
        <v>0</v>
      </c>
      <c r="BO213" s="286">
        <v>0</v>
      </c>
      <c r="BP213" s="286">
        <v>0</v>
      </c>
      <c r="BQ213" s="286">
        <v>0</v>
      </c>
      <c r="BR213" s="286">
        <v>0</v>
      </c>
    </row>
    <row r="214" spans="1:70" ht="14.25" customHeight="1" x14ac:dyDescent="0.35">
      <c r="A214" s="4" t="s">
        <v>164</v>
      </c>
      <c r="B214" s="384">
        <v>0</v>
      </c>
      <c r="C214" s="385"/>
      <c r="D214" s="42" t="s">
        <v>164</v>
      </c>
      <c r="E214" s="386">
        <v>0</v>
      </c>
      <c r="F214" s="386">
        <v>0</v>
      </c>
      <c r="G214" s="386">
        <v>0</v>
      </c>
      <c r="I214" s="42" t="s">
        <v>164</v>
      </c>
      <c r="J214" s="286">
        <v>0</v>
      </c>
      <c r="K214" s="286">
        <v>0</v>
      </c>
      <c r="L214" s="286">
        <v>0</v>
      </c>
      <c r="M214" s="286">
        <v>0</v>
      </c>
      <c r="N214" s="286">
        <v>0</v>
      </c>
      <c r="O214" s="286">
        <v>0</v>
      </c>
      <c r="P214" s="286">
        <v>0</v>
      </c>
      <c r="Q214" s="286">
        <v>0</v>
      </c>
      <c r="R214" s="286">
        <v>0</v>
      </c>
      <c r="S214" s="286">
        <v>0</v>
      </c>
      <c r="T214" s="286">
        <v>0</v>
      </c>
      <c r="U214" s="286">
        <v>0</v>
      </c>
      <c r="V214" s="286">
        <v>0</v>
      </c>
      <c r="W214" s="286">
        <v>0</v>
      </c>
      <c r="X214" s="286">
        <v>0</v>
      </c>
      <c r="Y214" s="286">
        <v>0</v>
      </c>
      <c r="Z214" s="286">
        <v>0</v>
      </c>
      <c r="AA214" s="286">
        <v>0</v>
      </c>
      <c r="AB214" s="286">
        <v>0</v>
      </c>
      <c r="AC214" s="286">
        <v>0</v>
      </c>
      <c r="AD214" s="286">
        <v>0</v>
      </c>
      <c r="AE214" s="286">
        <v>0</v>
      </c>
      <c r="AF214" s="286">
        <v>0</v>
      </c>
      <c r="AG214" s="286">
        <v>0</v>
      </c>
      <c r="AH214" s="286">
        <v>0</v>
      </c>
      <c r="AI214" s="286">
        <v>0</v>
      </c>
      <c r="AJ214" s="286">
        <v>0</v>
      </c>
      <c r="AK214" s="286">
        <v>0</v>
      </c>
      <c r="AL214" s="286">
        <v>0</v>
      </c>
      <c r="AM214" s="286">
        <v>0</v>
      </c>
      <c r="AN214" s="286">
        <v>0</v>
      </c>
      <c r="AO214" s="286">
        <v>0</v>
      </c>
      <c r="AP214" s="286">
        <v>0</v>
      </c>
      <c r="AQ214" s="286">
        <v>0</v>
      </c>
      <c r="AR214" s="286">
        <v>0</v>
      </c>
      <c r="AS214" s="286">
        <v>0</v>
      </c>
      <c r="AT214" s="286">
        <v>0</v>
      </c>
      <c r="AU214" s="286">
        <v>0</v>
      </c>
      <c r="AV214" s="286">
        <v>0</v>
      </c>
      <c r="AW214" s="286">
        <v>0</v>
      </c>
      <c r="AX214" s="286">
        <v>0</v>
      </c>
      <c r="AY214" s="286">
        <v>0</v>
      </c>
      <c r="AZ214" s="286">
        <v>0</v>
      </c>
      <c r="BA214" s="286">
        <v>0</v>
      </c>
      <c r="BB214" s="286">
        <v>0</v>
      </c>
      <c r="BC214" s="286">
        <v>0</v>
      </c>
      <c r="BD214" s="286">
        <v>0</v>
      </c>
      <c r="BE214" s="286">
        <v>0</v>
      </c>
      <c r="BF214" s="286">
        <v>0</v>
      </c>
      <c r="BG214" s="286">
        <v>0</v>
      </c>
      <c r="BH214" s="286">
        <v>0</v>
      </c>
      <c r="BI214" s="286">
        <v>0</v>
      </c>
      <c r="BJ214" s="286">
        <v>0</v>
      </c>
      <c r="BK214" s="286">
        <v>0</v>
      </c>
      <c r="BL214" s="286">
        <v>0</v>
      </c>
      <c r="BM214" s="286">
        <v>0</v>
      </c>
      <c r="BN214" s="286">
        <v>0</v>
      </c>
      <c r="BO214" s="286">
        <v>0</v>
      </c>
      <c r="BP214" s="286">
        <v>0</v>
      </c>
      <c r="BQ214" s="286">
        <v>0</v>
      </c>
      <c r="BR214" s="286">
        <v>0</v>
      </c>
    </row>
    <row r="215" spans="1:70" ht="14.25" customHeight="1" x14ac:dyDescent="0.35">
      <c r="A215" s="4" t="s">
        <v>759</v>
      </c>
      <c r="B215" s="384">
        <v>0</v>
      </c>
      <c r="C215" s="385"/>
      <c r="D215" s="42" t="s">
        <v>145</v>
      </c>
      <c r="E215" s="386">
        <v>0</v>
      </c>
      <c r="F215" s="386">
        <v>0</v>
      </c>
      <c r="G215" s="386">
        <v>0</v>
      </c>
      <c r="I215" s="42" t="s">
        <v>145</v>
      </c>
      <c r="J215" s="286">
        <v>0</v>
      </c>
      <c r="K215" s="286">
        <v>0</v>
      </c>
      <c r="L215" s="286">
        <v>0</v>
      </c>
      <c r="M215" s="286">
        <v>0</v>
      </c>
      <c r="N215" s="286">
        <v>0</v>
      </c>
      <c r="O215" s="286">
        <v>0</v>
      </c>
      <c r="P215" s="286">
        <v>0</v>
      </c>
      <c r="Q215" s="286">
        <v>0</v>
      </c>
      <c r="R215" s="286">
        <v>0</v>
      </c>
      <c r="S215" s="286">
        <v>0</v>
      </c>
      <c r="T215" s="286">
        <v>0</v>
      </c>
      <c r="U215" s="286">
        <v>0</v>
      </c>
      <c r="V215" s="286">
        <v>0</v>
      </c>
      <c r="W215" s="286">
        <v>0</v>
      </c>
      <c r="X215" s="286">
        <v>0</v>
      </c>
      <c r="Y215" s="286">
        <v>0</v>
      </c>
      <c r="Z215" s="286">
        <v>0</v>
      </c>
      <c r="AA215" s="286">
        <v>0</v>
      </c>
      <c r="AB215" s="286">
        <v>0</v>
      </c>
      <c r="AC215" s="286">
        <v>0</v>
      </c>
      <c r="AD215" s="286">
        <v>0</v>
      </c>
      <c r="AE215" s="286">
        <v>0</v>
      </c>
      <c r="AF215" s="286">
        <v>0</v>
      </c>
      <c r="AG215" s="286">
        <v>0</v>
      </c>
      <c r="AH215" s="286">
        <v>0</v>
      </c>
      <c r="AI215" s="286">
        <v>0</v>
      </c>
      <c r="AJ215" s="286">
        <v>0</v>
      </c>
      <c r="AK215" s="286">
        <v>0</v>
      </c>
      <c r="AL215" s="286">
        <v>0</v>
      </c>
      <c r="AM215" s="286">
        <v>0</v>
      </c>
      <c r="AN215" s="286">
        <v>0</v>
      </c>
      <c r="AO215" s="286">
        <v>0</v>
      </c>
      <c r="AP215" s="286">
        <v>0</v>
      </c>
      <c r="AQ215" s="286">
        <v>0</v>
      </c>
      <c r="AR215" s="286">
        <v>0</v>
      </c>
      <c r="AS215" s="286">
        <v>0</v>
      </c>
      <c r="AT215" s="286">
        <v>0</v>
      </c>
      <c r="AU215" s="286">
        <v>0</v>
      </c>
      <c r="AV215" s="286">
        <v>0</v>
      </c>
      <c r="AW215" s="286">
        <v>0</v>
      </c>
      <c r="AX215" s="286">
        <v>0</v>
      </c>
      <c r="AY215" s="286">
        <v>0</v>
      </c>
      <c r="AZ215" s="286">
        <v>0</v>
      </c>
      <c r="BA215" s="286">
        <v>0</v>
      </c>
      <c r="BB215" s="286">
        <v>0</v>
      </c>
      <c r="BC215" s="286">
        <v>0</v>
      </c>
      <c r="BD215" s="286">
        <v>0</v>
      </c>
      <c r="BE215" s="286">
        <v>0</v>
      </c>
      <c r="BF215" s="286">
        <v>0</v>
      </c>
      <c r="BG215" s="286">
        <v>0</v>
      </c>
      <c r="BH215" s="286">
        <v>0</v>
      </c>
      <c r="BI215" s="286">
        <v>0</v>
      </c>
      <c r="BJ215" s="286">
        <v>0</v>
      </c>
      <c r="BK215" s="286">
        <v>0</v>
      </c>
      <c r="BL215" s="286">
        <v>0</v>
      </c>
      <c r="BM215" s="286">
        <v>0</v>
      </c>
      <c r="BN215" s="286">
        <v>0</v>
      </c>
      <c r="BO215" s="286">
        <v>0</v>
      </c>
      <c r="BP215" s="286">
        <v>0</v>
      </c>
      <c r="BQ215" s="286">
        <v>0</v>
      </c>
      <c r="BR215" s="286">
        <v>0</v>
      </c>
    </row>
    <row r="216" spans="1:70" ht="14.25" customHeight="1" x14ac:dyDescent="0.35">
      <c r="A216" s="4" t="s">
        <v>87</v>
      </c>
      <c r="B216" s="384">
        <v>0</v>
      </c>
      <c r="C216" s="385"/>
      <c r="D216" s="42" t="s">
        <v>87</v>
      </c>
      <c r="E216" s="386">
        <v>0</v>
      </c>
      <c r="F216" s="386">
        <v>0</v>
      </c>
      <c r="G216" s="386">
        <v>0</v>
      </c>
      <c r="I216" s="42" t="s">
        <v>87</v>
      </c>
      <c r="J216" s="286">
        <v>0</v>
      </c>
      <c r="K216" s="286">
        <v>0</v>
      </c>
      <c r="L216" s="286">
        <v>0</v>
      </c>
      <c r="M216" s="286">
        <v>0</v>
      </c>
      <c r="N216" s="286">
        <v>0</v>
      </c>
      <c r="O216" s="286">
        <v>0</v>
      </c>
      <c r="P216" s="286">
        <v>0</v>
      </c>
      <c r="Q216" s="286">
        <v>0</v>
      </c>
      <c r="R216" s="286">
        <v>0</v>
      </c>
      <c r="S216" s="286">
        <v>0</v>
      </c>
      <c r="T216" s="286">
        <v>0</v>
      </c>
      <c r="U216" s="286">
        <v>0</v>
      </c>
      <c r="V216" s="286">
        <v>0</v>
      </c>
      <c r="W216" s="286">
        <v>0</v>
      </c>
      <c r="X216" s="286">
        <v>0</v>
      </c>
      <c r="Y216" s="286">
        <v>0</v>
      </c>
      <c r="Z216" s="286">
        <v>0</v>
      </c>
      <c r="AA216" s="286">
        <v>0</v>
      </c>
      <c r="AB216" s="286">
        <v>0</v>
      </c>
      <c r="AC216" s="286">
        <v>0</v>
      </c>
      <c r="AD216" s="286">
        <v>0</v>
      </c>
      <c r="AE216" s="286">
        <v>0</v>
      </c>
      <c r="AF216" s="286">
        <v>0</v>
      </c>
      <c r="AG216" s="286">
        <v>0</v>
      </c>
      <c r="AH216" s="286">
        <v>0</v>
      </c>
      <c r="AI216" s="286">
        <v>0</v>
      </c>
      <c r="AJ216" s="286">
        <v>0</v>
      </c>
      <c r="AK216" s="286">
        <v>0</v>
      </c>
      <c r="AL216" s="286">
        <v>0</v>
      </c>
      <c r="AM216" s="286">
        <v>0</v>
      </c>
      <c r="AN216" s="286">
        <v>0</v>
      </c>
      <c r="AO216" s="286">
        <v>0</v>
      </c>
      <c r="AP216" s="286">
        <v>0</v>
      </c>
      <c r="AQ216" s="286">
        <v>0</v>
      </c>
      <c r="AR216" s="286">
        <v>0</v>
      </c>
      <c r="AS216" s="286">
        <v>0</v>
      </c>
      <c r="AT216" s="286">
        <v>0</v>
      </c>
      <c r="AU216" s="286">
        <v>0</v>
      </c>
      <c r="AV216" s="286">
        <v>0</v>
      </c>
      <c r="AW216" s="286">
        <v>0</v>
      </c>
      <c r="AX216" s="286">
        <v>0</v>
      </c>
      <c r="AY216" s="286">
        <v>0</v>
      </c>
      <c r="AZ216" s="286">
        <v>0</v>
      </c>
      <c r="BA216" s="286">
        <v>0</v>
      </c>
      <c r="BB216" s="286">
        <v>0</v>
      </c>
      <c r="BC216" s="286">
        <v>0</v>
      </c>
      <c r="BD216" s="286">
        <v>0</v>
      </c>
      <c r="BE216" s="286">
        <v>0</v>
      </c>
      <c r="BF216" s="286">
        <v>0</v>
      </c>
      <c r="BG216" s="286">
        <v>0</v>
      </c>
      <c r="BH216" s="286">
        <v>0</v>
      </c>
      <c r="BI216" s="286">
        <v>0</v>
      </c>
      <c r="BJ216" s="286">
        <v>0</v>
      </c>
      <c r="BK216" s="286">
        <v>0</v>
      </c>
      <c r="BL216" s="286">
        <v>0</v>
      </c>
      <c r="BM216" s="286">
        <v>0</v>
      </c>
      <c r="BN216" s="286">
        <v>0</v>
      </c>
      <c r="BO216" s="286">
        <v>0</v>
      </c>
      <c r="BP216" s="286">
        <v>0</v>
      </c>
      <c r="BQ216" s="286">
        <v>0</v>
      </c>
      <c r="BR216" s="286">
        <v>0</v>
      </c>
    </row>
    <row r="217" spans="1:70" ht="14.25" customHeight="1" x14ac:dyDescent="0.35">
      <c r="A217" s="4" t="s">
        <v>760</v>
      </c>
      <c r="B217" s="384">
        <v>0</v>
      </c>
      <c r="C217" s="385"/>
      <c r="D217" s="42" t="s">
        <v>146</v>
      </c>
      <c r="E217" s="386">
        <v>0</v>
      </c>
      <c r="F217" s="386">
        <v>0</v>
      </c>
      <c r="G217" s="386">
        <v>0</v>
      </c>
      <c r="I217" s="42" t="s">
        <v>146</v>
      </c>
      <c r="J217" s="286">
        <v>0</v>
      </c>
      <c r="K217" s="286">
        <v>0</v>
      </c>
      <c r="L217" s="286">
        <v>0</v>
      </c>
      <c r="M217" s="286">
        <v>0</v>
      </c>
      <c r="N217" s="286">
        <v>0</v>
      </c>
      <c r="O217" s="286">
        <v>0</v>
      </c>
      <c r="P217" s="286">
        <v>0</v>
      </c>
      <c r="Q217" s="286">
        <v>0</v>
      </c>
      <c r="R217" s="286">
        <v>0</v>
      </c>
      <c r="S217" s="286">
        <v>0</v>
      </c>
      <c r="T217" s="286">
        <v>0</v>
      </c>
      <c r="U217" s="286">
        <v>0</v>
      </c>
      <c r="V217" s="286">
        <v>0</v>
      </c>
      <c r="W217" s="286">
        <v>0</v>
      </c>
      <c r="X217" s="286">
        <v>0</v>
      </c>
      <c r="Y217" s="286">
        <v>0</v>
      </c>
      <c r="Z217" s="286">
        <v>0</v>
      </c>
      <c r="AA217" s="286">
        <v>0</v>
      </c>
      <c r="AB217" s="286">
        <v>0</v>
      </c>
      <c r="AC217" s="286">
        <v>0</v>
      </c>
      <c r="AD217" s="286">
        <v>0</v>
      </c>
      <c r="AE217" s="286">
        <v>0</v>
      </c>
      <c r="AF217" s="286">
        <v>0</v>
      </c>
      <c r="AG217" s="286">
        <v>0</v>
      </c>
      <c r="AH217" s="286">
        <v>0</v>
      </c>
      <c r="AI217" s="286">
        <v>0</v>
      </c>
      <c r="AJ217" s="286">
        <v>0</v>
      </c>
      <c r="AK217" s="286">
        <v>0</v>
      </c>
      <c r="AL217" s="286">
        <v>0</v>
      </c>
      <c r="AM217" s="286">
        <v>0</v>
      </c>
      <c r="AN217" s="286">
        <v>0</v>
      </c>
      <c r="AO217" s="286">
        <v>0</v>
      </c>
      <c r="AP217" s="286">
        <v>0</v>
      </c>
      <c r="AQ217" s="286">
        <v>0</v>
      </c>
      <c r="AR217" s="286">
        <v>0</v>
      </c>
      <c r="AS217" s="286">
        <v>0</v>
      </c>
      <c r="AT217" s="286">
        <v>0</v>
      </c>
      <c r="AU217" s="286">
        <v>0</v>
      </c>
      <c r="AV217" s="286">
        <v>0</v>
      </c>
      <c r="AW217" s="286">
        <v>0</v>
      </c>
      <c r="AX217" s="286">
        <v>0</v>
      </c>
      <c r="AY217" s="286">
        <v>0</v>
      </c>
      <c r="AZ217" s="286">
        <v>0</v>
      </c>
      <c r="BA217" s="286">
        <v>0</v>
      </c>
      <c r="BB217" s="286">
        <v>0</v>
      </c>
      <c r="BC217" s="286">
        <v>0</v>
      </c>
      <c r="BD217" s="286">
        <v>0</v>
      </c>
      <c r="BE217" s="286">
        <v>0</v>
      </c>
      <c r="BF217" s="286">
        <v>0</v>
      </c>
      <c r="BG217" s="286">
        <v>0</v>
      </c>
      <c r="BH217" s="286">
        <v>0</v>
      </c>
      <c r="BI217" s="286">
        <v>0</v>
      </c>
      <c r="BJ217" s="286">
        <v>0</v>
      </c>
      <c r="BK217" s="286">
        <v>0</v>
      </c>
      <c r="BL217" s="286">
        <v>0</v>
      </c>
      <c r="BM217" s="286">
        <v>0</v>
      </c>
      <c r="BN217" s="286">
        <v>0</v>
      </c>
      <c r="BO217" s="286">
        <v>0</v>
      </c>
      <c r="BP217" s="286">
        <v>0</v>
      </c>
      <c r="BQ217" s="286">
        <v>0</v>
      </c>
      <c r="BR217" s="286">
        <v>0</v>
      </c>
    </row>
    <row r="218" spans="1:70" ht="14.25" customHeight="1" x14ac:dyDescent="0.35">
      <c r="A218" s="4" t="s">
        <v>89</v>
      </c>
      <c r="B218" s="384">
        <v>0</v>
      </c>
      <c r="C218" s="385"/>
      <c r="D218" s="42" t="s">
        <v>89</v>
      </c>
      <c r="E218" s="386">
        <v>0</v>
      </c>
      <c r="F218" s="386">
        <v>0</v>
      </c>
      <c r="G218" s="386">
        <v>0</v>
      </c>
      <c r="I218" s="42" t="s">
        <v>89</v>
      </c>
      <c r="J218" s="286">
        <v>0</v>
      </c>
      <c r="K218" s="286">
        <v>0</v>
      </c>
      <c r="L218" s="286">
        <v>0</v>
      </c>
      <c r="M218" s="286">
        <v>0</v>
      </c>
      <c r="N218" s="286">
        <v>0</v>
      </c>
      <c r="O218" s="286">
        <v>0</v>
      </c>
      <c r="P218" s="286">
        <v>0</v>
      </c>
      <c r="Q218" s="286">
        <v>0</v>
      </c>
      <c r="R218" s="286">
        <v>0</v>
      </c>
      <c r="S218" s="286">
        <v>0</v>
      </c>
      <c r="T218" s="286">
        <v>0</v>
      </c>
      <c r="U218" s="286">
        <v>0</v>
      </c>
      <c r="V218" s="286">
        <v>0</v>
      </c>
      <c r="W218" s="286">
        <v>0</v>
      </c>
      <c r="X218" s="286">
        <v>0</v>
      </c>
      <c r="Y218" s="286">
        <v>0</v>
      </c>
      <c r="Z218" s="286">
        <v>0</v>
      </c>
      <c r="AA218" s="286">
        <v>0</v>
      </c>
      <c r="AB218" s="286">
        <v>0</v>
      </c>
      <c r="AC218" s="286">
        <v>0</v>
      </c>
      <c r="AD218" s="286">
        <v>0</v>
      </c>
      <c r="AE218" s="286">
        <v>0</v>
      </c>
      <c r="AF218" s="286">
        <v>0</v>
      </c>
      <c r="AG218" s="286">
        <v>0</v>
      </c>
      <c r="AH218" s="286">
        <v>0</v>
      </c>
      <c r="AI218" s="286">
        <v>0</v>
      </c>
      <c r="AJ218" s="286">
        <v>0</v>
      </c>
      <c r="AK218" s="286">
        <v>0</v>
      </c>
      <c r="AL218" s="286">
        <v>0</v>
      </c>
      <c r="AM218" s="286">
        <v>0</v>
      </c>
      <c r="AN218" s="286">
        <v>0</v>
      </c>
      <c r="AO218" s="286">
        <v>0</v>
      </c>
      <c r="AP218" s="286">
        <v>0</v>
      </c>
      <c r="AQ218" s="286">
        <v>0</v>
      </c>
      <c r="AR218" s="286">
        <v>0</v>
      </c>
      <c r="AS218" s="286">
        <v>0</v>
      </c>
      <c r="AT218" s="286">
        <v>0</v>
      </c>
      <c r="AU218" s="286">
        <v>0</v>
      </c>
      <c r="AV218" s="286">
        <v>0</v>
      </c>
      <c r="AW218" s="286">
        <v>0</v>
      </c>
      <c r="AX218" s="286">
        <v>0</v>
      </c>
      <c r="AY218" s="286">
        <v>0</v>
      </c>
      <c r="AZ218" s="286">
        <v>0</v>
      </c>
      <c r="BA218" s="286">
        <v>0</v>
      </c>
      <c r="BB218" s="286">
        <v>0</v>
      </c>
      <c r="BC218" s="286">
        <v>0</v>
      </c>
      <c r="BD218" s="286">
        <v>0</v>
      </c>
      <c r="BE218" s="286">
        <v>0</v>
      </c>
      <c r="BF218" s="286">
        <v>0</v>
      </c>
      <c r="BG218" s="286">
        <v>0</v>
      </c>
      <c r="BH218" s="286">
        <v>0</v>
      </c>
      <c r="BI218" s="286">
        <v>0</v>
      </c>
      <c r="BJ218" s="286">
        <v>0</v>
      </c>
      <c r="BK218" s="286">
        <v>0</v>
      </c>
      <c r="BL218" s="286">
        <v>0</v>
      </c>
      <c r="BM218" s="286">
        <v>0</v>
      </c>
      <c r="BN218" s="286">
        <v>0</v>
      </c>
      <c r="BO218" s="286">
        <v>0</v>
      </c>
      <c r="BP218" s="286">
        <v>0</v>
      </c>
      <c r="BQ218" s="286">
        <v>0</v>
      </c>
      <c r="BR218" s="286">
        <v>0</v>
      </c>
    </row>
    <row r="219" spans="1:70" ht="14.25" customHeight="1" x14ac:dyDescent="0.35">
      <c r="A219" s="4" t="s">
        <v>90</v>
      </c>
      <c r="B219" s="384">
        <v>0</v>
      </c>
      <c r="C219" s="385"/>
      <c r="D219" s="42" t="s">
        <v>90</v>
      </c>
      <c r="E219" s="386">
        <v>0</v>
      </c>
      <c r="F219" s="386">
        <v>0</v>
      </c>
      <c r="G219" s="386">
        <v>0</v>
      </c>
      <c r="I219" s="42" t="s">
        <v>90</v>
      </c>
      <c r="J219" s="286">
        <v>0</v>
      </c>
      <c r="K219" s="286">
        <v>0</v>
      </c>
      <c r="L219" s="286">
        <v>0</v>
      </c>
      <c r="M219" s="286">
        <v>0</v>
      </c>
      <c r="N219" s="286">
        <v>0</v>
      </c>
      <c r="O219" s="286">
        <v>0</v>
      </c>
      <c r="P219" s="286">
        <v>0</v>
      </c>
      <c r="Q219" s="286">
        <v>0</v>
      </c>
      <c r="R219" s="286">
        <v>0</v>
      </c>
      <c r="S219" s="286">
        <v>0</v>
      </c>
      <c r="T219" s="286">
        <v>0</v>
      </c>
      <c r="U219" s="286">
        <v>0</v>
      </c>
      <c r="V219" s="286">
        <v>0</v>
      </c>
      <c r="W219" s="286">
        <v>0</v>
      </c>
      <c r="X219" s="286">
        <v>0</v>
      </c>
      <c r="Y219" s="286">
        <v>0</v>
      </c>
      <c r="Z219" s="286">
        <v>0</v>
      </c>
      <c r="AA219" s="286">
        <v>0</v>
      </c>
      <c r="AB219" s="286">
        <v>0</v>
      </c>
      <c r="AC219" s="286">
        <v>0</v>
      </c>
      <c r="AD219" s="286">
        <v>0</v>
      </c>
      <c r="AE219" s="286">
        <v>0</v>
      </c>
      <c r="AF219" s="286">
        <v>0</v>
      </c>
      <c r="AG219" s="286">
        <v>0</v>
      </c>
      <c r="AH219" s="286">
        <v>0</v>
      </c>
      <c r="AI219" s="286">
        <v>0</v>
      </c>
      <c r="AJ219" s="286">
        <v>0</v>
      </c>
      <c r="AK219" s="286">
        <v>0</v>
      </c>
      <c r="AL219" s="286">
        <v>0</v>
      </c>
      <c r="AM219" s="286">
        <v>0</v>
      </c>
      <c r="AN219" s="286">
        <v>0</v>
      </c>
      <c r="AO219" s="286">
        <v>0</v>
      </c>
      <c r="AP219" s="286">
        <v>0</v>
      </c>
      <c r="AQ219" s="286">
        <v>0</v>
      </c>
      <c r="AR219" s="286">
        <v>0</v>
      </c>
      <c r="AS219" s="286">
        <v>0</v>
      </c>
      <c r="AT219" s="286">
        <v>0</v>
      </c>
      <c r="AU219" s="286">
        <v>0</v>
      </c>
      <c r="AV219" s="286">
        <v>0</v>
      </c>
      <c r="AW219" s="286">
        <v>0</v>
      </c>
      <c r="AX219" s="286">
        <v>0</v>
      </c>
      <c r="AY219" s="286">
        <v>0</v>
      </c>
      <c r="AZ219" s="286">
        <v>0</v>
      </c>
      <c r="BA219" s="286">
        <v>0</v>
      </c>
      <c r="BB219" s="286">
        <v>0</v>
      </c>
      <c r="BC219" s="286">
        <v>0</v>
      </c>
      <c r="BD219" s="286">
        <v>0</v>
      </c>
      <c r="BE219" s="286">
        <v>0</v>
      </c>
      <c r="BF219" s="286">
        <v>0</v>
      </c>
      <c r="BG219" s="286">
        <v>0</v>
      </c>
      <c r="BH219" s="286">
        <v>0</v>
      </c>
      <c r="BI219" s="286">
        <v>0</v>
      </c>
      <c r="BJ219" s="286">
        <v>0</v>
      </c>
      <c r="BK219" s="286">
        <v>0</v>
      </c>
      <c r="BL219" s="286">
        <v>0</v>
      </c>
      <c r="BM219" s="286">
        <v>0</v>
      </c>
      <c r="BN219" s="286">
        <v>0</v>
      </c>
      <c r="BO219" s="286">
        <v>0</v>
      </c>
      <c r="BP219" s="286">
        <v>0</v>
      </c>
      <c r="BQ219" s="286">
        <v>0</v>
      </c>
      <c r="BR219" s="286">
        <v>0</v>
      </c>
    </row>
    <row r="221" spans="1:70" ht="14.25" customHeight="1" x14ac:dyDescent="0.35">
      <c r="A221" s="383" t="s">
        <v>1744</v>
      </c>
      <c r="D221" s="25" t="s">
        <v>1758</v>
      </c>
      <c r="E221" s="25" t="s">
        <v>1759</v>
      </c>
      <c r="I221" s="94" t="s">
        <v>1760</v>
      </c>
    </row>
    <row r="222" spans="1:70" ht="14.25" customHeight="1" x14ac:dyDescent="0.35">
      <c r="A222" s="39" t="s">
        <v>1748</v>
      </c>
      <c r="B222" s="4"/>
      <c r="D222" s="39" t="s">
        <v>1232</v>
      </c>
      <c r="E222" s="279" t="s">
        <v>1761</v>
      </c>
      <c r="F222" s="279" t="s">
        <v>1762</v>
      </c>
      <c r="G222" s="279" t="s">
        <v>1763</v>
      </c>
      <c r="I222" s="39" t="s">
        <v>1232</v>
      </c>
      <c r="J222" s="387" t="s">
        <v>927</v>
      </c>
      <c r="K222" s="387" t="s">
        <v>928</v>
      </c>
      <c r="L222" s="387" t="s">
        <v>929</v>
      </c>
      <c r="M222" s="387" t="s">
        <v>930</v>
      </c>
      <c r="N222" s="387" t="s">
        <v>931</v>
      </c>
      <c r="O222" s="387" t="s">
        <v>932</v>
      </c>
      <c r="P222" s="387" t="s">
        <v>933</v>
      </c>
      <c r="Q222" s="387" t="s">
        <v>934</v>
      </c>
      <c r="R222" s="387" t="s">
        <v>935</v>
      </c>
      <c r="S222" s="387" t="s">
        <v>936</v>
      </c>
      <c r="T222" s="387" t="s">
        <v>937</v>
      </c>
      <c r="U222" s="387" t="s">
        <v>938</v>
      </c>
      <c r="V222" s="387" t="s">
        <v>939</v>
      </c>
      <c r="W222" s="387" t="s">
        <v>940</v>
      </c>
      <c r="X222" s="387" t="s">
        <v>941</v>
      </c>
      <c r="Y222" s="387" t="s">
        <v>942</v>
      </c>
      <c r="Z222" s="387" t="s">
        <v>943</v>
      </c>
      <c r="AA222" s="387" t="s">
        <v>944</v>
      </c>
      <c r="AB222" s="387" t="s">
        <v>945</v>
      </c>
      <c r="AC222" s="387" t="s">
        <v>946</v>
      </c>
      <c r="AD222" s="387" t="s">
        <v>947</v>
      </c>
      <c r="AE222" s="387" t="s">
        <v>948</v>
      </c>
      <c r="AF222" s="387" t="s">
        <v>949</v>
      </c>
      <c r="AG222" s="387" t="s">
        <v>950</v>
      </c>
      <c r="AH222" s="387" t="s">
        <v>951</v>
      </c>
      <c r="AI222" s="387" t="s">
        <v>952</v>
      </c>
      <c r="AJ222" s="387" t="s">
        <v>953</v>
      </c>
      <c r="AK222" s="387" t="s">
        <v>954</v>
      </c>
      <c r="AL222" s="387" t="s">
        <v>955</v>
      </c>
      <c r="AM222" s="387" t="s">
        <v>956</v>
      </c>
      <c r="AN222" s="387" t="s">
        <v>957</v>
      </c>
      <c r="AO222" s="387" t="s">
        <v>958</v>
      </c>
      <c r="AP222" s="387" t="s">
        <v>959</v>
      </c>
      <c r="AQ222" s="387" t="s">
        <v>960</v>
      </c>
      <c r="AR222" s="387" t="s">
        <v>961</v>
      </c>
      <c r="AS222" s="387" t="s">
        <v>962</v>
      </c>
      <c r="AT222" s="387" t="s">
        <v>963</v>
      </c>
      <c r="AU222" s="387" t="s">
        <v>964</v>
      </c>
      <c r="AV222" s="387" t="s">
        <v>965</v>
      </c>
      <c r="AW222" s="387" t="s">
        <v>966</v>
      </c>
      <c r="AX222" s="387" t="s">
        <v>967</v>
      </c>
      <c r="AY222" s="387" t="s">
        <v>968</v>
      </c>
      <c r="AZ222" s="387" t="s">
        <v>969</v>
      </c>
      <c r="BA222" s="387" t="s">
        <v>970</v>
      </c>
      <c r="BB222" s="387" t="s">
        <v>971</v>
      </c>
      <c r="BC222" s="387" t="s">
        <v>972</v>
      </c>
      <c r="BD222" s="387" t="s">
        <v>973</v>
      </c>
      <c r="BE222" s="387" t="s">
        <v>974</v>
      </c>
      <c r="BF222" s="387" t="s">
        <v>975</v>
      </c>
      <c r="BG222" s="387" t="s">
        <v>976</v>
      </c>
      <c r="BH222" s="387" t="s">
        <v>977</v>
      </c>
      <c r="BI222" s="387" t="s">
        <v>978</v>
      </c>
      <c r="BJ222" s="387" t="s">
        <v>979</v>
      </c>
      <c r="BK222" s="387" t="s">
        <v>980</v>
      </c>
      <c r="BL222" s="387" t="s">
        <v>981</v>
      </c>
      <c r="BM222" s="387" t="s">
        <v>982</v>
      </c>
      <c r="BN222" s="387" t="s">
        <v>983</v>
      </c>
      <c r="BO222" s="387" t="s">
        <v>984</v>
      </c>
      <c r="BP222" s="387" t="s">
        <v>985</v>
      </c>
      <c r="BQ222" s="387" t="s">
        <v>986</v>
      </c>
      <c r="BR222" s="387" t="s">
        <v>987</v>
      </c>
    </row>
    <row r="223" spans="1:70" ht="14.25" customHeight="1" x14ac:dyDescent="0.35">
      <c r="A223" s="4" t="s">
        <v>433</v>
      </c>
      <c r="B223" s="384">
        <v>197.02682352818178</v>
      </c>
      <c r="C223" s="385"/>
      <c r="D223" s="45" t="s">
        <v>228</v>
      </c>
      <c r="E223" s="93">
        <v>0</v>
      </c>
      <c r="F223" s="93">
        <v>2025</v>
      </c>
      <c r="G223" s="93">
        <v>2050</v>
      </c>
      <c r="I223" s="45" t="s">
        <v>228</v>
      </c>
      <c r="J223" s="286">
        <v>0</v>
      </c>
      <c r="K223" s="286">
        <v>0</v>
      </c>
      <c r="L223" s="286">
        <v>0</v>
      </c>
      <c r="M223" s="286">
        <v>0</v>
      </c>
      <c r="N223" s="286">
        <v>0</v>
      </c>
      <c r="O223" s="286">
        <v>0</v>
      </c>
      <c r="P223" s="286">
        <v>0</v>
      </c>
      <c r="Q223" s="286">
        <v>0</v>
      </c>
      <c r="R223" s="286">
        <v>0</v>
      </c>
      <c r="S223" s="286">
        <v>0</v>
      </c>
      <c r="T223" s="286">
        <v>0</v>
      </c>
      <c r="U223" s="286">
        <v>0</v>
      </c>
      <c r="V223" s="286">
        <v>0</v>
      </c>
      <c r="W223" s="286">
        <v>0</v>
      </c>
      <c r="X223" s="286">
        <v>0</v>
      </c>
      <c r="Y223" s="286">
        <v>0</v>
      </c>
      <c r="Z223" s="286">
        <v>0</v>
      </c>
      <c r="AA223" s="286">
        <v>0</v>
      </c>
      <c r="AB223" s="286">
        <v>0</v>
      </c>
      <c r="AC223" s="286">
        <v>0</v>
      </c>
      <c r="AD223" s="286">
        <v>0</v>
      </c>
      <c r="AE223" s="286">
        <v>0</v>
      </c>
      <c r="AF223" s="286">
        <v>0</v>
      </c>
      <c r="AG223" s="286">
        <v>0</v>
      </c>
      <c r="AH223" s="286">
        <v>0</v>
      </c>
      <c r="AI223" s="286">
        <v>0</v>
      </c>
      <c r="AJ223" s="286">
        <v>0</v>
      </c>
      <c r="AK223" s="286">
        <v>0</v>
      </c>
      <c r="AL223" s="286">
        <v>0</v>
      </c>
      <c r="AM223" s="286">
        <v>0</v>
      </c>
      <c r="AN223" s="286">
        <v>0</v>
      </c>
      <c r="AO223" s="286">
        <v>0</v>
      </c>
      <c r="AP223" s="286">
        <v>0</v>
      </c>
      <c r="AQ223" s="286">
        <v>0</v>
      </c>
      <c r="AR223" s="286">
        <v>0</v>
      </c>
      <c r="AS223" s="286">
        <v>0</v>
      </c>
      <c r="AT223" s="286">
        <v>0</v>
      </c>
      <c r="AU223" s="286">
        <v>0</v>
      </c>
      <c r="AV223" s="286">
        <v>0</v>
      </c>
      <c r="AW223" s="286">
        <v>0</v>
      </c>
      <c r="AX223" s="286">
        <v>0</v>
      </c>
      <c r="AY223" s="286">
        <v>0</v>
      </c>
      <c r="AZ223" s="286">
        <v>0</v>
      </c>
      <c r="BA223" s="286">
        <v>0</v>
      </c>
      <c r="BB223" s="286">
        <v>0</v>
      </c>
      <c r="BC223" s="286">
        <v>0</v>
      </c>
      <c r="BD223" s="286">
        <v>0</v>
      </c>
      <c r="BE223" s="286">
        <v>0</v>
      </c>
      <c r="BF223" s="286">
        <v>0</v>
      </c>
      <c r="BG223" s="286">
        <v>0</v>
      </c>
      <c r="BH223" s="286">
        <v>0</v>
      </c>
      <c r="BI223" s="286">
        <v>0</v>
      </c>
      <c r="BJ223" s="286">
        <v>0</v>
      </c>
      <c r="BK223" s="286">
        <v>0</v>
      </c>
      <c r="BL223" s="286">
        <v>0</v>
      </c>
      <c r="BM223" s="286">
        <v>0</v>
      </c>
      <c r="BN223" s="286">
        <v>0</v>
      </c>
      <c r="BO223" s="286">
        <v>0</v>
      </c>
      <c r="BP223" s="286">
        <v>0</v>
      </c>
      <c r="BQ223" s="286">
        <v>0</v>
      </c>
      <c r="BR223" s="281">
        <v>0.65</v>
      </c>
    </row>
    <row r="224" spans="1:70" ht="14.25" customHeight="1" x14ac:dyDescent="0.35">
      <c r="A224" s="4" t="s">
        <v>434</v>
      </c>
      <c r="B224" s="384">
        <v>197.02682352818178</v>
      </c>
      <c r="C224" s="385"/>
      <c r="D224" s="41" t="s">
        <v>95</v>
      </c>
      <c r="E224" s="93">
        <v>0</v>
      </c>
      <c r="F224" s="93">
        <v>2025</v>
      </c>
      <c r="G224" s="93">
        <v>2050</v>
      </c>
      <c r="I224" s="41" t="s">
        <v>95</v>
      </c>
      <c r="J224" s="281">
        <v>0.85</v>
      </c>
      <c r="K224" s="281">
        <v>0.85</v>
      </c>
      <c r="L224" s="281">
        <v>0.85</v>
      </c>
      <c r="M224" s="281">
        <v>0.85</v>
      </c>
      <c r="N224" s="281">
        <v>0.85</v>
      </c>
      <c r="O224" s="281">
        <v>0.85</v>
      </c>
      <c r="P224" s="281">
        <v>0.85</v>
      </c>
      <c r="Q224" s="281">
        <v>0.85</v>
      </c>
      <c r="R224" s="281">
        <v>0.85</v>
      </c>
      <c r="S224" s="281">
        <v>0.85</v>
      </c>
      <c r="T224" s="281">
        <v>0.85</v>
      </c>
      <c r="U224" s="281">
        <v>0.85</v>
      </c>
      <c r="V224" s="281">
        <v>0.85</v>
      </c>
      <c r="W224" s="281">
        <v>0.85</v>
      </c>
      <c r="X224" s="281">
        <v>0.85</v>
      </c>
      <c r="Y224" s="281">
        <v>0.85</v>
      </c>
      <c r="Z224" s="281">
        <v>0.85</v>
      </c>
      <c r="AA224" s="281">
        <v>0.85</v>
      </c>
      <c r="AB224" s="281">
        <v>0.85</v>
      </c>
      <c r="AC224" s="281">
        <v>0.85</v>
      </c>
      <c r="AD224" s="281">
        <v>0.85</v>
      </c>
      <c r="AE224" s="281">
        <v>0.85</v>
      </c>
      <c r="AF224" s="281">
        <v>0.85</v>
      </c>
      <c r="AG224" s="281">
        <v>0.85</v>
      </c>
      <c r="AH224" s="281">
        <v>0.65</v>
      </c>
      <c r="AI224" s="281">
        <v>0.65</v>
      </c>
      <c r="AJ224" s="281">
        <v>0.65</v>
      </c>
      <c r="AK224" s="281">
        <v>0.65</v>
      </c>
      <c r="AL224" s="281">
        <v>0.65</v>
      </c>
      <c r="AM224" s="281">
        <v>0.65</v>
      </c>
      <c r="AN224" s="281">
        <v>0.65</v>
      </c>
      <c r="AO224" s="281">
        <v>0.65</v>
      </c>
      <c r="AP224" s="281">
        <v>0.65</v>
      </c>
      <c r="AQ224" s="281">
        <v>0.65</v>
      </c>
      <c r="AR224" s="281">
        <v>0.65</v>
      </c>
      <c r="AS224" s="281">
        <v>0.65</v>
      </c>
      <c r="AT224" s="281">
        <v>0.5</v>
      </c>
      <c r="AU224" s="281">
        <v>0.5</v>
      </c>
      <c r="AV224" s="281">
        <v>0.5</v>
      </c>
      <c r="AW224" s="281">
        <v>0.5</v>
      </c>
      <c r="AX224" s="281">
        <v>0.5</v>
      </c>
      <c r="AY224" s="281">
        <v>0.5</v>
      </c>
      <c r="AZ224" s="281">
        <v>0.5</v>
      </c>
      <c r="BA224" s="281">
        <v>0.5</v>
      </c>
      <c r="BB224" s="281">
        <v>0.5</v>
      </c>
      <c r="BC224" s="281">
        <v>0.5</v>
      </c>
      <c r="BD224" s="281">
        <v>0.5</v>
      </c>
      <c r="BE224" s="281">
        <v>0.5</v>
      </c>
      <c r="BF224" s="281">
        <v>0.5</v>
      </c>
      <c r="BG224" s="281">
        <v>0.3</v>
      </c>
      <c r="BH224" s="281">
        <v>0.3</v>
      </c>
      <c r="BI224" s="281">
        <v>0.3</v>
      </c>
      <c r="BJ224" s="281">
        <v>0.3</v>
      </c>
      <c r="BK224" s="281">
        <v>0.3</v>
      </c>
      <c r="BL224" s="281">
        <v>0.3</v>
      </c>
      <c r="BM224" s="281">
        <v>0.3</v>
      </c>
      <c r="BN224" s="281">
        <v>0.3</v>
      </c>
      <c r="BO224" s="281">
        <v>0.3</v>
      </c>
      <c r="BP224" s="281">
        <v>0.3</v>
      </c>
      <c r="BQ224" s="281">
        <v>0.3</v>
      </c>
      <c r="BR224" s="286">
        <v>0</v>
      </c>
    </row>
    <row r="225" spans="1:70" ht="14.25" customHeight="1" x14ac:dyDescent="0.35">
      <c r="A225" s="4" t="s">
        <v>435</v>
      </c>
      <c r="B225" s="384">
        <v>197.02682352818178</v>
      </c>
      <c r="C225" s="385"/>
      <c r="D225" s="41" t="s">
        <v>96</v>
      </c>
      <c r="E225" s="93">
        <v>0</v>
      </c>
      <c r="F225" s="93">
        <v>2025</v>
      </c>
      <c r="G225" s="93">
        <v>2050</v>
      </c>
      <c r="I225" s="41" t="s">
        <v>96</v>
      </c>
      <c r="J225" s="281">
        <v>0.85</v>
      </c>
      <c r="K225" s="281">
        <v>0.85</v>
      </c>
      <c r="L225" s="281">
        <v>0.85</v>
      </c>
      <c r="M225" s="281">
        <v>0.85</v>
      </c>
      <c r="N225" s="281">
        <v>0.85</v>
      </c>
      <c r="O225" s="281">
        <v>0.85</v>
      </c>
      <c r="P225" s="281">
        <v>0.85</v>
      </c>
      <c r="Q225" s="281">
        <v>0.85</v>
      </c>
      <c r="R225" s="281">
        <v>0.85</v>
      </c>
      <c r="S225" s="281">
        <v>0.85</v>
      </c>
      <c r="T225" s="281">
        <v>0.85</v>
      </c>
      <c r="U225" s="281">
        <v>0.85</v>
      </c>
      <c r="V225" s="281">
        <v>0.85</v>
      </c>
      <c r="W225" s="281">
        <v>0.85</v>
      </c>
      <c r="X225" s="281">
        <v>0.85</v>
      </c>
      <c r="Y225" s="281">
        <v>0.85</v>
      </c>
      <c r="Z225" s="281">
        <v>0.85</v>
      </c>
      <c r="AA225" s="281">
        <v>0.85</v>
      </c>
      <c r="AB225" s="281">
        <v>0.85</v>
      </c>
      <c r="AC225" s="281">
        <v>0.85</v>
      </c>
      <c r="AD225" s="281">
        <v>0.85</v>
      </c>
      <c r="AE225" s="281">
        <v>0.85</v>
      </c>
      <c r="AF225" s="281">
        <v>0.85</v>
      </c>
      <c r="AG225" s="281">
        <v>0.85</v>
      </c>
      <c r="AH225" s="281">
        <v>0.65</v>
      </c>
      <c r="AI225" s="281">
        <v>0.65</v>
      </c>
      <c r="AJ225" s="281">
        <v>0.65</v>
      </c>
      <c r="AK225" s="281">
        <v>0.65</v>
      </c>
      <c r="AL225" s="281">
        <v>0.65</v>
      </c>
      <c r="AM225" s="281">
        <v>0.65</v>
      </c>
      <c r="AN225" s="281">
        <v>0.65</v>
      </c>
      <c r="AO225" s="281">
        <v>0.65</v>
      </c>
      <c r="AP225" s="281">
        <v>0.65</v>
      </c>
      <c r="AQ225" s="281">
        <v>0.65</v>
      </c>
      <c r="AR225" s="281">
        <v>0.65</v>
      </c>
      <c r="AS225" s="281">
        <v>0.65</v>
      </c>
      <c r="AT225" s="281">
        <v>0.5</v>
      </c>
      <c r="AU225" s="281">
        <v>0.5</v>
      </c>
      <c r="AV225" s="281">
        <v>0.5</v>
      </c>
      <c r="AW225" s="281">
        <v>0.5</v>
      </c>
      <c r="AX225" s="281">
        <v>0.5</v>
      </c>
      <c r="AY225" s="281">
        <v>0.5</v>
      </c>
      <c r="AZ225" s="281">
        <v>0.5</v>
      </c>
      <c r="BA225" s="281">
        <v>0.5</v>
      </c>
      <c r="BB225" s="281">
        <v>0.5</v>
      </c>
      <c r="BC225" s="281">
        <v>0.5</v>
      </c>
      <c r="BD225" s="281">
        <v>0.5</v>
      </c>
      <c r="BE225" s="281">
        <v>0.5</v>
      </c>
      <c r="BF225" s="281">
        <v>0.5</v>
      </c>
      <c r="BG225" s="281">
        <v>0.3</v>
      </c>
      <c r="BH225" s="281">
        <v>0.3</v>
      </c>
      <c r="BI225" s="281">
        <v>0.3</v>
      </c>
      <c r="BJ225" s="281">
        <v>0.3</v>
      </c>
      <c r="BK225" s="281">
        <v>0.3</v>
      </c>
      <c r="BL225" s="281">
        <v>0.3</v>
      </c>
      <c r="BM225" s="281">
        <v>0.3</v>
      </c>
      <c r="BN225" s="281">
        <v>0.3</v>
      </c>
      <c r="BO225" s="281">
        <v>0.3</v>
      </c>
      <c r="BP225" s="281">
        <v>0.3</v>
      </c>
      <c r="BQ225" s="281">
        <v>0.3</v>
      </c>
      <c r="BR225" s="286">
        <v>0</v>
      </c>
    </row>
    <row r="226" spans="1:70" ht="14.25" customHeight="1" x14ac:dyDescent="0.35">
      <c r="A226" s="4" t="s">
        <v>436</v>
      </c>
      <c r="B226" s="384">
        <v>197.02682352818178</v>
      </c>
      <c r="C226" s="385"/>
      <c r="D226" s="41" t="s">
        <v>97</v>
      </c>
      <c r="E226" s="93">
        <v>0</v>
      </c>
      <c r="F226" s="93">
        <v>2025</v>
      </c>
      <c r="G226" s="93">
        <v>2050</v>
      </c>
      <c r="I226" s="41" t="s">
        <v>97</v>
      </c>
      <c r="J226" s="281">
        <v>0.85</v>
      </c>
      <c r="K226" s="281">
        <v>0.85</v>
      </c>
      <c r="L226" s="281">
        <v>0.85</v>
      </c>
      <c r="M226" s="281">
        <v>0.85</v>
      </c>
      <c r="N226" s="281">
        <v>0.85</v>
      </c>
      <c r="O226" s="281">
        <v>0.85</v>
      </c>
      <c r="P226" s="281">
        <v>0.85</v>
      </c>
      <c r="Q226" s="281">
        <v>0.85</v>
      </c>
      <c r="R226" s="281">
        <v>0.85</v>
      </c>
      <c r="S226" s="281">
        <v>0.85</v>
      </c>
      <c r="T226" s="281">
        <v>0.85</v>
      </c>
      <c r="U226" s="281">
        <v>0.85</v>
      </c>
      <c r="V226" s="281">
        <v>0.85</v>
      </c>
      <c r="W226" s="281">
        <v>0.85</v>
      </c>
      <c r="X226" s="281">
        <v>0.85</v>
      </c>
      <c r="Y226" s="281">
        <v>0.85</v>
      </c>
      <c r="Z226" s="281">
        <v>0.85</v>
      </c>
      <c r="AA226" s="281">
        <v>0.85</v>
      </c>
      <c r="AB226" s="281">
        <v>0.85</v>
      </c>
      <c r="AC226" s="281">
        <v>0.85</v>
      </c>
      <c r="AD226" s="281">
        <v>0.85</v>
      </c>
      <c r="AE226" s="281">
        <v>0.85</v>
      </c>
      <c r="AF226" s="281">
        <v>0.85</v>
      </c>
      <c r="AG226" s="281">
        <v>0.85</v>
      </c>
      <c r="AH226" s="281">
        <v>0.65</v>
      </c>
      <c r="AI226" s="281">
        <v>0.65</v>
      </c>
      <c r="AJ226" s="281">
        <v>0.65</v>
      </c>
      <c r="AK226" s="281">
        <v>0.65</v>
      </c>
      <c r="AL226" s="281">
        <v>0.65</v>
      </c>
      <c r="AM226" s="281">
        <v>0.65</v>
      </c>
      <c r="AN226" s="281">
        <v>0.65</v>
      </c>
      <c r="AO226" s="281">
        <v>0.65</v>
      </c>
      <c r="AP226" s="281">
        <v>0.65</v>
      </c>
      <c r="AQ226" s="281">
        <v>0.65</v>
      </c>
      <c r="AR226" s="281">
        <v>0.65</v>
      </c>
      <c r="AS226" s="281">
        <v>0.65</v>
      </c>
      <c r="AT226" s="281">
        <v>0.5</v>
      </c>
      <c r="AU226" s="281">
        <v>0.5</v>
      </c>
      <c r="AV226" s="281">
        <v>0.5</v>
      </c>
      <c r="AW226" s="281">
        <v>0.5</v>
      </c>
      <c r="AX226" s="281">
        <v>0.5</v>
      </c>
      <c r="AY226" s="281">
        <v>0.5</v>
      </c>
      <c r="AZ226" s="281">
        <v>0.5</v>
      </c>
      <c r="BA226" s="281">
        <v>0.5</v>
      </c>
      <c r="BB226" s="281">
        <v>0.5</v>
      </c>
      <c r="BC226" s="281">
        <v>0.5</v>
      </c>
      <c r="BD226" s="281">
        <v>0.5</v>
      </c>
      <c r="BE226" s="281">
        <v>0.5</v>
      </c>
      <c r="BF226" s="281">
        <v>0.5</v>
      </c>
      <c r="BG226" s="281">
        <v>0.3</v>
      </c>
      <c r="BH226" s="281">
        <v>0.3</v>
      </c>
      <c r="BI226" s="281">
        <v>0.3</v>
      </c>
      <c r="BJ226" s="281">
        <v>0.3</v>
      </c>
      <c r="BK226" s="281">
        <v>0.3</v>
      </c>
      <c r="BL226" s="281">
        <v>0.3</v>
      </c>
      <c r="BM226" s="281">
        <v>0.3</v>
      </c>
      <c r="BN226" s="281">
        <v>0.3</v>
      </c>
      <c r="BO226" s="281">
        <v>0.3</v>
      </c>
      <c r="BP226" s="281">
        <v>0.3</v>
      </c>
      <c r="BQ226" s="281">
        <v>0.3</v>
      </c>
      <c r="BR226" s="286">
        <v>0</v>
      </c>
    </row>
    <row r="227" spans="1:70" ht="14.25" customHeight="1" x14ac:dyDescent="0.35">
      <c r="A227" s="4" t="s">
        <v>437</v>
      </c>
      <c r="B227" s="384">
        <v>197.02682352818178</v>
      </c>
      <c r="C227" s="385"/>
      <c r="D227" s="41" t="s">
        <v>98</v>
      </c>
      <c r="E227" s="93">
        <v>0</v>
      </c>
      <c r="F227" s="93">
        <v>2025</v>
      </c>
      <c r="G227" s="93">
        <v>2050</v>
      </c>
      <c r="I227" s="41" t="s">
        <v>98</v>
      </c>
      <c r="J227" s="281">
        <v>0.85</v>
      </c>
      <c r="K227" s="281">
        <v>0.85</v>
      </c>
      <c r="L227" s="281">
        <v>0.85</v>
      </c>
      <c r="M227" s="281">
        <v>0.85</v>
      </c>
      <c r="N227" s="281">
        <v>0.85</v>
      </c>
      <c r="O227" s="281">
        <v>0.85</v>
      </c>
      <c r="P227" s="281">
        <v>0.85</v>
      </c>
      <c r="Q227" s="281">
        <v>0.85</v>
      </c>
      <c r="R227" s="281">
        <v>0.85</v>
      </c>
      <c r="S227" s="281">
        <v>0.85</v>
      </c>
      <c r="T227" s="281">
        <v>0.85</v>
      </c>
      <c r="U227" s="281">
        <v>0.85</v>
      </c>
      <c r="V227" s="281">
        <v>0.85</v>
      </c>
      <c r="W227" s="281">
        <v>0.85</v>
      </c>
      <c r="X227" s="281">
        <v>0.85</v>
      </c>
      <c r="Y227" s="281">
        <v>0.85</v>
      </c>
      <c r="Z227" s="281">
        <v>0.85</v>
      </c>
      <c r="AA227" s="281">
        <v>0.85</v>
      </c>
      <c r="AB227" s="281">
        <v>0.85</v>
      </c>
      <c r="AC227" s="281">
        <v>0.85</v>
      </c>
      <c r="AD227" s="281">
        <v>0.85</v>
      </c>
      <c r="AE227" s="281">
        <v>0.85</v>
      </c>
      <c r="AF227" s="281">
        <v>0.85</v>
      </c>
      <c r="AG227" s="281">
        <v>0.85</v>
      </c>
      <c r="AH227" s="281">
        <v>0.65</v>
      </c>
      <c r="AI227" s="281">
        <v>0.65</v>
      </c>
      <c r="AJ227" s="281">
        <v>0.65</v>
      </c>
      <c r="AK227" s="281">
        <v>0.65</v>
      </c>
      <c r="AL227" s="281">
        <v>0.65</v>
      </c>
      <c r="AM227" s="281">
        <v>0.65</v>
      </c>
      <c r="AN227" s="281">
        <v>0.65</v>
      </c>
      <c r="AO227" s="281">
        <v>0.65</v>
      </c>
      <c r="AP227" s="281">
        <v>0.65</v>
      </c>
      <c r="AQ227" s="281">
        <v>0.65</v>
      </c>
      <c r="AR227" s="281">
        <v>0.65</v>
      </c>
      <c r="AS227" s="281">
        <v>0.65</v>
      </c>
      <c r="AT227" s="281">
        <v>0.5</v>
      </c>
      <c r="AU227" s="281">
        <v>0.5</v>
      </c>
      <c r="AV227" s="281">
        <v>0.5</v>
      </c>
      <c r="AW227" s="281">
        <v>0.5</v>
      </c>
      <c r="AX227" s="281">
        <v>0.5</v>
      </c>
      <c r="AY227" s="281">
        <v>0.5</v>
      </c>
      <c r="AZ227" s="281">
        <v>0.5</v>
      </c>
      <c r="BA227" s="281">
        <v>0.5</v>
      </c>
      <c r="BB227" s="281">
        <v>0.5</v>
      </c>
      <c r="BC227" s="281">
        <v>0.5</v>
      </c>
      <c r="BD227" s="281">
        <v>0.5</v>
      </c>
      <c r="BE227" s="281">
        <v>0.5</v>
      </c>
      <c r="BF227" s="281">
        <v>0.5</v>
      </c>
      <c r="BG227" s="281">
        <v>0.3</v>
      </c>
      <c r="BH227" s="281">
        <v>0.3</v>
      </c>
      <c r="BI227" s="281">
        <v>0.3</v>
      </c>
      <c r="BJ227" s="281">
        <v>0.3</v>
      </c>
      <c r="BK227" s="281">
        <v>0.3</v>
      </c>
      <c r="BL227" s="281">
        <v>0.3</v>
      </c>
      <c r="BM227" s="281">
        <v>0.3</v>
      </c>
      <c r="BN227" s="281">
        <v>0.3</v>
      </c>
      <c r="BO227" s="281">
        <v>0.3</v>
      </c>
      <c r="BP227" s="281">
        <v>0.3</v>
      </c>
      <c r="BQ227" s="281">
        <v>0.3</v>
      </c>
      <c r="BR227" s="286">
        <v>0</v>
      </c>
    </row>
    <row r="228" spans="1:70" ht="14.25" customHeight="1" x14ac:dyDescent="0.35">
      <c r="A228" s="4" t="s">
        <v>438</v>
      </c>
      <c r="B228" s="384">
        <v>197.02682352818178</v>
      </c>
      <c r="C228" s="385"/>
      <c r="D228" s="41" t="s">
        <v>163</v>
      </c>
      <c r="E228" s="93">
        <v>0</v>
      </c>
      <c r="F228" s="93">
        <v>2025</v>
      </c>
      <c r="G228" s="93">
        <v>2050</v>
      </c>
      <c r="I228" s="41" t="s">
        <v>163</v>
      </c>
      <c r="J228" s="281">
        <v>0.85</v>
      </c>
      <c r="K228" s="281">
        <v>0.85</v>
      </c>
      <c r="L228" s="281">
        <v>0.85</v>
      </c>
      <c r="M228" s="281">
        <v>0.85</v>
      </c>
      <c r="N228" s="281">
        <v>0.85</v>
      </c>
      <c r="O228" s="281">
        <v>0.85</v>
      </c>
      <c r="P228" s="281">
        <v>0.85</v>
      </c>
      <c r="Q228" s="281">
        <v>0.85</v>
      </c>
      <c r="R228" s="281">
        <v>0.85</v>
      </c>
      <c r="S228" s="281">
        <v>0.85</v>
      </c>
      <c r="T228" s="281">
        <v>0.85</v>
      </c>
      <c r="U228" s="281">
        <v>0.85</v>
      </c>
      <c r="V228" s="281">
        <v>0.85</v>
      </c>
      <c r="W228" s="281">
        <v>0.85</v>
      </c>
      <c r="X228" s="281">
        <v>0.85</v>
      </c>
      <c r="Y228" s="281">
        <v>0.85</v>
      </c>
      <c r="Z228" s="281">
        <v>0.85</v>
      </c>
      <c r="AA228" s="281">
        <v>0.85</v>
      </c>
      <c r="AB228" s="281">
        <v>0.85</v>
      </c>
      <c r="AC228" s="281">
        <v>0.85</v>
      </c>
      <c r="AD228" s="281">
        <v>0.85</v>
      </c>
      <c r="AE228" s="281">
        <v>0.85</v>
      </c>
      <c r="AF228" s="281">
        <v>0.85</v>
      </c>
      <c r="AG228" s="281">
        <v>0.85</v>
      </c>
      <c r="AH228" s="281">
        <v>0.65</v>
      </c>
      <c r="AI228" s="281">
        <v>0.65</v>
      </c>
      <c r="AJ228" s="281">
        <v>0.65</v>
      </c>
      <c r="AK228" s="281">
        <v>0.65</v>
      </c>
      <c r="AL228" s="281">
        <v>0.65</v>
      </c>
      <c r="AM228" s="281">
        <v>0.65</v>
      </c>
      <c r="AN228" s="281">
        <v>0.65</v>
      </c>
      <c r="AO228" s="281">
        <v>0.65</v>
      </c>
      <c r="AP228" s="281">
        <v>0.65</v>
      </c>
      <c r="AQ228" s="281">
        <v>0.65</v>
      </c>
      <c r="AR228" s="281">
        <v>0.65</v>
      </c>
      <c r="AS228" s="281">
        <v>0.65</v>
      </c>
      <c r="AT228" s="281">
        <v>0.5</v>
      </c>
      <c r="AU228" s="281">
        <v>0.5</v>
      </c>
      <c r="AV228" s="281">
        <v>0.5</v>
      </c>
      <c r="AW228" s="281">
        <v>0.5</v>
      </c>
      <c r="AX228" s="281">
        <v>0.5</v>
      </c>
      <c r="AY228" s="281">
        <v>0.5</v>
      </c>
      <c r="AZ228" s="281">
        <v>0.5</v>
      </c>
      <c r="BA228" s="281">
        <v>0.5</v>
      </c>
      <c r="BB228" s="281">
        <v>0.5</v>
      </c>
      <c r="BC228" s="281">
        <v>0.5</v>
      </c>
      <c r="BD228" s="281">
        <v>0.5</v>
      </c>
      <c r="BE228" s="281">
        <v>0.5</v>
      </c>
      <c r="BF228" s="281">
        <v>0.5</v>
      </c>
      <c r="BG228" s="281">
        <v>0.3</v>
      </c>
      <c r="BH228" s="281">
        <v>0.3</v>
      </c>
      <c r="BI228" s="281">
        <v>0.3</v>
      </c>
      <c r="BJ228" s="281">
        <v>0.3</v>
      </c>
      <c r="BK228" s="281">
        <v>0.3</v>
      </c>
      <c r="BL228" s="281">
        <v>0.3</v>
      </c>
      <c r="BM228" s="281">
        <v>0.3</v>
      </c>
      <c r="BN228" s="281">
        <v>0.3</v>
      </c>
      <c r="BO228" s="281">
        <v>0.3</v>
      </c>
      <c r="BP228" s="281">
        <v>0.3</v>
      </c>
      <c r="BQ228" s="281">
        <v>0.3</v>
      </c>
      <c r="BR228" s="286">
        <v>0</v>
      </c>
    </row>
    <row r="229" spans="1:70" ht="14.25" customHeight="1" x14ac:dyDescent="0.35">
      <c r="A229" s="4" t="s">
        <v>439</v>
      </c>
      <c r="B229" s="384">
        <v>197.02682352818178</v>
      </c>
      <c r="C229" s="385"/>
      <c r="D229" s="41" t="s">
        <v>100</v>
      </c>
      <c r="E229" s="93">
        <v>0</v>
      </c>
      <c r="F229" s="93">
        <v>2025</v>
      </c>
      <c r="G229" s="93">
        <v>2050</v>
      </c>
      <c r="I229" s="41" t="s">
        <v>100</v>
      </c>
      <c r="J229" s="281">
        <v>0.85</v>
      </c>
      <c r="K229" s="281">
        <v>0.85</v>
      </c>
      <c r="L229" s="281">
        <v>0.85</v>
      </c>
      <c r="M229" s="281">
        <v>0.85</v>
      </c>
      <c r="N229" s="281">
        <v>0.85</v>
      </c>
      <c r="O229" s="281">
        <v>0.85</v>
      </c>
      <c r="P229" s="281">
        <v>0.85</v>
      </c>
      <c r="Q229" s="281">
        <v>0.85</v>
      </c>
      <c r="R229" s="281">
        <v>0.85</v>
      </c>
      <c r="S229" s="281">
        <v>0.85</v>
      </c>
      <c r="T229" s="281">
        <v>0.85</v>
      </c>
      <c r="U229" s="281">
        <v>0.85</v>
      </c>
      <c r="V229" s="281">
        <v>0.85</v>
      </c>
      <c r="W229" s="281">
        <v>0.85</v>
      </c>
      <c r="X229" s="281">
        <v>0.85</v>
      </c>
      <c r="Y229" s="281">
        <v>0.85</v>
      </c>
      <c r="Z229" s="281">
        <v>0.85</v>
      </c>
      <c r="AA229" s="281">
        <v>0.85</v>
      </c>
      <c r="AB229" s="281">
        <v>0.85</v>
      </c>
      <c r="AC229" s="281">
        <v>0.85</v>
      </c>
      <c r="AD229" s="281">
        <v>0.85</v>
      </c>
      <c r="AE229" s="281">
        <v>0.85</v>
      </c>
      <c r="AF229" s="281">
        <v>0.85</v>
      </c>
      <c r="AG229" s="281">
        <v>0.85</v>
      </c>
      <c r="AH229" s="281">
        <v>0.65</v>
      </c>
      <c r="AI229" s="281">
        <v>0.65</v>
      </c>
      <c r="AJ229" s="281">
        <v>0.65</v>
      </c>
      <c r="AK229" s="281">
        <v>0.65</v>
      </c>
      <c r="AL229" s="281">
        <v>0.65</v>
      </c>
      <c r="AM229" s="281">
        <v>0.65</v>
      </c>
      <c r="AN229" s="281">
        <v>0.65</v>
      </c>
      <c r="AO229" s="281">
        <v>0.65</v>
      </c>
      <c r="AP229" s="281">
        <v>0.65</v>
      </c>
      <c r="AQ229" s="281">
        <v>0.65</v>
      </c>
      <c r="AR229" s="281">
        <v>0.65</v>
      </c>
      <c r="AS229" s="281">
        <v>0.65</v>
      </c>
      <c r="AT229" s="281">
        <v>0.5</v>
      </c>
      <c r="AU229" s="281">
        <v>0.5</v>
      </c>
      <c r="AV229" s="281">
        <v>0.5</v>
      </c>
      <c r="AW229" s="281">
        <v>0.5</v>
      </c>
      <c r="AX229" s="281">
        <v>0.5</v>
      </c>
      <c r="AY229" s="281">
        <v>0.5</v>
      </c>
      <c r="AZ229" s="281">
        <v>0.5</v>
      </c>
      <c r="BA229" s="281">
        <v>0.5</v>
      </c>
      <c r="BB229" s="281">
        <v>0.5</v>
      </c>
      <c r="BC229" s="281">
        <v>0.5</v>
      </c>
      <c r="BD229" s="281">
        <v>0.5</v>
      </c>
      <c r="BE229" s="281">
        <v>0.5</v>
      </c>
      <c r="BF229" s="281">
        <v>0.5</v>
      </c>
      <c r="BG229" s="281">
        <v>0.3</v>
      </c>
      <c r="BH229" s="281">
        <v>0.3</v>
      </c>
      <c r="BI229" s="281">
        <v>0.3</v>
      </c>
      <c r="BJ229" s="281">
        <v>0.3</v>
      </c>
      <c r="BK229" s="281">
        <v>0.3</v>
      </c>
      <c r="BL229" s="281">
        <v>0.3</v>
      </c>
      <c r="BM229" s="281">
        <v>0.3</v>
      </c>
      <c r="BN229" s="281">
        <v>0.3</v>
      </c>
      <c r="BO229" s="281">
        <v>0.3</v>
      </c>
      <c r="BP229" s="281">
        <v>0.3</v>
      </c>
      <c r="BQ229" s="281">
        <v>0.3</v>
      </c>
      <c r="BR229" s="286">
        <v>0</v>
      </c>
    </row>
    <row r="230" spans="1:70" ht="14.25" customHeight="1" x14ac:dyDescent="0.35">
      <c r="A230" s="4" t="s">
        <v>440</v>
      </c>
      <c r="B230" s="384">
        <v>197.02682352818178</v>
      </c>
      <c r="C230" s="385"/>
      <c r="D230" s="41" t="s">
        <v>101</v>
      </c>
      <c r="E230" s="93">
        <v>0</v>
      </c>
      <c r="F230" s="93">
        <v>2025</v>
      </c>
      <c r="G230" s="93">
        <v>2050</v>
      </c>
      <c r="I230" s="41" t="s">
        <v>101</v>
      </c>
      <c r="J230" s="281">
        <v>0.85</v>
      </c>
      <c r="K230" s="281">
        <v>0.85</v>
      </c>
      <c r="L230" s="281">
        <v>0.85</v>
      </c>
      <c r="M230" s="281">
        <v>0.85</v>
      </c>
      <c r="N230" s="281">
        <v>0.85</v>
      </c>
      <c r="O230" s="281">
        <v>0.85</v>
      </c>
      <c r="P230" s="281">
        <v>0.85</v>
      </c>
      <c r="Q230" s="281">
        <v>0.85</v>
      </c>
      <c r="R230" s="281">
        <v>0.85</v>
      </c>
      <c r="S230" s="281">
        <v>0.85</v>
      </c>
      <c r="T230" s="281">
        <v>0.85</v>
      </c>
      <c r="U230" s="281">
        <v>0.85</v>
      </c>
      <c r="V230" s="281">
        <v>0.85</v>
      </c>
      <c r="W230" s="281">
        <v>0.85</v>
      </c>
      <c r="X230" s="281">
        <v>0.85</v>
      </c>
      <c r="Y230" s="281">
        <v>0.85</v>
      </c>
      <c r="Z230" s="281">
        <v>0.85</v>
      </c>
      <c r="AA230" s="281">
        <v>0.85</v>
      </c>
      <c r="AB230" s="281">
        <v>0.85</v>
      </c>
      <c r="AC230" s="281">
        <v>0.85</v>
      </c>
      <c r="AD230" s="281">
        <v>0.85</v>
      </c>
      <c r="AE230" s="281">
        <v>0.85</v>
      </c>
      <c r="AF230" s="281">
        <v>0.85</v>
      </c>
      <c r="AG230" s="281">
        <v>0.85</v>
      </c>
      <c r="AH230" s="281">
        <v>0.65</v>
      </c>
      <c r="AI230" s="281">
        <v>0.65</v>
      </c>
      <c r="AJ230" s="281">
        <v>0.65</v>
      </c>
      <c r="AK230" s="281">
        <v>0.65</v>
      </c>
      <c r="AL230" s="281">
        <v>0.65</v>
      </c>
      <c r="AM230" s="281">
        <v>0.65</v>
      </c>
      <c r="AN230" s="281">
        <v>0.65</v>
      </c>
      <c r="AO230" s="281">
        <v>0.65</v>
      </c>
      <c r="AP230" s="281">
        <v>0.65</v>
      </c>
      <c r="AQ230" s="281">
        <v>0.65</v>
      </c>
      <c r="AR230" s="281">
        <v>0.65</v>
      </c>
      <c r="AS230" s="281">
        <v>0.65</v>
      </c>
      <c r="AT230" s="281">
        <v>0.5</v>
      </c>
      <c r="AU230" s="281">
        <v>0.5</v>
      </c>
      <c r="AV230" s="281">
        <v>0.5</v>
      </c>
      <c r="AW230" s="281">
        <v>0.5</v>
      </c>
      <c r="AX230" s="281">
        <v>0.5</v>
      </c>
      <c r="AY230" s="281">
        <v>0.5</v>
      </c>
      <c r="AZ230" s="281">
        <v>0.5</v>
      </c>
      <c r="BA230" s="281">
        <v>0.5</v>
      </c>
      <c r="BB230" s="281">
        <v>0.5</v>
      </c>
      <c r="BC230" s="281">
        <v>0.5</v>
      </c>
      <c r="BD230" s="281">
        <v>0.5</v>
      </c>
      <c r="BE230" s="281">
        <v>0.5</v>
      </c>
      <c r="BF230" s="281">
        <v>0.5</v>
      </c>
      <c r="BG230" s="281">
        <v>0.3</v>
      </c>
      <c r="BH230" s="281">
        <v>0.3</v>
      </c>
      <c r="BI230" s="281">
        <v>0.3</v>
      </c>
      <c r="BJ230" s="281">
        <v>0.3</v>
      </c>
      <c r="BK230" s="281">
        <v>0.3</v>
      </c>
      <c r="BL230" s="281">
        <v>0.3</v>
      </c>
      <c r="BM230" s="281">
        <v>0.3</v>
      </c>
      <c r="BN230" s="281">
        <v>0.3</v>
      </c>
      <c r="BO230" s="281">
        <v>0.3</v>
      </c>
      <c r="BP230" s="281">
        <v>0.3</v>
      </c>
      <c r="BQ230" s="281">
        <v>0.3</v>
      </c>
      <c r="BR230" s="286">
        <v>0</v>
      </c>
    </row>
    <row r="231" spans="1:70" ht="14.25" customHeight="1" x14ac:dyDescent="0.35">
      <c r="A231" s="4" t="s">
        <v>441</v>
      </c>
      <c r="B231" s="384">
        <v>197.02682352818178</v>
      </c>
      <c r="C231" s="385"/>
      <c r="D231" s="41" t="s">
        <v>102</v>
      </c>
      <c r="E231" s="93">
        <v>0</v>
      </c>
      <c r="F231" s="93">
        <v>2025</v>
      </c>
      <c r="G231" s="93">
        <v>2050</v>
      </c>
      <c r="I231" s="41" t="s">
        <v>102</v>
      </c>
      <c r="J231" s="281">
        <v>0.85</v>
      </c>
      <c r="K231" s="281">
        <v>0.85</v>
      </c>
      <c r="L231" s="281">
        <v>0.85</v>
      </c>
      <c r="M231" s="281">
        <v>0.85</v>
      </c>
      <c r="N231" s="281">
        <v>0.85</v>
      </c>
      <c r="O231" s="281">
        <v>0.85</v>
      </c>
      <c r="P231" s="281">
        <v>0.85</v>
      </c>
      <c r="Q231" s="281">
        <v>0.85</v>
      </c>
      <c r="R231" s="281">
        <v>0.85</v>
      </c>
      <c r="S231" s="281">
        <v>0.85</v>
      </c>
      <c r="T231" s="281">
        <v>0.85</v>
      </c>
      <c r="U231" s="281">
        <v>0.85</v>
      </c>
      <c r="V231" s="281">
        <v>0.85</v>
      </c>
      <c r="W231" s="281">
        <v>0.85</v>
      </c>
      <c r="X231" s="281">
        <v>0.85</v>
      </c>
      <c r="Y231" s="281">
        <v>0.85</v>
      </c>
      <c r="Z231" s="281">
        <v>0.85</v>
      </c>
      <c r="AA231" s="281">
        <v>0.85</v>
      </c>
      <c r="AB231" s="281">
        <v>0.85</v>
      </c>
      <c r="AC231" s="281">
        <v>0.85</v>
      </c>
      <c r="AD231" s="281">
        <v>0.85</v>
      </c>
      <c r="AE231" s="281">
        <v>0.85</v>
      </c>
      <c r="AF231" s="281">
        <v>0.85</v>
      </c>
      <c r="AG231" s="281">
        <v>0.85</v>
      </c>
      <c r="AH231" s="281">
        <v>0.65</v>
      </c>
      <c r="AI231" s="281">
        <v>0.65</v>
      </c>
      <c r="AJ231" s="281">
        <v>0.65</v>
      </c>
      <c r="AK231" s="281">
        <v>0.65</v>
      </c>
      <c r="AL231" s="281">
        <v>0.65</v>
      </c>
      <c r="AM231" s="281">
        <v>0.65</v>
      </c>
      <c r="AN231" s="281">
        <v>0.65</v>
      </c>
      <c r="AO231" s="281">
        <v>0.65</v>
      </c>
      <c r="AP231" s="281">
        <v>0.65</v>
      </c>
      <c r="AQ231" s="281">
        <v>0.65</v>
      </c>
      <c r="AR231" s="281">
        <v>0.65</v>
      </c>
      <c r="AS231" s="281">
        <v>0.65</v>
      </c>
      <c r="AT231" s="281">
        <v>0.5</v>
      </c>
      <c r="AU231" s="281">
        <v>0.5</v>
      </c>
      <c r="AV231" s="281">
        <v>0.5</v>
      </c>
      <c r="AW231" s="281">
        <v>0.5</v>
      </c>
      <c r="AX231" s="281">
        <v>0.5</v>
      </c>
      <c r="AY231" s="281">
        <v>0.5</v>
      </c>
      <c r="AZ231" s="281">
        <v>0.5</v>
      </c>
      <c r="BA231" s="281">
        <v>0.5</v>
      </c>
      <c r="BB231" s="281">
        <v>0.5</v>
      </c>
      <c r="BC231" s="281">
        <v>0.5</v>
      </c>
      <c r="BD231" s="281">
        <v>0.5</v>
      </c>
      <c r="BE231" s="281">
        <v>0.5</v>
      </c>
      <c r="BF231" s="281">
        <v>0.5</v>
      </c>
      <c r="BG231" s="281">
        <v>0.3</v>
      </c>
      <c r="BH231" s="281">
        <v>0.3</v>
      </c>
      <c r="BI231" s="281">
        <v>0.3</v>
      </c>
      <c r="BJ231" s="281">
        <v>0.3</v>
      </c>
      <c r="BK231" s="281">
        <v>0.3</v>
      </c>
      <c r="BL231" s="281">
        <v>0.3</v>
      </c>
      <c r="BM231" s="281">
        <v>0.3</v>
      </c>
      <c r="BN231" s="281">
        <v>0.3</v>
      </c>
      <c r="BO231" s="281">
        <v>0.3</v>
      </c>
      <c r="BP231" s="281">
        <v>0.3</v>
      </c>
      <c r="BQ231" s="281">
        <v>0.3</v>
      </c>
      <c r="BR231" s="286">
        <v>0</v>
      </c>
    </row>
    <row r="232" spans="1:70" ht="14.25" customHeight="1" x14ac:dyDescent="0.35">
      <c r="A232" s="4" t="s">
        <v>442</v>
      </c>
      <c r="B232" s="384">
        <v>197.02682352818178</v>
      </c>
      <c r="C232" s="385"/>
      <c r="D232" s="41" t="s">
        <v>103</v>
      </c>
      <c r="E232" s="93">
        <v>0</v>
      </c>
      <c r="F232" s="93">
        <v>2025</v>
      </c>
      <c r="G232" s="93">
        <v>2050</v>
      </c>
      <c r="I232" s="41" t="s">
        <v>103</v>
      </c>
      <c r="J232" s="281">
        <v>0.85</v>
      </c>
      <c r="K232" s="281">
        <v>0.85</v>
      </c>
      <c r="L232" s="281">
        <v>0.85</v>
      </c>
      <c r="M232" s="281">
        <v>0.85</v>
      </c>
      <c r="N232" s="281">
        <v>0.85</v>
      </c>
      <c r="O232" s="281">
        <v>0.85</v>
      </c>
      <c r="P232" s="281">
        <v>0.85</v>
      </c>
      <c r="Q232" s="281">
        <v>0.85</v>
      </c>
      <c r="R232" s="281">
        <v>0.85</v>
      </c>
      <c r="S232" s="281">
        <v>0.85</v>
      </c>
      <c r="T232" s="281">
        <v>0.85</v>
      </c>
      <c r="U232" s="281">
        <v>0.85</v>
      </c>
      <c r="V232" s="281">
        <v>0.85</v>
      </c>
      <c r="W232" s="281">
        <v>0.85</v>
      </c>
      <c r="X232" s="281">
        <v>0.85</v>
      </c>
      <c r="Y232" s="281">
        <v>0.85</v>
      </c>
      <c r="Z232" s="281">
        <v>0.85</v>
      </c>
      <c r="AA232" s="281">
        <v>0.85</v>
      </c>
      <c r="AB232" s="281">
        <v>0.85</v>
      </c>
      <c r="AC232" s="281">
        <v>0.85</v>
      </c>
      <c r="AD232" s="281">
        <v>0.85</v>
      </c>
      <c r="AE232" s="281">
        <v>0.85</v>
      </c>
      <c r="AF232" s="281">
        <v>0.85</v>
      </c>
      <c r="AG232" s="281">
        <v>0.85</v>
      </c>
      <c r="AH232" s="281">
        <v>0.65</v>
      </c>
      <c r="AI232" s="281">
        <v>0.65</v>
      </c>
      <c r="AJ232" s="281">
        <v>0.65</v>
      </c>
      <c r="AK232" s="281">
        <v>0.65</v>
      </c>
      <c r="AL232" s="281">
        <v>0.65</v>
      </c>
      <c r="AM232" s="281">
        <v>0.65</v>
      </c>
      <c r="AN232" s="281">
        <v>0.65</v>
      </c>
      <c r="AO232" s="281">
        <v>0.65</v>
      </c>
      <c r="AP232" s="281">
        <v>0.65</v>
      </c>
      <c r="AQ232" s="281">
        <v>0.65</v>
      </c>
      <c r="AR232" s="281">
        <v>0.65</v>
      </c>
      <c r="AS232" s="281">
        <v>0.65</v>
      </c>
      <c r="AT232" s="281">
        <v>0.5</v>
      </c>
      <c r="AU232" s="281">
        <v>0.5</v>
      </c>
      <c r="AV232" s="281">
        <v>0.5</v>
      </c>
      <c r="AW232" s="281">
        <v>0.5</v>
      </c>
      <c r="AX232" s="281">
        <v>0.5</v>
      </c>
      <c r="AY232" s="281">
        <v>0.5</v>
      </c>
      <c r="AZ232" s="281">
        <v>0.5</v>
      </c>
      <c r="BA232" s="281">
        <v>0.5</v>
      </c>
      <c r="BB232" s="281">
        <v>0.5</v>
      </c>
      <c r="BC232" s="281">
        <v>0.5</v>
      </c>
      <c r="BD232" s="281">
        <v>0.5</v>
      </c>
      <c r="BE232" s="281">
        <v>0.5</v>
      </c>
      <c r="BF232" s="281">
        <v>0.5</v>
      </c>
      <c r="BG232" s="281">
        <v>0.3</v>
      </c>
      <c r="BH232" s="281">
        <v>0.3</v>
      </c>
      <c r="BI232" s="281">
        <v>0.3</v>
      </c>
      <c r="BJ232" s="281">
        <v>0.3</v>
      </c>
      <c r="BK232" s="281">
        <v>0.3</v>
      </c>
      <c r="BL232" s="281">
        <v>0.3</v>
      </c>
      <c r="BM232" s="281">
        <v>0.3</v>
      </c>
      <c r="BN232" s="281">
        <v>0.3</v>
      </c>
      <c r="BO232" s="281">
        <v>0.3</v>
      </c>
      <c r="BP232" s="281">
        <v>0.3</v>
      </c>
      <c r="BQ232" s="281">
        <v>0.3</v>
      </c>
      <c r="BR232" s="286">
        <v>0</v>
      </c>
    </row>
    <row r="233" spans="1:70" ht="14.25" customHeight="1" x14ac:dyDescent="0.35">
      <c r="A233" s="4" t="s">
        <v>443</v>
      </c>
      <c r="B233" s="384">
        <v>197.02682352818178</v>
      </c>
      <c r="C233" s="385"/>
      <c r="D233" s="41" t="s">
        <v>104</v>
      </c>
      <c r="E233" s="93">
        <v>0</v>
      </c>
      <c r="F233" s="93">
        <v>2025</v>
      </c>
      <c r="G233" s="93">
        <v>2050</v>
      </c>
      <c r="I233" s="41" t="s">
        <v>104</v>
      </c>
      <c r="J233" s="281">
        <v>0.85</v>
      </c>
      <c r="K233" s="281">
        <v>0.85</v>
      </c>
      <c r="L233" s="281">
        <v>0.85</v>
      </c>
      <c r="M233" s="281">
        <v>0.85</v>
      </c>
      <c r="N233" s="281">
        <v>0.85</v>
      </c>
      <c r="O233" s="281">
        <v>0.85</v>
      </c>
      <c r="P233" s="281">
        <v>0.85</v>
      </c>
      <c r="Q233" s="281">
        <v>0.85</v>
      </c>
      <c r="R233" s="281">
        <v>0.85</v>
      </c>
      <c r="S233" s="281">
        <v>0.85</v>
      </c>
      <c r="T233" s="281">
        <v>0.85</v>
      </c>
      <c r="U233" s="281">
        <v>0.85</v>
      </c>
      <c r="V233" s="281">
        <v>0.85</v>
      </c>
      <c r="W233" s="281">
        <v>0.85</v>
      </c>
      <c r="X233" s="281">
        <v>0.85</v>
      </c>
      <c r="Y233" s="281">
        <v>0.85</v>
      </c>
      <c r="Z233" s="281">
        <v>0.85</v>
      </c>
      <c r="AA233" s="281">
        <v>0.85</v>
      </c>
      <c r="AB233" s="281">
        <v>0.85</v>
      </c>
      <c r="AC233" s="281">
        <v>0.85</v>
      </c>
      <c r="AD233" s="281">
        <v>0.85</v>
      </c>
      <c r="AE233" s="281">
        <v>0.85</v>
      </c>
      <c r="AF233" s="281">
        <v>0.85</v>
      </c>
      <c r="AG233" s="281">
        <v>0.85</v>
      </c>
      <c r="AH233" s="281">
        <v>0.65</v>
      </c>
      <c r="AI233" s="281">
        <v>0.65</v>
      </c>
      <c r="AJ233" s="281">
        <v>0.65</v>
      </c>
      <c r="AK233" s="281">
        <v>0.65</v>
      </c>
      <c r="AL233" s="281">
        <v>0.65</v>
      </c>
      <c r="AM233" s="281">
        <v>0.65</v>
      </c>
      <c r="AN233" s="281">
        <v>0.65</v>
      </c>
      <c r="AO233" s="281">
        <v>0.65</v>
      </c>
      <c r="AP233" s="281">
        <v>0.65</v>
      </c>
      <c r="AQ233" s="281">
        <v>0.65</v>
      </c>
      <c r="AR233" s="281">
        <v>0.65</v>
      </c>
      <c r="AS233" s="281">
        <v>0.65</v>
      </c>
      <c r="AT233" s="281">
        <v>0.5</v>
      </c>
      <c r="AU233" s="281">
        <v>0.5</v>
      </c>
      <c r="AV233" s="281">
        <v>0.5</v>
      </c>
      <c r="AW233" s="281">
        <v>0.5</v>
      </c>
      <c r="AX233" s="281">
        <v>0.5</v>
      </c>
      <c r="AY233" s="281">
        <v>0.5</v>
      </c>
      <c r="AZ233" s="281">
        <v>0.5</v>
      </c>
      <c r="BA233" s="281">
        <v>0.5</v>
      </c>
      <c r="BB233" s="281">
        <v>0.5</v>
      </c>
      <c r="BC233" s="281">
        <v>0.5</v>
      </c>
      <c r="BD233" s="281">
        <v>0.5</v>
      </c>
      <c r="BE233" s="281">
        <v>0.5</v>
      </c>
      <c r="BF233" s="281">
        <v>0.5</v>
      </c>
      <c r="BG233" s="281">
        <v>0.3</v>
      </c>
      <c r="BH233" s="281">
        <v>0.3</v>
      </c>
      <c r="BI233" s="281">
        <v>0.3</v>
      </c>
      <c r="BJ233" s="281">
        <v>0.3</v>
      </c>
      <c r="BK233" s="281">
        <v>0.3</v>
      </c>
      <c r="BL233" s="281">
        <v>0.3</v>
      </c>
      <c r="BM233" s="281">
        <v>0.3</v>
      </c>
      <c r="BN233" s="281">
        <v>0.3</v>
      </c>
      <c r="BO233" s="281">
        <v>0.3</v>
      </c>
      <c r="BP233" s="281">
        <v>0.3</v>
      </c>
      <c r="BQ233" s="281">
        <v>0.3</v>
      </c>
      <c r="BR233" s="286">
        <v>0</v>
      </c>
    </row>
    <row r="234" spans="1:70" ht="14.25" customHeight="1" x14ac:dyDescent="0.35">
      <c r="A234" s="4" t="s">
        <v>444</v>
      </c>
      <c r="B234" s="384">
        <v>197.02682352818178</v>
      </c>
      <c r="C234" s="385"/>
      <c r="D234" s="41" t="s">
        <v>105</v>
      </c>
      <c r="E234" s="93">
        <v>0</v>
      </c>
      <c r="F234" s="93">
        <v>2025</v>
      </c>
      <c r="G234" s="93">
        <v>2050</v>
      </c>
      <c r="I234" s="41" t="s">
        <v>105</v>
      </c>
      <c r="J234" s="281">
        <v>0.85</v>
      </c>
      <c r="K234" s="281">
        <v>0.85</v>
      </c>
      <c r="L234" s="281">
        <v>0.85</v>
      </c>
      <c r="M234" s="281">
        <v>0.85</v>
      </c>
      <c r="N234" s="281">
        <v>0.85</v>
      </c>
      <c r="O234" s="281">
        <v>0.85</v>
      </c>
      <c r="P234" s="281">
        <v>0.85</v>
      </c>
      <c r="Q234" s="281">
        <v>0.85</v>
      </c>
      <c r="R234" s="281">
        <v>0.85</v>
      </c>
      <c r="S234" s="281">
        <v>0.85</v>
      </c>
      <c r="T234" s="281">
        <v>0.85</v>
      </c>
      <c r="U234" s="281">
        <v>0.85</v>
      </c>
      <c r="V234" s="281">
        <v>0.85</v>
      </c>
      <c r="W234" s="281">
        <v>0.85</v>
      </c>
      <c r="X234" s="281">
        <v>0.85</v>
      </c>
      <c r="Y234" s="281">
        <v>0.85</v>
      </c>
      <c r="Z234" s="281">
        <v>0.85</v>
      </c>
      <c r="AA234" s="281">
        <v>0.85</v>
      </c>
      <c r="AB234" s="281">
        <v>0.85</v>
      </c>
      <c r="AC234" s="281">
        <v>0.85</v>
      </c>
      <c r="AD234" s="281">
        <v>0.85</v>
      </c>
      <c r="AE234" s="281">
        <v>0.85</v>
      </c>
      <c r="AF234" s="281">
        <v>0.85</v>
      </c>
      <c r="AG234" s="281">
        <v>0.85</v>
      </c>
      <c r="AH234" s="281">
        <v>0.65</v>
      </c>
      <c r="AI234" s="281">
        <v>0.65</v>
      </c>
      <c r="AJ234" s="281">
        <v>0.65</v>
      </c>
      <c r="AK234" s="281">
        <v>0.65</v>
      </c>
      <c r="AL234" s="281">
        <v>0.65</v>
      </c>
      <c r="AM234" s="281">
        <v>0.65</v>
      </c>
      <c r="AN234" s="281">
        <v>0.65</v>
      </c>
      <c r="AO234" s="281">
        <v>0.65</v>
      </c>
      <c r="AP234" s="281">
        <v>0.65</v>
      </c>
      <c r="AQ234" s="281">
        <v>0.65</v>
      </c>
      <c r="AR234" s="281">
        <v>0.65</v>
      </c>
      <c r="AS234" s="281">
        <v>0.65</v>
      </c>
      <c r="AT234" s="281">
        <v>0.5</v>
      </c>
      <c r="AU234" s="281">
        <v>0.5</v>
      </c>
      <c r="AV234" s="281">
        <v>0.5</v>
      </c>
      <c r="AW234" s="281">
        <v>0.5</v>
      </c>
      <c r="AX234" s="281">
        <v>0.5</v>
      </c>
      <c r="AY234" s="281">
        <v>0.5</v>
      </c>
      <c r="AZ234" s="281">
        <v>0.5</v>
      </c>
      <c r="BA234" s="281">
        <v>0.5</v>
      </c>
      <c r="BB234" s="281">
        <v>0.5</v>
      </c>
      <c r="BC234" s="281">
        <v>0.5</v>
      </c>
      <c r="BD234" s="281">
        <v>0.5</v>
      </c>
      <c r="BE234" s="281">
        <v>0.5</v>
      </c>
      <c r="BF234" s="281">
        <v>0.5</v>
      </c>
      <c r="BG234" s="281">
        <v>0.3</v>
      </c>
      <c r="BH234" s="281">
        <v>0.3</v>
      </c>
      <c r="BI234" s="281">
        <v>0.3</v>
      </c>
      <c r="BJ234" s="281">
        <v>0.3</v>
      </c>
      <c r="BK234" s="281">
        <v>0.3</v>
      </c>
      <c r="BL234" s="281">
        <v>0.3</v>
      </c>
      <c r="BM234" s="281">
        <v>0.3</v>
      </c>
      <c r="BN234" s="281">
        <v>0.3</v>
      </c>
      <c r="BO234" s="281">
        <v>0.3</v>
      </c>
      <c r="BP234" s="281">
        <v>0.3</v>
      </c>
      <c r="BQ234" s="281">
        <v>0.3</v>
      </c>
      <c r="BR234" s="286">
        <v>0</v>
      </c>
    </row>
    <row r="235" spans="1:70" ht="14.25" customHeight="1" x14ac:dyDescent="0.35">
      <c r="A235" s="4" t="s">
        <v>445</v>
      </c>
      <c r="B235" s="384">
        <v>197.02682352818178</v>
      </c>
      <c r="C235" s="385"/>
      <c r="D235" s="41" t="s">
        <v>106</v>
      </c>
      <c r="E235" s="93">
        <v>0</v>
      </c>
      <c r="F235" s="93">
        <v>2025</v>
      </c>
      <c r="G235" s="93">
        <v>2050</v>
      </c>
      <c r="I235" s="41" t="s">
        <v>106</v>
      </c>
      <c r="J235" s="281">
        <v>0.85</v>
      </c>
      <c r="K235" s="281">
        <v>0.85</v>
      </c>
      <c r="L235" s="281">
        <v>0.85</v>
      </c>
      <c r="M235" s="281">
        <v>0.85</v>
      </c>
      <c r="N235" s="281">
        <v>0.85</v>
      </c>
      <c r="O235" s="281">
        <v>0.85</v>
      </c>
      <c r="P235" s="281">
        <v>0.85</v>
      </c>
      <c r="Q235" s="281">
        <v>0.85</v>
      </c>
      <c r="R235" s="281">
        <v>0.85</v>
      </c>
      <c r="S235" s="281">
        <v>0.85</v>
      </c>
      <c r="T235" s="281">
        <v>0.85</v>
      </c>
      <c r="U235" s="281">
        <v>0.85</v>
      </c>
      <c r="V235" s="281">
        <v>0.85</v>
      </c>
      <c r="W235" s="281">
        <v>0.85</v>
      </c>
      <c r="X235" s="281">
        <v>0.85</v>
      </c>
      <c r="Y235" s="281">
        <v>0.85</v>
      </c>
      <c r="Z235" s="281">
        <v>0.85</v>
      </c>
      <c r="AA235" s="281">
        <v>0.85</v>
      </c>
      <c r="AB235" s="281">
        <v>0.85</v>
      </c>
      <c r="AC235" s="281">
        <v>0.85</v>
      </c>
      <c r="AD235" s="281">
        <v>0.85</v>
      </c>
      <c r="AE235" s="281">
        <v>0.85</v>
      </c>
      <c r="AF235" s="281">
        <v>0.85</v>
      </c>
      <c r="AG235" s="281">
        <v>0.85</v>
      </c>
      <c r="AH235" s="281">
        <v>0.65</v>
      </c>
      <c r="AI235" s="281">
        <v>0.65</v>
      </c>
      <c r="AJ235" s="281">
        <v>0.65</v>
      </c>
      <c r="AK235" s="281">
        <v>0.65</v>
      </c>
      <c r="AL235" s="281">
        <v>0.65</v>
      </c>
      <c r="AM235" s="281">
        <v>0.65</v>
      </c>
      <c r="AN235" s="281">
        <v>0.65</v>
      </c>
      <c r="AO235" s="281">
        <v>0.65</v>
      </c>
      <c r="AP235" s="281">
        <v>0.65</v>
      </c>
      <c r="AQ235" s="281">
        <v>0.65</v>
      </c>
      <c r="AR235" s="281">
        <v>0.65</v>
      </c>
      <c r="AS235" s="281">
        <v>0.65</v>
      </c>
      <c r="AT235" s="281">
        <v>0.5</v>
      </c>
      <c r="AU235" s="281">
        <v>0.5</v>
      </c>
      <c r="AV235" s="281">
        <v>0.5</v>
      </c>
      <c r="AW235" s="281">
        <v>0.5</v>
      </c>
      <c r="AX235" s="281">
        <v>0.5</v>
      </c>
      <c r="AY235" s="281">
        <v>0.5</v>
      </c>
      <c r="AZ235" s="281">
        <v>0.5</v>
      </c>
      <c r="BA235" s="281">
        <v>0.5</v>
      </c>
      <c r="BB235" s="281">
        <v>0.5</v>
      </c>
      <c r="BC235" s="281">
        <v>0.5</v>
      </c>
      <c r="BD235" s="281">
        <v>0.5</v>
      </c>
      <c r="BE235" s="281">
        <v>0.5</v>
      </c>
      <c r="BF235" s="281">
        <v>0.5</v>
      </c>
      <c r="BG235" s="281">
        <v>0.3</v>
      </c>
      <c r="BH235" s="281">
        <v>0.3</v>
      </c>
      <c r="BI235" s="281">
        <v>0.3</v>
      </c>
      <c r="BJ235" s="281">
        <v>0.3</v>
      </c>
      <c r="BK235" s="281">
        <v>0.3</v>
      </c>
      <c r="BL235" s="281">
        <v>0.3</v>
      </c>
      <c r="BM235" s="281">
        <v>0.3</v>
      </c>
      <c r="BN235" s="281">
        <v>0.3</v>
      </c>
      <c r="BO235" s="281">
        <v>0.3</v>
      </c>
      <c r="BP235" s="281">
        <v>0.3</v>
      </c>
      <c r="BQ235" s="281">
        <v>0.3</v>
      </c>
      <c r="BR235" s="286">
        <v>0</v>
      </c>
    </row>
    <row r="236" spans="1:70" ht="14.25" customHeight="1" x14ac:dyDescent="0.35">
      <c r="A236" s="4" t="s">
        <v>446</v>
      </c>
      <c r="B236" s="384">
        <v>197.02682352818178</v>
      </c>
      <c r="C236" s="385"/>
      <c r="D236" s="41" t="s">
        <v>107</v>
      </c>
      <c r="E236" s="93">
        <v>0</v>
      </c>
      <c r="F236" s="93">
        <v>2025</v>
      </c>
      <c r="G236" s="93">
        <v>2050</v>
      </c>
      <c r="I236" s="41" t="s">
        <v>107</v>
      </c>
      <c r="J236" s="281">
        <v>0.85</v>
      </c>
      <c r="K236" s="281">
        <v>0.85</v>
      </c>
      <c r="L236" s="281">
        <v>0.85</v>
      </c>
      <c r="M236" s="281">
        <v>0.85</v>
      </c>
      <c r="N236" s="281">
        <v>0.85</v>
      </c>
      <c r="O236" s="281">
        <v>0.85</v>
      </c>
      <c r="P236" s="281">
        <v>0.85</v>
      </c>
      <c r="Q236" s="281">
        <v>0.85</v>
      </c>
      <c r="R236" s="281">
        <v>0.85</v>
      </c>
      <c r="S236" s="281">
        <v>0.85</v>
      </c>
      <c r="T236" s="281">
        <v>0.85</v>
      </c>
      <c r="U236" s="281">
        <v>0.85</v>
      </c>
      <c r="V236" s="281">
        <v>0.85</v>
      </c>
      <c r="W236" s="281">
        <v>0.85</v>
      </c>
      <c r="X236" s="281">
        <v>0.85</v>
      </c>
      <c r="Y236" s="281">
        <v>0.85</v>
      </c>
      <c r="Z236" s="281">
        <v>0.85</v>
      </c>
      <c r="AA236" s="281">
        <v>0.85</v>
      </c>
      <c r="AB236" s="281">
        <v>0.85</v>
      </c>
      <c r="AC236" s="281">
        <v>0.85</v>
      </c>
      <c r="AD236" s="281">
        <v>0.85</v>
      </c>
      <c r="AE236" s="281">
        <v>0.85</v>
      </c>
      <c r="AF236" s="281">
        <v>0.85</v>
      </c>
      <c r="AG236" s="281">
        <v>0.85</v>
      </c>
      <c r="AH236" s="281">
        <v>0.65</v>
      </c>
      <c r="AI236" s="281">
        <v>0.65</v>
      </c>
      <c r="AJ236" s="281">
        <v>0.65</v>
      </c>
      <c r="AK236" s="281">
        <v>0.65</v>
      </c>
      <c r="AL236" s="281">
        <v>0.65</v>
      </c>
      <c r="AM236" s="281">
        <v>0.65</v>
      </c>
      <c r="AN236" s="281">
        <v>0.65</v>
      </c>
      <c r="AO236" s="281">
        <v>0.65</v>
      </c>
      <c r="AP236" s="281">
        <v>0.65</v>
      </c>
      <c r="AQ236" s="281">
        <v>0.65</v>
      </c>
      <c r="AR236" s="281">
        <v>0.65</v>
      </c>
      <c r="AS236" s="281">
        <v>0.65</v>
      </c>
      <c r="AT236" s="281">
        <v>0.5</v>
      </c>
      <c r="AU236" s="281">
        <v>0.5</v>
      </c>
      <c r="AV236" s="281">
        <v>0.5</v>
      </c>
      <c r="AW236" s="281">
        <v>0.5</v>
      </c>
      <c r="AX236" s="281">
        <v>0.5</v>
      </c>
      <c r="AY236" s="281">
        <v>0.5</v>
      </c>
      <c r="AZ236" s="281">
        <v>0.5</v>
      </c>
      <c r="BA236" s="281">
        <v>0.5</v>
      </c>
      <c r="BB236" s="281">
        <v>0.5</v>
      </c>
      <c r="BC236" s="281">
        <v>0.5</v>
      </c>
      <c r="BD236" s="281">
        <v>0.5</v>
      </c>
      <c r="BE236" s="281">
        <v>0.5</v>
      </c>
      <c r="BF236" s="281">
        <v>0.5</v>
      </c>
      <c r="BG236" s="281">
        <v>0.3</v>
      </c>
      <c r="BH236" s="281">
        <v>0.3</v>
      </c>
      <c r="BI236" s="281">
        <v>0.3</v>
      </c>
      <c r="BJ236" s="281">
        <v>0.3</v>
      </c>
      <c r="BK236" s="281">
        <v>0.3</v>
      </c>
      <c r="BL236" s="281">
        <v>0.3</v>
      </c>
      <c r="BM236" s="281">
        <v>0.3</v>
      </c>
      <c r="BN236" s="281">
        <v>0.3</v>
      </c>
      <c r="BO236" s="281">
        <v>0.3</v>
      </c>
      <c r="BP236" s="281">
        <v>0.3</v>
      </c>
      <c r="BQ236" s="281">
        <v>0.3</v>
      </c>
      <c r="BR236" s="286">
        <v>0</v>
      </c>
    </row>
    <row r="237" spans="1:70" ht="14.25" customHeight="1" x14ac:dyDescent="0.35">
      <c r="A237" s="4" t="s">
        <v>447</v>
      </c>
      <c r="B237" s="384">
        <v>197.02682352818178</v>
      </c>
      <c r="C237" s="385"/>
      <c r="D237" s="41" t="s">
        <v>108</v>
      </c>
      <c r="E237" s="93">
        <v>0</v>
      </c>
      <c r="F237" s="93">
        <v>2025</v>
      </c>
      <c r="G237" s="93">
        <v>2050</v>
      </c>
      <c r="I237" s="41" t="s">
        <v>108</v>
      </c>
      <c r="J237" s="286">
        <v>0</v>
      </c>
      <c r="K237" s="286">
        <v>0</v>
      </c>
      <c r="L237" s="286">
        <v>0</v>
      </c>
      <c r="M237" s="286">
        <v>0</v>
      </c>
      <c r="N237" s="286">
        <v>0</v>
      </c>
      <c r="O237" s="286">
        <v>0</v>
      </c>
      <c r="P237" s="286">
        <v>0</v>
      </c>
      <c r="Q237" s="286">
        <v>0</v>
      </c>
      <c r="R237" s="286">
        <v>0</v>
      </c>
      <c r="S237" s="286">
        <v>0</v>
      </c>
      <c r="T237" s="286">
        <v>0</v>
      </c>
      <c r="U237" s="286">
        <v>0</v>
      </c>
      <c r="V237" s="286">
        <v>0</v>
      </c>
      <c r="W237" s="286">
        <v>0</v>
      </c>
      <c r="X237" s="286">
        <v>0</v>
      </c>
      <c r="Y237" s="286">
        <v>0</v>
      </c>
      <c r="Z237" s="286">
        <v>0</v>
      </c>
      <c r="AA237" s="286">
        <v>0</v>
      </c>
      <c r="AB237" s="286">
        <v>0</v>
      </c>
      <c r="AC237" s="286">
        <v>0</v>
      </c>
      <c r="AD237" s="286">
        <v>0</v>
      </c>
      <c r="AE237" s="286">
        <v>0</v>
      </c>
      <c r="AF237" s="286">
        <v>0</v>
      </c>
      <c r="AG237" s="286">
        <v>0</v>
      </c>
      <c r="AH237" s="286">
        <v>0</v>
      </c>
      <c r="AI237" s="286">
        <v>0</v>
      </c>
      <c r="AJ237" s="286">
        <v>0</v>
      </c>
      <c r="AK237" s="286">
        <v>0</v>
      </c>
      <c r="AL237" s="286">
        <v>0</v>
      </c>
      <c r="AM237" s="286">
        <v>0</v>
      </c>
      <c r="AN237" s="286">
        <v>0</v>
      </c>
      <c r="AO237" s="286">
        <v>0</v>
      </c>
      <c r="AP237" s="286">
        <v>0</v>
      </c>
      <c r="AQ237" s="286">
        <v>0</v>
      </c>
      <c r="AR237" s="286">
        <v>0</v>
      </c>
      <c r="AS237" s="286">
        <v>0</v>
      </c>
      <c r="AT237" s="286">
        <v>0</v>
      </c>
      <c r="AU237" s="286">
        <v>0</v>
      </c>
      <c r="AV237" s="286">
        <v>0</v>
      </c>
      <c r="AW237" s="286">
        <v>0</v>
      </c>
      <c r="AX237" s="286">
        <v>0</v>
      </c>
      <c r="AY237" s="286">
        <v>0</v>
      </c>
      <c r="AZ237" s="286">
        <v>0</v>
      </c>
      <c r="BA237" s="286">
        <v>0</v>
      </c>
      <c r="BB237" s="286">
        <v>0</v>
      </c>
      <c r="BC237" s="286">
        <v>0</v>
      </c>
      <c r="BD237" s="286">
        <v>0</v>
      </c>
      <c r="BE237" s="286">
        <v>0</v>
      </c>
      <c r="BF237" s="286">
        <v>0</v>
      </c>
      <c r="BG237" s="286">
        <v>0</v>
      </c>
      <c r="BH237" s="286">
        <v>0</v>
      </c>
      <c r="BI237" s="286">
        <v>0</v>
      </c>
      <c r="BJ237" s="286">
        <v>0</v>
      </c>
      <c r="BK237" s="286">
        <v>0</v>
      </c>
      <c r="BL237" s="286">
        <v>0</v>
      </c>
      <c r="BM237" s="286">
        <v>0</v>
      </c>
      <c r="BN237" s="286">
        <v>0</v>
      </c>
      <c r="BO237" s="286">
        <v>0</v>
      </c>
      <c r="BP237" s="286">
        <v>0</v>
      </c>
      <c r="BQ237" s="286">
        <v>0</v>
      </c>
      <c r="BR237" s="281">
        <v>0.65</v>
      </c>
    </row>
    <row r="238" spans="1:70" ht="14.25" customHeight="1" x14ac:dyDescent="0.35">
      <c r="A238" s="4" t="s">
        <v>448</v>
      </c>
      <c r="B238" s="384">
        <v>197.02682352818178</v>
      </c>
      <c r="C238" s="385"/>
      <c r="D238" s="41" t="s">
        <v>109</v>
      </c>
      <c r="E238" s="93">
        <v>0</v>
      </c>
      <c r="F238" s="93">
        <v>2025</v>
      </c>
      <c r="G238" s="93">
        <v>2050</v>
      </c>
      <c r="I238" s="41" t="s">
        <v>109</v>
      </c>
      <c r="J238" s="281">
        <v>0.85</v>
      </c>
      <c r="K238" s="281">
        <v>0.85</v>
      </c>
      <c r="L238" s="281">
        <v>0.85</v>
      </c>
      <c r="M238" s="281">
        <v>0.85</v>
      </c>
      <c r="N238" s="281">
        <v>0.85</v>
      </c>
      <c r="O238" s="281">
        <v>0.85</v>
      </c>
      <c r="P238" s="281">
        <v>0.85</v>
      </c>
      <c r="Q238" s="281">
        <v>0.85</v>
      </c>
      <c r="R238" s="281">
        <v>0.85</v>
      </c>
      <c r="S238" s="281">
        <v>0.85</v>
      </c>
      <c r="T238" s="281">
        <v>0.85</v>
      </c>
      <c r="U238" s="281">
        <v>0.85</v>
      </c>
      <c r="V238" s="281">
        <v>0.85</v>
      </c>
      <c r="W238" s="281">
        <v>0.85</v>
      </c>
      <c r="X238" s="281">
        <v>0.85</v>
      </c>
      <c r="Y238" s="281">
        <v>0.85</v>
      </c>
      <c r="Z238" s="281">
        <v>0.85</v>
      </c>
      <c r="AA238" s="281">
        <v>0.85</v>
      </c>
      <c r="AB238" s="281">
        <v>0.85</v>
      </c>
      <c r="AC238" s="281">
        <v>0.85</v>
      </c>
      <c r="AD238" s="281">
        <v>0.85</v>
      </c>
      <c r="AE238" s="281">
        <v>0.85</v>
      </c>
      <c r="AF238" s="281">
        <v>0.85</v>
      </c>
      <c r="AG238" s="281">
        <v>0.85</v>
      </c>
      <c r="AH238" s="281">
        <v>0.65</v>
      </c>
      <c r="AI238" s="281">
        <v>0.65</v>
      </c>
      <c r="AJ238" s="281">
        <v>0.65</v>
      </c>
      <c r="AK238" s="281">
        <v>0.65</v>
      </c>
      <c r="AL238" s="281">
        <v>0.65</v>
      </c>
      <c r="AM238" s="281">
        <v>0.65</v>
      </c>
      <c r="AN238" s="281">
        <v>0.65</v>
      </c>
      <c r="AO238" s="281">
        <v>0.65</v>
      </c>
      <c r="AP238" s="281">
        <v>0.65</v>
      </c>
      <c r="AQ238" s="281">
        <v>0.65</v>
      </c>
      <c r="AR238" s="281">
        <v>0.65</v>
      </c>
      <c r="AS238" s="281">
        <v>0.65</v>
      </c>
      <c r="AT238" s="281">
        <v>0.5</v>
      </c>
      <c r="AU238" s="281">
        <v>0.5</v>
      </c>
      <c r="AV238" s="281">
        <v>0.5</v>
      </c>
      <c r="AW238" s="281">
        <v>0.5</v>
      </c>
      <c r="AX238" s="281">
        <v>0.5</v>
      </c>
      <c r="AY238" s="281">
        <v>0.5</v>
      </c>
      <c r="AZ238" s="281">
        <v>0.5</v>
      </c>
      <c r="BA238" s="281">
        <v>0.5</v>
      </c>
      <c r="BB238" s="281">
        <v>0.5</v>
      </c>
      <c r="BC238" s="281">
        <v>0.5</v>
      </c>
      <c r="BD238" s="281">
        <v>0.5</v>
      </c>
      <c r="BE238" s="281">
        <v>0.5</v>
      </c>
      <c r="BF238" s="281">
        <v>0.5</v>
      </c>
      <c r="BG238" s="281">
        <v>0.3</v>
      </c>
      <c r="BH238" s="281">
        <v>0.3</v>
      </c>
      <c r="BI238" s="281">
        <v>0.3</v>
      </c>
      <c r="BJ238" s="281">
        <v>0.3</v>
      </c>
      <c r="BK238" s="281">
        <v>0.3</v>
      </c>
      <c r="BL238" s="281">
        <v>0.3</v>
      </c>
      <c r="BM238" s="281">
        <v>0.3</v>
      </c>
      <c r="BN238" s="281">
        <v>0.3</v>
      </c>
      <c r="BO238" s="281">
        <v>0.3</v>
      </c>
      <c r="BP238" s="281">
        <v>0.3</v>
      </c>
      <c r="BQ238" s="281">
        <v>0.3</v>
      </c>
      <c r="BR238" s="286">
        <v>0</v>
      </c>
    </row>
    <row r="239" spans="1:70" ht="14.25" customHeight="1" x14ac:dyDescent="0.35">
      <c r="A239" s="4" t="s">
        <v>449</v>
      </c>
      <c r="B239" s="384">
        <v>197.02682352818178</v>
      </c>
      <c r="C239" s="385"/>
      <c r="D239" s="41" t="s">
        <v>229</v>
      </c>
      <c r="E239" s="93">
        <v>0</v>
      </c>
      <c r="F239" s="93">
        <v>2025</v>
      </c>
      <c r="G239" s="93">
        <v>2050</v>
      </c>
      <c r="I239" s="41" t="s">
        <v>229</v>
      </c>
      <c r="J239" s="281">
        <v>0.85</v>
      </c>
      <c r="K239" s="281">
        <v>0.85</v>
      </c>
      <c r="L239" s="281">
        <v>0.85</v>
      </c>
      <c r="M239" s="281">
        <v>0.85</v>
      </c>
      <c r="N239" s="281">
        <v>0.85</v>
      </c>
      <c r="O239" s="281">
        <v>0.85</v>
      </c>
      <c r="P239" s="281">
        <v>0.85</v>
      </c>
      <c r="Q239" s="281">
        <v>0.85</v>
      </c>
      <c r="R239" s="281">
        <v>0.85</v>
      </c>
      <c r="S239" s="281">
        <v>0.85</v>
      </c>
      <c r="T239" s="281">
        <v>0.85</v>
      </c>
      <c r="U239" s="281">
        <v>0.85</v>
      </c>
      <c r="V239" s="281">
        <v>0.85</v>
      </c>
      <c r="W239" s="281">
        <v>0.85</v>
      </c>
      <c r="X239" s="281">
        <v>0.85</v>
      </c>
      <c r="Y239" s="281">
        <v>0.85</v>
      </c>
      <c r="Z239" s="281">
        <v>0.85</v>
      </c>
      <c r="AA239" s="281">
        <v>0.85</v>
      </c>
      <c r="AB239" s="281">
        <v>0.85</v>
      </c>
      <c r="AC239" s="281">
        <v>0.85</v>
      </c>
      <c r="AD239" s="281">
        <v>0.85</v>
      </c>
      <c r="AE239" s="281">
        <v>0.85</v>
      </c>
      <c r="AF239" s="281">
        <v>0.85</v>
      </c>
      <c r="AG239" s="281">
        <v>0.85</v>
      </c>
      <c r="AH239" s="281">
        <v>0.65</v>
      </c>
      <c r="AI239" s="281">
        <v>0.65</v>
      </c>
      <c r="AJ239" s="281">
        <v>0.65</v>
      </c>
      <c r="AK239" s="281">
        <v>0.65</v>
      </c>
      <c r="AL239" s="281">
        <v>0.65</v>
      </c>
      <c r="AM239" s="281">
        <v>0.65</v>
      </c>
      <c r="AN239" s="281">
        <v>0.65</v>
      </c>
      <c r="AO239" s="281">
        <v>0.65</v>
      </c>
      <c r="AP239" s="281">
        <v>0.65</v>
      </c>
      <c r="AQ239" s="281">
        <v>0.65</v>
      </c>
      <c r="AR239" s="281">
        <v>0.65</v>
      </c>
      <c r="AS239" s="281">
        <v>0.65</v>
      </c>
      <c r="AT239" s="281">
        <v>0.5</v>
      </c>
      <c r="AU239" s="281">
        <v>0.5</v>
      </c>
      <c r="AV239" s="281">
        <v>0.5</v>
      </c>
      <c r="AW239" s="281">
        <v>0.5</v>
      </c>
      <c r="AX239" s="281">
        <v>0.5</v>
      </c>
      <c r="AY239" s="281">
        <v>0.5</v>
      </c>
      <c r="AZ239" s="281">
        <v>0.5</v>
      </c>
      <c r="BA239" s="281">
        <v>0.5</v>
      </c>
      <c r="BB239" s="281">
        <v>0.5</v>
      </c>
      <c r="BC239" s="281">
        <v>0.5</v>
      </c>
      <c r="BD239" s="281">
        <v>0.5</v>
      </c>
      <c r="BE239" s="281">
        <v>0.5</v>
      </c>
      <c r="BF239" s="281">
        <v>0.5</v>
      </c>
      <c r="BG239" s="281">
        <v>0.3</v>
      </c>
      <c r="BH239" s="281">
        <v>0.3</v>
      </c>
      <c r="BI239" s="281">
        <v>0.3</v>
      </c>
      <c r="BJ239" s="281">
        <v>0.3</v>
      </c>
      <c r="BK239" s="281">
        <v>0.3</v>
      </c>
      <c r="BL239" s="281">
        <v>0.3</v>
      </c>
      <c r="BM239" s="281">
        <v>0.3</v>
      </c>
      <c r="BN239" s="281">
        <v>0.3</v>
      </c>
      <c r="BO239" s="281">
        <v>0.3</v>
      </c>
      <c r="BP239" s="281">
        <v>0.3</v>
      </c>
      <c r="BQ239" s="281">
        <v>0.3</v>
      </c>
      <c r="BR239" s="286">
        <v>0</v>
      </c>
    </row>
    <row r="240" spans="1:70" ht="14.25" customHeight="1" x14ac:dyDescent="0.35">
      <c r="A240" s="4" t="s">
        <v>450</v>
      </c>
      <c r="B240" s="384">
        <v>197.02682352818178</v>
      </c>
      <c r="C240" s="385"/>
      <c r="D240" s="41" t="s">
        <v>111</v>
      </c>
      <c r="E240" s="93">
        <v>0</v>
      </c>
      <c r="F240" s="93">
        <v>2025</v>
      </c>
      <c r="G240" s="93">
        <v>2050</v>
      </c>
      <c r="I240" s="41" t="s">
        <v>111</v>
      </c>
      <c r="J240" s="281">
        <v>0.85</v>
      </c>
      <c r="K240" s="281">
        <v>0.85</v>
      </c>
      <c r="L240" s="281">
        <v>0.85</v>
      </c>
      <c r="M240" s="281">
        <v>0.85</v>
      </c>
      <c r="N240" s="281">
        <v>0.85</v>
      </c>
      <c r="O240" s="281">
        <v>0.85</v>
      </c>
      <c r="P240" s="281">
        <v>0.85</v>
      </c>
      <c r="Q240" s="281">
        <v>0.85</v>
      </c>
      <c r="R240" s="281">
        <v>0.85</v>
      </c>
      <c r="S240" s="281">
        <v>0.85</v>
      </c>
      <c r="T240" s="281">
        <v>0.85</v>
      </c>
      <c r="U240" s="281">
        <v>0.85</v>
      </c>
      <c r="V240" s="281">
        <v>0.85</v>
      </c>
      <c r="W240" s="281">
        <v>0.85</v>
      </c>
      <c r="X240" s="281">
        <v>0.85</v>
      </c>
      <c r="Y240" s="281">
        <v>0.85</v>
      </c>
      <c r="Z240" s="281">
        <v>0.85</v>
      </c>
      <c r="AA240" s="281">
        <v>0.85</v>
      </c>
      <c r="AB240" s="281">
        <v>0.85</v>
      </c>
      <c r="AC240" s="281">
        <v>0.85</v>
      </c>
      <c r="AD240" s="281">
        <v>0.85</v>
      </c>
      <c r="AE240" s="281">
        <v>0.85</v>
      </c>
      <c r="AF240" s="281">
        <v>0.85</v>
      </c>
      <c r="AG240" s="281">
        <v>0.85</v>
      </c>
      <c r="AH240" s="281">
        <v>0.65</v>
      </c>
      <c r="AI240" s="281">
        <v>0.65</v>
      </c>
      <c r="AJ240" s="281">
        <v>0.65</v>
      </c>
      <c r="AK240" s="281">
        <v>0.65</v>
      </c>
      <c r="AL240" s="281">
        <v>0.65</v>
      </c>
      <c r="AM240" s="281">
        <v>0.65</v>
      </c>
      <c r="AN240" s="281">
        <v>0.65</v>
      </c>
      <c r="AO240" s="281">
        <v>0.65</v>
      </c>
      <c r="AP240" s="281">
        <v>0.65</v>
      </c>
      <c r="AQ240" s="281">
        <v>0.65</v>
      </c>
      <c r="AR240" s="281">
        <v>0.65</v>
      </c>
      <c r="AS240" s="281">
        <v>0.65</v>
      </c>
      <c r="AT240" s="281">
        <v>0.5</v>
      </c>
      <c r="AU240" s="281">
        <v>0.5</v>
      </c>
      <c r="AV240" s="281">
        <v>0.5</v>
      </c>
      <c r="AW240" s="281">
        <v>0.5</v>
      </c>
      <c r="AX240" s="281">
        <v>0.5</v>
      </c>
      <c r="AY240" s="281">
        <v>0.5</v>
      </c>
      <c r="AZ240" s="281">
        <v>0.5</v>
      </c>
      <c r="BA240" s="281">
        <v>0.5</v>
      </c>
      <c r="BB240" s="281">
        <v>0.5</v>
      </c>
      <c r="BC240" s="281">
        <v>0.5</v>
      </c>
      <c r="BD240" s="281">
        <v>0.5</v>
      </c>
      <c r="BE240" s="281">
        <v>0.5</v>
      </c>
      <c r="BF240" s="281">
        <v>0.5</v>
      </c>
      <c r="BG240" s="281">
        <v>0.3</v>
      </c>
      <c r="BH240" s="281">
        <v>0.3</v>
      </c>
      <c r="BI240" s="281">
        <v>0.3</v>
      </c>
      <c r="BJ240" s="281">
        <v>0.3</v>
      </c>
      <c r="BK240" s="281">
        <v>0.3</v>
      </c>
      <c r="BL240" s="281">
        <v>0.3</v>
      </c>
      <c r="BM240" s="281">
        <v>0.3</v>
      </c>
      <c r="BN240" s="281">
        <v>0.3</v>
      </c>
      <c r="BO240" s="281">
        <v>0.3</v>
      </c>
      <c r="BP240" s="281">
        <v>0.3</v>
      </c>
      <c r="BQ240" s="281">
        <v>0.3</v>
      </c>
      <c r="BR240" s="286">
        <v>0</v>
      </c>
    </row>
    <row r="241" spans="1:70" ht="14.25" customHeight="1" x14ac:dyDescent="0.35">
      <c r="A241" s="4" t="s">
        <v>451</v>
      </c>
      <c r="B241" s="384">
        <v>197.02682352818178</v>
      </c>
      <c r="C241" s="385"/>
      <c r="D241" s="41" t="s">
        <v>112</v>
      </c>
      <c r="E241" s="93">
        <v>0</v>
      </c>
      <c r="F241" s="93">
        <v>2025</v>
      </c>
      <c r="G241" s="93">
        <v>2050</v>
      </c>
      <c r="I241" s="41" t="s">
        <v>112</v>
      </c>
      <c r="J241" s="286">
        <v>0</v>
      </c>
      <c r="K241" s="286">
        <v>0</v>
      </c>
      <c r="L241" s="286">
        <v>0</v>
      </c>
      <c r="M241" s="286">
        <v>0</v>
      </c>
      <c r="N241" s="286">
        <v>0</v>
      </c>
      <c r="O241" s="286">
        <v>0</v>
      </c>
      <c r="P241" s="286">
        <v>0</v>
      </c>
      <c r="Q241" s="286">
        <v>0</v>
      </c>
      <c r="R241" s="286">
        <v>0</v>
      </c>
      <c r="S241" s="286">
        <v>0</v>
      </c>
      <c r="T241" s="286">
        <v>0</v>
      </c>
      <c r="U241" s="286">
        <v>0</v>
      </c>
      <c r="V241" s="286">
        <v>0</v>
      </c>
      <c r="W241" s="286">
        <v>0</v>
      </c>
      <c r="X241" s="286">
        <v>0</v>
      </c>
      <c r="Y241" s="286">
        <v>0</v>
      </c>
      <c r="Z241" s="286">
        <v>0</v>
      </c>
      <c r="AA241" s="286">
        <v>0</v>
      </c>
      <c r="AB241" s="286">
        <v>0</v>
      </c>
      <c r="AC241" s="286">
        <v>0</v>
      </c>
      <c r="AD241" s="286">
        <v>0</v>
      </c>
      <c r="AE241" s="286">
        <v>0</v>
      </c>
      <c r="AF241" s="286">
        <v>0</v>
      </c>
      <c r="AG241" s="286">
        <v>0</v>
      </c>
      <c r="AH241" s="286">
        <v>0</v>
      </c>
      <c r="AI241" s="286">
        <v>0</v>
      </c>
      <c r="AJ241" s="286">
        <v>0</v>
      </c>
      <c r="AK241" s="286">
        <v>0</v>
      </c>
      <c r="AL241" s="286">
        <v>0</v>
      </c>
      <c r="AM241" s="286">
        <v>0</v>
      </c>
      <c r="AN241" s="286">
        <v>0</v>
      </c>
      <c r="AO241" s="286">
        <v>0</v>
      </c>
      <c r="AP241" s="286">
        <v>0</v>
      </c>
      <c r="AQ241" s="286">
        <v>0</v>
      </c>
      <c r="AR241" s="286">
        <v>0</v>
      </c>
      <c r="AS241" s="286">
        <v>0</v>
      </c>
      <c r="AT241" s="286">
        <v>0</v>
      </c>
      <c r="AU241" s="286">
        <v>0</v>
      </c>
      <c r="AV241" s="286">
        <v>0</v>
      </c>
      <c r="AW241" s="286">
        <v>0</v>
      </c>
      <c r="AX241" s="286">
        <v>0</v>
      </c>
      <c r="AY241" s="286">
        <v>0</v>
      </c>
      <c r="AZ241" s="286">
        <v>0</v>
      </c>
      <c r="BA241" s="286">
        <v>0</v>
      </c>
      <c r="BB241" s="286">
        <v>0</v>
      </c>
      <c r="BC241" s="286">
        <v>0</v>
      </c>
      <c r="BD241" s="286">
        <v>0</v>
      </c>
      <c r="BE241" s="286">
        <v>0</v>
      </c>
      <c r="BF241" s="286">
        <v>0</v>
      </c>
      <c r="BG241" s="286">
        <v>0</v>
      </c>
      <c r="BH241" s="286">
        <v>0</v>
      </c>
      <c r="BI241" s="286">
        <v>0</v>
      </c>
      <c r="BJ241" s="286">
        <v>0</v>
      </c>
      <c r="BK241" s="286">
        <v>0</v>
      </c>
      <c r="BL241" s="286">
        <v>0</v>
      </c>
      <c r="BM241" s="286">
        <v>0</v>
      </c>
      <c r="BN241" s="286">
        <v>0</v>
      </c>
      <c r="BO241" s="286">
        <v>0</v>
      </c>
      <c r="BP241" s="286">
        <v>0</v>
      </c>
      <c r="BQ241" s="286">
        <v>0</v>
      </c>
      <c r="BR241" s="281">
        <v>0.65</v>
      </c>
    </row>
    <row r="242" spans="1:70" ht="14.25" customHeight="1" x14ac:dyDescent="0.35">
      <c r="A242" s="4" t="s">
        <v>452</v>
      </c>
      <c r="B242" s="384">
        <v>197.02682352818178</v>
      </c>
      <c r="C242" s="385"/>
      <c r="D242" s="41" t="s">
        <v>113</v>
      </c>
      <c r="E242" s="93">
        <v>0</v>
      </c>
      <c r="F242" s="93">
        <v>2025</v>
      </c>
      <c r="G242" s="93">
        <v>2050</v>
      </c>
      <c r="I242" s="41" t="s">
        <v>113</v>
      </c>
      <c r="J242" s="286">
        <v>0</v>
      </c>
      <c r="K242" s="286">
        <v>0</v>
      </c>
      <c r="L242" s="286">
        <v>0</v>
      </c>
      <c r="M242" s="286">
        <v>0</v>
      </c>
      <c r="N242" s="286">
        <v>0</v>
      </c>
      <c r="O242" s="286">
        <v>0</v>
      </c>
      <c r="P242" s="286">
        <v>0</v>
      </c>
      <c r="Q242" s="286">
        <v>0</v>
      </c>
      <c r="R242" s="286">
        <v>0</v>
      </c>
      <c r="S242" s="286">
        <v>0</v>
      </c>
      <c r="T242" s="286">
        <v>0</v>
      </c>
      <c r="U242" s="286">
        <v>0</v>
      </c>
      <c r="V242" s="286">
        <v>0</v>
      </c>
      <c r="W242" s="286">
        <v>0</v>
      </c>
      <c r="X242" s="286">
        <v>0</v>
      </c>
      <c r="Y242" s="286">
        <v>0</v>
      </c>
      <c r="Z242" s="286">
        <v>0</v>
      </c>
      <c r="AA242" s="286">
        <v>0</v>
      </c>
      <c r="AB242" s="286">
        <v>0</v>
      </c>
      <c r="AC242" s="286">
        <v>0</v>
      </c>
      <c r="AD242" s="286">
        <v>0</v>
      </c>
      <c r="AE242" s="286">
        <v>0</v>
      </c>
      <c r="AF242" s="286">
        <v>0</v>
      </c>
      <c r="AG242" s="286">
        <v>0</v>
      </c>
      <c r="AH242" s="286">
        <v>0</v>
      </c>
      <c r="AI242" s="286">
        <v>0</v>
      </c>
      <c r="AJ242" s="286">
        <v>0</v>
      </c>
      <c r="AK242" s="286">
        <v>0</v>
      </c>
      <c r="AL242" s="286">
        <v>0</v>
      </c>
      <c r="AM242" s="286">
        <v>0</v>
      </c>
      <c r="AN242" s="286">
        <v>0</v>
      </c>
      <c r="AO242" s="286">
        <v>0</v>
      </c>
      <c r="AP242" s="286">
        <v>0</v>
      </c>
      <c r="AQ242" s="286">
        <v>0</v>
      </c>
      <c r="AR242" s="286">
        <v>0</v>
      </c>
      <c r="AS242" s="286">
        <v>0</v>
      </c>
      <c r="AT242" s="286">
        <v>0</v>
      </c>
      <c r="AU242" s="286">
        <v>0</v>
      </c>
      <c r="AV242" s="286">
        <v>0</v>
      </c>
      <c r="AW242" s="286">
        <v>0</v>
      </c>
      <c r="AX242" s="286">
        <v>0</v>
      </c>
      <c r="AY242" s="286">
        <v>0</v>
      </c>
      <c r="AZ242" s="286">
        <v>0</v>
      </c>
      <c r="BA242" s="286">
        <v>0</v>
      </c>
      <c r="BB242" s="286">
        <v>0</v>
      </c>
      <c r="BC242" s="286">
        <v>0</v>
      </c>
      <c r="BD242" s="286">
        <v>0</v>
      </c>
      <c r="BE242" s="286">
        <v>0</v>
      </c>
      <c r="BF242" s="286">
        <v>0</v>
      </c>
      <c r="BG242" s="286">
        <v>0</v>
      </c>
      <c r="BH242" s="286">
        <v>0</v>
      </c>
      <c r="BI242" s="286">
        <v>0</v>
      </c>
      <c r="BJ242" s="286">
        <v>0</v>
      </c>
      <c r="BK242" s="286">
        <v>0</v>
      </c>
      <c r="BL242" s="286">
        <v>0</v>
      </c>
      <c r="BM242" s="286">
        <v>0</v>
      </c>
      <c r="BN242" s="286">
        <v>0</v>
      </c>
      <c r="BO242" s="286">
        <v>0</v>
      </c>
      <c r="BP242" s="286">
        <v>0</v>
      </c>
      <c r="BQ242" s="286">
        <v>0</v>
      </c>
      <c r="BR242" s="281">
        <v>0.65</v>
      </c>
    </row>
    <row r="243" spans="1:70" ht="14.25" customHeight="1" x14ac:dyDescent="0.35">
      <c r="A243" s="4" t="s">
        <v>453</v>
      </c>
      <c r="B243" s="384">
        <v>197.02682352818178</v>
      </c>
      <c r="C243" s="385"/>
      <c r="D243" s="41" t="s">
        <v>114</v>
      </c>
      <c r="E243" s="93">
        <v>0</v>
      </c>
      <c r="F243" s="93">
        <v>2025</v>
      </c>
      <c r="G243" s="93">
        <v>2050</v>
      </c>
      <c r="I243" s="41" t="s">
        <v>114</v>
      </c>
      <c r="J243" s="281">
        <v>0.85</v>
      </c>
      <c r="K243" s="281">
        <v>0.85</v>
      </c>
      <c r="L243" s="281">
        <v>0.85</v>
      </c>
      <c r="M243" s="281">
        <v>0.85</v>
      </c>
      <c r="N243" s="281">
        <v>0.85</v>
      </c>
      <c r="O243" s="281">
        <v>0.85</v>
      </c>
      <c r="P243" s="281">
        <v>0.85</v>
      </c>
      <c r="Q243" s="281">
        <v>0.85</v>
      </c>
      <c r="R243" s="281">
        <v>0.85</v>
      </c>
      <c r="S243" s="281">
        <v>0.85</v>
      </c>
      <c r="T243" s="281">
        <v>0.85</v>
      </c>
      <c r="U243" s="281">
        <v>0.85</v>
      </c>
      <c r="V243" s="281">
        <v>0.85</v>
      </c>
      <c r="W243" s="281">
        <v>0.85</v>
      </c>
      <c r="X243" s="281">
        <v>0.85</v>
      </c>
      <c r="Y243" s="281">
        <v>0.85</v>
      </c>
      <c r="Z243" s="281">
        <v>0.85</v>
      </c>
      <c r="AA243" s="281">
        <v>0.85</v>
      </c>
      <c r="AB243" s="281">
        <v>0.85</v>
      </c>
      <c r="AC243" s="281">
        <v>0.85</v>
      </c>
      <c r="AD243" s="281">
        <v>0.85</v>
      </c>
      <c r="AE243" s="281">
        <v>0.85</v>
      </c>
      <c r="AF243" s="281">
        <v>0.85</v>
      </c>
      <c r="AG243" s="281">
        <v>0.85</v>
      </c>
      <c r="AH243" s="281">
        <v>0.65</v>
      </c>
      <c r="AI243" s="281">
        <v>0.65</v>
      </c>
      <c r="AJ243" s="281">
        <v>0.65</v>
      </c>
      <c r="AK243" s="281">
        <v>0.65</v>
      </c>
      <c r="AL243" s="281">
        <v>0.65</v>
      </c>
      <c r="AM243" s="281">
        <v>0.65</v>
      </c>
      <c r="AN243" s="281">
        <v>0.65</v>
      </c>
      <c r="AO243" s="281">
        <v>0.65</v>
      </c>
      <c r="AP243" s="281">
        <v>0.65</v>
      </c>
      <c r="AQ243" s="281">
        <v>0.65</v>
      </c>
      <c r="AR243" s="281">
        <v>0.65</v>
      </c>
      <c r="AS243" s="281">
        <v>0.65</v>
      </c>
      <c r="AT243" s="281">
        <v>0.5</v>
      </c>
      <c r="AU243" s="281">
        <v>0.5</v>
      </c>
      <c r="AV243" s="281">
        <v>0.5</v>
      </c>
      <c r="AW243" s="281">
        <v>0.5</v>
      </c>
      <c r="AX243" s="281">
        <v>0.5</v>
      </c>
      <c r="AY243" s="281">
        <v>0.5</v>
      </c>
      <c r="AZ243" s="281">
        <v>0.5</v>
      </c>
      <c r="BA243" s="281">
        <v>0.5</v>
      </c>
      <c r="BB243" s="281">
        <v>0.5</v>
      </c>
      <c r="BC243" s="281">
        <v>0.5</v>
      </c>
      <c r="BD243" s="281">
        <v>0.5</v>
      </c>
      <c r="BE243" s="281">
        <v>0.5</v>
      </c>
      <c r="BF243" s="281">
        <v>0.5</v>
      </c>
      <c r="BG243" s="281">
        <v>0.3</v>
      </c>
      <c r="BH243" s="281">
        <v>0.3</v>
      </c>
      <c r="BI243" s="281">
        <v>0.3</v>
      </c>
      <c r="BJ243" s="281">
        <v>0.3</v>
      </c>
      <c r="BK243" s="281">
        <v>0.3</v>
      </c>
      <c r="BL243" s="281">
        <v>0.3</v>
      </c>
      <c r="BM243" s="281">
        <v>0.3</v>
      </c>
      <c r="BN243" s="281">
        <v>0.3</v>
      </c>
      <c r="BO243" s="281">
        <v>0.3</v>
      </c>
      <c r="BP243" s="281">
        <v>0.3</v>
      </c>
      <c r="BQ243" s="281">
        <v>0.3</v>
      </c>
      <c r="BR243" s="286">
        <v>0</v>
      </c>
    </row>
    <row r="244" spans="1:70" ht="14.25" customHeight="1" x14ac:dyDescent="0.35">
      <c r="A244" s="4" t="s">
        <v>454</v>
      </c>
      <c r="B244" s="384">
        <v>197.02682352818178</v>
      </c>
      <c r="C244" s="385"/>
      <c r="D244" s="41" t="s">
        <v>115</v>
      </c>
      <c r="E244" s="93">
        <v>0</v>
      </c>
      <c r="F244" s="93">
        <v>2025</v>
      </c>
      <c r="G244" s="93">
        <v>2050</v>
      </c>
      <c r="I244" s="41" t="s">
        <v>115</v>
      </c>
      <c r="J244" s="281">
        <v>0.85</v>
      </c>
      <c r="K244" s="281">
        <v>0.85</v>
      </c>
      <c r="L244" s="281">
        <v>0.85</v>
      </c>
      <c r="M244" s="281">
        <v>0.85</v>
      </c>
      <c r="N244" s="281">
        <v>0.85</v>
      </c>
      <c r="O244" s="281">
        <v>0.85</v>
      </c>
      <c r="P244" s="281">
        <v>0.85</v>
      </c>
      <c r="Q244" s="281">
        <v>0.85</v>
      </c>
      <c r="R244" s="281">
        <v>0.85</v>
      </c>
      <c r="S244" s="281">
        <v>0.85</v>
      </c>
      <c r="T244" s="281">
        <v>0.85</v>
      </c>
      <c r="U244" s="281">
        <v>0.85</v>
      </c>
      <c r="V244" s="281">
        <v>0.85</v>
      </c>
      <c r="W244" s="281">
        <v>0.85</v>
      </c>
      <c r="X244" s="281">
        <v>0.85</v>
      </c>
      <c r="Y244" s="281">
        <v>0.85</v>
      </c>
      <c r="Z244" s="281">
        <v>0.85</v>
      </c>
      <c r="AA244" s="281">
        <v>0.85</v>
      </c>
      <c r="AB244" s="281">
        <v>0.85</v>
      </c>
      <c r="AC244" s="281">
        <v>0.85</v>
      </c>
      <c r="AD244" s="281">
        <v>0.85</v>
      </c>
      <c r="AE244" s="281">
        <v>0.85</v>
      </c>
      <c r="AF244" s="281">
        <v>0.85</v>
      </c>
      <c r="AG244" s="281">
        <v>0.85</v>
      </c>
      <c r="AH244" s="281">
        <v>0.65</v>
      </c>
      <c r="AI244" s="281">
        <v>0.65</v>
      </c>
      <c r="AJ244" s="281">
        <v>0.65</v>
      </c>
      <c r="AK244" s="281">
        <v>0.65</v>
      </c>
      <c r="AL244" s="281">
        <v>0.65</v>
      </c>
      <c r="AM244" s="281">
        <v>0.65</v>
      </c>
      <c r="AN244" s="281">
        <v>0.65</v>
      </c>
      <c r="AO244" s="281">
        <v>0.65</v>
      </c>
      <c r="AP244" s="281">
        <v>0.65</v>
      </c>
      <c r="AQ244" s="281">
        <v>0.65</v>
      </c>
      <c r="AR244" s="281">
        <v>0.65</v>
      </c>
      <c r="AS244" s="281">
        <v>0.65</v>
      </c>
      <c r="AT244" s="281">
        <v>0.5</v>
      </c>
      <c r="AU244" s="281">
        <v>0.5</v>
      </c>
      <c r="AV244" s="281">
        <v>0.5</v>
      </c>
      <c r="AW244" s="281">
        <v>0.5</v>
      </c>
      <c r="AX244" s="281">
        <v>0.5</v>
      </c>
      <c r="AY244" s="281">
        <v>0.5</v>
      </c>
      <c r="AZ244" s="281">
        <v>0.5</v>
      </c>
      <c r="BA244" s="281">
        <v>0.5</v>
      </c>
      <c r="BB244" s="281">
        <v>0.5</v>
      </c>
      <c r="BC244" s="281">
        <v>0.5</v>
      </c>
      <c r="BD244" s="281">
        <v>0.5</v>
      </c>
      <c r="BE244" s="281">
        <v>0.5</v>
      </c>
      <c r="BF244" s="281">
        <v>0.5</v>
      </c>
      <c r="BG244" s="281">
        <v>0.3</v>
      </c>
      <c r="BH244" s="281">
        <v>0.3</v>
      </c>
      <c r="BI244" s="281">
        <v>0.3</v>
      </c>
      <c r="BJ244" s="281">
        <v>0.3</v>
      </c>
      <c r="BK244" s="281">
        <v>0.3</v>
      </c>
      <c r="BL244" s="281">
        <v>0.3</v>
      </c>
      <c r="BM244" s="281">
        <v>0.3</v>
      </c>
      <c r="BN244" s="281">
        <v>0.3</v>
      </c>
      <c r="BO244" s="281">
        <v>0.3</v>
      </c>
      <c r="BP244" s="281">
        <v>0.3</v>
      </c>
      <c r="BQ244" s="281">
        <v>0.3</v>
      </c>
      <c r="BR244" s="286">
        <v>0</v>
      </c>
    </row>
    <row r="245" spans="1:70" ht="14.25" customHeight="1" x14ac:dyDescent="0.35">
      <c r="A245" s="4" t="s">
        <v>455</v>
      </c>
      <c r="B245" s="384">
        <v>197.02682352818178</v>
      </c>
      <c r="C245" s="385"/>
      <c r="D245" s="41" t="s">
        <v>116</v>
      </c>
      <c r="E245" s="93">
        <v>0</v>
      </c>
      <c r="F245" s="93">
        <v>2025</v>
      </c>
      <c r="G245" s="93">
        <v>2050</v>
      </c>
      <c r="I245" s="41" t="s">
        <v>116</v>
      </c>
      <c r="J245" s="286">
        <v>0</v>
      </c>
      <c r="K245" s="286">
        <v>0</v>
      </c>
      <c r="L245" s="286">
        <v>0</v>
      </c>
      <c r="M245" s="286">
        <v>0</v>
      </c>
      <c r="N245" s="286">
        <v>0</v>
      </c>
      <c r="O245" s="286">
        <v>0</v>
      </c>
      <c r="P245" s="286">
        <v>0</v>
      </c>
      <c r="Q245" s="286">
        <v>0</v>
      </c>
      <c r="R245" s="286">
        <v>0</v>
      </c>
      <c r="S245" s="286">
        <v>0</v>
      </c>
      <c r="T245" s="286">
        <v>0</v>
      </c>
      <c r="U245" s="286">
        <v>0</v>
      </c>
      <c r="V245" s="286">
        <v>0</v>
      </c>
      <c r="W245" s="286">
        <v>0</v>
      </c>
      <c r="X245" s="286">
        <v>0</v>
      </c>
      <c r="Y245" s="286">
        <v>0</v>
      </c>
      <c r="Z245" s="286">
        <v>0</v>
      </c>
      <c r="AA245" s="286">
        <v>0</v>
      </c>
      <c r="AB245" s="286">
        <v>0</v>
      </c>
      <c r="AC245" s="286">
        <v>0</v>
      </c>
      <c r="AD245" s="286">
        <v>0</v>
      </c>
      <c r="AE245" s="286">
        <v>0</v>
      </c>
      <c r="AF245" s="286">
        <v>0</v>
      </c>
      <c r="AG245" s="286">
        <v>0</v>
      </c>
      <c r="AH245" s="286">
        <v>0</v>
      </c>
      <c r="AI245" s="286">
        <v>0</v>
      </c>
      <c r="AJ245" s="286">
        <v>0</v>
      </c>
      <c r="AK245" s="286">
        <v>0</v>
      </c>
      <c r="AL245" s="286">
        <v>0</v>
      </c>
      <c r="AM245" s="286">
        <v>0</v>
      </c>
      <c r="AN245" s="286">
        <v>0</v>
      </c>
      <c r="AO245" s="286">
        <v>0</v>
      </c>
      <c r="AP245" s="286">
        <v>0</v>
      </c>
      <c r="AQ245" s="286">
        <v>0</v>
      </c>
      <c r="AR245" s="286">
        <v>0</v>
      </c>
      <c r="AS245" s="286">
        <v>0</v>
      </c>
      <c r="AT245" s="286">
        <v>0</v>
      </c>
      <c r="AU245" s="286">
        <v>0</v>
      </c>
      <c r="AV245" s="286">
        <v>0</v>
      </c>
      <c r="AW245" s="286">
        <v>0</v>
      </c>
      <c r="AX245" s="286">
        <v>0</v>
      </c>
      <c r="AY245" s="286">
        <v>0</v>
      </c>
      <c r="AZ245" s="286">
        <v>0</v>
      </c>
      <c r="BA245" s="286">
        <v>0</v>
      </c>
      <c r="BB245" s="286">
        <v>0</v>
      </c>
      <c r="BC245" s="286">
        <v>0</v>
      </c>
      <c r="BD245" s="286">
        <v>0</v>
      </c>
      <c r="BE245" s="286">
        <v>0</v>
      </c>
      <c r="BF245" s="286">
        <v>0</v>
      </c>
      <c r="BG245" s="286">
        <v>0</v>
      </c>
      <c r="BH245" s="286">
        <v>0</v>
      </c>
      <c r="BI245" s="286">
        <v>0</v>
      </c>
      <c r="BJ245" s="286">
        <v>0</v>
      </c>
      <c r="BK245" s="286">
        <v>0</v>
      </c>
      <c r="BL245" s="286">
        <v>0</v>
      </c>
      <c r="BM245" s="286">
        <v>0</v>
      </c>
      <c r="BN245" s="286">
        <v>0</v>
      </c>
      <c r="BO245" s="286">
        <v>0</v>
      </c>
      <c r="BP245" s="286">
        <v>0</v>
      </c>
      <c r="BQ245" s="286">
        <v>0</v>
      </c>
      <c r="BR245" s="281">
        <v>0.65</v>
      </c>
    </row>
    <row r="246" spans="1:70" ht="14.25" customHeight="1" x14ac:dyDescent="0.35">
      <c r="A246" s="4" t="s">
        <v>456</v>
      </c>
      <c r="B246" s="384">
        <v>197.02682352818178</v>
      </c>
      <c r="C246" s="385"/>
      <c r="D246" s="41" t="s">
        <v>117</v>
      </c>
      <c r="E246" s="93">
        <v>0</v>
      </c>
      <c r="F246" s="93">
        <v>2025</v>
      </c>
      <c r="G246" s="93">
        <v>2050</v>
      </c>
      <c r="I246" s="41" t="s">
        <v>117</v>
      </c>
      <c r="J246" s="281">
        <v>0.85</v>
      </c>
      <c r="K246" s="281">
        <v>0.85</v>
      </c>
      <c r="L246" s="281">
        <v>0.85</v>
      </c>
      <c r="M246" s="281">
        <v>0.85</v>
      </c>
      <c r="N246" s="281">
        <v>0.85</v>
      </c>
      <c r="O246" s="281">
        <v>0.85</v>
      </c>
      <c r="P246" s="281">
        <v>0.85</v>
      </c>
      <c r="Q246" s="281">
        <v>0.85</v>
      </c>
      <c r="R246" s="281">
        <v>0.85</v>
      </c>
      <c r="S246" s="281">
        <v>0.85</v>
      </c>
      <c r="T246" s="281">
        <v>0.85</v>
      </c>
      <c r="U246" s="281">
        <v>0.85</v>
      </c>
      <c r="V246" s="281">
        <v>0.85</v>
      </c>
      <c r="W246" s="281">
        <v>0.85</v>
      </c>
      <c r="X246" s="281">
        <v>0.85</v>
      </c>
      <c r="Y246" s="281">
        <v>0.85</v>
      </c>
      <c r="Z246" s="281">
        <v>0.85</v>
      </c>
      <c r="AA246" s="281">
        <v>0.85</v>
      </c>
      <c r="AB246" s="281">
        <v>0.85</v>
      </c>
      <c r="AC246" s="281">
        <v>0.85</v>
      </c>
      <c r="AD246" s="281">
        <v>0.85</v>
      </c>
      <c r="AE246" s="281">
        <v>0.85</v>
      </c>
      <c r="AF246" s="281">
        <v>0.85</v>
      </c>
      <c r="AG246" s="281">
        <v>0.85</v>
      </c>
      <c r="AH246" s="281">
        <v>0.65</v>
      </c>
      <c r="AI246" s="281">
        <v>0.65</v>
      </c>
      <c r="AJ246" s="281">
        <v>0.65</v>
      </c>
      <c r="AK246" s="281">
        <v>0.65</v>
      </c>
      <c r="AL246" s="281">
        <v>0.65</v>
      </c>
      <c r="AM246" s="281">
        <v>0.65</v>
      </c>
      <c r="AN246" s="281">
        <v>0.65</v>
      </c>
      <c r="AO246" s="281">
        <v>0.65</v>
      </c>
      <c r="AP246" s="281">
        <v>0.65</v>
      </c>
      <c r="AQ246" s="281">
        <v>0.65</v>
      </c>
      <c r="AR246" s="281">
        <v>0.65</v>
      </c>
      <c r="AS246" s="281">
        <v>0.65</v>
      </c>
      <c r="AT246" s="281">
        <v>0.5</v>
      </c>
      <c r="AU246" s="281">
        <v>0.5</v>
      </c>
      <c r="AV246" s="281">
        <v>0.5</v>
      </c>
      <c r="AW246" s="281">
        <v>0.5</v>
      </c>
      <c r="AX246" s="281">
        <v>0.5</v>
      </c>
      <c r="AY246" s="281">
        <v>0.5</v>
      </c>
      <c r="AZ246" s="281">
        <v>0.5</v>
      </c>
      <c r="BA246" s="281">
        <v>0.5</v>
      </c>
      <c r="BB246" s="281">
        <v>0.5</v>
      </c>
      <c r="BC246" s="281">
        <v>0.5</v>
      </c>
      <c r="BD246" s="281">
        <v>0.5</v>
      </c>
      <c r="BE246" s="281">
        <v>0.5</v>
      </c>
      <c r="BF246" s="281">
        <v>0.5</v>
      </c>
      <c r="BG246" s="281">
        <v>0.3</v>
      </c>
      <c r="BH246" s="281">
        <v>0.3</v>
      </c>
      <c r="BI246" s="281">
        <v>0.3</v>
      </c>
      <c r="BJ246" s="281">
        <v>0.3</v>
      </c>
      <c r="BK246" s="281">
        <v>0.3</v>
      </c>
      <c r="BL246" s="281">
        <v>0.3</v>
      </c>
      <c r="BM246" s="281">
        <v>0.3</v>
      </c>
      <c r="BN246" s="281">
        <v>0.3</v>
      </c>
      <c r="BO246" s="281">
        <v>0.3</v>
      </c>
      <c r="BP246" s="281">
        <v>0.3</v>
      </c>
      <c r="BQ246" s="281">
        <v>0.3</v>
      </c>
      <c r="BR246" s="286">
        <v>0</v>
      </c>
    </row>
    <row r="247" spans="1:70" ht="14.25" customHeight="1" x14ac:dyDescent="0.35">
      <c r="A247" s="4" t="s">
        <v>457</v>
      </c>
      <c r="B247" s="384">
        <v>197.02682352818178</v>
      </c>
      <c r="C247" s="385"/>
      <c r="D247" s="41" t="s">
        <v>118</v>
      </c>
      <c r="E247" s="93">
        <v>0</v>
      </c>
      <c r="F247" s="93">
        <v>2025</v>
      </c>
      <c r="G247" s="93">
        <v>2050</v>
      </c>
      <c r="I247" s="41" t="s">
        <v>118</v>
      </c>
      <c r="J247" s="286">
        <v>0</v>
      </c>
      <c r="K247" s="286">
        <v>0</v>
      </c>
      <c r="L247" s="286">
        <v>0</v>
      </c>
      <c r="M247" s="286">
        <v>0</v>
      </c>
      <c r="N247" s="286">
        <v>0</v>
      </c>
      <c r="O247" s="286">
        <v>0</v>
      </c>
      <c r="P247" s="286">
        <v>0</v>
      </c>
      <c r="Q247" s="286">
        <v>0</v>
      </c>
      <c r="R247" s="286">
        <v>0</v>
      </c>
      <c r="S247" s="286">
        <v>0</v>
      </c>
      <c r="T247" s="286">
        <v>0</v>
      </c>
      <c r="U247" s="286">
        <v>0</v>
      </c>
      <c r="V247" s="286">
        <v>0</v>
      </c>
      <c r="W247" s="286">
        <v>0</v>
      </c>
      <c r="X247" s="286">
        <v>0</v>
      </c>
      <c r="Y247" s="286">
        <v>0</v>
      </c>
      <c r="Z247" s="286">
        <v>0</v>
      </c>
      <c r="AA247" s="286">
        <v>0</v>
      </c>
      <c r="AB247" s="286">
        <v>0</v>
      </c>
      <c r="AC247" s="286">
        <v>0</v>
      </c>
      <c r="AD247" s="286">
        <v>0</v>
      </c>
      <c r="AE247" s="286">
        <v>0</v>
      </c>
      <c r="AF247" s="286">
        <v>0</v>
      </c>
      <c r="AG247" s="286">
        <v>0</v>
      </c>
      <c r="AH247" s="286">
        <v>0</v>
      </c>
      <c r="AI247" s="286">
        <v>0</v>
      </c>
      <c r="AJ247" s="286">
        <v>0</v>
      </c>
      <c r="AK247" s="286">
        <v>0</v>
      </c>
      <c r="AL247" s="286">
        <v>0</v>
      </c>
      <c r="AM247" s="286">
        <v>0</v>
      </c>
      <c r="AN247" s="286">
        <v>0</v>
      </c>
      <c r="AO247" s="286">
        <v>0</v>
      </c>
      <c r="AP247" s="286">
        <v>0</v>
      </c>
      <c r="AQ247" s="286">
        <v>0</v>
      </c>
      <c r="AR247" s="286">
        <v>0</v>
      </c>
      <c r="AS247" s="286">
        <v>0</v>
      </c>
      <c r="AT247" s="286">
        <v>0</v>
      </c>
      <c r="AU247" s="286">
        <v>0</v>
      </c>
      <c r="AV247" s="286">
        <v>0</v>
      </c>
      <c r="AW247" s="286">
        <v>0</v>
      </c>
      <c r="AX247" s="286">
        <v>0</v>
      </c>
      <c r="AY247" s="286">
        <v>0</v>
      </c>
      <c r="AZ247" s="286">
        <v>0</v>
      </c>
      <c r="BA247" s="286">
        <v>0</v>
      </c>
      <c r="BB247" s="286">
        <v>0</v>
      </c>
      <c r="BC247" s="286">
        <v>0</v>
      </c>
      <c r="BD247" s="286">
        <v>0</v>
      </c>
      <c r="BE247" s="286">
        <v>0</v>
      </c>
      <c r="BF247" s="286">
        <v>0</v>
      </c>
      <c r="BG247" s="286">
        <v>0</v>
      </c>
      <c r="BH247" s="286">
        <v>0</v>
      </c>
      <c r="BI247" s="286">
        <v>0</v>
      </c>
      <c r="BJ247" s="286">
        <v>0</v>
      </c>
      <c r="BK247" s="286">
        <v>0</v>
      </c>
      <c r="BL247" s="286">
        <v>0</v>
      </c>
      <c r="BM247" s="286">
        <v>0</v>
      </c>
      <c r="BN247" s="286">
        <v>0</v>
      </c>
      <c r="BO247" s="286">
        <v>0</v>
      </c>
      <c r="BP247" s="286">
        <v>0</v>
      </c>
      <c r="BQ247" s="286">
        <v>0</v>
      </c>
      <c r="BR247" s="281">
        <v>0.65</v>
      </c>
    </row>
    <row r="248" spans="1:70" ht="14.25" customHeight="1" x14ac:dyDescent="0.35">
      <c r="A248" s="4" t="s">
        <v>458</v>
      </c>
      <c r="B248" s="384">
        <v>197.02682352818178</v>
      </c>
      <c r="C248" s="385"/>
      <c r="D248" s="41" t="s">
        <v>119</v>
      </c>
      <c r="E248" s="93">
        <v>0</v>
      </c>
      <c r="F248" s="93">
        <v>2025</v>
      </c>
      <c r="G248" s="93">
        <v>2050</v>
      </c>
      <c r="I248" s="41" t="s">
        <v>119</v>
      </c>
      <c r="J248" s="281">
        <v>0.85</v>
      </c>
      <c r="K248" s="281">
        <v>0.85</v>
      </c>
      <c r="L248" s="281">
        <v>0.85</v>
      </c>
      <c r="M248" s="281">
        <v>0.85</v>
      </c>
      <c r="N248" s="281">
        <v>0.85</v>
      </c>
      <c r="O248" s="281">
        <v>0.85</v>
      </c>
      <c r="P248" s="281">
        <v>0.85</v>
      </c>
      <c r="Q248" s="281">
        <v>0.85</v>
      </c>
      <c r="R248" s="281">
        <v>0.85</v>
      </c>
      <c r="S248" s="281">
        <v>0.85</v>
      </c>
      <c r="T248" s="281">
        <v>0.85</v>
      </c>
      <c r="U248" s="281">
        <v>0.85</v>
      </c>
      <c r="V248" s="281">
        <v>0.85</v>
      </c>
      <c r="W248" s="281">
        <v>0.85</v>
      </c>
      <c r="X248" s="281">
        <v>0.85</v>
      </c>
      <c r="Y248" s="281">
        <v>0.85</v>
      </c>
      <c r="Z248" s="281">
        <v>0.85</v>
      </c>
      <c r="AA248" s="281">
        <v>0.85</v>
      </c>
      <c r="AB248" s="281">
        <v>0.85</v>
      </c>
      <c r="AC248" s="281">
        <v>0.85</v>
      </c>
      <c r="AD248" s="281">
        <v>0.85</v>
      </c>
      <c r="AE248" s="281">
        <v>0.85</v>
      </c>
      <c r="AF248" s="281">
        <v>0.85</v>
      </c>
      <c r="AG248" s="281">
        <v>0.85</v>
      </c>
      <c r="AH248" s="281">
        <v>0.65</v>
      </c>
      <c r="AI248" s="281">
        <v>0.65</v>
      </c>
      <c r="AJ248" s="281">
        <v>0.65</v>
      </c>
      <c r="AK248" s="281">
        <v>0.65</v>
      </c>
      <c r="AL248" s="281">
        <v>0.65</v>
      </c>
      <c r="AM248" s="281">
        <v>0.65</v>
      </c>
      <c r="AN248" s="281">
        <v>0.65</v>
      </c>
      <c r="AO248" s="281">
        <v>0.65</v>
      </c>
      <c r="AP248" s="281">
        <v>0.65</v>
      </c>
      <c r="AQ248" s="281">
        <v>0.65</v>
      </c>
      <c r="AR248" s="281">
        <v>0.65</v>
      </c>
      <c r="AS248" s="281">
        <v>0.65</v>
      </c>
      <c r="AT248" s="281">
        <v>0.5</v>
      </c>
      <c r="AU248" s="281">
        <v>0.5</v>
      </c>
      <c r="AV248" s="281">
        <v>0.5</v>
      </c>
      <c r="AW248" s="281">
        <v>0.5</v>
      </c>
      <c r="AX248" s="281">
        <v>0.5</v>
      </c>
      <c r="AY248" s="281">
        <v>0.5</v>
      </c>
      <c r="AZ248" s="281">
        <v>0.5</v>
      </c>
      <c r="BA248" s="281">
        <v>0.5</v>
      </c>
      <c r="BB248" s="281">
        <v>0.5</v>
      </c>
      <c r="BC248" s="281">
        <v>0.5</v>
      </c>
      <c r="BD248" s="281">
        <v>0.5</v>
      </c>
      <c r="BE248" s="281">
        <v>0.5</v>
      </c>
      <c r="BF248" s="281">
        <v>0.5</v>
      </c>
      <c r="BG248" s="281">
        <v>0.3</v>
      </c>
      <c r="BH248" s="281">
        <v>0.3</v>
      </c>
      <c r="BI248" s="281">
        <v>0.3</v>
      </c>
      <c r="BJ248" s="281">
        <v>0.3</v>
      </c>
      <c r="BK248" s="281">
        <v>0.3</v>
      </c>
      <c r="BL248" s="281">
        <v>0.3</v>
      </c>
      <c r="BM248" s="281">
        <v>0.3</v>
      </c>
      <c r="BN248" s="281">
        <v>0.3</v>
      </c>
      <c r="BO248" s="281">
        <v>0.3</v>
      </c>
      <c r="BP248" s="281">
        <v>0.3</v>
      </c>
      <c r="BQ248" s="281">
        <v>0.3</v>
      </c>
      <c r="BR248" s="286">
        <v>0</v>
      </c>
    </row>
    <row r="249" spans="1:70" ht="14.25" customHeight="1" x14ac:dyDescent="0.35">
      <c r="A249" s="4" t="s">
        <v>459</v>
      </c>
      <c r="B249" s="384">
        <v>197.02682352818178</v>
      </c>
      <c r="C249" s="385"/>
      <c r="D249" s="41" t="s">
        <v>120</v>
      </c>
      <c r="E249" s="93">
        <v>0</v>
      </c>
      <c r="F249" s="93">
        <v>2025</v>
      </c>
      <c r="G249" s="93">
        <v>2050</v>
      </c>
      <c r="I249" s="41" t="s">
        <v>120</v>
      </c>
      <c r="J249" s="281">
        <v>0.85</v>
      </c>
      <c r="K249" s="281">
        <v>0.85</v>
      </c>
      <c r="L249" s="281">
        <v>0.85</v>
      </c>
      <c r="M249" s="281">
        <v>0.85</v>
      </c>
      <c r="N249" s="281">
        <v>0.85</v>
      </c>
      <c r="O249" s="281">
        <v>0.85</v>
      </c>
      <c r="P249" s="281">
        <v>0.85</v>
      </c>
      <c r="Q249" s="281">
        <v>0.85</v>
      </c>
      <c r="R249" s="281">
        <v>0.85</v>
      </c>
      <c r="S249" s="281">
        <v>0.85</v>
      </c>
      <c r="T249" s="281">
        <v>0.85</v>
      </c>
      <c r="U249" s="281">
        <v>0.85</v>
      </c>
      <c r="V249" s="281">
        <v>0.85</v>
      </c>
      <c r="W249" s="281">
        <v>0.85</v>
      </c>
      <c r="X249" s="281">
        <v>0.85</v>
      </c>
      <c r="Y249" s="281">
        <v>0.85</v>
      </c>
      <c r="Z249" s="281">
        <v>0.85</v>
      </c>
      <c r="AA249" s="281">
        <v>0.85</v>
      </c>
      <c r="AB249" s="281">
        <v>0.85</v>
      </c>
      <c r="AC249" s="281">
        <v>0.85</v>
      </c>
      <c r="AD249" s="281">
        <v>0.85</v>
      </c>
      <c r="AE249" s="281">
        <v>0.85</v>
      </c>
      <c r="AF249" s="281">
        <v>0.85</v>
      </c>
      <c r="AG249" s="281">
        <v>0.85</v>
      </c>
      <c r="AH249" s="281">
        <v>0.65</v>
      </c>
      <c r="AI249" s="281">
        <v>0.65</v>
      </c>
      <c r="AJ249" s="281">
        <v>0.65</v>
      </c>
      <c r="AK249" s="281">
        <v>0.65</v>
      </c>
      <c r="AL249" s="281">
        <v>0.65</v>
      </c>
      <c r="AM249" s="281">
        <v>0.65</v>
      </c>
      <c r="AN249" s="281">
        <v>0.65</v>
      </c>
      <c r="AO249" s="281">
        <v>0.65</v>
      </c>
      <c r="AP249" s="281">
        <v>0.65</v>
      </c>
      <c r="AQ249" s="281">
        <v>0.65</v>
      </c>
      <c r="AR249" s="281">
        <v>0.65</v>
      </c>
      <c r="AS249" s="281">
        <v>0.65</v>
      </c>
      <c r="AT249" s="281">
        <v>0.5</v>
      </c>
      <c r="AU249" s="281">
        <v>0.5</v>
      </c>
      <c r="AV249" s="281">
        <v>0.5</v>
      </c>
      <c r="AW249" s="281">
        <v>0.5</v>
      </c>
      <c r="AX249" s="281">
        <v>0.5</v>
      </c>
      <c r="AY249" s="281">
        <v>0.5</v>
      </c>
      <c r="AZ249" s="281">
        <v>0.5</v>
      </c>
      <c r="BA249" s="281">
        <v>0.5</v>
      </c>
      <c r="BB249" s="281">
        <v>0.5</v>
      </c>
      <c r="BC249" s="281">
        <v>0.5</v>
      </c>
      <c r="BD249" s="281">
        <v>0.5</v>
      </c>
      <c r="BE249" s="281">
        <v>0.5</v>
      </c>
      <c r="BF249" s="281">
        <v>0.5</v>
      </c>
      <c r="BG249" s="281">
        <v>0.3</v>
      </c>
      <c r="BH249" s="281">
        <v>0.3</v>
      </c>
      <c r="BI249" s="281">
        <v>0.3</v>
      </c>
      <c r="BJ249" s="281">
        <v>0.3</v>
      </c>
      <c r="BK249" s="281">
        <v>0.3</v>
      </c>
      <c r="BL249" s="281">
        <v>0.3</v>
      </c>
      <c r="BM249" s="281">
        <v>0.3</v>
      </c>
      <c r="BN249" s="281">
        <v>0.3</v>
      </c>
      <c r="BO249" s="281">
        <v>0.3</v>
      </c>
      <c r="BP249" s="281">
        <v>0.3</v>
      </c>
      <c r="BQ249" s="281">
        <v>0.3</v>
      </c>
      <c r="BR249" s="286">
        <v>0</v>
      </c>
    </row>
    <row r="250" spans="1:70" ht="14.25" customHeight="1" x14ac:dyDescent="0.35">
      <c r="A250" s="4" t="s">
        <v>83</v>
      </c>
      <c r="B250" s="384">
        <v>197.02682352818178</v>
      </c>
      <c r="C250" s="385"/>
      <c r="D250" s="42" t="s">
        <v>83</v>
      </c>
      <c r="E250" s="93">
        <v>0</v>
      </c>
      <c r="F250" s="93">
        <v>2025</v>
      </c>
      <c r="G250" s="93">
        <v>2050</v>
      </c>
      <c r="I250" s="42" t="s">
        <v>83</v>
      </c>
      <c r="J250" s="286">
        <v>0</v>
      </c>
      <c r="K250" s="286">
        <v>0</v>
      </c>
      <c r="L250" s="286">
        <v>0</v>
      </c>
      <c r="M250" s="286">
        <v>0</v>
      </c>
      <c r="N250" s="286">
        <v>0</v>
      </c>
      <c r="O250" s="286">
        <v>0</v>
      </c>
      <c r="P250" s="286">
        <v>0</v>
      </c>
      <c r="Q250" s="286">
        <v>0</v>
      </c>
      <c r="R250" s="286">
        <v>0</v>
      </c>
      <c r="S250" s="286">
        <v>0</v>
      </c>
      <c r="T250" s="286">
        <v>0</v>
      </c>
      <c r="U250" s="286">
        <v>0</v>
      </c>
      <c r="V250" s="286">
        <v>0</v>
      </c>
      <c r="W250" s="286">
        <v>0</v>
      </c>
      <c r="X250" s="286">
        <v>0</v>
      </c>
      <c r="Y250" s="286">
        <v>0</v>
      </c>
      <c r="Z250" s="286">
        <v>0</v>
      </c>
      <c r="AA250" s="286">
        <v>0</v>
      </c>
      <c r="AB250" s="286">
        <v>0</v>
      </c>
      <c r="AC250" s="286">
        <v>0</v>
      </c>
      <c r="AD250" s="286">
        <v>0</v>
      </c>
      <c r="AE250" s="286">
        <v>0</v>
      </c>
      <c r="AF250" s="286">
        <v>0</v>
      </c>
      <c r="AG250" s="286">
        <v>0</v>
      </c>
      <c r="AH250" s="286">
        <v>0</v>
      </c>
      <c r="AI250" s="286">
        <v>0</v>
      </c>
      <c r="AJ250" s="286">
        <v>0</v>
      </c>
      <c r="AK250" s="286">
        <v>0</v>
      </c>
      <c r="AL250" s="286">
        <v>0</v>
      </c>
      <c r="AM250" s="286">
        <v>0</v>
      </c>
      <c r="AN250" s="286">
        <v>0</v>
      </c>
      <c r="AO250" s="286">
        <v>0</v>
      </c>
      <c r="AP250" s="286">
        <v>0</v>
      </c>
      <c r="AQ250" s="286">
        <v>0</v>
      </c>
      <c r="AR250" s="286">
        <v>0</v>
      </c>
      <c r="AS250" s="286">
        <v>0</v>
      </c>
      <c r="AT250" s="286">
        <v>0</v>
      </c>
      <c r="AU250" s="286">
        <v>0</v>
      </c>
      <c r="AV250" s="286">
        <v>0</v>
      </c>
      <c r="AW250" s="286">
        <v>0</v>
      </c>
      <c r="AX250" s="286">
        <v>0</v>
      </c>
      <c r="AY250" s="286">
        <v>0</v>
      </c>
      <c r="AZ250" s="286">
        <v>0</v>
      </c>
      <c r="BA250" s="286">
        <v>0</v>
      </c>
      <c r="BB250" s="286">
        <v>0</v>
      </c>
      <c r="BC250" s="286">
        <v>0</v>
      </c>
      <c r="BD250" s="286">
        <v>0</v>
      </c>
      <c r="BE250" s="286">
        <v>0</v>
      </c>
      <c r="BF250" s="286">
        <v>0</v>
      </c>
      <c r="BG250" s="286">
        <v>0</v>
      </c>
      <c r="BH250" s="286">
        <v>0</v>
      </c>
      <c r="BI250" s="286">
        <v>0</v>
      </c>
      <c r="BJ250" s="286">
        <v>0</v>
      </c>
      <c r="BK250" s="286">
        <v>0</v>
      </c>
      <c r="BL250" s="286">
        <v>0</v>
      </c>
      <c r="BM250" s="286">
        <v>0</v>
      </c>
      <c r="BN250" s="286">
        <v>0</v>
      </c>
      <c r="BO250" s="286">
        <v>0</v>
      </c>
      <c r="BP250" s="286">
        <v>0</v>
      </c>
      <c r="BQ250" s="286">
        <v>0</v>
      </c>
      <c r="BR250" s="281">
        <v>0.65</v>
      </c>
    </row>
    <row r="251" spans="1:70" ht="14.25" customHeight="1" x14ac:dyDescent="0.35">
      <c r="A251" s="4" t="s">
        <v>758</v>
      </c>
      <c r="B251" s="384">
        <v>0</v>
      </c>
      <c r="C251" s="385"/>
      <c r="D251" s="42" t="s">
        <v>144</v>
      </c>
      <c r="E251" s="386">
        <v>0</v>
      </c>
      <c r="F251" s="386">
        <v>0</v>
      </c>
      <c r="G251" s="386">
        <v>0</v>
      </c>
      <c r="I251" s="42" t="s">
        <v>144</v>
      </c>
      <c r="J251" s="286">
        <v>0</v>
      </c>
      <c r="K251" s="286">
        <v>0</v>
      </c>
      <c r="L251" s="286">
        <v>0</v>
      </c>
      <c r="M251" s="286">
        <v>0</v>
      </c>
      <c r="N251" s="286">
        <v>0</v>
      </c>
      <c r="O251" s="286">
        <v>0</v>
      </c>
      <c r="P251" s="286">
        <v>0</v>
      </c>
      <c r="Q251" s="286">
        <v>0</v>
      </c>
      <c r="R251" s="286">
        <v>0</v>
      </c>
      <c r="S251" s="286">
        <v>0</v>
      </c>
      <c r="T251" s="286">
        <v>0</v>
      </c>
      <c r="U251" s="286">
        <v>0</v>
      </c>
      <c r="V251" s="286">
        <v>0</v>
      </c>
      <c r="W251" s="286">
        <v>0</v>
      </c>
      <c r="X251" s="286">
        <v>0</v>
      </c>
      <c r="Y251" s="286">
        <v>0</v>
      </c>
      <c r="Z251" s="286">
        <v>0</v>
      </c>
      <c r="AA251" s="286">
        <v>0</v>
      </c>
      <c r="AB251" s="286">
        <v>0</v>
      </c>
      <c r="AC251" s="286">
        <v>0</v>
      </c>
      <c r="AD251" s="286">
        <v>0</v>
      </c>
      <c r="AE251" s="286">
        <v>0</v>
      </c>
      <c r="AF251" s="286">
        <v>0</v>
      </c>
      <c r="AG251" s="286">
        <v>0</v>
      </c>
      <c r="AH251" s="286">
        <v>0</v>
      </c>
      <c r="AI251" s="286">
        <v>0</v>
      </c>
      <c r="AJ251" s="286">
        <v>0</v>
      </c>
      <c r="AK251" s="286">
        <v>0</v>
      </c>
      <c r="AL251" s="286">
        <v>0</v>
      </c>
      <c r="AM251" s="286">
        <v>0</v>
      </c>
      <c r="AN251" s="286">
        <v>0</v>
      </c>
      <c r="AO251" s="286">
        <v>0</v>
      </c>
      <c r="AP251" s="286">
        <v>0</v>
      </c>
      <c r="AQ251" s="286">
        <v>0</v>
      </c>
      <c r="AR251" s="286">
        <v>0</v>
      </c>
      <c r="AS251" s="286">
        <v>0</v>
      </c>
      <c r="AT251" s="286">
        <v>0</v>
      </c>
      <c r="AU251" s="286">
        <v>0</v>
      </c>
      <c r="AV251" s="286">
        <v>0</v>
      </c>
      <c r="AW251" s="286">
        <v>0</v>
      </c>
      <c r="AX251" s="286">
        <v>0</v>
      </c>
      <c r="AY251" s="286">
        <v>0</v>
      </c>
      <c r="AZ251" s="286">
        <v>0</v>
      </c>
      <c r="BA251" s="286">
        <v>0</v>
      </c>
      <c r="BB251" s="286">
        <v>0</v>
      </c>
      <c r="BC251" s="286">
        <v>0</v>
      </c>
      <c r="BD251" s="286">
        <v>0</v>
      </c>
      <c r="BE251" s="286">
        <v>0</v>
      </c>
      <c r="BF251" s="286">
        <v>0</v>
      </c>
      <c r="BG251" s="286">
        <v>0</v>
      </c>
      <c r="BH251" s="286">
        <v>0</v>
      </c>
      <c r="BI251" s="286">
        <v>0</v>
      </c>
      <c r="BJ251" s="286">
        <v>0</v>
      </c>
      <c r="BK251" s="286">
        <v>0</v>
      </c>
      <c r="BL251" s="286">
        <v>0</v>
      </c>
      <c r="BM251" s="286">
        <v>0</v>
      </c>
      <c r="BN251" s="286">
        <v>0</v>
      </c>
      <c r="BO251" s="286">
        <v>0</v>
      </c>
      <c r="BP251" s="286">
        <v>0</v>
      </c>
      <c r="BQ251" s="286">
        <v>0</v>
      </c>
      <c r="BR251" s="286">
        <v>0</v>
      </c>
    </row>
    <row r="252" spans="1:70" ht="14.25" customHeight="1" x14ac:dyDescent="0.35">
      <c r="A252" s="4" t="s">
        <v>164</v>
      </c>
      <c r="B252" s="384">
        <v>0</v>
      </c>
      <c r="C252" s="385"/>
      <c r="D252" s="42" t="s">
        <v>164</v>
      </c>
      <c r="E252" s="386">
        <v>0</v>
      </c>
      <c r="F252" s="386">
        <v>0</v>
      </c>
      <c r="G252" s="386">
        <v>0</v>
      </c>
      <c r="I252" s="42" t="s">
        <v>164</v>
      </c>
      <c r="J252" s="286">
        <v>0</v>
      </c>
      <c r="K252" s="286">
        <v>0</v>
      </c>
      <c r="L252" s="286">
        <v>0</v>
      </c>
      <c r="M252" s="286">
        <v>0</v>
      </c>
      <c r="N252" s="286">
        <v>0</v>
      </c>
      <c r="O252" s="286">
        <v>0</v>
      </c>
      <c r="P252" s="286">
        <v>0</v>
      </c>
      <c r="Q252" s="286">
        <v>0</v>
      </c>
      <c r="R252" s="286">
        <v>0</v>
      </c>
      <c r="S252" s="286">
        <v>0</v>
      </c>
      <c r="T252" s="286">
        <v>0</v>
      </c>
      <c r="U252" s="286">
        <v>0</v>
      </c>
      <c r="V252" s="286">
        <v>0</v>
      </c>
      <c r="W252" s="286">
        <v>0</v>
      </c>
      <c r="X252" s="286">
        <v>0</v>
      </c>
      <c r="Y252" s="286">
        <v>0</v>
      </c>
      <c r="Z252" s="286">
        <v>0</v>
      </c>
      <c r="AA252" s="286">
        <v>0</v>
      </c>
      <c r="AB252" s="286">
        <v>0</v>
      </c>
      <c r="AC252" s="286">
        <v>0</v>
      </c>
      <c r="AD252" s="286">
        <v>0</v>
      </c>
      <c r="AE252" s="286">
        <v>0</v>
      </c>
      <c r="AF252" s="286">
        <v>0</v>
      </c>
      <c r="AG252" s="286">
        <v>0</v>
      </c>
      <c r="AH252" s="286">
        <v>0</v>
      </c>
      <c r="AI252" s="286">
        <v>0</v>
      </c>
      <c r="AJ252" s="286">
        <v>0</v>
      </c>
      <c r="AK252" s="286">
        <v>0</v>
      </c>
      <c r="AL252" s="286">
        <v>0</v>
      </c>
      <c r="AM252" s="286">
        <v>0</v>
      </c>
      <c r="AN252" s="286">
        <v>0</v>
      </c>
      <c r="AO252" s="286">
        <v>0</v>
      </c>
      <c r="AP252" s="286">
        <v>0</v>
      </c>
      <c r="AQ252" s="286">
        <v>0</v>
      </c>
      <c r="AR252" s="286">
        <v>0</v>
      </c>
      <c r="AS252" s="286">
        <v>0</v>
      </c>
      <c r="AT252" s="286">
        <v>0</v>
      </c>
      <c r="AU252" s="286">
        <v>0</v>
      </c>
      <c r="AV252" s="286">
        <v>0</v>
      </c>
      <c r="AW252" s="286">
        <v>0</v>
      </c>
      <c r="AX252" s="286">
        <v>0</v>
      </c>
      <c r="AY252" s="286">
        <v>0</v>
      </c>
      <c r="AZ252" s="286">
        <v>0</v>
      </c>
      <c r="BA252" s="286">
        <v>0</v>
      </c>
      <c r="BB252" s="286">
        <v>0</v>
      </c>
      <c r="BC252" s="286">
        <v>0</v>
      </c>
      <c r="BD252" s="286">
        <v>0</v>
      </c>
      <c r="BE252" s="286">
        <v>0</v>
      </c>
      <c r="BF252" s="286">
        <v>0</v>
      </c>
      <c r="BG252" s="286">
        <v>0</v>
      </c>
      <c r="BH252" s="286">
        <v>0</v>
      </c>
      <c r="BI252" s="286">
        <v>0</v>
      </c>
      <c r="BJ252" s="286">
        <v>0</v>
      </c>
      <c r="BK252" s="286">
        <v>0</v>
      </c>
      <c r="BL252" s="286">
        <v>0</v>
      </c>
      <c r="BM252" s="286">
        <v>0</v>
      </c>
      <c r="BN252" s="286">
        <v>0</v>
      </c>
      <c r="BO252" s="286">
        <v>0</v>
      </c>
      <c r="BP252" s="286">
        <v>0</v>
      </c>
      <c r="BQ252" s="286">
        <v>0</v>
      </c>
      <c r="BR252" s="286">
        <v>0</v>
      </c>
    </row>
    <row r="253" spans="1:70" ht="14.25" customHeight="1" x14ac:dyDescent="0.35">
      <c r="A253" s="4" t="s">
        <v>759</v>
      </c>
      <c r="B253" s="384">
        <v>0</v>
      </c>
      <c r="C253" s="385"/>
      <c r="D253" s="42" t="s">
        <v>145</v>
      </c>
      <c r="E253" s="386">
        <v>0</v>
      </c>
      <c r="F253" s="386">
        <v>0</v>
      </c>
      <c r="G253" s="386">
        <v>0</v>
      </c>
      <c r="I253" s="42" t="s">
        <v>145</v>
      </c>
      <c r="J253" s="286">
        <v>0</v>
      </c>
      <c r="K253" s="286">
        <v>0</v>
      </c>
      <c r="L253" s="286">
        <v>0</v>
      </c>
      <c r="M253" s="286">
        <v>0</v>
      </c>
      <c r="N253" s="286">
        <v>0</v>
      </c>
      <c r="O253" s="286">
        <v>0</v>
      </c>
      <c r="P253" s="286">
        <v>0</v>
      </c>
      <c r="Q253" s="286">
        <v>0</v>
      </c>
      <c r="R253" s="286">
        <v>0</v>
      </c>
      <c r="S253" s="286">
        <v>0</v>
      </c>
      <c r="T253" s="286">
        <v>0</v>
      </c>
      <c r="U253" s="286">
        <v>0</v>
      </c>
      <c r="V253" s="286">
        <v>0</v>
      </c>
      <c r="W253" s="286">
        <v>0</v>
      </c>
      <c r="X253" s="286">
        <v>0</v>
      </c>
      <c r="Y253" s="286">
        <v>0</v>
      </c>
      <c r="Z253" s="286">
        <v>0</v>
      </c>
      <c r="AA253" s="286">
        <v>0</v>
      </c>
      <c r="AB253" s="286">
        <v>0</v>
      </c>
      <c r="AC253" s="286">
        <v>0</v>
      </c>
      <c r="AD253" s="286">
        <v>0</v>
      </c>
      <c r="AE253" s="286">
        <v>0</v>
      </c>
      <c r="AF253" s="286">
        <v>0</v>
      </c>
      <c r="AG253" s="286">
        <v>0</v>
      </c>
      <c r="AH253" s="286">
        <v>0</v>
      </c>
      <c r="AI253" s="286">
        <v>0</v>
      </c>
      <c r="AJ253" s="286">
        <v>0</v>
      </c>
      <c r="AK253" s="286">
        <v>0</v>
      </c>
      <c r="AL253" s="286">
        <v>0</v>
      </c>
      <c r="AM253" s="286">
        <v>0</v>
      </c>
      <c r="AN253" s="286">
        <v>0</v>
      </c>
      <c r="AO253" s="286">
        <v>0</v>
      </c>
      <c r="AP253" s="286">
        <v>0</v>
      </c>
      <c r="AQ253" s="286">
        <v>0</v>
      </c>
      <c r="AR253" s="286">
        <v>0</v>
      </c>
      <c r="AS253" s="286">
        <v>0</v>
      </c>
      <c r="AT253" s="286">
        <v>0</v>
      </c>
      <c r="AU253" s="286">
        <v>0</v>
      </c>
      <c r="AV253" s="286">
        <v>0</v>
      </c>
      <c r="AW253" s="286">
        <v>0</v>
      </c>
      <c r="AX253" s="286">
        <v>0</v>
      </c>
      <c r="AY253" s="286">
        <v>0</v>
      </c>
      <c r="AZ253" s="286">
        <v>0</v>
      </c>
      <c r="BA253" s="286">
        <v>0</v>
      </c>
      <c r="BB253" s="286">
        <v>0</v>
      </c>
      <c r="BC253" s="286">
        <v>0</v>
      </c>
      <c r="BD253" s="286">
        <v>0</v>
      </c>
      <c r="BE253" s="286">
        <v>0</v>
      </c>
      <c r="BF253" s="286">
        <v>0</v>
      </c>
      <c r="BG253" s="286">
        <v>0</v>
      </c>
      <c r="BH253" s="286">
        <v>0</v>
      </c>
      <c r="BI253" s="286">
        <v>0</v>
      </c>
      <c r="BJ253" s="286">
        <v>0</v>
      </c>
      <c r="BK253" s="286">
        <v>0</v>
      </c>
      <c r="BL253" s="286">
        <v>0</v>
      </c>
      <c r="BM253" s="286">
        <v>0</v>
      </c>
      <c r="BN253" s="286">
        <v>0</v>
      </c>
      <c r="BO253" s="286">
        <v>0</v>
      </c>
      <c r="BP253" s="286">
        <v>0</v>
      </c>
      <c r="BQ253" s="286">
        <v>0</v>
      </c>
      <c r="BR253" s="286">
        <v>0</v>
      </c>
    </row>
    <row r="254" spans="1:70" ht="14.25" customHeight="1" x14ac:dyDescent="0.35">
      <c r="A254" s="4" t="s">
        <v>87</v>
      </c>
      <c r="B254" s="384">
        <v>0</v>
      </c>
      <c r="C254" s="385"/>
      <c r="D254" s="42" t="s">
        <v>87</v>
      </c>
      <c r="E254" s="386">
        <v>0</v>
      </c>
      <c r="F254" s="386">
        <v>0</v>
      </c>
      <c r="G254" s="386">
        <v>0</v>
      </c>
      <c r="I254" s="42" t="s">
        <v>87</v>
      </c>
      <c r="J254" s="286">
        <v>0</v>
      </c>
      <c r="K254" s="286">
        <v>0</v>
      </c>
      <c r="L254" s="286">
        <v>0</v>
      </c>
      <c r="M254" s="286">
        <v>0</v>
      </c>
      <c r="N254" s="286">
        <v>0</v>
      </c>
      <c r="O254" s="286">
        <v>0</v>
      </c>
      <c r="P254" s="286">
        <v>0</v>
      </c>
      <c r="Q254" s="286">
        <v>0</v>
      </c>
      <c r="R254" s="286">
        <v>0</v>
      </c>
      <c r="S254" s="286">
        <v>0</v>
      </c>
      <c r="T254" s="286">
        <v>0</v>
      </c>
      <c r="U254" s="286">
        <v>0</v>
      </c>
      <c r="V254" s="286">
        <v>0</v>
      </c>
      <c r="W254" s="286">
        <v>0</v>
      </c>
      <c r="X254" s="286">
        <v>0</v>
      </c>
      <c r="Y254" s="286">
        <v>0</v>
      </c>
      <c r="Z254" s="286">
        <v>0</v>
      </c>
      <c r="AA254" s="286">
        <v>0</v>
      </c>
      <c r="AB254" s="286">
        <v>0</v>
      </c>
      <c r="AC254" s="286">
        <v>0</v>
      </c>
      <c r="AD254" s="286">
        <v>0</v>
      </c>
      <c r="AE254" s="286">
        <v>0</v>
      </c>
      <c r="AF254" s="286">
        <v>0</v>
      </c>
      <c r="AG254" s="286">
        <v>0</v>
      </c>
      <c r="AH254" s="286">
        <v>0</v>
      </c>
      <c r="AI254" s="286">
        <v>0</v>
      </c>
      <c r="AJ254" s="286">
        <v>0</v>
      </c>
      <c r="AK254" s="286">
        <v>0</v>
      </c>
      <c r="AL254" s="286">
        <v>0</v>
      </c>
      <c r="AM254" s="286">
        <v>0</v>
      </c>
      <c r="AN254" s="286">
        <v>0</v>
      </c>
      <c r="AO254" s="286">
        <v>0</v>
      </c>
      <c r="AP254" s="286">
        <v>0</v>
      </c>
      <c r="AQ254" s="286">
        <v>0</v>
      </c>
      <c r="AR254" s="286">
        <v>0</v>
      </c>
      <c r="AS254" s="286">
        <v>0</v>
      </c>
      <c r="AT254" s="286">
        <v>0</v>
      </c>
      <c r="AU254" s="286">
        <v>0</v>
      </c>
      <c r="AV254" s="286">
        <v>0</v>
      </c>
      <c r="AW254" s="286">
        <v>0</v>
      </c>
      <c r="AX254" s="286">
        <v>0</v>
      </c>
      <c r="AY254" s="286">
        <v>0</v>
      </c>
      <c r="AZ254" s="286">
        <v>0</v>
      </c>
      <c r="BA254" s="286">
        <v>0</v>
      </c>
      <c r="BB254" s="286">
        <v>0</v>
      </c>
      <c r="BC254" s="286">
        <v>0</v>
      </c>
      <c r="BD254" s="286">
        <v>0</v>
      </c>
      <c r="BE254" s="286">
        <v>0</v>
      </c>
      <c r="BF254" s="286">
        <v>0</v>
      </c>
      <c r="BG254" s="286">
        <v>0</v>
      </c>
      <c r="BH254" s="286">
        <v>0</v>
      </c>
      <c r="BI254" s="286">
        <v>0</v>
      </c>
      <c r="BJ254" s="286">
        <v>0</v>
      </c>
      <c r="BK254" s="286">
        <v>0</v>
      </c>
      <c r="BL254" s="286">
        <v>0</v>
      </c>
      <c r="BM254" s="286">
        <v>0</v>
      </c>
      <c r="BN254" s="286">
        <v>0</v>
      </c>
      <c r="BO254" s="286">
        <v>0</v>
      </c>
      <c r="BP254" s="286">
        <v>0</v>
      </c>
      <c r="BQ254" s="286">
        <v>0</v>
      </c>
      <c r="BR254" s="286">
        <v>0</v>
      </c>
    </row>
    <row r="255" spans="1:70" ht="14.25" customHeight="1" x14ac:dyDescent="0.35">
      <c r="A255" s="4" t="s">
        <v>760</v>
      </c>
      <c r="B255" s="384">
        <v>0</v>
      </c>
      <c r="C255" s="385"/>
      <c r="D255" s="42" t="s">
        <v>146</v>
      </c>
      <c r="E255" s="386">
        <v>0</v>
      </c>
      <c r="F255" s="386">
        <v>0</v>
      </c>
      <c r="G255" s="386">
        <v>0</v>
      </c>
      <c r="I255" s="42" t="s">
        <v>146</v>
      </c>
      <c r="J255" s="286">
        <v>0</v>
      </c>
      <c r="K255" s="286">
        <v>0</v>
      </c>
      <c r="L255" s="286">
        <v>0</v>
      </c>
      <c r="M255" s="286">
        <v>0</v>
      </c>
      <c r="N255" s="286">
        <v>0</v>
      </c>
      <c r="O255" s="286">
        <v>0</v>
      </c>
      <c r="P255" s="286">
        <v>0</v>
      </c>
      <c r="Q255" s="286">
        <v>0</v>
      </c>
      <c r="R255" s="286">
        <v>0</v>
      </c>
      <c r="S255" s="286">
        <v>0</v>
      </c>
      <c r="T255" s="286">
        <v>0</v>
      </c>
      <c r="U255" s="286">
        <v>0</v>
      </c>
      <c r="V255" s="286">
        <v>0</v>
      </c>
      <c r="W255" s="286">
        <v>0</v>
      </c>
      <c r="X255" s="286">
        <v>0</v>
      </c>
      <c r="Y255" s="286">
        <v>0</v>
      </c>
      <c r="Z255" s="286">
        <v>0</v>
      </c>
      <c r="AA255" s="286">
        <v>0</v>
      </c>
      <c r="AB255" s="286">
        <v>0</v>
      </c>
      <c r="AC255" s="286">
        <v>0</v>
      </c>
      <c r="AD255" s="286">
        <v>0</v>
      </c>
      <c r="AE255" s="286">
        <v>0</v>
      </c>
      <c r="AF255" s="286">
        <v>0</v>
      </c>
      <c r="AG255" s="286">
        <v>0</v>
      </c>
      <c r="AH255" s="286">
        <v>0</v>
      </c>
      <c r="AI255" s="286">
        <v>0</v>
      </c>
      <c r="AJ255" s="286">
        <v>0</v>
      </c>
      <c r="AK255" s="286">
        <v>0</v>
      </c>
      <c r="AL255" s="286">
        <v>0</v>
      </c>
      <c r="AM255" s="286">
        <v>0</v>
      </c>
      <c r="AN255" s="286">
        <v>0</v>
      </c>
      <c r="AO255" s="286">
        <v>0</v>
      </c>
      <c r="AP255" s="286">
        <v>0</v>
      </c>
      <c r="AQ255" s="286">
        <v>0</v>
      </c>
      <c r="AR255" s="286">
        <v>0</v>
      </c>
      <c r="AS255" s="286">
        <v>0</v>
      </c>
      <c r="AT255" s="286">
        <v>0</v>
      </c>
      <c r="AU255" s="286">
        <v>0</v>
      </c>
      <c r="AV255" s="286">
        <v>0</v>
      </c>
      <c r="AW255" s="286">
        <v>0</v>
      </c>
      <c r="AX255" s="286">
        <v>0</v>
      </c>
      <c r="AY255" s="286">
        <v>0</v>
      </c>
      <c r="AZ255" s="286">
        <v>0</v>
      </c>
      <c r="BA255" s="286">
        <v>0</v>
      </c>
      <c r="BB255" s="286">
        <v>0</v>
      </c>
      <c r="BC255" s="286">
        <v>0</v>
      </c>
      <c r="BD255" s="286">
        <v>0</v>
      </c>
      <c r="BE255" s="286">
        <v>0</v>
      </c>
      <c r="BF255" s="286">
        <v>0</v>
      </c>
      <c r="BG255" s="286">
        <v>0</v>
      </c>
      <c r="BH255" s="286">
        <v>0</v>
      </c>
      <c r="BI255" s="286">
        <v>0</v>
      </c>
      <c r="BJ255" s="286">
        <v>0</v>
      </c>
      <c r="BK255" s="286">
        <v>0</v>
      </c>
      <c r="BL255" s="286">
        <v>0</v>
      </c>
      <c r="BM255" s="286">
        <v>0</v>
      </c>
      <c r="BN255" s="286">
        <v>0</v>
      </c>
      <c r="BO255" s="286">
        <v>0</v>
      </c>
      <c r="BP255" s="286">
        <v>0</v>
      </c>
      <c r="BQ255" s="286">
        <v>0</v>
      </c>
      <c r="BR255" s="286">
        <v>0</v>
      </c>
    </row>
    <row r="256" spans="1:70" ht="14.25" customHeight="1" x14ac:dyDescent="0.35">
      <c r="A256" s="4" t="s">
        <v>89</v>
      </c>
      <c r="B256" s="384">
        <v>0</v>
      </c>
      <c r="C256" s="385"/>
      <c r="D256" s="42" t="s">
        <v>89</v>
      </c>
      <c r="E256" s="386">
        <v>0</v>
      </c>
      <c r="F256" s="386">
        <v>0</v>
      </c>
      <c r="G256" s="386">
        <v>0</v>
      </c>
      <c r="I256" s="42" t="s">
        <v>89</v>
      </c>
      <c r="J256" s="286">
        <v>0</v>
      </c>
      <c r="K256" s="286">
        <v>0</v>
      </c>
      <c r="L256" s="286">
        <v>0</v>
      </c>
      <c r="M256" s="286">
        <v>0</v>
      </c>
      <c r="N256" s="286">
        <v>0</v>
      </c>
      <c r="O256" s="286">
        <v>0</v>
      </c>
      <c r="P256" s="286">
        <v>0</v>
      </c>
      <c r="Q256" s="286">
        <v>0</v>
      </c>
      <c r="R256" s="286">
        <v>0</v>
      </c>
      <c r="S256" s="286">
        <v>0</v>
      </c>
      <c r="T256" s="286">
        <v>0</v>
      </c>
      <c r="U256" s="286">
        <v>0</v>
      </c>
      <c r="V256" s="286">
        <v>0</v>
      </c>
      <c r="W256" s="286">
        <v>0</v>
      </c>
      <c r="X256" s="286">
        <v>0</v>
      </c>
      <c r="Y256" s="286">
        <v>0</v>
      </c>
      <c r="Z256" s="286">
        <v>0</v>
      </c>
      <c r="AA256" s="286">
        <v>0</v>
      </c>
      <c r="AB256" s="286">
        <v>0</v>
      </c>
      <c r="AC256" s="286">
        <v>0</v>
      </c>
      <c r="AD256" s="286">
        <v>0</v>
      </c>
      <c r="AE256" s="286">
        <v>0</v>
      </c>
      <c r="AF256" s="286">
        <v>0</v>
      </c>
      <c r="AG256" s="286">
        <v>0</v>
      </c>
      <c r="AH256" s="286">
        <v>0</v>
      </c>
      <c r="AI256" s="286">
        <v>0</v>
      </c>
      <c r="AJ256" s="286">
        <v>0</v>
      </c>
      <c r="AK256" s="286">
        <v>0</v>
      </c>
      <c r="AL256" s="286">
        <v>0</v>
      </c>
      <c r="AM256" s="286">
        <v>0</v>
      </c>
      <c r="AN256" s="286">
        <v>0</v>
      </c>
      <c r="AO256" s="286">
        <v>0</v>
      </c>
      <c r="AP256" s="286">
        <v>0</v>
      </c>
      <c r="AQ256" s="286">
        <v>0</v>
      </c>
      <c r="AR256" s="286">
        <v>0</v>
      </c>
      <c r="AS256" s="286">
        <v>0</v>
      </c>
      <c r="AT256" s="286">
        <v>0</v>
      </c>
      <c r="AU256" s="286">
        <v>0</v>
      </c>
      <c r="AV256" s="286">
        <v>0</v>
      </c>
      <c r="AW256" s="286">
        <v>0</v>
      </c>
      <c r="AX256" s="286">
        <v>0</v>
      </c>
      <c r="AY256" s="286">
        <v>0</v>
      </c>
      <c r="AZ256" s="286">
        <v>0</v>
      </c>
      <c r="BA256" s="286">
        <v>0</v>
      </c>
      <c r="BB256" s="286">
        <v>0</v>
      </c>
      <c r="BC256" s="286">
        <v>0</v>
      </c>
      <c r="BD256" s="286">
        <v>0</v>
      </c>
      <c r="BE256" s="286">
        <v>0</v>
      </c>
      <c r="BF256" s="286">
        <v>0</v>
      </c>
      <c r="BG256" s="286">
        <v>0</v>
      </c>
      <c r="BH256" s="286">
        <v>0</v>
      </c>
      <c r="BI256" s="286">
        <v>0</v>
      </c>
      <c r="BJ256" s="286">
        <v>0</v>
      </c>
      <c r="BK256" s="286">
        <v>0</v>
      </c>
      <c r="BL256" s="286">
        <v>0</v>
      </c>
      <c r="BM256" s="286">
        <v>0</v>
      </c>
      <c r="BN256" s="286">
        <v>0</v>
      </c>
      <c r="BO256" s="286">
        <v>0</v>
      </c>
      <c r="BP256" s="286">
        <v>0</v>
      </c>
      <c r="BQ256" s="286">
        <v>0</v>
      </c>
      <c r="BR256" s="286">
        <v>0</v>
      </c>
    </row>
    <row r="257" spans="1:70" ht="14.25" customHeight="1" x14ac:dyDescent="0.35">
      <c r="A257" s="4" t="s">
        <v>90</v>
      </c>
      <c r="B257" s="384">
        <v>0</v>
      </c>
      <c r="C257" s="385"/>
      <c r="D257" s="42" t="s">
        <v>90</v>
      </c>
      <c r="E257" s="386">
        <v>0</v>
      </c>
      <c r="F257" s="386">
        <v>0</v>
      </c>
      <c r="G257" s="386">
        <v>0</v>
      </c>
      <c r="I257" s="42" t="s">
        <v>90</v>
      </c>
      <c r="J257" s="286">
        <v>0</v>
      </c>
      <c r="K257" s="286">
        <v>0</v>
      </c>
      <c r="L257" s="286">
        <v>0</v>
      </c>
      <c r="M257" s="286">
        <v>0</v>
      </c>
      <c r="N257" s="286">
        <v>0</v>
      </c>
      <c r="O257" s="286">
        <v>0</v>
      </c>
      <c r="P257" s="286">
        <v>0</v>
      </c>
      <c r="Q257" s="286">
        <v>0</v>
      </c>
      <c r="R257" s="286">
        <v>0</v>
      </c>
      <c r="S257" s="286">
        <v>0</v>
      </c>
      <c r="T257" s="286">
        <v>0</v>
      </c>
      <c r="U257" s="286">
        <v>0</v>
      </c>
      <c r="V257" s="286">
        <v>0</v>
      </c>
      <c r="W257" s="286">
        <v>0</v>
      </c>
      <c r="X257" s="286">
        <v>0</v>
      </c>
      <c r="Y257" s="286">
        <v>0</v>
      </c>
      <c r="Z257" s="286">
        <v>0</v>
      </c>
      <c r="AA257" s="286">
        <v>0</v>
      </c>
      <c r="AB257" s="286">
        <v>0</v>
      </c>
      <c r="AC257" s="286">
        <v>0</v>
      </c>
      <c r="AD257" s="286">
        <v>0</v>
      </c>
      <c r="AE257" s="286">
        <v>0</v>
      </c>
      <c r="AF257" s="286">
        <v>0</v>
      </c>
      <c r="AG257" s="286">
        <v>0</v>
      </c>
      <c r="AH257" s="286">
        <v>0</v>
      </c>
      <c r="AI257" s="286">
        <v>0</v>
      </c>
      <c r="AJ257" s="286">
        <v>0</v>
      </c>
      <c r="AK257" s="286">
        <v>0</v>
      </c>
      <c r="AL257" s="286">
        <v>0</v>
      </c>
      <c r="AM257" s="286">
        <v>0</v>
      </c>
      <c r="AN257" s="286">
        <v>0</v>
      </c>
      <c r="AO257" s="286">
        <v>0</v>
      </c>
      <c r="AP257" s="286">
        <v>0</v>
      </c>
      <c r="AQ257" s="286">
        <v>0</v>
      </c>
      <c r="AR257" s="286">
        <v>0</v>
      </c>
      <c r="AS257" s="286">
        <v>0</v>
      </c>
      <c r="AT257" s="286">
        <v>0</v>
      </c>
      <c r="AU257" s="286">
        <v>0</v>
      </c>
      <c r="AV257" s="286">
        <v>0</v>
      </c>
      <c r="AW257" s="286">
        <v>0</v>
      </c>
      <c r="AX257" s="286">
        <v>0</v>
      </c>
      <c r="AY257" s="286">
        <v>0</v>
      </c>
      <c r="AZ257" s="286">
        <v>0</v>
      </c>
      <c r="BA257" s="286">
        <v>0</v>
      </c>
      <c r="BB257" s="286">
        <v>0</v>
      </c>
      <c r="BC257" s="286">
        <v>0</v>
      </c>
      <c r="BD257" s="286">
        <v>0</v>
      </c>
      <c r="BE257" s="286">
        <v>0</v>
      </c>
      <c r="BF257" s="286">
        <v>0</v>
      </c>
      <c r="BG257" s="286">
        <v>0</v>
      </c>
      <c r="BH257" s="286">
        <v>0</v>
      </c>
      <c r="BI257" s="286">
        <v>0</v>
      </c>
      <c r="BJ257" s="286">
        <v>0</v>
      </c>
      <c r="BK257" s="286">
        <v>0</v>
      </c>
      <c r="BL257" s="286">
        <v>0</v>
      </c>
      <c r="BM257" s="286">
        <v>0</v>
      </c>
      <c r="BN257" s="286">
        <v>0</v>
      </c>
      <c r="BO257" s="286">
        <v>0</v>
      </c>
      <c r="BP257" s="286">
        <v>0</v>
      </c>
      <c r="BQ257" s="286">
        <v>0</v>
      </c>
      <c r="BR257" s="286">
        <v>0</v>
      </c>
    </row>
    <row r="259" spans="1:70" ht="14.25" customHeight="1" x14ac:dyDescent="0.35">
      <c r="A259" s="383" t="s">
        <v>1744</v>
      </c>
      <c r="D259" s="25" t="s">
        <v>1764</v>
      </c>
      <c r="E259" s="25" t="s">
        <v>1765</v>
      </c>
      <c r="I259" s="94" t="s">
        <v>1766</v>
      </c>
    </row>
    <row r="260" spans="1:70" ht="14.25" customHeight="1" x14ac:dyDescent="0.35">
      <c r="A260" s="39" t="s">
        <v>1748</v>
      </c>
      <c r="B260" s="4"/>
      <c r="D260" s="39" t="s">
        <v>1232</v>
      </c>
      <c r="E260" s="279" t="s">
        <v>1767</v>
      </c>
      <c r="F260" s="279" t="s">
        <v>1768</v>
      </c>
      <c r="G260" s="279" t="s">
        <v>1769</v>
      </c>
      <c r="I260" s="39" t="s">
        <v>1232</v>
      </c>
      <c r="J260" s="387" t="s">
        <v>927</v>
      </c>
      <c r="K260" s="387" t="s">
        <v>928</v>
      </c>
      <c r="L260" s="387" t="s">
        <v>929</v>
      </c>
      <c r="M260" s="387" t="s">
        <v>930</v>
      </c>
      <c r="N260" s="387" t="s">
        <v>931</v>
      </c>
      <c r="O260" s="387" t="s">
        <v>932</v>
      </c>
      <c r="P260" s="387" t="s">
        <v>933</v>
      </c>
      <c r="Q260" s="387" t="s">
        <v>934</v>
      </c>
      <c r="R260" s="387" t="s">
        <v>935</v>
      </c>
      <c r="S260" s="387" t="s">
        <v>936</v>
      </c>
      <c r="T260" s="387" t="s">
        <v>937</v>
      </c>
      <c r="U260" s="387" t="s">
        <v>938</v>
      </c>
      <c r="V260" s="387" t="s">
        <v>939</v>
      </c>
      <c r="W260" s="387" t="s">
        <v>940</v>
      </c>
      <c r="X260" s="387" t="s">
        <v>941</v>
      </c>
      <c r="Y260" s="387" t="s">
        <v>942</v>
      </c>
      <c r="Z260" s="387" t="s">
        <v>943</v>
      </c>
      <c r="AA260" s="387" t="s">
        <v>944</v>
      </c>
      <c r="AB260" s="387" t="s">
        <v>945</v>
      </c>
      <c r="AC260" s="387" t="s">
        <v>946</v>
      </c>
      <c r="AD260" s="387" t="s">
        <v>947</v>
      </c>
      <c r="AE260" s="387" t="s">
        <v>948</v>
      </c>
      <c r="AF260" s="387" t="s">
        <v>949</v>
      </c>
      <c r="AG260" s="387" t="s">
        <v>950</v>
      </c>
      <c r="AH260" s="387" t="s">
        <v>951</v>
      </c>
      <c r="AI260" s="387" t="s">
        <v>952</v>
      </c>
      <c r="AJ260" s="387" t="s">
        <v>953</v>
      </c>
      <c r="AK260" s="387" t="s">
        <v>954</v>
      </c>
      <c r="AL260" s="387" t="s">
        <v>955</v>
      </c>
      <c r="AM260" s="387" t="s">
        <v>956</v>
      </c>
      <c r="AN260" s="387" t="s">
        <v>957</v>
      </c>
      <c r="AO260" s="387" t="s">
        <v>958</v>
      </c>
      <c r="AP260" s="387" t="s">
        <v>959</v>
      </c>
      <c r="AQ260" s="387" t="s">
        <v>960</v>
      </c>
      <c r="AR260" s="387" t="s">
        <v>961</v>
      </c>
      <c r="AS260" s="387" t="s">
        <v>962</v>
      </c>
      <c r="AT260" s="387" t="s">
        <v>963</v>
      </c>
      <c r="AU260" s="387" t="s">
        <v>964</v>
      </c>
      <c r="AV260" s="387" t="s">
        <v>965</v>
      </c>
      <c r="AW260" s="387" t="s">
        <v>966</v>
      </c>
      <c r="AX260" s="387" t="s">
        <v>967</v>
      </c>
      <c r="AY260" s="387" t="s">
        <v>968</v>
      </c>
      <c r="AZ260" s="387" t="s">
        <v>969</v>
      </c>
      <c r="BA260" s="387" t="s">
        <v>970</v>
      </c>
      <c r="BB260" s="387" t="s">
        <v>971</v>
      </c>
      <c r="BC260" s="387" t="s">
        <v>972</v>
      </c>
      <c r="BD260" s="387" t="s">
        <v>973</v>
      </c>
      <c r="BE260" s="387" t="s">
        <v>974</v>
      </c>
      <c r="BF260" s="387" t="s">
        <v>975</v>
      </c>
      <c r="BG260" s="387" t="s">
        <v>976</v>
      </c>
      <c r="BH260" s="387" t="s">
        <v>977</v>
      </c>
      <c r="BI260" s="387" t="s">
        <v>978</v>
      </c>
      <c r="BJ260" s="387" t="s">
        <v>979</v>
      </c>
      <c r="BK260" s="387" t="s">
        <v>980</v>
      </c>
      <c r="BL260" s="387" t="s">
        <v>981</v>
      </c>
      <c r="BM260" s="387" t="s">
        <v>982</v>
      </c>
      <c r="BN260" s="387" t="s">
        <v>983</v>
      </c>
      <c r="BO260" s="387" t="s">
        <v>984</v>
      </c>
      <c r="BP260" s="387" t="s">
        <v>985</v>
      </c>
      <c r="BQ260" s="387" t="s">
        <v>986</v>
      </c>
      <c r="BR260" s="387" t="s">
        <v>987</v>
      </c>
    </row>
    <row r="261" spans="1:70" ht="14.25" customHeight="1" x14ac:dyDescent="0.35">
      <c r="A261" s="4" t="s">
        <v>433</v>
      </c>
      <c r="B261" s="384">
        <v>953.73898221343882</v>
      </c>
      <c r="C261" s="385"/>
      <c r="D261" s="45" t="s">
        <v>228</v>
      </c>
      <c r="E261" s="93">
        <f>+$E$144</f>
        <v>0</v>
      </c>
      <c r="F261" s="93">
        <v>2025</v>
      </c>
      <c r="G261" s="93">
        <v>2050</v>
      </c>
      <c r="I261" s="45" t="s">
        <v>228</v>
      </c>
      <c r="J261" s="286">
        <v>0</v>
      </c>
      <c r="K261" s="286">
        <v>0</v>
      </c>
      <c r="L261" s="286">
        <v>0</v>
      </c>
      <c r="M261" s="286">
        <v>0</v>
      </c>
      <c r="N261" s="286">
        <v>0</v>
      </c>
      <c r="O261" s="286">
        <v>0</v>
      </c>
      <c r="P261" s="286">
        <v>0</v>
      </c>
      <c r="Q261" s="286">
        <v>0</v>
      </c>
      <c r="R261" s="286">
        <v>0</v>
      </c>
      <c r="S261" s="286">
        <v>0</v>
      </c>
      <c r="T261" s="286">
        <v>0</v>
      </c>
      <c r="U261" s="286">
        <v>0</v>
      </c>
      <c r="V261" s="286">
        <v>0</v>
      </c>
      <c r="W261" s="286">
        <v>0</v>
      </c>
      <c r="X261" s="286">
        <v>0</v>
      </c>
      <c r="Y261" s="286">
        <v>0</v>
      </c>
      <c r="Z261" s="286">
        <v>0</v>
      </c>
      <c r="AA261" s="286">
        <v>0</v>
      </c>
      <c r="AB261" s="286">
        <v>0</v>
      </c>
      <c r="AC261" s="286">
        <v>0</v>
      </c>
      <c r="AD261" s="286">
        <v>0</v>
      </c>
      <c r="AE261" s="286">
        <v>0</v>
      </c>
      <c r="AF261" s="286">
        <v>0</v>
      </c>
      <c r="AG261" s="286">
        <v>0</v>
      </c>
      <c r="AH261" s="286">
        <v>0</v>
      </c>
      <c r="AI261" s="286">
        <v>0</v>
      </c>
      <c r="AJ261" s="286">
        <v>0</v>
      </c>
      <c r="AK261" s="286">
        <v>0</v>
      </c>
      <c r="AL261" s="286">
        <v>0</v>
      </c>
      <c r="AM261" s="286">
        <v>0</v>
      </c>
      <c r="AN261" s="286">
        <v>0</v>
      </c>
      <c r="AO261" s="286">
        <v>0</v>
      </c>
      <c r="AP261" s="286">
        <v>0</v>
      </c>
      <c r="AQ261" s="286">
        <v>0</v>
      </c>
      <c r="AR261" s="286">
        <v>0</v>
      </c>
      <c r="AS261" s="286">
        <v>0</v>
      </c>
      <c r="AT261" s="286">
        <v>0</v>
      </c>
      <c r="AU261" s="286">
        <v>0</v>
      </c>
      <c r="AV261" s="286">
        <v>0</v>
      </c>
      <c r="AW261" s="286">
        <v>0</v>
      </c>
      <c r="AX261" s="286">
        <v>0</v>
      </c>
      <c r="AY261" s="286">
        <v>0</v>
      </c>
      <c r="AZ261" s="286">
        <v>0</v>
      </c>
      <c r="BA261" s="286">
        <v>0</v>
      </c>
      <c r="BB261" s="286">
        <v>0</v>
      </c>
      <c r="BC261" s="286">
        <v>0</v>
      </c>
      <c r="BD261" s="286">
        <v>0</v>
      </c>
      <c r="BE261" s="286">
        <v>0</v>
      </c>
      <c r="BF261" s="286">
        <v>0</v>
      </c>
      <c r="BG261" s="286">
        <v>0</v>
      </c>
      <c r="BH261" s="286">
        <v>0</v>
      </c>
      <c r="BI261" s="286">
        <v>0</v>
      </c>
      <c r="BJ261" s="286">
        <v>0</v>
      </c>
      <c r="BK261" s="286">
        <v>0</v>
      </c>
      <c r="BL261" s="286">
        <v>0</v>
      </c>
      <c r="BM261" s="286">
        <v>0</v>
      </c>
      <c r="BN261" s="286">
        <v>0</v>
      </c>
      <c r="BO261" s="286">
        <v>0</v>
      </c>
      <c r="BP261" s="286">
        <v>0</v>
      </c>
      <c r="BQ261" s="286">
        <v>0</v>
      </c>
      <c r="BR261" s="281">
        <v>0.65</v>
      </c>
    </row>
    <row r="262" spans="1:70" ht="14.25" customHeight="1" x14ac:dyDescent="0.35">
      <c r="A262" s="4" t="s">
        <v>434</v>
      </c>
      <c r="B262" s="384">
        <v>953.73898221343882</v>
      </c>
      <c r="C262" s="385"/>
      <c r="D262" s="41" t="s">
        <v>95</v>
      </c>
      <c r="E262" s="93">
        <f t="shared" ref="E262:E288" si="1">+$E$144</f>
        <v>0</v>
      </c>
      <c r="F262" s="93">
        <v>2025</v>
      </c>
      <c r="G262" s="93">
        <v>2050</v>
      </c>
      <c r="I262" s="41" t="s">
        <v>95</v>
      </c>
      <c r="J262" s="281">
        <v>0.85</v>
      </c>
      <c r="K262" s="281">
        <v>0.85</v>
      </c>
      <c r="L262" s="281">
        <v>0.85</v>
      </c>
      <c r="M262" s="281">
        <v>0.85</v>
      </c>
      <c r="N262" s="281">
        <v>0.85</v>
      </c>
      <c r="O262" s="281">
        <v>0.85</v>
      </c>
      <c r="P262" s="281">
        <v>0.85</v>
      </c>
      <c r="Q262" s="281">
        <v>0.85</v>
      </c>
      <c r="R262" s="281">
        <v>0.85</v>
      </c>
      <c r="S262" s="281">
        <v>0.85</v>
      </c>
      <c r="T262" s="281">
        <v>0.85</v>
      </c>
      <c r="U262" s="281">
        <v>0.85</v>
      </c>
      <c r="V262" s="281">
        <v>0.85</v>
      </c>
      <c r="W262" s="281">
        <v>0.85</v>
      </c>
      <c r="X262" s="281">
        <v>0.85</v>
      </c>
      <c r="Y262" s="281">
        <v>0.85</v>
      </c>
      <c r="Z262" s="281">
        <v>0.85</v>
      </c>
      <c r="AA262" s="281">
        <v>0.85</v>
      </c>
      <c r="AB262" s="281">
        <v>0.85</v>
      </c>
      <c r="AC262" s="281">
        <v>0.85</v>
      </c>
      <c r="AD262" s="281">
        <v>0.85</v>
      </c>
      <c r="AE262" s="281">
        <v>0.85</v>
      </c>
      <c r="AF262" s="281">
        <v>0.85</v>
      </c>
      <c r="AG262" s="281">
        <v>0.85</v>
      </c>
      <c r="AH262" s="281">
        <v>0.65</v>
      </c>
      <c r="AI262" s="281">
        <v>0.65</v>
      </c>
      <c r="AJ262" s="281">
        <v>0.65</v>
      </c>
      <c r="AK262" s="281">
        <v>0.65</v>
      </c>
      <c r="AL262" s="281">
        <v>0.65</v>
      </c>
      <c r="AM262" s="281">
        <v>0.65</v>
      </c>
      <c r="AN262" s="281">
        <v>0.65</v>
      </c>
      <c r="AO262" s="281">
        <v>0.65</v>
      </c>
      <c r="AP262" s="281">
        <v>0.65</v>
      </c>
      <c r="AQ262" s="281">
        <v>0.65</v>
      </c>
      <c r="AR262" s="281">
        <v>0.65</v>
      </c>
      <c r="AS262" s="281">
        <v>0.65</v>
      </c>
      <c r="AT262" s="281">
        <v>0.5</v>
      </c>
      <c r="AU262" s="281">
        <v>0.5</v>
      </c>
      <c r="AV262" s="281">
        <v>0.5</v>
      </c>
      <c r="AW262" s="281">
        <v>0.5</v>
      </c>
      <c r="AX262" s="281">
        <v>0.5</v>
      </c>
      <c r="AY262" s="281">
        <v>0.5</v>
      </c>
      <c r="AZ262" s="281">
        <v>0.5</v>
      </c>
      <c r="BA262" s="281">
        <v>0.5</v>
      </c>
      <c r="BB262" s="281">
        <v>0.5</v>
      </c>
      <c r="BC262" s="281">
        <v>0.5</v>
      </c>
      <c r="BD262" s="281">
        <v>0.5</v>
      </c>
      <c r="BE262" s="281">
        <v>0.5</v>
      </c>
      <c r="BF262" s="281">
        <v>0.5</v>
      </c>
      <c r="BG262" s="281">
        <v>0.3</v>
      </c>
      <c r="BH262" s="281">
        <v>0.3</v>
      </c>
      <c r="BI262" s="281">
        <v>0.3</v>
      </c>
      <c r="BJ262" s="281">
        <v>0.3</v>
      </c>
      <c r="BK262" s="281">
        <v>0.3</v>
      </c>
      <c r="BL262" s="281">
        <v>0.3</v>
      </c>
      <c r="BM262" s="281">
        <v>0.3</v>
      </c>
      <c r="BN262" s="281">
        <v>0.3</v>
      </c>
      <c r="BO262" s="281">
        <v>0.3</v>
      </c>
      <c r="BP262" s="281">
        <v>0.3</v>
      </c>
      <c r="BQ262" s="281">
        <v>0.3</v>
      </c>
      <c r="BR262" s="286">
        <v>0</v>
      </c>
    </row>
    <row r="263" spans="1:70" ht="14.25" customHeight="1" x14ac:dyDescent="0.35">
      <c r="A263" s="4" t="s">
        <v>435</v>
      </c>
      <c r="B263" s="384">
        <v>953.73898221343882</v>
      </c>
      <c r="C263" s="385"/>
      <c r="D263" s="41" t="s">
        <v>96</v>
      </c>
      <c r="E263" s="93">
        <f t="shared" si="1"/>
        <v>0</v>
      </c>
      <c r="F263" s="93">
        <v>2025</v>
      </c>
      <c r="G263" s="93">
        <v>2050</v>
      </c>
      <c r="I263" s="41" t="s">
        <v>96</v>
      </c>
      <c r="J263" s="281">
        <v>0.85</v>
      </c>
      <c r="K263" s="281">
        <v>0.85</v>
      </c>
      <c r="L263" s="281">
        <v>0.85</v>
      </c>
      <c r="M263" s="281">
        <v>0.85</v>
      </c>
      <c r="N263" s="281">
        <v>0.85</v>
      </c>
      <c r="O263" s="281">
        <v>0.85</v>
      </c>
      <c r="P263" s="281">
        <v>0.85</v>
      </c>
      <c r="Q263" s="281">
        <v>0.85</v>
      </c>
      <c r="R263" s="281">
        <v>0.85</v>
      </c>
      <c r="S263" s="281">
        <v>0.85</v>
      </c>
      <c r="T263" s="281">
        <v>0.85</v>
      </c>
      <c r="U263" s="281">
        <v>0.85</v>
      </c>
      <c r="V263" s="281">
        <v>0.85</v>
      </c>
      <c r="W263" s="281">
        <v>0.85</v>
      </c>
      <c r="X263" s="281">
        <v>0.85</v>
      </c>
      <c r="Y263" s="281">
        <v>0.85</v>
      </c>
      <c r="Z263" s="281">
        <v>0.85</v>
      </c>
      <c r="AA263" s="281">
        <v>0.85</v>
      </c>
      <c r="AB263" s="281">
        <v>0.85</v>
      </c>
      <c r="AC263" s="281">
        <v>0.85</v>
      </c>
      <c r="AD263" s="281">
        <v>0.85</v>
      </c>
      <c r="AE263" s="281">
        <v>0.85</v>
      </c>
      <c r="AF263" s="281">
        <v>0.85</v>
      </c>
      <c r="AG263" s="281">
        <v>0.85</v>
      </c>
      <c r="AH263" s="281">
        <v>0.65</v>
      </c>
      <c r="AI263" s="281">
        <v>0.65</v>
      </c>
      <c r="AJ263" s="281">
        <v>0.65</v>
      </c>
      <c r="AK263" s="281">
        <v>0.65</v>
      </c>
      <c r="AL263" s="281">
        <v>0.65</v>
      </c>
      <c r="AM263" s="281">
        <v>0.65</v>
      </c>
      <c r="AN263" s="281">
        <v>0.65</v>
      </c>
      <c r="AO263" s="281">
        <v>0.65</v>
      </c>
      <c r="AP263" s="281">
        <v>0.65</v>
      </c>
      <c r="AQ263" s="281">
        <v>0.65</v>
      </c>
      <c r="AR263" s="281">
        <v>0.65</v>
      </c>
      <c r="AS263" s="281">
        <v>0.65</v>
      </c>
      <c r="AT263" s="281">
        <v>0.5</v>
      </c>
      <c r="AU263" s="281">
        <v>0.5</v>
      </c>
      <c r="AV263" s="281">
        <v>0.5</v>
      </c>
      <c r="AW263" s="281">
        <v>0.5</v>
      </c>
      <c r="AX263" s="281">
        <v>0.5</v>
      </c>
      <c r="AY263" s="281">
        <v>0.5</v>
      </c>
      <c r="AZ263" s="281">
        <v>0.5</v>
      </c>
      <c r="BA263" s="281">
        <v>0.5</v>
      </c>
      <c r="BB263" s="281">
        <v>0.5</v>
      </c>
      <c r="BC263" s="281">
        <v>0.5</v>
      </c>
      <c r="BD263" s="281">
        <v>0.5</v>
      </c>
      <c r="BE263" s="281">
        <v>0.5</v>
      </c>
      <c r="BF263" s="281">
        <v>0.5</v>
      </c>
      <c r="BG263" s="281">
        <v>0.3</v>
      </c>
      <c r="BH263" s="281">
        <v>0.3</v>
      </c>
      <c r="BI263" s="281">
        <v>0.3</v>
      </c>
      <c r="BJ263" s="281">
        <v>0.3</v>
      </c>
      <c r="BK263" s="281">
        <v>0.3</v>
      </c>
      <c r="BL263" s="281">
        <v>0.3</v>
      </c>
      <c r="BM263" s="281">
        <v>0.3</v>
      </c>
      <c r="BN263" s="281">
        <v>0.3</v>
      </c>
      <c r="BO263" s="281">
        <v>0.3</v>
      </c>
      <c r="BP263" s="281">
        <v>0.3</v>
      </c>
      <c r="BQ263" s="281">
        <v>0.3</v>
      </c>
      <c r="BR263" s="286">
        <v>0</v>
      </c>
    </row>
    <row r="264" spans="1:70" ht="14.25" customHeight="1" x14ac:dyDescent="0.35">
      <c r="A264" s="4" t="s">
        <v>436</v>
      </c>
      <c r="B264" s="384">
        <v>953.73898221343882</v>
      </c>
      <c r="C264" s="385"/>
      <c r="D264" s="41" t="s">
        <v>97</v>
      </c>
      <c r="E264" s="93">
        <f t="shared" si="1"/>
        <v>0</v>
      </c>
      <c r="F264" s="93">
        <v>2025</v>
      </c>
      <c r="G264" s="93">
        <v>2050</v>
      </c>
      <c r="I264" s="41" t="s">
        <v>97</v>
      </c>
      <c r="J264" s="281">
        <v>0.85</v>
      </c>
      <c r="K264" s="281">
        <v>0.85</v>
      </c>
      <c r="L264" s="281">
        <v>0.85</v>
      </c>
      <c r="M264" s="281">
        <v>0.85</v>
      </c>
      <c r="N264" s="281">
        <v>0.85</v>
      </c>
      <c r="O264" s="281">
        <v>0.85</v>
      </c>
      <c r="P264" s="281">
        <v>0.85</v>
      </c>
      <c r="Q264" s="281">
        <v>0.85</v>
      </c>
      <c r="R264" s="281">
        <v>0.85</v>
      </c>
      <c r="S264" s="281">
        <v>0.85</v>
      </c>
      <c r="T264" s="281">
        <v>0.85</v>
      </c>
      <c r="U264" s="281">
        <v>0.85</v>
      </c>
      <c r="V264" s="281">
        <v>0.85</v>
      </c>
      <c r="W264" s="281">
        <v>0.85</v>
      </c>
      <c r="X264" s="281">
        <v>0.85</v>
      </c>
      <c r="Y264" s="281">
        <v>0.85</v>
      </c>
      <c r="Z264" s="281">
        <v>0.85</v>
      </c>
      <c r="AA264" s="281">
        <v>0.85</v>
      </c>
      <c r="AB264" s="281">
        <v>0.85</v>
      </c>
      <c r="AC264" s="281">
        <v>0.85</v>
      </c>
      <c r="AD264" s="281">
        <v>0.85</v>
      </c>
      <c r="AE264" s="281">
        <v>0.85</v>
      </c>
      <c r="AF264" s="281">
        <v>0.85</v>
      </c>
      <c r="AG264" s="281">
        <v>0.85</v>
      </c>
      <c r="AH264" s="281">
        <v>0.65</v>
      </c>
      <c r="AI264" s="281">
        <v>0.65</v>
      </c>
      <c r="AJ264" s="281">
        <v>0.65</v>
      </c>
      <c r="AK264" s="281">
        <v>0.65</v>
      </c>
      <c r="AL264" s="281">
        <v>0.65</v>
      </c>
      <c r="AM264" s="281">
        <v>0.65</v>
      </c>
      <c r="AN264" s="281">
        <v>0.65</v>
      </c>
      <c r="AO264" s="281">
        <v>0.65</v>
      </c>
      <c r="AP264" s="281">
        <v>0.65</v>
      </c>
      <c r="AQ264" s="281">
        <v>0.65</v>
      </c>
      <c r="AR264" s="281">
        <v>0.65</v>
      </c>
      <c r="AS264" s="281">
        <v>0.65</v>
      </c>
      <c r="AT264" s="281">
        <v>0.5</v>
      </c>
      <c r="AU264" s="281">
        <v>0.5</v>
      </c>
      <c r="AV264" s="281">
        <v>0.5</v>
      </c>
      <c r="AW264" s="281">
        <v>0.5</v>
      </c>
      <c r="AX264" s="281">
        <v>0.5</v>
      </c>
      <c r="AY264" s="281">
        <v>0.5</v>
      </c>
      <c r="AZ264" s="281">
        <v>0.5</v>
      </c>
      <c r="BA264" s="281">
        <v>0.5</v>
      </c>
      <c r="BB264" s="281">
        <v>0.5</v>
      </c>
      <c r="BC264" s="281">
        <v>0.5</v>
      </c>
      <c r="BD264" s="281">
        <v>0.5</v>
      </c>
      <c r="BE264" s="281">
        <v>0.5</v>
      </c>
      <c r="BF264" s="281">
        <v>0.5</v>
      </c>
      <c r="BG264" s="281">
        <v>0.3</v>
      </c>
      <c r="BH264" s="281">
        <v>0.3</v>
      </c>
      <c r="BI264" s="281">
        <v>0.3</v>
      </c>
      <c r="BJ264" s="281">
        <v>0.3</v>
      </c>
      <c r="BK264" s="281">
        <v>0.3</v>
      </c>
      <c r="BL264" s="281">
        <v>0.3</v>
      </c>
      <c r="BM264" s="281">
        <v>0.3</v>
      </c>
      <c r="BN264" s="281">
        <v>0.3</v>
      </c>
      <c r="BO264" s="281">
        <v>0.3</v>
      </c>
      <c r="BP264" s="281">
        <v>0.3</v>
      </c>
      <c r="BQ264" s="281">
        <v>0.3</v>
      </c>
      <c r="BR264" s="286">
        <v>0</v>
      </c>
    </row>
    <row r="265" spans="1:70" ht="14.25" customHeight="1" x14ac:dyDescent="0.35">
      <c r="A265" s="4" t="s">
        <v>437</v>
      </c>
      <c r="B265" s="384">
        <v>953.73898221343882</v>
      </c>
      <c r="C265" s="385"/>
      <c r="D265" s="41" t="s">
        <v>98</v>
      </c>
      <c r="E265" s="93">
        <f t="shared" si="1"/>
        <v>0</v>
      </c>
      <c r="F265" s="93">
        <v>2025</v>
      </c>
      <c r="G265" s="93">
        <v>2050</v>
      </c>
      <c r="I265" s="41" t="s">
        <v>98</v>
      </c>
      <c r="J265" s="281">
        <v>0.85</v>
      </c>
      <c r="K265" s="281">
        <v>0.85</v>
      </c>
      <c r="L265" s="281">
        <v>0.85</v>
      </c>
      <c r="M265" s="281">
        <v>0.85</v>
      </c>
      <c r="N265" s="281">
        <v>0.85</v>
      </c>
      <c r="O265" s="281">
        <v>0.85</v>
      </c>
      <c r="P265" s="281">
        <v>0.85</v>
      </c>
      <c r="Q265" s="281">
        <v>0.85</v>
      </c>
      <c r="R265" s="281">
        <v>0.85</v>
      </c>
      <c r="S265" s="281">
        <v>0.85</v>
      </c>
      <c r="T265" s="281">
        <v>0.85</v>
      </c>
      <c r="U265" s="281">
        <v>0.85</v>
      </c>
      <c r="V265" s="281">
        <v>0.85</v>
      </c>
      <c r="W265" s="281">
        <v>0.85</v>
      </c>
      <c r="X265" s="281">
        <v>0.85</v>
      </c>
      <c r="Y265" s="281">
        <v>0.85</v>
      </c>
      <c r="Z265" s="281">
        <v>0.85</v>
      </c>
      <c r="AA265" s="281">
        <v>0.85</v>
      </c>
      <c r="AB265" s="281">
        <v>0.85</v>
      </c>
      <c r="AC265" s="281">
        <v>0.85</v>
      </c>
      <c r="AD265" s="281">
        <v>0.85</v>
      </c>
      <c r="AE265" s="281">
        <v>0.85</v>
      </c>
      <c r="AF265" s="281">
        <v>0.85</v>
      </c>
      <c r="AG265" s="281">
        <v>0.85</v>
      </c>
      <c r="AH265" s="281">
        <v>0.65</v>
      </c>
      <c r="AI265" s="281">
        <v>0.65</v>
      </c>
      <c r="AJ265" s="281">
        <v>0.65</v>
      </c>
      <c r="AK265" s="281">
        <v>0.65</v>
      </c>
      <c r="AL265" s="281">
        <v>0.65</v>
      </c>
      <c r="AM265" s="281">
        <v>0.65</v>
      </c>
      <c r="AN265" s="281">
        <v>0.65</v>
      </c>
      <c r="AO265" s="281">
        <v>0.65</v>
      </c>
      <c r="AP265" s="281">
        <v>0.65</v>
      </c>
      <c r="AQ265" s="281">
        <v>0.65</v>
      </c>
      <c r="AR265" s="281">
        <v>0.65</v>
      </c>
      <c r="AS265" s="281">
        <v>0.65</v>
      </c>
      <c r="AT265" s="281">
        <v>0.5</v>
      </c>
      <c r="AU265" s="281">
        <v>0.5</v>
      </c>
      <c r="AV265" s="281">
        <v>0.5</v>
      </c>
      <c r="AW265" s="281">
        <v>0.5</v>
      </c>
      <c r="AX265" s="281">
        <v>0.5</v>
      </c>
      <c r="AY265" s="281">
        <v>0.5</v>
      </c>
      <c r="AZ265" s="281">
        <v>0.5</v>
      </c>
      <c r="BA265" s="281">
        <v>0.5</v>
      </c>
      <c r="BB265" s="281">
        <v>0.5</v>
      </c>
      <c r="BC265" s="281">
        <v>0.5</v>
      </c>
      <c r="BD265" s="281">
        <v>0.5</v>
      </c>
      <c r="BE265" s="281">
        <v>0.5</v>
      </c>
      <c r="BF265" s="281">
        <v>0.5</v>
      </c>
      <c r="BG265" s="281">
        <v>0.3</v>
      </c>
      <c r="BH265" s="281">
        <v>0.3</v>
      </c>
      <c r="BI265" s="281">
        <v>0.3</v>
      </c>
      <c r="BJ265" s="281">
        <v>0.3</v>
      </c>
      <c r="BK265" s="281">
        <v>0.3</v>
      </c>
      <c r="BL265" s="281">
        <v>0.3</v>
      </c>
      <c r="BM265" s="281">
        <v>0.3</v>
      </c>
      <c r="BN265" s="281">
        <v>0.3</v>
      </c>
      <c r="BO265" s="281">
        <v>0.3</v>
      </c>
      <c r="BP265" s="281">
        <v>0.3</v>
      </c>
      <c r="BQ265" s="281">
        <v>0.3</v>
      </c>
      <c r="BR265" s="286">
        <v>0</v>
      </c>
    </row>
    <row r="266" spans="1:70" ht="14.25" customHeight="1" x14ac:dyDescent="0.35">
      <c r="A266" s="4" t="s">
        <v>438</v>
      </c>
      <c r="B266" s="384">
        <v>953.73898221343882</v>
      </c>
      <c r="C266" s="385"/>
      <c r="D266" s="41" t="s">
        <v>163</v>
      </c>
      <c r="E266" s="93">
        <f t="shared" si="1"/>
        <v>0</v>
      </c>
      <c r="F266" s="93">
        <v>2025</v>
      </c>
      <c r="G266" s="93">
        <v>2050</v>
      </c>
      <c r="I266" s="41" t="s">
        <v>163</v>
      </c>
      <c r="J266" s="281">
        <v>0.85</v>
      </c>
      <c r="K266" s="281">
        <v>0.85</v>
      </c>
      <c r="L266" s="281">
        <v>0.85</v>
      </c>
      <c r="M266" s="281">
        <v>0.85</v>
      </c>
      <c r="N266" s="281">
        <v>0.85</v>
      </c>
      <c r="O266" s="281">
        <v>0.85</v>
      </c>
      <c r="P266" s="281">
        <v>0.85</v>
      </c>
      <c r="Q266" s="281">
        <v>0.85</v>
      </c>
      <c r="R266" s="281">
        <v>0.85</v>
      </c>
      <c r="S266" s="281">
        <v>0.85</v>
      </c>
      <c r="T266" s="281">
        <v>0.85</v>
      </c>
      <c r="U266" s="281">
        <v>0.85</v>
      </c>
      <c r="V266" s="281">
        <v>0.85</v>
      </c>
      <c r="W266" s="281">
        <v>0.85</v>
      </c>
      <c r="X266" s="281">
        <v>0.85</v>
      </c>
      <c r="Y266" s="281">
        <v>0.85</v>
      </c>
      <c r="Z266" s="281">
        <v>0.85</v>
      </c>
      <c r="AA266" s="281">
        <v>0.85</v>
      </c>
      <c r="AB266" s="281">
        <v>0.85</v>
      </c>
      <c r="AC266" s="281">
        <v>0.85</v>
      </c>
      <c r="AD266" s="281">
        <v>0.85</v>
      </c>
      <c r="AE266" s="281">
        <v>0.85</v>
      </c>
      <c r="AF266" s="281">
        <v>0.85</v>
      </c>
      <c r="AG266" s="281">
        <v>0.85</v>
      </c>
      <c r="AH266" s="281">
        <v>0.65</v>
      </c>
      <c r="AI266" s="281">
        <v>0.65</v>
      </c>
      <c r="AJ266" s="281">
        <v>0.65</v>
      </c>
      <c r="AK266" s="281">
        <v>0.65</v>
      </c>
      <c r="AL266" s="281">
        <v>0.65</v>
      </c>
      <c r="AM266" s="281">
        <v>0.65</v>
      </c>
      <c r="AN266" s="281">
        <v>0.65</v>
      </c>
      <c r="AO266" s="281">
        <v>0.65</v>
      </c>
      <c r="AP266" s="281">
        <v>0.65</v>
      </c>
      <c r="AQ266" s="281">
        <v>0.65</v>
      </c>
      <c r="AR266" s="281">
        <v>0.65</v>
      </c>
      <c r="AS266" s="281">
        <v>0.65</v>
      </c>
      <c r="AT266" s="281">
        <v>0.5</v>
      </c>
      <c r="AU266" s="281">
        <v>0.5</v>
      </c>
      <c r="AV266" s="281">
        <v>0.5</v>
      </c>
      <c r="AW266" s="281">
        <v>0.5</v>
      </c>
      <c r="AX266" s="281">
        <v>0.5</v>
      </c>
      <c r="AY266" s="281">
        <v>0.5</v>
      </c>
      <c r="AZ266" s="281">
        <v>0.5</v>
      </c>
      <c r="BA266" s="281">
        <v>0.5</v>
      </c>
      <c r="BB266" s="281">
        <v>0.5</v>
      </c>
      <c r="BC266" s="281">
        <v>0.5</v>
      </c>
      <c r="BD266" s="281">
        <v>0.5</v>
      </c>
      <c r="BE266" s="281">
        <v>0.5</v>
      </c>
      <c r="BF266" s="281">
        <v>0.5</v>
      </c>
      <c r="BG266" s="281">
        <v>0.3</v>
      </c>
      <c r="BH266" s="281">
        <v>0.3</v>
      </c>
      <c r="BI266" s="281">
        <v>0.3</v>
      </c>
      <c r="BJ266" s="281">
        <v>0.3</v>
      </c>
      <c r="BK266" s="281">
        <v>0.3</v>
      </c>
      <c r="BL266" s="281">
        <v>0.3</v>
      </c>
      <c r="BM266" s="281">
        <v>0.3</v>
      </c>
      <c r="BN266" s="281">
        <v>0.3</v>
      </c>
      <c r="BO266" s="281">
        <v>0.3</v>
      </c>
      <c r="BP266" s="281">
        <v>0.3</v>
      </c>
      <c r="BQ266" s="281">
        <v>0.3</v>
      </c>
      <c r="BR266" s="286">
        <v>0</v>
      </c>
    </row>
    <row r="267" spans="1:70" ht="14.25" customHeight="1" x14ac:dyDescent="0.35">
      <c r="A267" s="4" t="s">
        <v>439</v>
      </c>
      <c r="B267" s="384">
        <v>953.73898221343882</v>
      </c>
      <c r="C267" s="385"/>
      <c r="D267" s="41" t="s">
        <v>100</v>
      </c>
      <c r="E267" s="93">
        <f t="shared" si="1"/>
        <v>0</v>
      </c>
      <c r="F267" s="93">
        <v>2025</v>
      </c>
      <c r="G267" s="93">
        <v>2050</v>
      </c>
      <c r="I267" s="41" t="s">
        <v>100</v>
      </c>
      <c r="J267" s="281">
        <v>0.85</v>
      </c>
      <c r="K267" s="281">
        <v>0.85</v>
      </c>
      <c r="L267" s="281">
        <v>0.85</v>
      </c>
      <c r="M267" s="281">
        <v>0.85</v>
      </c>
      <c r="N267" s="281">
        <v>0.85</v>
      </c>
      <c r="O267" s="281">
        <v>0.85</v>
      </c>
      <c r="P267" s="281">
        <v>0.85</v>
      </c>
      <c r="Q267" s="281">
        <v>0.85</v>
      </c>
      <c r="R267" s="281">
        <v>0.85</v>
      </c>
      <c r="S267" s="281">
        <v>0.85</v>
      </c>
      <c r="T267" s="281">
        <v>0.85</v>
      </c>
      <c r="U267" s="281">
        <v>0.85</v>
      </c>
      <c r="V267" s="281">
        <v>0.85</v>
      </c>
      <c r="W267" s="281">
        <v>0.85</v>
      </c>
      <c r="X267" s="281">
        <v>0.85</v>
      </c>
      <c r="Y267" s="281">
        <v>0.85</v>
      </c>
      <c r="Z267" s="281">
        <v>0.85</v>
      </c>
      <c r="AA267" s="281">
        <v>0.85</v>
      </c>
      <c r="AB267" s="281">
        <v>0.85</v>
      </c>
      <c r="AC267" s="281">
        <v>0.85</v>
      </c>
      <c r="AD267" s="281">
        <v>0.85</v>
      </c>
      <c r="AE267" s="281">
        <v>0.85</v>
      </c>
      <c r="AF267" s="281">
        <v>0.85</v>
      </c>
      <c r="AG267" s="281">
        <v>0.85</v>
      </c>
      <c r="AH267" s="281">
        <v>0.65</v>
      </c>
      <c r="AI267" s="281">
        <v>0.65</v>
      </c>
      <c r="AJ267" s="281">
        <v>0.65</v>
      </c>
      <c r="AK267" s="281">
        <v>0.65</v>
      </c>
      <c r="AL267" s="281">
        <v>0.65</v>
      </c>
      <c r="AM267" s="281">
        <v>0.65</v>
      </c>
      <c r="AN267" s="281">
        <v>0.65</v>
      </c>
      <c r="AO267" s="281">
        <v>0.65</v>
      </c>
      <c r="AP267" s="281">
        <v>0.65</v>
      </c>
      <c r="AQ267" s="281">
        <v>0.65</v>
      </c>
      <c r="AR267" s="281">
        <v>0.65</v>
      </c>
      <c r="AS267" s="281">
        <v>0.65</v>
      </c>
      <c r="AT267" s="281">
        <v>0.5</v>
      </c>
      <c r="AU267" s="281">
        <v>0.5</v>
      </c>
      <c r="AV267" s="281">
        <v>0.5</v>
      </c>
      <c r="AW267" s="281">
        <v>0.5</v>
      </c>
      <c r="AX267" s="281">
        <v>0.5</v>
      </c>
      <c r="AY267" s="281">
        <v>0.5</v>
      </c>
      <c r="AZ267" s="281">
        <v>0.5</v>
      </c>
      <c r="BA267" s="281">
        <v>0.5</v>
      </c>
      <c r="BB267" s="281">
        <v>0.5</v>
      </c>
      <c r="BC267" s="281">
        <v>0.5</v>
      </c>
      <c r="BD267" s="281">
        <v>0.5</v>
      </c>
      <c r="BE267" s="281">
        <v>0.5</v>
      </c>
      <c r="BF267" s="281">
        <v>0.5</v>
      </c>
      <c r="BG267" s="281">
        <v>0.3</v>
      </c>
      <c r="BH267" s="281">
        <v>0.3</v>
      </c>
      <c r="BI267" s="281">
        <v>0.3</v>
      </c>
      <c r="BJ267" s="281">
        <v>0.3</v>
      </c>
      <c r="BK267" s="281">
        <v>0.3</v>
      </c>
      <c r="BL267" s="281">
        <v>0.3</v>
      </c>
      <c r="BM267" s="281">
        <v>0.3</v>
      </c>
      <c r="BN267" s="281">
        <v>0.3</v>
      </c>
      <c r="BO267" s="281">
        <v>0.3</v>
      </c>
      <c r="BP267" s="281">
        <v>0.3</v>
      </c>
      <c r="BQ267" s="281">
        <v>0.3</v>
      </c>
      <c r="BR267" s="286">
        <v>0</v>
      </c>
    </row>
    <row r="268" spans="1:70" ht="14.25" customHeight="1" x14ac:dyDescent="0.35">
      <c r="A268" s="4" t="s">
        <v>440</v>
      </c>
      <c r="B268" s="384">
        <v>953.73898221343882</v>
      </c>
      <c r="C268" s="385"/>
      <c r="D268" s="41" t="s">
        <v>101</v>
      </c>
      <c r="E268" s="93">
        <f t="shared" si="1"/>
        <v>0</v>
      </c>
      <c r="F268" s="93">
        <v>2025</v>
      </c>
      <c r="G268" s="93">
        <v>2050</v>
      </c>
      <c r="I268" s="41" t="s">
        <v>101</v>
      </c>
      <c r="J268" s="281">
        <v>0.85</v>
      </c>
      <c r="K268" s="281">
        <v>0.85</v>
      </c>
      <c r="L268" s="281">
        <v>0.85</v>
      </c>
      <c r="M268" s="281">
        <v>0.85</v>
      </c>
      <c r="N268" s="281">
        <v>0.85</v>
      </c>
      <c r="O268" s="281">
        <v>0.85</v>
      </c>
      <c r="P268" s="281">
        <v>0.85</v>
      </c>
      <c r="Q268" s="281">
        <v>0.85</v>
      </c>
      <c r="R268" s="281">
        <v>0.85</v>
      </c>
      <c r="S268" s="281">
        <v>0.85</v>
      </c>
      <c r="T268" s="281">
        <v>0.85</v>
      </c>
      <c r="U268" s="281">
        <v>0.85</v>
      </c>
      <c r="V268" s="281">
        <v>0.85</v>
      </c>
      <c r="W268" s="281">
        <v>0.85</v>
      </c>
      <c r="X268" s="281">
        <v>0.85</v>
      </c>
      <c r="Y268" s="281">
        <v>0.85</v>
      </c>
      <c r="Z268" s="281">
        <v>0.85</v>
      </c>
      <c r="AA268" s="281">
        <v>0.85</v>
      </c>
      <c r="AB268" s="281">
        <v>0.85</v>
      </c>
      <c r="AC268" s="281">
        <v>0.85</v>
      </c>
      <c r="AD268" s="281">
        <v>0.85</v>
      </c>
      <c r="AE268" s="281">
        <v>0.85</v>
      </c>
      <c r="AF268" s="281">
        <v>0.85</v>
      </c>
      <c r="AG268" s="281">
        <v>0.85</v>
      </c>
      <c r="AH268" s="281">
        <v>0.65</v>
      </c>
      <c r="AI268" s="281">
        <v>0.65</v>
      </c>
      <c r="AJ268" s="281">
        <v>0.65</v>
      </c>
      <c r="AK268" s="281">
        <v>0.65</v>
      </c>
      <c r="AL268" s="281">
        <v>0.65</v>
      </c>
      <c r="AM268" s="281">
        <v>0.65</v>
      </c>
      <c r="AN268" s="281">
        <v>0.65</v>
      </c>
      <c r="AO268" s="281">
        <v>0.65</v>
      </c>
      <c r="AP268" s="281">
        <v>0.65</v>
      </c>
      <c r="AQ268" s="281">
        <v>0.65</v>
      </c>
      <c r="AR268" s="281">
        <v>0.65</v>
      </c>
      <c r="AS268" s="281">
        <v>0.65</v>
      </c>
      <c r="AT268" s="281">
        <v>0.5</v>
      </c>
      <c r="AU268" s="281">
        <v>0.5</v>
      </c>
      <c r="AV268" s="281">
        <v>0.5</v>
      </c>
      <c r="AW268" s="281">
        <v>0.5</v>
      </c>
      <c r="AX268" s="281">
        <v>0.5</v>
      </c>
      <c r="AY268" s="281">
        <v>0.5</v>
      </c>
      <c r="AZ268" s="281">
        <v>0.5</v>
      </c>
      <c r="BA268" s="281">
        <v>0.5</v>
      </c>
      <c r="BB268" s="281">
        <v>0.5</v>
      </c>
      <c r="BC268" s="281">
        <v>0.5</v>
      </c>
      <c r="BD268" s="281">
        <v>0.5</v>
      </c>
      <c r="BE268" s="281">
        <v>0.5</v>
      </c>
      <c r="BF268" s="281">
        <v>0.5</v>
      </c>
      <c r="BG268" s="281">
        <v>0.3</v>
      </c>
      <c r="BH268" s="281">
        <v>0.3</v>
      </c>
      <c r="BI268" s="281">
        <v>0.3</v>
      </c>
      <c r="BJ268" s="281">
        <v>0.3</v>
      </c>
      <c r="BK268" s="281">
        <v>0.3</v>
      </c>
      <c r="BL268" s="281">
        <v>0.3</v>
      </c>
      <c r="BM268" s="281">
        <v>0.3</v>
      </c>
      <c r="BN268" s="281">
        <v>0.3</v>
      </c>
      <c r="BO268" s="281">
        <v>0.3</v>
      </c>
      <c r="BP268" s="281">
        <v>0.3</v>
      </c>
      <c r="BQ268" s="281">
        <v>0.3</v>
      </c>
      <c r="BR268" s="286">
        <v>0</v>
      </c>
    </row>
    <row r="269" spans="1:70" ht="14.25" customHeight="1" x14ac:dyDescent="0.35">
      <c r="A269" s="4" t="s">
        <v>441</v>
      </c>
      <c r="B269" s="384">
        <v>953.73898221343882</v>
      </c>
      <c r="C269" s="385"/>
      <c r="D269" s="41" t="s">
        <v>102</v>
      </c>
      <c r="E269" s="93">
        <f t="shared" si="1"/>
        <v>0</v>
      </c>
      <c r="F269" s="93">
        <v>2025</v>
      </c>
      <c r="G269" s="93">
        <v>2050</v>
      </c>
      <c r="I269" s="41" t="s">
        <v>102</v>
      </c>
      <c r="J269" s="281">
        <v>0.85</v>
      </c>
      <c r="K269" s="281">
        <v>0.85</v>
      </c>
      <c r="L269" s="281">
        <v>0.85</v>
      </c>
      <c r="M269" s="281">
        <v>0.85</v>
      </c>
      <c r="N269" s="281">
        <v>0.85</v>
      </c>
      <c r="O269" s="281">
        <v>0.85</v>
      </c>
      <c r="P269" s="281">
        <v>0.85</v>
      </c>
      <c r="Q269" s="281">
        <v>0.85</v>
      </c>
      <c r="R269" s="281">
        <v>0.85</v>
      </c>
      <c r="S269" s="281">
        <v>0.85</v>
      </c>
      <c r="T269" s="281">
        <v>0.85</v>
      </c>
      <c r="U269" s="281">
        <v>0.85</v>
      </c>
      <c r="V269" s="281">
        <v>0.85</v>
      </c>
      <c r="W269" s="281">
        <v>0.85</v>
      </c>
      <c r="X269" s="281">
        <v>0.85</v>
      </c>
      <c r="Y269" s="281">
        <v>0.85</v>
      </c>
      <c r="Z269" s="281">
        <v>0.85</v>
      </c>
      <c r="AA269" s="281">
        <v>0.85</v>
      </c>
      <c r="AB269" s="281">
        <v>0.85</v>
      </c>
      <c r="AC269" s="281">
        <v>0.85</v>
      </c>
      <c r="AD269" s="281">
        <v>0.85</v>
      </c>
      <c r="AE269" s="281">
        <v>0.85</v>
      </c>
      <c r="AF269" s="281">
        <v>0.85</v>
      </c>
      <c r="AG269" s="281">
        <v>0.85</v>
      </c>
      <c r="AH269" s="281">
        <v>0.65</v>
      </c>
      <c r="AI269" s="281">
        <v>0.65</v>
      </c>
      <c r="AJ269" s="281">
        <v>0.65</v>
      </c>
      <c r="AK269" s="281">
        <v>0.65</v>
      </c>
      <c r="AL269" s="281">
        <v>0.65</v>
      </c>
      <c r="AM269" s="281">
        <v>0.65</v>
      </c>
      <c r="AN269" s="281">
        <v>0.65</v>
      </c>
      <c r="AO269" s="281">
        <v>0.65</v>
      </c>
      <c r="AP269" s="281">
        <v>0.65</v>
      </c>
      <c r="AQ269" s="281">
        <v>0.65</v>
      </c>
      <c r="AR269" s="281">
        <v>0.65</v>
      </c>
      <c r="AS269" s="281">
        <v>0.65</v>
      </c>
      <c r="AT269" s="281">
        <v>0.5</v>
      </c>
      <c r="AU269" s="281">
        <v>0.5</v>
      </c>
      <c r="AV269" s="281">
        <v>0.5</v>
      </c>
      <c r="AW269" s="281">
        <v>0.5</v>
      </c>
      <c r="AX269" s="281">
        <v>0.5</v>
      </c>
      <c r="AY269" s="281">
        <v>0.5</v>
      </c>
      <c r="AZ269" s="281">
        <v>0.5</v>
      </c>
      <c r="BA269" s="281">
        <v>0.5</v>
      </c>
      <c r="BB269" s="281">
        <v>0.5</v>
      </c>
      <c r="BC269" s="281">
        <v>0.5</v>
      </c>
      <c r="BD269" s="281">
        <v>0.5</v>
      </c>
      <c r="BE269" s="281">
        <v>0.5</v>
      </c>
      <c r="BF269" s="281">
        <v>0.5</v>
      </c>
      <c r="BG269" s="281">
        <v>0.3</v>
      </c>
      <c r="BH269" s="281">
        <v>0.3</v>
      </c>
      <c r="BI269" s="281">
        <v>0.3</v>
      </c>
      <c r="BJ269" s="281">
        <v>0.3</v>
      </c>
      <c r="BK269" s="281">
        <v>0.3</v>
      </c>
      <c r="BL269" s="281">
        <v>0.3</v>
      </c>
      <c r="BM269" s="281">
        <v>0.3</v>
      </c>
      <c r="BN269" s="281">
        <v>0.3</v>
      </c>
      <c r="BO269" s="281">
        <v>0.3</v>
      </c>
      <c r="BP269" s="281">
        <v>0.3</v>
      </c>
      <c r="BQ269" s="281">
        <v>0.3</v>
      </c>
      <c r="BR269" s="286">
        <v>0</v>
      </c>
    </row>
    <row r="270" spans="1:70" ht="14.25" customHeight="1" x14ac:dyDescent="0.35">
      <c r="A270" s="4" t="s">
        <v>442</v>
      </c>
      <c r="B270" s="384">
        <v>953.73898221343882</v>
      </c>
      <c r="C270" s="385"/>
      <c r="D270" s="41" t="s">
        <v>103</v>
      </c>
      <c r="E270" s="93">
        <f t="shared" si="1"/>
        <v>0</v>
      </c>
      <c r="F270" s="93">
        <v>2025</v>
      </c>
      <c r="G270" s="93">
        <v>2050</v>
      </c>
      <c r="I270" s="41" t="s">
        <v>103</v>
      </c>
      <c r="J270" s="281">
        <v>0.85</v>
      </c>
      <c r="K270" s="281">
        <v>0.85</v>
      </c>
      <c r="L270" s="281">
        <v>0.85</v>
      </c>
      <c r="M270" s="281">
        <v>0.85</v>
      </c>
      <c r="N270" s="281">
        <v>0.85</v>
      </c>
      <c r="O270" s="281">
        <v>0.85</v>
      </c>
      <c r="P270" s="281">
        <v>0.85</v>
      </c>
      <c r="Q270" s="281">
        <v>0.85</v>
      </c>
      <c r="R270" s="281">
        <v>0.85</v>
      </c>
      <c r="S270" s="281">
        <v>0.85</v>
      </c>
      <c r="T270" s="281">
        <v>0.85</v>
      </c>
      <c r="U270" s="281">
        <v>0.85</v>
      </c>
      <c r="V270" s="281">
        <v>0.85</v>
      </c>
      <c r="W270" s="281">
        <v>0.85</v>
      </c>
      <c r="X270" s="281">
        <v>0.85</v>
      </c>
      <c r="Y270" s="281">
        <v>0.85</v>
      </c>
      <c r="Z270" s="281">
        <v>0.85</v>
      </c>
      <c r="AA270" s="281">
        <v>0.85</v>
      </c>
      <c r="AB270" s="281">
        <v>0.85</v>
      </c>
      <c r="AC270" s="281">
        <v>0.85</v>
      </c>
      <c r="AD270" s="281">
        <v>0.85</v>
      </c>
      <c r="AE270" s="281">
        <v>0.85</v>
      </c>
      <c r="AF270" s="281">
        <v>0.85</v>
      </c>
      <c r="AG270" s="281">
        <v>0.85</v>
      </c>
      <c r="AH270" s="281">
        <v>0.65</v>
      </c>
      <c r="AI270" s="281">
        <v>0.65</v>
      </c>
      <c r="AJ270" s="281">
        <v>0.65</v>
      </c>
      <c r="AK270" s="281">
        <v>0.65</v>
      </c>
      <c r="AL270" s="281">
        <v>0.65</v>
      </c>
      <c r="AM270" s="281">
        <v>0.65</v>
      </c>
      <c r="AN270" s="281">
        <v>0.65</v>
      </c>
      <c r="AO270" s="281">
        <v>0.65</v>
      </c>
      <c r="AP270" s="281">
        <v>0.65</v>
      </c>
      <c r="AQ270" s="281">
        <v>0.65</v>
      </c>
      <c r="AR270" s="281">
        <v>0.65</v>
      </c>
      <c r="AS270" s="281">
        <v>0.65</v>
      </c>
      <c r="AT270" s="281">
        <v>0.5</v>
      </c>
      <c r="AU270" s="281">
        <v>0.5</v>
      </c>
      <c r="AV270" s="281">
        <v>0.5</v>
      </c>
      <c r="AW270" s="281">
        <v>0.5</v>
      </c>
      <c r="AX270" s="281">
        <v>0.5</v>
      </c>
      <c r="AY270" s="281">
        <v>0.5</v>
      </c>
      <c r="AZ270" s="281">
        <v>0.5</v>
      </c>
      <c r="BA270" s="281">
        <v>0.5</v>
      </c>
      <c r="BB270" s="281">
        <v>0.5</v>
      </c>
      <c r="BC270" s="281">
        <v>0.5</v>
      </c>
      <c r="BD270" s="281">
        <v>0.5</v>
      </c>
      <c r="BE270" s="281">
        <v>0.5</v>
      </c>
      <c r="BF270" s="281">
        <v>0.5</v>
      </c>
      <c r="BG270" s="281">
        <v>0.3</v>
      </c>
      <c r="BH270" s="281">
        <v>0.3</v>
      </c>
      <c r="BI270" s="281">
        <v>0.3</v>
      </c>
      <c r="BJ270" s="281">
        <v>0.3</v>
      </c>
      <c r="BK270" s="281">
        <v>0.3</v>
      </c>
      <c r="BL270" s="281">
        <v>0.3</v>
      </c>
      <c r="BM270" s="281">
        <v>0.3</v>
      </c>
      <c r="BN270" s="281">
        <v>0.3</v>
      </c>
      <c r="BO270" s="281">
        <v>0.3</v>
      </c>
      <c r="BP270" s="281">
        <v>0.3</v>
      </c>
      <c r="BQ270" s="281">
        <v>0.3</v>
      </c>
      <c r="BR270" s="286">
        <v>0</v>
      </c>
    </row>
    <row r="271" spans="1:70" ht="14.25" customHeight="1" x14ac:dyDescent="0.35">
      <c r="A271" s="4" t="s">
        <v>443</v>
      </c>
      <c r="B271" s="384">
        <v>953.73898221343882</v>
      </c>
      <c r="C271" s="385"/>
      <c r="D271" s="41" t="s">
        <v>104</v>
      </c>
      <c r="E271" s="93">
        <f t="shared" si="1"/>
        <v>0</v>
      </c>
      <c r="F271" s="93">
        <v>2025</v>
      </c>
      <c r="G271" s="93">
        <v>2050</v>
      </c>
      <c r="I271" s="41" t="s">
        <v>104</v>
      </c>
      <c r="J271" s="281">
        <v>0.85</v>
      </c>
      <c r="K271" s="281">
        <v>0.85</v>
      </c>
      <c r="L271" s="281">
        <v>0.85</v>
      </c>
      <c r="M271" s="281">
        <v>0.85</v>
      </c>
      <c r="N271" s="281">
        <v>0.85</v>
      </c>
      <c r="O271" s="281">
        <v>0.85</v>
      </c>
      <c r="P271" s="281">
        <v>0.85</v>
      </c>
      <c r="Q271" s="281">
        <v>0.85</v>
      </c>
      <c r="R271" s="281">
        <v>0.85</v>
      </c>
      <c r="S271" s="281">
        <v>0.85</v>
      </c>
      <c r="T271" s="281">
        <v>0.85</v>
      </c>
      <c r="U271" s="281">
        <v>0.85</v>
      </c>
      <c r="V271" s="281">
        <v>0.85</v>
      </c>
      <c r="W271" s="281">
        <v>0.85</v>
      </c>
      <c r="X271" s="281">
        <v>0.85</v>
      </c>
      <c r="Y271" s="281">
        <v>0.85</v>
      </c>
      <c r="Z271" s="281">
        <v>0.85</v>
      </c>
      <c r="AA271" s="281">
        <v>0.85</v>
      </c>
      <c r="AB271" s="281">
        <v>0.85</v>
      </c>
      <c r="AC271" s="281">
        <v>0.85</v>
      </c>
      <c r="AD271" s="281">
        <v>0.85</v>
      </c>
      <c r="AE271" s="281">
        <v>0.85</v>
      </c>
      <c r="AF271" s="281">
        <v>0.85</v>
      </c>
      <c r="AG271" s="281">
        <v>0.85</v>
      </c>
      <c r="AH271" s="281">
        <v>0.65</v>
      </c>
      <c r="AI271" s="281">
        <v>0.65</v>
      </c>
      <c r="AJ271" s="281">
        <v>0.65</v>
      </c>
      <c r="AK271" s="281">
        <v>0.65</v>
      </c>
      <c r="AL271" s="281">
        <v>0.65</v>
      </c>
      <c r="AM271" s="281">
        <v>0.65</v>
      </c>
      <c r="AN271" s="281">
        <v>0.65</v>
      </c>
      <c r="AO271" s="281">
        <v>0.65</v>
      </c>
      <c r="AP271" s="281">
        <v>0.65</v>
      </c>
      <c r="AQ271" s="281">
        <v>0.65</v>
      </c>
      <c r="AR271" s="281">
        <v>0.65</v>
      </c>
      <c r="AS271" s="281">
        <v>0.65</v>
      </c>
      <c r="AT271" s="281">
        <v>0.5</v>
      </c>
      <c r="AU271" s="281">
        <v>0.5</v>
      </c>
      <c r="AV271" s="281">
        <v>0.5</v>
      </c>
      <c r="AW271" s="281">
        <v>0.5</v>
      </c>
      <c r="AX271" s="281">
        <v>0.5</v>
      </c>
      <c r="AY271" s="281">
        <v>0.5</v>
      </c>
      <c r="AZ271" s="281">
        <v>0.5</v>
      </c>
      <c r="BA271" s="281">
        <v>0.5</v>
      </c>
      <c r="BB271" s="281">
        <v>0.5</v>
      </c>
      <c r="BC271" s="281">
        <v>0.5</v>
      </c>
      <c r="BD271" s="281">
        <v>0.5</v>
      </c>
      <c r="BE271" s="281">
        <v>0.5</v>
      </c>
      <c r="BF271" s="281">
        <v>0.5</v>
      </c>
      <c r="BG271" s="281">
        <v>0.3</v>
      </c>
      <c r="BH271" s="281">
        <v>0.3</v>
      </c>
      <c r="BI271" s="281">
        <v>0.3</v>
      </c>
      <c r="BJ271" s="281">
        <v>0.3</v>
      </c>
      <c r="BK271" s="281">
        <v>0.3</v>
      </c>
      <c r="BL271" s="281">
        <v>0.3</v>
      </c>
      <c r="BM271" s="281">
        <v>0.3</v>
      </c>
      <c r="BN271" s="281">
        <v>0.3</v>
      </c>
      <c r="BO271" s="281">
        <v>0.3</v>
      </c>
      <c r="BP271" s="281">
        <v>0.3</v>
      </c>
      <c r="BQ271" s="281">
        <v>0.3</v>
      </c>
      <c r="BR271" s="286">
        <v>0</v>
      </c>
    </row>
    <row r="272" spans="1:70" ht="14.25" customHeight="1" x14ac:dyDescent="0.35">
      <c r="A272" s="4" t="s">
        <v>444</v>
      </c>
      <c r="B272" s="384">
        <v>953.73898221343882</v>
      </c>
      <c r="C272" s="385"/>
      <c r="D272" s="41" t="s">
        <v>105</v>
      </c>
      <c r="E272" s="93">
        <f t="shared" si="1"/>
        <v>0</v>
      </c>
      <c r="F272" s="93">
        <v>2025</v>
      </c>
      <c r="G272" s="93">
        <v>2050</v>
      </c>
      <c r="I272" s="41" t="s">
        <v>105</v>
      </c>
      <c r="J272" s="281">
        <v>0.85</v>
      </c>
      <c r="K272" s="281">
        <v>0.85</v>
      </c>
      <c r="L272" s="281">
        <v>0.85</v>
      </c>
      <c r="M272" s="281">
        <v>0.85</v>
      </c>
      <c r="N272" s="281">
        <v>0.85</v>
      </c>
      <c r="O272" s="281">
        <v>0.85</v>
      </c>
      <c r="P272" s="281">
        <v>0.85</v>
      </c>
      <c r="Q272" s="281">
        <v>0.85</v>
      </c>
      <c r="R272" s="281">
        <v>0.85</v>
      </c>
      <c r="S272" s="281">
        <v>0.85</v>
      </c>
      <c r="T272" s="281">
        <v>0.85</v>
      </c>
      <c r="U272" s="281">
        <v>0.85</v>
      </c>
      <c r="V272" s="281">
        <v>0.85</v>
      </c>
      <c r="W272" s="281">
        <v>0.85</v>
      </c>
      <c r="X272" s="281">
        <v>0.85</v>
      </c>
      <c r="Y272" s="281">
        <v>0.85</v>
      </c>
      <c r="Z272" s="281">
        <v>0.85</v>
      </c>
      <c r="AA272" s="281">
        <v>0.85</v>
      </c>
      <c r="AB272" s="281">
        <v>0.85</v>
      </c>
      <c r="AC272" s="281">
        <v>0.85</v>
      </c>
      <c r="AD272" s="281">
        <v>0.85</v>
      </c>
      <c r="AE272" s="281">
        <v>0.85</v>
      </c>
      <c r="AF272" s="281">
        <v>0.85</v>
      </c>
      <c r="AG272" s="281">
        <v>0.85</v>
      </c>
      <c r="AH272" s="281">
        <v>0.65</v>
      </c>
      <c r="AI272" s="281">
        <v>0.65</v>
      </c>
      <c r="AJ272" s="281">
        <v>0.65</v>
      </c>
      <c r="AK272" s="281">
        <v>0.65</v>
      </c>
      <c r="AL272" s="281">
        <v>0.65</v>
      </c>
      <c r="AM272" s="281">
        <v>0.65</v>
      </c>
      <c r="AN272" s="281">
        <v>0.65</v>
      </c>
      <c r="AO272" s="281">
        <v>0.65</v>
      </c>
      <c r="AP272" s="281">
        <v>0.65</v>
      </c>
      <c r="AQ272" s="281">
        <v>0.65</v>
      </c>
      <c r="AR272" s="281">
        <v>0.65</v>
      </c>
      <c r="AS272" s="281">
        <v>0.65</v>
      </c>
      <c r="AT272" s="281">
        <v>0.5</v>
      </c>
      <c r="AU272" s="281">
        <v>0.5</v>
      </c>
      <c r="AV272" s="281">
        <v>0.5</v>
      </c>
      <c r="AW272" s="281">
        <v>0.5</v>
      </c>
      <c r="AX272" s="281">
        <v>0.5</v>
      </c>
      <c r="AY272" s="281">
        <v>0.5</v>
      </c>
      <c r="AZ272" s="281">
        <v>0.5</v>
      </c>
      <c r="BA272" s="281">
        <v>0.5</v>
      </c>
      <c r="BB272" s="281">
        <v>0.5</v>
      </c>
      <c r="BC272" s="281">
        <v>0.5</v>
      </c>
      <c r="BD272" s="281">
        <v>0.5</v>
      </c>
      <c r="BE272" s="281">
        <v>0.5</v>
      </c>
      <c r="BF272" s="281">
        <v>0.5</v>
      </c>
      <c r="BG272" s="281">
        <v>0.3</v>
      </c>
      <c r="BH272" s="281">
        <v>0.3</v>
      </c>
      <c r="BI272" s="281">
        <v>0.3</v>
      </c>
      <c r="BJ272" s="281">
        <v>0.3</v>
      </c>
      <c r="BK272" s="281">
        <v>0.3</v>
      </c>
      <c r="BL272" s="281">
        <v>0.3</v>
      </c>
      <c r="BM272" s="281">
        <v>0.3</v>
      </c>
      <c r="BN272" s="281">
        <v>0.3</v>
      </c>
      <c r="BO272" s="281">
        <v>0.3</v>
      </c>
      <c r="BP272" s="281">
        <v>0.3</v>
      </c>
      <c r="BQ272" s="281">
        <v>0.3</v>
      </c>
      <c r="BR272" s="286">
        <v>0</v>
      </c>
    </row>
    <row r="273" spans="1:70" ht="14.25" customHeight="1" x14ac:dyDescent="0.35">
      <c r="A273" s="4" t="s">
        <v>445</v>
      </c>
      <c r="B273" s="384">
        <v>953.73898221343882</v>
      </c>
      <c r="C273" s="385"/>
      <c r="D273" s="41" t="s">
        <v>106</v>
      </c>
      <c r="E273" s="93">
        <f t="shared" si="1"/>
        <v>0</v>
      </c>
      <c r="F273" s="93">
        <v>2025</v>
      </c>
      <c r="G273" s="93">
        <v>2050</v>
      </c>
      <c r="I273" s="41" t="s">
        <v>106</v>
      </c>
      <c r="J273" s="281">
        <v>0.85</v>
      </c>
      <c r="K273" s="281">
        <v>0.85</v>
      </c>
      <c r="L273" s="281">
        <v>0.85</v>
      </c>
      <c r="M273" s="281">
        <v>0.85</v>
      </c>
      <c r="N273" s="281">
        <v>0.85</v>
      </c>
      <c r="O273" s="281">
        <v>0.85</v>
      </c>
      <c r="P273" s="281">
        <v>0.85</v>
      </c>
      <c r="Q273" s="281">
        <v>0.85</v>
      </c>
      <c r="R273" s="281">
        <v>0.85</v>
      </c>
      <c r="S273" s="281">
        <v>0.85</v>
      </c>
      <c r="T273" s="281">
        <v>0.85</v>
      </c>
      <c r="U273" s="281">
        <v>0.85</v>
      </c>
      <c r="V273" s="281">
        <v>0.85</v>
      </c>
      <c r="W273" s="281">
        <v>0.85</v>
      </c>
      <c r="X273" s="281">
        <v>0.85</v>
      </c>
      <c r="Y273" s="281">
        <v>0.85</v>
      </c>
      <c r="Z273" s="281">
        <v>0.85</v>
      </c>
      <c r="AA273" s="281">
        <v>0.85</v>
      </c>
      <c r="AB273" s="281">
        <v>0.85</v>
      </c>
      <c r="AC273" s="281">
        <v>0.85</v>
      </c>
      <c r="AD273" s="281">
        <v>0.85</v>
      </c>
      <c r="AE273" s="281">
        <v>0.85</v>
      </c>
      <c r="AF273" s="281">
        <v>0.85</v>
      </c>
      <c r="AG273" s="281">
        <v>0.85</v>
      </c>
      <c r="AH273" s="281">
        <v>0.65</v>
      </c>
      <c r="AI273" s="281">
        <v>0.65</v>
      </c>
      <c r="AJ273" s="281">
        <v>0.65</v>
      </c>
      <c r="AK273" s="281">
        <v>0.65</v>
      </c>
      <c r="AL273" s="281">
        <v>0.65</v>
      </c>
      <c r="AM273" s="281">
        <v>0.65</v>
      </c>
      <c r="AN273" s="281">
        <v>0.65</v>
      </c>
      <c r="AO273" s="281">
        <v>0.65</v>
      </c>
      <c r="AP273" s="281">
        <v>0.65</v>
      </c>
      <c r="AQ273" s="281">
        <v>0.65</v>
      </c>
      <c r="AR273" s="281">
        <v>0.65</v>
      </c>
      <c r="AS273" s="281">
        <v>0.65</v>
      </c>
      <c r="AT273" s="281">
        <v>0.5</v>
      </c>
      <c r="AU273" s="281">
        <v>0.5</v>
      </c>
      <c r="AV273" s="281">
        <v>0.5</v>
      </c>
      <c r="AW273" s="281">
        <v>0.5</v>
      </c>
      <c r="AX273" s="281">
        <v>0.5</v>
      </c>
      <c r="AY273" s="281">
        <v>0.5</v>
      </c>
      <c r="AZ273" s="281">
        <v>0.5</v>
      </c>
      <c r="BA273" s="281">
        <v>0.5</v>
      </c>
      <c r="BB273" s="281">
        <v>0.5</v>
      </c>
      <c r="BC273" s="281">
        <v>0.5</v>
      </c>
      <c r="BD273" s="281">
        <v>0.5</v>
      </c>
      <c r="BE273" s="281">
        <v>0.5</v>
      </c>
      <c r="BF273" s="281">
        <v>0.5</v>
      </c>
      <c r="BG273" s="281">
        <v>0.3</v>
      </c>
      <c r="BH273" s="281">
        <v>0.3</v>
      </c>
      <c r="BI273" s="281">
        <v>0.3</v>
      </c>
      <c r="BJ273" s="281">
        <v>0.3</v>
      </c>
      <c r="BK273" s="281">
        <v>0.3</v>
      </c>
      <c r="BL273" s="281">
        <v>0.3</v>
      </c>
      <c r="BM273" s="281">
        <v>0.3</v>
      </c>
      <c r="BN273" s="281">
        <v>0.3</v>
      </c>
      <c r="BO273" s="281">
        <v>0.3</v>
      </c>
      <c r="BP273" s="281">
        <v>0.3</v>
      </c>
      <c r="BQ273" s="281">
        <v>0.3</v>
      </c>
      <c r="BR273" s="286">
        <v>0</v>
      </c>
    </row>
    <row r="274" spans="1:70" ht="14.25" customHeight="1" x14ac:dyDescent="0.35">
      <c r="A274" s="4" t="s">
        <v>446</v>
      </c>
      <c r="B274" s="384">
        <v>953.73898221343882</v>
      </c>
      <c r="C274" s="385"/>
      <c r="D274" s="41" t="s">
        <v>107</v>
      </c>
      <c r="E274" s="93">
        <f t="shared" si="1"/>
        <v>0</v>
      </c>
      <c r="F274" s="93">
        <v>2025</v>
      </c>
      <c r="G274" s="93">
        <v>2050</v>
      </c>
      <c r="I274" s="41" t="s">
        <v>107</v>
      </c>
      <c r="J274" s="281">
        <v>0.85</v>
      </c>
      <c r="K274" s="281">
        <v>0.85</v>
      </c>
      <c r="L274" s="281">
        <v>0.85</v>
      </c>
      <c r="M274" s="281">
        <v>0.85</v>
      </c>
      <c r="N274" s="281">
        <v>0.85</v>
      </c>
      <c r="O274" s="281">
        <v>0.85</v>
      </c>
      <c r="P274" s="281">
        <v>0.85</v>
      </c>
      <c r="Q274" s="281">
        <v>0.85</v>
      </c>
      <c r="R274" s="281">
        <v>0.85</v>
      </c>
      <c r="S274" s="281">
        <v>0.85</v>
      </c>
      <c r="T274" s="281">
        <v>0.85</v>
      </c>
      <c r="U274" s="281">
        <v>0.85</v>
      </c>
      <c r="V274" s="281">
        <v>0.85</v>
      </c>
      <c r="W274" s="281">
        <v>0.85</v>
      </c>
      <c r="X274" s="281">
        <v>0.85</v>
      </c>
      <c r="Y274" s="281">
        <v>0.85</v>
      </c>
      <c r="Z274" s="281">
        <v>0.85</v>
      </c>
      <c r="AA274" s="281">
        <v>0.85</v>
      </c>
      <c r="AB274" s="281">
        <v>0.85</v>
      </c>
      <c r="AC274" s="281">
        <v>0.85</v>
      </c>
      <c r="AD274" s="281">
        <v>0.85</v>
      </c>
      <c r="AE274" s="281">
        <v>0.85</v>
      </c>
      <c r="AF274" s="281">
        <v>0.85</v>
      </c>
      <c r="AG274" s="281">
        <v>0.85</v>
      </c>
      <c r="AH274" s="281">
        <v>0.65</v>
      </c>
      <c r="AI274" s="281">
        <v>0.65</v>
      </c>
      <c r="AJ274" s="281">
        <v>0.65</v>
      </c>
      <c r="AK274" s="281">
        <v>0.65</v>
      </c>
      <c r="AL274" s="281">
        <v>0.65</v>
      </c>
      <c r="AM274" s="281">
        <v>0.65</v>
      </c>
      <c r="AN274" s="281">
        <v>0.65</v>
      </c>
      <c r="AO274" s="281">
        <v>0.65</v>
      </c>
      <c r="AP274" s="281">
        <v>0.65</v>
      </c>
      <c r="AQ274" s="281">
        <v>0.65</v>
      </c>
      <c r="AR274" s="281">
        <v>0.65</v>
      </c>
      <c r="AS274" s="281">
        <v>0.65</v>
      </c>
      <c r="AT274" s="281">
        <v>0.5</v>
      </c>
      <c r="AU274" s="281">
        <v>0.5</v>
      </c>
      <c r="AV274" s="281">
        <v>0.5</v>
      </c>
      <c r="AW274" s="281">
        <v>0.5</v>
      </c>
      <c r="AX274" s="281">
        <v>0.5</v>
      </c>
      <c r="AY274" s="281">
        <v>0.5</v>
      </c>
      <c r="AZ274" s="281">
        <v>0.5</v>
      </c>
      <c r="BA274" s="281">
        <v>0.5</v>
      </c>
      <c r="BB274" s="281">
        <v>0.5</v>
      </c>
      <c r="BC274" s="281">
        <v>0.5</v>
      </c>
      <c r="BD274" s="281">
        <v>0.5</v>
      </c>
      <c r="BE274" s="281">
        <v>0.5</v>
      </c>
      <c r="BF274" s="281">
        <v>0.5</v>
      </c>
      <c r="BG274" s="281">
        <v>0.3</v>
      </c>
      <c r="BH274" s="281">
        <v>0.3</v>
      </c>
      <c r="BI274" s="281">
        <v>0.3</v>
      </c>
      <c r="BJ274" s="281">
        <v>0.3</v>
      </c>
      <c r="BK274" s="281">
        <v>0.3</v>
      </c>
      <c r="BL274" s="281">
        <v>0.3</v>
      </c>
      <c r="BM274" s="281">
        <v>0.3</v>
      </c>
      <c r="BN274" s="281">
        <v>0.3</v>
      </c>
      <c r="BO274" s="281">
        <v>0.3</v>
      </c>
      <c r="BP274" s="281">
        <v>0.3</v>
      </c>
      <c r="BQ274" s="281">
        <v>0.3</v>
      </c>
      <c r="BR274" s="286">
        <v>0</v>
      </c>
    </row>
    <row r="275" spans="1:70" ht="14.25" customHeight="1" x14ac:dyDescent="0.35">
      <c r="A275" s="4" t="s">
        <v>447</v>
      </c>
      <c r="B275" s="384">
        <v>953.73898221343882</v>
      </c>
      <c r="C275" s="385"/>
      <c r="D275" s="41" t="s">
        <v>108</v>
      </c>
      <c r="E275" s="93">
        <f t="shared" si="1"/>
        <v>0</v>
      </c>
      <c r="F275" s="93">
        <v>2025</v>
      </c>
      <c r="G275" s="93">
        <v>2050</v>
      </c>
      <c r="I275" s="41" t="s">
        <v>108</v>
      </c>
      <c r="J275" s="286">
        <v>0</v>
      </c>
      <c r="K275" s="286">
        <v>0</v>
      </c>
      <c r="L275" s="286">
        <v>0</v>
      </c>
      <c r="M275" s="286">
        <v>0</v>
      </c>
      <c r="N275" s="286">
        <v>0</v>
      </c>
      <c r="O275" s="286">
        <v>0</v>
      </c>
      <c r="P275" s="286">
        <v>0</v>
      </c>
      <c r="Q275" s="286">
        <v>0</v>
      </c>
      <c r="R275" s="286">
        <v>0</v>
      </c>
      <c r="S275" s="286">
        <v>0</v>
      </c>
      <c r="T275" s="286">
        <v>0</v>
      </c>
      <c r="U275" s="286">
        <v>0</v>
      </c>
      <c r="V275" s="286">
        <v>0</v>
      </c>
      <c r="W275" s="286">
        <v>0</v>
      </c>
      <c r="X275" s="286">
        <v>0</v>
      </c>
      <c r="Y275" s="286">
        <v>0</v>
      </c>
      <c r="Z275" s="286">
        <v>0</v>
      </c>
      <c r="AA275" s="286">
        <v>0</v>
      </c>
      <c r="AB275" s="286">
        <v>0</v>
      </c>
      <c r="AC275" s="286">
        <v>0</v>
      </c>
      <c r="AD275" s="286">
        <v>0</v>
      </c>
      <c r="AE275" s="286">
        <v>0</v>
      </c>
      <c r="AF275" s="286">
        <v>0</v>
      </c>
      <c r="AG275" s="286">
        <v>0</v>
      </c>
      <c r="AH275" s="286">
        <v>0</v>
      </c>
      <c r="AI275" s="286">
        <v>0</v>
      </c>
      <c r="AJ275" s="286">
        <v>0</v>
      </c>
      <c r="AK275" s="286">
        <v>0</v>
      </c>
      <c r="AL275" s="286">
        <v>0</v>
      </c>
      <c r="AM275" s="286">
        <v>0</v>
      </c>
      <c r="AN275" s="286">
        <v>0</v>
      </c>
      <c r="AO275" s="286">
        <v>0</v>
      </c>
      <c r="AP275" s="286">
        <v>0</v>
      </c>
      <c r="AQ275" s="286">
        <v>0</v>
      </c>
      <c r="AR275" s="286">
        <v>0</v>
      </c>
      <c r="AS275" s="286">
        <v>0</v>
      </c>
      <c r="AT275" s="286">
        <v>0</v>
      </c>
      <c r="AU275" s="286">
        <v>0</v>
      </c>
      <c r="AV275" s="286">
        <v>0</v>
      </c>
      <c r="AW275" s="286">
        <v>0</v>
      </c>
      <c r="AX275" s="286">
        <v>0</v>
      </c>
      <c r="AY275" s="286">
        <v>0</v>
      </c>
      <c r="AZ275" s="286">
        <v>0</v>
      </c>
      <c r="BA275" s="286">
        <v>0</v>
      </c>
      <c r="BB275" s="286">
        <v>0</v>
      </c>
      <c r="BC275" s="286">
        <v>0</v>
      </c>
      <c r="BD275" s="286">
        <v>0</v>
      </c>
      <c r="BE275" s="286">
        <v>0</v>
      </c>
      <c r="BF275" s="286">
        <v>0</v>
      </c>
      <c r="BG275" s="286">
        <v>0</v>
      </c>
      <c r="BH275" s="286">
        <v>0</v>
      </c>
      <c r="BI275" s="286">
        <v>0</v>
      </c>
      <c r="BJ275" s="286">
        <v>0</v>
      </c>
      <c r="BK275" s="286">
        <v>0</v>
      </c>
      <c r="BL275" s="286">
        <v>0</v>
      </c>
      <c r="BM275" s="286">
        <v>0</v>
      </c>
      <c r="BN275" s="286">
        <v>0</v>
      </c>
      <c r="BO275" s="286">
        <v>0</v>
      </c>
      <c r="BP275" s="286">
        <v>0</v>
      </c>
      <c r="BQ275" s="286">
        <v>0</v>
      </c>
      <c r="BR275" s="281">
        <v>0.65</v>
      </c>
    </row>
    <row r="276" spans="1:70" ht="14.25" customHeight="1" x14ac:dyDescent="0.35">
      <c r="A276" s="4" t="s">
        <v>448</v>
      </c>
      <c r="B276" s="384">
        <v>953.73898221343882</v>
      </c>
      <c r="C276" s="385"/>
      <c r="D276" s="41" t="s">
        <v>109</v>
      </c>
      <c r="E276" s="93">
        <f t="shared" si="1"/>
        <v>0</v>
      </c>
      <c r="F276" s="93">
        <v>2025</v>
      </c>
      <c r="G276" s="93">
        <v>2050</v>
      </c>
      <c r="I276" s="41" t="s">
        <v>109</v>
      </c>
      <c r="J276" s="281">
        <v>0.85</v>
      </c>
      <c r="K276" s="281">
        <v>0.85</v>
      </c>
      <c r="L276" s="281">
        <v>0.85</v>
      </c>
      <c r="M276" s="281">
        <v>0.85</v>
      </c>
      <c r="N276" s="281">
        <v>0.85</v>
      </c>
      <c r="O276" s="281">
        <v>0.85</v>
      </c>
      <c r="P276" s="281">
        <v>0.85</v>
      </c>
      <c r="Q276" s="281">
        <v>0.85</v>
      </c>
      <c r="R276" s="281">
        <v>0.85</v>
      </c>
      <c r="S276" s="281">
        <v>0.85</v>
      </c>
      <c r="T276" s="281">
        <v>0.85</v>
      </c>
      <c r="U276" s="281">
        <v>0.85</v>
      </c>
      <c r="V276" s="281">
        <v>0.85</v>
      </c>
      <c r="W276" s="281">
        <v>0.85</v>
      </c>
      <c r="X276" s="281">
        <v>0.85</v>
      </c>
      <c r="Y276" s="281">
        <v>0.85</v>
      </c>
      <c r="Z276" s="281">
        <v>0.85</v>
      </c>
      <c r="AA276" s="281">
        <v>0.85</v>
      </c>
      <c r="AB276" s="281">
        <v>0.85</v>
      </c>
      <c r="AC276" s="281">
        <v>0.85</v>
      </c>
      <c r="AD276" s="281">
        <v>0.85</v>
      </c>
      <c r="AE276" s="281">
        <v>0.85</v>
      </c>
      <c r="AF276" s="281">
        <v>0.85</v>
      </c>
      <c r="AG276" s="281">
        <v>0.85</v>
      </c>
      <c r="AH276" s="281">
        <v>0.65</v>
      </c>
      <c r="AI276" s="281">
        <v>0.65</v>
      </c>
      <c r="AJ276" s="281">
        <v>0.65</v>
      </c>
      <c r="AK276" s="281">
        <v>0.65</v>
      </c>
      <c r="AL276" s="281">
        <v>0.65</v>
      </c>
      <c r="AM276" s="281">
        <v>0.65</v>
      </c>
      <c r="AN276" s="281">
        <v>0.65</v>
      </c>
      <c r="AO276" s="281">
        <v>0.65</v>
      </c>
      <c r="AP276" s="281">
        <v>0.65</v>
      </c>
      <c r="AQ276" s="281">
        <v>0.65</v>
      </c>
      <c r="AR276" s="281">
        <v>0.65</v>
      </c>
      <c r="AS276" s="281">
        <v>0.65</v>
      </c>
      <c r="AT276" s="281">
        <v>0.5</v>
      </c>
      <c r="AU276" s="281">
        <v>0.5</v>
      </c>
      <c r="AV276" s="281">
        <v>0.5</v>
      </c>
      <c r="AW276" s="281">
        <v>0.5</v>
      </c>
      <c r="AX276" s="281">
        <v>0.5</v>
      </c>
      <c r="AY276" s="281">
        <v>0.5</v>
      </c>
      <c r="AZ276" s="281">
        <v>0.5</v>
      </c>
      <c r="BA276" s="281">
        <v>0.5</v>
      </c>
      <c r="BB276" s="281">
        <v>0.5</v>
      </c>
      <c r="BC276" s="281">
        <v>0.5</v>
      </c>
      <c r="BD276" s="281">
        <v>0.5</v>
      </c>
      <c r="BE276" s="281">
        <v>0.5</v>
      </c>
      <c r="BF276" s="281">
        <v>0.5</v>
      </c>
      <c r="BG276" s="281">
        <v>0.3</v>
      </c>
      <c r="BH276" s="281">
        <v>0.3</v>
      </c>
      <c r="BI276" s="281">
        <v>0.3</v>
      </c>
      <c r="BJ276" s="281">
        <v>0.3</v>
      </c>
      <c r="BK276" s="281">
        <v>0.3</v>
      </c>
      <c r="BL276" s="281">
        <v>0.3</v>
      </c>
      <c r="BM276" s="281">
        <v>0.3</v>
      </c>
      <c r="BN276" s="281">
        <v>0.3</v>
      </c>
      <c r="BO276" s="281">
        <v>0.3</v>
      </c>
      <c r="BP276" s="281">
        <v>0.3</v>
      </c>
      <c r="BQ276" s="281">
        <v>0.3</v>
      </c>
      <c r="BR276" s="286">
        <v>0</v>
      </c>
    </row>
    <row r="277" spans="1:70" ht="14.25" customHeight="1" x14ac:dyDescent="0.35">
      <c r="A277" s="4" t="s">
        <v>449</v>
      </c>
      <c r="B277" s="384">
        <v>953.73898221343882</v>
      </c>
      <c r="C277" s="385"/>
      <c r="D277" s="41" t="s">
        <v>229</v>
      </c>
      <c r="E277" s="93">
        <f t="shared" si="1"/>
        <v>0</v>
      </c>
      <c r="F277" s="93">
        <v>2025</v>
      </c>
      <c r="G277" s="93">
        <v>2050</v>
      </c>
      <c r="I277" s="41" t="s">
        <v>229</v>
      </c>
      <c r="J277" s="281">
        <v>0.85</v>
      </c>
      <c r="K277" s="281">
        <v>0.85</v>
      </c>
      <c r="L277" s="281">
        <v>0.85</v>
      </c>
      <c r="M277" s="281">
        <v>0.85</v>
      </c>
      <c r="N277" s="281">
        <v>0.85</v>
      </c>
      <c r="O277" s="281">
        <v>0.85</v>
      </c>
      <c r="P277" s="281">
        <v>0.85</v>
      </c>
      <c r="Q277" s="281">
        <v>0.85</v>
      </c>
      <c r="R277" s="281">
        <v>0.85</v>
      </c>
      <c r="S277" s="281">
        <v>0.85</v>
      </c>
      <c r="T277" s="281">
        <v>0.85</v>
      </c>
      <c r="U277" s="281">
        <v>0.85</v>
      </c>
      <c r="V277" s="281">
        <v>0.85</v>
      </c>
      <c r="W277" s="281">
        <v>0.85</v>
      </c>
      <c r="X277" s="281">
        <v>0.85</v>
      </c>
      <c r="Y277" s="281">
        <v>0.85</v>
      </c>
      <c r="Z277" s="281">
        <v>0.85</v>
      </c>
      <c r="AA277" s="281">
        <v>0.85</v>
      </c>
      <c r="AB277" s="281">
        <v>0.85</v>
      </c>
      <c r="AC277" s="281">
        <v>0.85</v>
      </c>
      <c r="AD277" s="281">
        <v>0.85</v>
      </c>
      <c r="AE277" s="281">
        <v>0.85</v>
      </c>
      <c r="AF277" s="281">
        <v>0.85</v>
      </c>
      <c r="AG277" s="281">
        <v>0.85</v>
      </c>
      <c r="AH277" s="281">
        <v>0.65</v>
      </c>
      <c r="AI277" s="281">
        <v>0.65</v>
      </c>
      <c r="AJ277" s="281">
        <v>0.65</v>
      </c>
      <c r="AK277" s="281">
        <v>0.65</v>
      </c>
      <c r="AL277" s="281">
        <v>0.65</v>
      </c>
      <c r="AM277" s="281">
        <v>0.65</v>
      </c>
      <c r="AN277" s="281">
        <v>0.65</v>
      </c>
      <c r="AO277" s="281">
        <v>0.65</v>
      </c>
      <c r="AP277" s="281">
        <v>0.65</v>
      </c>
      <c r="AQ277" s="281">
        <v>0.65</v>
      </c>
      <c r="AR277" s="281">
        <v>0.65</v>
      </c>
      <c r="AS277" s="281">
        <v>0.65</v>
      </c>
      <c r="AT277" s="281">
        <v>0.5</v>
      </c>
      <c r="AU277" s="281">
        <v>0.5</v>
      </c>
      <c r="AV277" s="281">
        <v>0.5</v>
      </c>
      <c r="AW277" s="281">
        <v>0.5</v>
      </c>
      <c r="AX277" s="281">
        <v>0.5</v>
      </c>
      <c r="AY277" s="281">
        <v>0.5</v>
      </c>
      <c r="AZ277" s="281">
        <v>0.5</v>
      </c>
      <c r="BA277" s="281">
        <v>0.5</v>
      </c>
      <c r="BB277" s="281">
        <v>0.5</v>
      </c>
      <c r="BC277" s="281">
        <v>0.5</v>
      </c>
      <c r="BD277" s="281">
        <v>0.5</v>
      </c>
      <c r="BE277" s="281">
        <v>0.5</v>
      </c>
      <c r="BF277" s="281">
        <v>0.5</v>
      </c>
      <c r="BG277" s="281">
        <v>0.3</v>
      </c>
      <c r="BH277" s="281">
        <v>0.3</v>
      </c>
      <c r="BI277" s="281">
        <v>0.3</v>
      </c>
      <c r="BJ277" s="281">
        <v>0.3</v>
      </c>
      <c r="BK277" s="281">
        <v>0.3</v>
      </c>
      <c r="BL277" s="281">
        <v>0.3</v>
      </c>
      <c r="BM277" s="281">
        <v>0.3</v>
      </c>
      <c r="BN277" s="281">
        <v>0.3</v>
      </c>
      <c r="BO277" s="281">
        <v>0.3</v>
      </c>
      <c r="BP277" s="281">
        <v>0.3</v>
      </c>
      <c r="BQ277" s="281">
        <v>0.3</v>
      </c>
      <c r="BR277" s="286">
        <v>0</v>
      </c>
    </row>
    <row r="278" spans="1:70" ht="14.25" customHeight="1" x14ac:dyDescent="0.35">
      <c r="A278" s="4" t="s">
        <v>450</v>
      </c>
      <c r="B278" s="384">
        <v>953.73898221343882</v>
      </c>
      <c r="C278" s="385"/>
      <c r="D278" s="41" t="s">
        <v>111</v>
      </c>
      <c r="E278" s="93">
        <f t="shared" si="1"/>
        <v>0</v>
      </c>
      <c r="F278" s="93">
        <v>2025</v>
      </c>
      <c r="G278" s="93">
        <v>2050</v>
      </c>
      <c r="I278" s="41" t="s">
        <v>111</v>
      </c>
      <c r="J278" s="281">
        <v>0.85</v>
      </c>
      <c r="K278" s="281">
        <v>0.85</v>
      </c>
      <c r="L278" s="281">
        <v>0.85</v>
      </c>
      <c r="M278" s="281">
        <v>0.85</v>
      </c>
      <c r="N278" s="281">
        <v>0.85</v>
      </c>
      <c r="O278" s="281">
        <v>0.85</v>
      </c>
      <c r="P278" s="281">
        <v>0.85</v>
      </c>
      <c r="Q278" s="281">
        <v>0.85</v>
      </c>
      <c r="R278" s="281">
        <v>0.85</v>
      </c>
      <c r="S278" s="281">
        <v>0.85</v>
      </c>
      <c r="T278" s="281">
        <v>0.85</v>
      </c>
      <c r="U278" s="281">
        <v>0.85</v>
      </c>
      <c r="V278" s="281">
        <v>0.85</v>
      </c>
      <c r="W278" s="281">
        <v>0.85</v>
      </c>
      <c r="X278" s="281">
        <v>0.85</v>
      </c>
      <c r="Y278" s="281">
        <v>0.85</v>
      </c>
      <c r="Z278" s="281">
        <v>0.85</v>
      </c>
      <c r="AA278" s="281">
        <v>0.85</v>
      </c>
      <c r="AB278" s="281">
        <v>0.85</v>
      </c>
      <c r="AC278" s="281">
        <v>0.85</v>
      </c>
      <c r="AD278" s="281">
        <v>0.85</v>
      </c>
      <c r="AE278" s="281">
        <v>0.85</v>
      </c>
      <c r="AF278" s="281">
        <v>0.85</v>
      </c>
      <c r="AG278" s="281">
        <v>0.85</v>
      </c>
      <c r="AH278" s="281">
        <v>0.65</v>
      </c>
      <c r="AI278" s="281">
        <v>0.65</v>
      </c>
      <c r="AJ278" s="281">
        <v>0.65</v>
      </c>
      <c r="AK278" s="281">
        <v>0.65</v>
      </c>
      <c r="AL278" s="281">
        <v>0.65</v>
      </c>
      <c r="AM278" s="281">
        <v>0.65</v>
      </c>
      <c r="AN278" s="281">
        <v>0.65</v>
      </c>
      <c r="AO278" s="281">
        <v>0.65</v>
      </c>
      <c r="AP278" s="281">
        <v>0.65</v>
      </c>
      <c r="AQ278" s="281">
        <v>0.65</v>
      </c>
      <c r="AR278" s="281">
        <v>0.65</v>
      </c>
      <c r="AS278" s="281">
        <v>0.65</v>
      </c>
      <c r="AT278" s="281">
        <v>0.5</v>
      </c>
      <c r="AU278" s="281">
        <v>0.5</v>
      </c>
      <c r="AV278" s="281">
        <v>0.5</v>
      </c>
      <c r="AW278" s="281">
        <v>0.5</v>
      </c>
      <c r="AX278" s="281">
        <v>0.5</v>
      </c>
      <c r="AY278" s="281">
        <v>0.5</v>
      </c>
      <c r="AZ278" s="281">
        <v>0.5</v>
      </c>
      <c r="BA278" s="281">
        <v>0.5</v>
      </c>
      <c r="BB278" s="281">
        <v>0.5</v>
      </c>
      <c r="BC278" s="281">
        <v>0.5</v>
      </c>
      <c r="BD278" s="281">
        <v>0.5</v>
      </c>
      <c r="BE278" s="281">
        <v>0.5</v>
      </c>
      <c r="BF278" s="281">
        <v>0.5</v>
      </c>
      <c r="BG278" s="281">
        <v>0.3</v>
      </c>
      <c r="BH278" s="281">
        <v>0.3</v>
      </c>
      <c r="BI278" s="281">
        <v>0.3</v>
      </c>
      <c r="BJ278" s="281">
        <v>0.3</v>
      </c>
      <c r="BK278" s="281">
        <v>0.3</v>
      </c>
      <c r="BL278" s="281">
        <v>0.3</v>
      </c>
      <c r="BM278" s="281">
        <v>0.3</v>
      </c>
      <c r="BN278" s="281">
        <v>0.3</v>
      </c>
      <c r="BO278" s="281">
        <v>0.3</v>
      </c>
      <c r="BP278" s="281">
        <v>0.3</v>
      </c>
      <c r="BQ278" s="281">
        <v>0.3</v>
      </c>
      <c r="BR278" s="286">
        <v>0</v>
      </c>
    </row>
    <row r="279" spans="1:70" ht="14.25" customHeight="1" x14ac:dyDescent="0.35">
      <c r="A279" s="4" t="s">
        <v>451</v>
      </c>
      <c r="B279" s="384">
        <v>953.73898221343882</v>
      </c>
      <c r="C279" s="385"/>
      <c r="D279" s="41" t="s">
        <v>112</v>
      </c>
      <c r="E279" s="93">
        <f t="shared" si="1"/>
        <v>0</v>
      </c>
      <c r="F279" s="93">
        <v>2025</v>
      </c>
      <c r="G279" s="93">
        <v>2050</v>
      </c>
      <c r="I279" s="41" t="s">
        <v>112</v>
      </c>
      <c r="J279" s="286">
        <v>0</v>
      </c>
      <c r="K279" s="286">
        <v>0</v>
      </c>
      <c r="L279" s="286">
        <v>0</v>
      </c>
      <c r="M279" s="286">
        <v>0</v>
      </c>
      <c r="N279" s="286">
        <v>0</v>
      </c>
      <c r="O279" s="286">
        <v>0</v>
      </c>
      <c r="P279" s="286">
        <v>0</v>
      </c>
      <c r="Q279" s="286">
        <v>0</v>
      </c>
      <c r="R279" s="286">
        <v>0</v>
      </c>
      <c r="S279" s="286">
        <v>0</v>
      </c>
      <c r="T279" s="286">
        <v>0</v>
      </c>
      <c r="U279" s="286">
        <v>0</v>
      </c>
      <c r="V279" s="286">
        <v>0</v>
      </c>
      <c r="W279" s="286">
        <v>0</v>
      </c>
      <c r="X279" s="286">
        <v>0</v>
      </c>
      <c r="Y279" s="286">
        <v>0</v>
      </c>
      <c r="Z279" s="286">
        <v>0</v>
      </c>
      <c r="AA279" s="286">
        <v>0</v>
      </c>
      <c r="AB279" s="286">
        <v>0</v>
      </c>
      <c r="AC279" s="286">
        <v>0</v>
      </c>
      <c r="AD279" s="286">
        <v>0</v>
      </c>
      <c r="AE279" s="286">
        <v>0</v>
      </c>
      <c r="AF279" s="286">
        <v>0</v>
      </c>
      <c r="AG279" s="286">
        <v>0</v>
      </c>
      <c r="AH279" s="286">
        <v>0</v>
      </c>
      <c r="AI279" s="286">
        <v>0</v>
      </c>
      <c r="AJ279" s="286">
        <v>0</v>
      </c>
      <c r="AK279" s="286">
        <v>0</v>
      </c>
      <c r="AL279" s="286">
        <v>0</v>
      </c>
      <c r="AM279" s="286">
        <v>0</v>
      </c>
      <c r="AN279" s="286">
        <v>0</v>
      </c>
      <c r="AO279" s="286">
        <v>0</v>
      </c>
      <c r="AP279" s="286">
        <v>0</v>
      </c>
      <c r="AQ279" s="286">
        <v>0</v>
      </c>
      <c r="AR279" s="286">
        <v>0</v>
      </c>
      <c r="AS279" s="286">
        <v>0</v>
      </c>
      <c r="AT279" s="286">
        <v>0</v>
      </c>
      <c r="AU279" s="286">
        <v>0</v>
      </c>
      <c r="AV279" s="286">
        <v>0</v>
      </c>
      <c r="AW279" s="286">
        <v>0</v>
      </c>
      <c r="AX279" s="286">
        <v>0</v>
      </c>
      <c r="AY279" s="286">
        <v>0</v>
      </c>
      <c r="AZ279" s="286">
        <v>0</v>
      </c>
      <c r="BA279" s="286">
        <v>0</v>
      </c>
      <c r="BB279" s="286">
        <v>0</v>
      </c>
      <c r="BC279" s="286">
        <v>0</v>
      </c>
      <c r="BD279" s="286">
        <v>0</v>
      </c>
      <c r="BE279" s="286">
        <v>0</v>
      </c>
      <c r="BF279" s="286">
        <v>0</v>
      </c>
      <c r="BG279" s="286">
        <v>0</v>
      </c>
      <c r="BH279" s="286">
        <v>0</v>
      </c>
      <c r="BI279" s="286">
        <v>0</v>
      </c>
      <c r="BJ279" s="286">
        <v>0</v>
      </c>
      <c r="BK279" s="286">
        <v>0</v>
      </c>
      <c r="BL279" s="286">
        <v>0</v>
      </c>
      <c r="BM279" s="286">
        <v>0</v>
      </c>
      <c r="BN279" s="286">
        <v>0</v>
      </c>
      <c r="BO279" s="286">
        <v>0</v>
      </c>
      <c r="BP279" s="286">
        <v>0</v>
      </c>
      <c r="BQ279" s="286">
        <v>0</v>
      </c>
      <c r="BR279" s="281">
        <v>0.65</v>
      </c>
    </row>
    <row r="280" spans="1:70" ht="14.25" customHeight="1" x14ac:dyDescent="0.35">
      <c r="A280" s="4" t="s">
        <v>452</v>
      </c>
      <c r="B280" s="384">
        <v>953.73898221343882</v>
      </c>
      <c r="C280" s="385"/>
      <c r="D280" s="41" t="s">
        <v>113</v>
      </c>
      <c r="E280" s="93">
        <f t="shared" si="1"/>
        <v>0</v>
      </c>
      <c r="F280" s="93">
        <v>2025</v>
      </c>
      <c r="G280" s="93">
        <v>2050</v>
      </c>
      <c r="I280" s="41" t="s">
        <v>113</v>
      </c>
      <c r="J280" s="286">
        <v>0</v>
      </c>
      <c r="K280" s="286">
        <v>0</v>
      </c>
      <c r="L280" s="286">
        <v>0</v>
      </c>
      <c r="M280" s="286">
        <v>0</v>
      </c>
      <c r="N280" s="286">
        <v>0</v>
      </c>
      <c r="O280" s="286">
        <v>0</v>
      </c>
      <c r="P280" s="286">
        <v>0</v>
      </c>
      <c r="Q280" s="286">
        <v>0</v>
      </c>
      <c r="R280" s="286">
        <v>0</v>
      </c>
      <c r="S280" s="286">
        <v>0</v>
      </c>
      <c r="T280" s="286">
        <v>0</v>
      </c>
      <c r="U280" s="286">
        <v>0</v>
      </c>
      <c r="V280" s="286">
        <v>0</v>
      </c>
      <c r="W280" s="286">
        <v>0</v>
      </c>
      <c r="X280" s="286">
        <v>0</v>
      </c>
      <c r="Y280" s="286">
        <v>0</v>
      </c>
      <c r="Z280" s="286">
        <v>0</v>
      </c>
      <c r="AA280" s="286">
        <v>0</v>
      </c>
      <c r="AB280" s="286">
        <v>0</v>
      </c>
      <c r="AC280" s="286">
        <v>0</v>
      </c>
      <c r="AD280" s="286">
        <v>0</v>
      </c>
      <c r="AE280" s="286">
        <v>0</v>
      </c>
      <c r="AF280" s="286">
        <v>0</v>
      </c>
      <c r="AG280" s="286">
        <v>0</v>
      </c>
      <c r="AH280" s="286">
        <v>0</v>
      </c>
      <c r="AI280" s="286">
        <v>0</v>
      </c>
      <c r="AJ280" s="286">
        <v>0</v>
      </c>
      <c r="AK280" s="286">
        <v>0</v>
      </c>
      <c r="AL280" s="286">
        <v>0</v>
      </c>
      <c r="AM280" s="286">
        <v>0</v>
      </c>
      <c r="AN280" s="286">
        <v>0</v>
      </c>
      <c r="AO280" s="286">
        <v>0</v>
      </c>
      <c r="AP280" s="286">
        <v>0</v>
      </c>
      <c r="AQ280" s="286">
        <v>0</v>
      </c>
      <c r="AR280" s="286">
        <v>0</v>
      </c>
      <c r="AS280" s="286">
        <v>0</v>
      </c>
      <c r="AT280" s="286">
        <v>0</v>
      </c>
      <c r="AU280" s="286">
        <v>0</v>
      </c>
      <c r="AV280" s="286">
        <v>0</v>
      </c>
      <c r="AW280" s="286">
        <v>0</v>
      </c>
      <c r="AX280" s="286">
        <v>0</v>
      </c>
      <c r="AY280" s="286">
        <v>0</v>
      </c>
      <c r="AZ280" s="286">
        <v>0</v>
      </c>
      <c r="BA280" s="286">
        <v>0</v>
      </c>
      <c r="BB280" s="286">
        <v>0</v>
      </c>
      <c r="BC280" s="286">
        <v>0</v>
      </c>
      <c r="BD280" s="286">
        <v>0</v>
      </c>
      <c r="BE280" s="286">
        <v>0</v>
      </c>
      <c r="BF280" s="286">
        <v>0</v>
      </c>
      <c r="BG280" s="286">
        <v>0</v>
      </c>
      <c r="BH280" s="286">
        <v>0</v>
      </c>
      <c r="BI280" s="286">
        <v>0</v>
      </c>
      <c r="BJ280" s="286">
        <v>0</v>
      </c>
      <c r="BK280" s="286">
        <v>0</v>
      </c>
      <c r="BL280" s="286">
        <v>0</v>
      </c>
      <c r="BM280" s="286">
        <v>0</v>
      </c>
      <c r="BN280" s="286">
        <v>0</v>
      </c>
      <c r="BO280" s="286">
        <v>0</v>
      </c>
      <c r="BP280" s="286">
        <v>0</v>
      </c>
      <c r="BQ280" s="286">
        <v>0</v>
      </c>
      <c r="BR280" s="281">
        <v>0.65</v>
      </c>
    </row>
    <row r="281" spans="1:70" ht="14.25" customHeight="1" x14ac:dyDescent="0.35">
      <c r="A281" s="4" t="s">
        <v>453</v>
      </c>
      <c r="B281" s="384">
        <v>953.73898221343882</v>
      </c>
      <c r="C281" s="385"/>
      <c r="D281" s="41" t="s">
        <v>114</v>
      </c>
      <c r="E281" s="93">
        <f t="shared" si="1"/>
        <v>0</v>
      </c>
      <c r="F281" s="93">
        <v>2025</v>
      </c>
      <c r="G281" s="93">
        <v>2050</v>
      </c>
      <c r="I281" s="41" t="s">
        <v>114</v>
      </c>
      <c r="J281" s="281">
        <v>0.85</v>
      </c>
      <c r="K281" s="281">
        <v>0.85</v>
      </c>
      <c r="L281" s="281">
        <v>0.85</v>
      </c>
      <c r="M281" s="281">
        <v>0.85</v>
      </c>
      <c r="N281" s="281">
        <v>0.85</v>
      </c>
      <c r="O281" s="281">
        <v>0.85</v>
      </c>
      <c r="P281" s="281">
        <v>0.85</v>
      </c>
      <c r="Q281" s="281">
        <v>0.85</v>
      </c>
      <c r="R281" s="281">
        <v>0.85</v>
      </c>
      <c r="S281" s="281">
        <v>0.85</v>
      </c>
      <c r="T281" s="281">
        <v>0.85</v>
      </c>
      <c r="U281" s="281">
        <v>0.85</v>
      </c>
      <c r="V281" s="281">
        <v>0.85</v>
      </c>
      <c r="W281" s="281">
        <v>0.85</v>
      </c>
      <c r="X281" s="281">
        <v>0.85</v>
      </c>
      <c r="Y281" s="281">
        <v>0.85</v>
      </c>
      <c r="Z281" s="281">
        <v>0.85</v>
      </c>
      <c r="AA281" s="281">
        <v>0.85</v>
      </c>
      <c r="AB281" s="281">
        <v>0.85</v>
      </c>
      <c r="AC281" s="281">
        <v>0.85</v>
      </c>
      <c r="AD281" s="281">
        <v>0.85</v>
      </c>
      <c r="AE281" s="281">
        <v>0.85</v>
      </c>
      <c r="AF281" s="281">
        <v>0.85</v>
      </c>
      <c r="AG281" s="281">
        <v>0.85</v>
      </c>
      <c r="AH281" s="281">
        <v>0.65</v>
      </c>
      <c r="AI281" s="281">
        <v>0.65</v>
      </c>
      <c r="AJ281" s="281">
        <v>0.65</v>
      </c>
      <c r="AK281" s="281">
        <v>0.65</v>
      </c>
      <c r="AL281" s="281">
        <v>0.65</v>
      </c>
      <c r="AM281" s="281">
        <v>0.65</v>
      </c>
      <c r="AN281" s="281">
        <v>0.65</v>
      </c>
      <c r="AO281" s="281">
        <v>0.65</v>
      </c>
      <c r="AP281" s="281">
        <v>0.65</v>
      </c>
      <c r="AQ281" s="281">
        <v>0.65</v>
      </c>
      <c r="AR281" s="281">
        <v>0.65</v>
      </c>
      <c r="AS281" s="281">
        <v>0.65</v>
      </c>
      <c r="AT281" s="281">
        <v>0.5</v>
      </c>
      <c r="AU281" s="281">
        <v>0.5</v>
      </c>
      <c r="AV281" s="281">
        <v>0.5</v>
      </c>
      <c r="AW281" s="281">
        <v>0.5</v>
      </c>
      <c r="AX281" s="281">
        <v>0.5</v>
      </c>
      <c r="AY281" s="281">
        <v>0.5</v>
      </c>
      <c r="AZ281" s="281">
        <v>0.5</v>
      </c>
      <c r="BA281" s="281">
        <v>0.5</v>
      </c>
      <c r="BB281" s="281">
        <v>0.5</v>
      </c>
      <c r="BC281" s="281">
        <v>0.5</v>
      </c>
      <c r="BD281" s="281">
        <v>0.5</v>
      </c>
      <c r="BE281" s="281">
        <v>0.5</v>
      </c>
      <c r="BF281" s="281">
        <v>0.5</v>
      </c>
      <c r="BG281" s="281">
        <v>0.3</v>
      </c>
      <c r="BH281" s="281">
        <v>0.3</v>
      </c>
      <c r="BI281" s="281">
        <v>0.3</v>
      </c>
      <c r="BJ281" s="281">
        <v>0.3</v>
      </c>
      <c r="BK281" s="281">
        <v>0.3</v>
      </c>
      <c r="BL281" s="281">
        <v>0.3</v>
      </c>
      <c r="BM281" s="281">
        <v>0.3</v>
      </c>
      <c r="BN281" s="281">
        <v>0.3</v>
      </c>
      <c r="BO281" s="281">
        <v>0.3</v>
      </c>
      <c r="BP281" s="281">
        <v>0.3</v>
      </c>
      <c r="BQ281" s="281">
        <v>0.3</v>
      </c>
      <c r="BR281" s="286">
        <v>0</v>
      </c>
    </row>
    <row r="282" spans="1:70" ht="14.25" customHeight="1" x14ac:dyDescent="0.35">
      <c r="A282" s="4" t="s">
        <v>454</v>
      </c>
      <c r="B282" s="384">
        <v>953.73898221343882</v>
      </c>
      <c r="C282" s="385"/>
      <c r="D282" s="41" t="s">
        <v>115</v>
      </c>
      <c r="E282" s="93">
        <f t="shared" si="1"/>
        <v>0</v>
      </c>
      <c r="F282" s="93">
        <v>2025</v>
      </c>
      <c r="G282" s="93">
        <v>2050</v>
      </c>
      <c r="I282" s="41" t="s">
        <v>115</v>
      </c>
      <c r="J282" s="281">
        <v>0.85</v>
      </c>
      <c r="K282" s="281">
        <v>0.85</v>
      </c>
      <c r="L282" s="281">
        <v>0.85</v>
      </c>
      <c r="M282" s="281">
        <v>0.85</v>
      </c>
      <c r="N282" s="281">
        <v>0.85</v>
      </c>
      <c r="O282" s="281">
        <v>0.85</v>
      </c>
      <c r="P282" s="281">
        <v>0.85</v>
      </c>
      <c r="Q282" s="281">
        <v>0.85</v>
      </c>
      <c r="R282" s="281">
        <v>0.85</v>
      </c>
      <c r="S282" s="281">
        <v>0.85</v>
      </c>
      <c r="T282" s="281">
        <v>0.85</v>
      </c>
      <c r="U282" s="281">
        <v>0.85</v>
      </c>
      <c r="V282" s="281">
        <v>0.85</v>
      </c>
      <c r="W282" s="281">
        <v>0.85</v>
      </c>
      <c r="X282" s="281">
        <v>0.85</v>
      </c>
      <c r="Y282" s="281">
        <v>0.85</v>
      </c>
      <c r="Z282" s="281">
        <v>0.85</v>
      </c>
      <c r="AA282" s="281">
        <v>0.85</v>
      </c>
      <c r="AB282" s="281">
        <v>0.85</v>
      </c>
      <c r="AC282" s="281">
        <v>0.85</v>
      </c>
      <c r="AD282" s="281">
        <v>0.85</v>
      </c>
      <c r="AE282" s="281">
        <v>0.85</v>
      </c>
      <c r="AF282" s="281">
        <v>0.85</v>
      </c>
      <c r="AG282" s="281">
        <v>0.85</v>
      </c>
      <c r="AH282" s="281">
        <v>0.65</v>
      </c>
      <c r="AI282" s="281">
        <v>0.65</v>
      </c>
      <c r="AJ282" s="281">
        <v>0.65</v>
      </c>
      <c r="AK282" s="281">
        <v>0.65</v>
      </c>
      <c r="AL282" s="281">
        <v>0.65</v>
      </c>
      <c r="AM282" s="281">
        <v>0.65</v>
      </c>
      <c r="AN282" s="281">
        <v>0.65</v>
      </c>
      <c r="AO282" s="281">
        <v>0.65</v>
      </c>
      <c r="AP282" s="281">
        <v>0.65</v>
      </c>
      <c r="AQ282" s="281">
        <v>0.65</v>
      </c>
      <c r="AR282" s="281">
        <v>0.65</v>
      </c>
      <c r="AS282" s="281">
        <v>0.65</v>
      </c>
      <c r="AT282" s="281">
        <v>0.5</v>
      </c>
      <c r="AU282" s="281">
        <v>0.5</v>
      </c>
      <c r="AV282" s="281">
        <v>0.5</v>
      </c>
      <c r="AW282" s="281">
        <v>0.5</v>
      </c>
      <c r="AX282" s="281">
        <v>0.5</v>
      </c>
      <c r="AY282" s="281">
        <v>0.5</v>
      </c>
      <c r="AZ282" s="281">
        <v>0.5</v>
      </c>
      <c r="BA282" s="281">
        <v>0.5</v>
      </c>
      <c r="BB282" s="281">
        <v>0.5</v>
      </c>
      <c r="BC282" s="281">
        <v>0.5</v>
      </c>
      <c r="BD282" s="281">
        <v>0.5</v>
      </c>
      <c r="BE282" s="281">
        <v>0.5</v>
      </c>
      <c r="BF282" s="281">
        <v>0.5</v>
      </c>
      <c r="BG282" s="281">
        <v>0.3</v>
      </c>
      <c r="BH282" s="281">
        <v>0.3</v>
      </c>
      <c r="BI282" s="281">
        <v>0.3</v>
      </c>
      <c r="BJ282" s="281">
        <v>0.3</v>
      </c>
      <c r="BK282" s="281">
        <v>0.3</v>
      </c>
      <c r="BL282" s="281">
        <v>0.3</v>
      </c>
      <c r="BM282" s="281">
        <v>0.3</v>
      </c>
      <c r="BN282" s="281">
        <v>0.3</v>
      </c>
      <c r="BO282" s="281">
        <v>0.3</v>
      </c>
      <c r="BP282" s="281">
        <v>0.3</v>
      </c>
      <c r="BQ282" s="281">
        <v>0.3</v>
      </c>
      <c r="BR282" s="286">
        <v>0</v>
      </c>
    </row>
    <row r="283" spans="1:70" ht="14.25" customHeight="1" x14ac:dyDescent="0.35">
      <c r="A283" s="4" t="s">
        <v>455</v>
      </c>
      <c r="B283" s="384">
        <v>953.73898221343882</v>
      </c>
      <c r="C283" s="385"/>
      <c r="D283" s="41" t="s">
        <v>116</v>
      </c>
      <c r="E283" s="93">
        <f t="shared" si="1"/>
        <v>0</v>
      </c>
      <c r="F283" s="93">
        <v>2025</v>
      </c>
      <c r="G283" s="93">
        <v>2050</v>
      </c>
      <c r="I283" s="41" t="s">
        <v>116</v>
      </c>
      <c r="J283" s="286">
        <v>0</v>
      </c>
      <c r="K283" s="286">
        <v>0</v>
      </c>
      <c r="L283" s="286">
        <v>0</v>
      </c>
      <c r="M283" s="286">
        <v>0</v>
      </c>
      <c r="N283" s="286">
        <v>0</v>
      </c>
      <c r="O283" s="286">
        <v>0</v>
      </c>
      <c r="P283" s="286">
        <v>0</v>
      </c>
      <c r="Q283" s="286">
        <v>0</v>
      </c>
      <c r="R283" s="286">
        <v>0</v>
      </c>
      <c r="S283" s="286">
        <v>0</v>
      </c>
      <c r="T283" s="286">
        <v>0</v>
      </c>
      <c r="U283" s="286">
        <v>0</v>
      </c>
      <c r="V283" s="286">
        <v>0</v>
      </c>
      <c r="W283" s="286">
        <v>0</v>
      </c>
      <c r="X283" s="286">
        <v>0</v>
      </c>
      <c r="Y283" s="286">
        <v>0</v>
      </c>
      <c r="Z283" s="286">
        <v>0</v>
      </c>
      <c r="AA283" s="286">
        <v>0</v>
      </c>
      <c r="AB283" s="286">
        <v>0</v>
      </c>
      <c r="AC283" s="286">
        <v>0</v>
      </c>
      <c r="AD283" s="286">
        <v>0</v>
      </c>
      <c r="AE283" s="286">
        <v>0</v>
      </c>
      <c r="AF283" s="286">
        <v>0</v>
      </c>
      <c r="AG283" s="286">
        <v>0</v>
      </c>
      <c r="AH283" s="286">
        <v>0</v>
      </c>
      <c r="AI283" s="286">
        <v>0</v>
      </c>
      <c r="AJ283" s="286">
        <v>0</v>
      </c>
      <c r="AK283" s="286">
        <v>0</v>
      </c>
      <c r="AL283" s="286">
        <v>0</v>
      </c>
      <c r="AM283" s="286">
        <v>0</v>
      </c>
      <c r="AN283" s="286">
        <v>0</v>
      </c>
      <c r="AO283" s="286">
        <v>0</v>
      </c>
      <c r="AP283" s="286">
        <v>0</v>
      </c>
      <c r="AQ283" s="286">
        <v>0</v>
      </c>
      <c r="AR283" s="286">
        <v>0</v>
      </c>
      <c r="AS283" s="286">
        <v>0</v>
      </c>
      <c r="AT283" s="286">
        <v>0</v>
      </c>
      <c r="AU283" s="286">
        <v>0</v>
      </c>
      <c r="AV283" s="286">
        <v>0</v>
      </c>
      <c r="AW283" s="286">
        <v>0</v>
      </c>
      <c r="AX283" s="286">
        <v>0</v>
      </c>
      <c r="AY283" s="286">
        <v>0</v>
      </c>
      <c r="AZ283" s="286">
        <v>0</v>
      </c>
      <c r="BA283" s="286">
        <v>0</v>
      </c>
      <c r="BB283" s="286">
        <v>0</v>
      </c>
      <c r="BC283" s="286">
        <v>0</v>
      </c>
      <c r="BD283" s="286">
        <v>0</v>
      </c>
      <c r="BE283" s="286">
        <v>0</v>
      </c>
      <c r="BF283" s="286">
        <v>0</v>
      </c>
      <c r="BG283" s="286">
        <v>0</v>
      </c>
      <c r="BH283" s="286">
        <v>0</v>
      </c>
      <c r="BI283" s="286">
        <v>0</v>
      </c>
      <c r="BJ283" s="286">
        <v>0</v>
      </c>
      <c r="BK283" s="286">
        <v>0</v>
      </c>
      <c r="BL283" s="286">
        <v>0</v>
      </c>
      <c r="BM283" s="286">
        <v>0</v>
      </c>
      <c r="BN283" s="286">
        <v>0</v>
      </c>
      <c r="BO283" s="286">
        <v>0</v>
      </c>
      <c r="BP283" s="286">
        <v>0</v>
      </c>
      <c r="BQ283" s="286">
        <v>0</v>
      </c>
      <c r="BR283" s="281">
        <v>0.65</v>
      </c>
    </row>
    <row r="284" spans="1:70" ht="14.25" customHeight="1" x14ac:dyDescent="0.35">
      <c r="A284" s="4" t="s">
        <v>456</v>
      </c>
      <c r="B284" s="384">
        <v>953.73898221343882</v>
      </c>
      <c r="C284" s="385"/>
      <c r="D284" s="41" t="s">
        <v>117</v>
      </c>
      <c r="E284" s="93">
        <f t="shared" si="1"/>
        <v>0</v>
      </c>
      <c r="F284" s="93">
        <v>2025</v>
      </c>
      <c r="G284" s="93">
        <v>2050</v>
      </c>
      <c r="I284" s="41" t="s">
        <v>117</v>
      </c>
      <c r="J284" s="281">
        <v>0.85</v>
      </c>
      <c r="K284" s="281">
        <v>0.85</v>
      </c>
      <c r="L284" s="281">
        <v>0.85</v>
      </c>
      <c r="M284" s="281">
        <v>0.85</v>
      </c>
      <c r="N284" s="281">
        <v>0.85</v>
      </c>
      <c r="O284" s="281">
        <v>0.85</v>
      </c>
      <c r="P284" s="281">
        <v>0.85</v>
      </c>
      <c r="Q284" s="281">
        <v>0.85</v>
      </c>
      <c r="R284" s="281">
        <v>0.85</v>
      </c>
      <c r="S284" s="281">
        <v>0.85</v>
      </c>
      <c r="T284" s="281">
        <v>0.85</v>
      </c>
      <c r="U284" s="281">
        <v>0.85</v>
      </c>
      <c r="V284" s="281">
        <v>0.85</v>
      </c>
      <c r="W284" s="281">
        <v>0.85</v>
      </c>
      <c r="X284" s="281">
        <v>0.85</v>
      </c>
      <c r="Y284" s="281">
        <v>0.85</v>
      </c>
      <c r="Z284" s="281">
        <v>0.85</v>
      </c>
      <c r="AA284" s="281">
        <v>0.85</v>
      </c>
      <c r="AB284" s="281">
        <v>0.85</v>
      </c>
      <c r="AC284" s="281">
        <v>0.85</v>
      </c>
      <c r="AD284" s="281">
        <v>0.85</v>
      </c>
      <c r="AE284" s="281">
        <v>0.85</v>
      </c>
      <c r="AF284" s="281">
        <v>0.85</v>
      </c>
      <c r="AG284" s="281">
        <v>0.85</v>
      </c>
      <c r="AH284" s="281">
        <v>0.65</v>
      </c>
      <c r="AI284" s="281">
        <v>0.65</v>
      </c>
      <c r="AJ284" s="281">
        <v>0.65</v>
      </c>
      <c r="AK284" s="281">
        <v>0.65</v>
      </c>
      <c r="AL284" s="281">
        <v>0.65</v>
      </c>
      <c r="AM284" s="281">
        <v>0.65</v>
      </c>
      <c r="AN284" s="281">
        <v>0.65</v>
      </c>
      <c r="AO284" s="281">
        <v>0.65</v>
      </c>
      <c r="AP284" s="281">
        <v>0.65</v>
      </c>
      <c r="AQ284" s="281">
        <v>0.65</v>
      </c>
      <c r="AR284" s="281">
        <v>0.65</v>
      </c>
      <c r="AS284" s="281">
        <v>0.65</v>
      </c>
      <c r="AT284" s="281">
        <v>0.5</v>
      </c>
      <c r="AU284" s="281">
        <v>0.5</v>
      </c>
      <c r="AV284" s="281">
        <v>0.5</v>
      </c>
      <c r="AW284" s="281">
        <v>0.5</v>
      </c>
      <c r="AX284" s="281">
        <v>0.5</v>
      </c>
      <c r="AY284" s="281">
        <v>0.5</v>
      </c>
      <c r="AZ284" s="281">
        <v>0.5</v>
      </c>
      <c r="BA284" s="281">
        <v>0.5</v>
      </c>
      <c r="BB284" s="281">
        <v>0.5</v>
      </c>
      <c r="BC284" s="281">
        <v>0.5</v>
      </c>
      <c r="BD284" s="281">
        <v>0.5</v>
      </c>
      <c r="BE284" s="281">
        <v>0.5</v>
      </c>
      <c r="BF284" s="281">
        <v>0.5</v>
      </c>
      <c r="BG284" s="281">
        <v>0.3</v>
      </c>
      <c r="BH284" s="281">
        <v>0.3</v>
      </c>
      <c r="BI284" s="281">
        <v>0.3</v>
      </c>
      <c r="BJ284" s="281">
        <v>0.3</v>
      </c>
      <c r="BK284" s="281">
        <v>0.3</v>
      </c>
      <c r="BL284" s="281">
        <v>0.3</v>
      </c>
      <c r="BM284" s="281">
        <v>0.3</v>
      </c>
      <c r="BN284" s="281">
        <v>0.3</v>
      </c>
      <c r="BO284" s="281">
        <v>0.3</v>
      </c>
      <c r="BP284" s="281">
        <v>0.3</v>
      </c>
      <c r="BQ284" s="281">
        <v>0.3</v>
      </c>
      <c r="BR284" s="286">
        <v>0</v>
      </c>
    </row>
    <row r="285" spans="1:70" ht="14.25" customHeight="1" x14ac:dyDescent="0.35">
      <c r="A285" s="4" t="s">
        <v>457</v>
      </c>
      <c r="B285" s="384">
        <v>953.73898221343882</v>
      </c>
      <c r="C285" s="385"/>
      <c r="D285" s="41" t="s">
        <v>118</v>
      </c>
      <c r="E285" s="93">
        <f t="shared" si="1"/>
        <v>0</v>
      </c>
      <c r="F285" s="93">
        <v>2025</v>
      </c>
      <c r="G285" s="93">
        <v>2050</v>
      </c>
      <c r="I285" s="41" t="s">
        <v>118</v>
      </c>
      <c r="J285" s="286">
        <v>0</v>
      </c>
      <c r="K285" s="286">
        <v>0</v>
      </c>
      <c r="L285" s="286">
        <v>0</v>
      </c>
      <c r="M285" s="286">
        <v>0</v>
      </c>
      <c r="N285" s="286">
        <v>0</v>
      </c>
      <c r="O285" s="286">
        <v>0</v>
      </c>
      <c r="P285" s="286">
        <v>0</v>
      </c>
      <c r="Q285" s="286">
        <v>0</v>
      </c>
      <c r="R285" s="286">
        <v>0</v>
      </c>
      <c r="S285" s="286">
        <v>0</v>
      </c>
      <c r="T285" s="286">
        <v>0</v>
      </c>
      <c r="U285" s="286">
        <v>0</v>
      </c>
      <c r="V285" s="286">
        <v>0</v>
      </c>
      <c r="W285" s="286">
        <v>0</v>
      </c>
      <c r="X285" s="286">
        <v>0</v>
      </c>
      <c r="Y285" s="286">
        <v>0</v>
      </c>
      <c r="Z285" s="286">
        <v>0</v>
      </c>
      <c r="AA285" s="286">
        <v>0</v>
      </c>
      <c r="AB285" s="286">
        <v>0</v>
      </c>
      <c r="AC285" s="286">
        <v>0</v>
      </c>
      <c r="AD285" s="286">
        <v>0</v>
      </c>
      <c r="AE285" s="286">
        <v>0</v>
      </c>
      <c r="AF285" s="286">
        <v>0</v>
      </c>
      <c r="AG285" s="286">
        <v>0</v>
      </c>
      <c r="AH285" s="286">
        <v>0</v>
      </c>
      <c r="AI285" s="286">
        <v>0</v>
      </c>
      <c r="AJ285" s="286">
        <v>0</v>
      </c>
      <c r="AK285" s="286">
        <v>0</v>
      </c>
      <c r="AL285" s="286">
        <v>0</v>
      </c>
      <c r="AM285" s="286">
        <v>0</v>
      </c>
      <c r="AN285" s="286">
        <v>0</v>
      </c>
      <c r="AO285" s="286">
        <v>0</v>
      </c>
      <c r="AP285" s="286">
        <v>0</v>
      </c>
      <c r="AQ285" s="286">
        <v>0</v>
      </c>
      <c r="AR285" s="286">
        <v>0</v>
      </c>
      <c r="AS285" s="286">
        <v>0</v>
      </c>
      <c r="AT285" s="286">
        <v>0</v>
      </c>
      <c r="AU285" s="286">
        <v>0</v>
      </c>
      <c r="AV285" s="286">
        <v>0</v>
      </c>
      <c r="AW285" s="286">
        <v>0</v>
      </c>
      <c r="AX285" s="286">
        <v>0</v>
      </c>
      <c r="AY285" s="286">
        <v>0</v>
      </c>
      <c r="AZ285" s="286">
        <v>0</v>
      </c>
      <c r="BA285" s="286">
        <v>0</v>
      </c>
      <c r="BB285" s="286">
        <v>0</v>
      </c>
      <c r="BC285" s="286">
        <v>0</v>
      </c>
      <c r="BD285" s="286">
        <v>0</v>
      </c>
      <c r="BE285" s="286">
        <v>0</v>
      </c>
      <c r="BF285" s="286">
        <v>0</v>
      </c>
      <c r="BG285" s="286">
        <v>0</v>
      </c>
      <c r="BH285" s="286">
        <v>0</v>
      </c>
      <c r="BI285" s="286">
        <v>0</v>
      </c>
      <c r="BJ285" s="286">
        <v>0</v>
      </c>
      <c r="BK285" s="286">
        <v>0</v>
      </c>
      <c r="BL285" s="286">
        <v>0</v>
      </c>
      <c r="BM285" s="286">
        <v>0</v>
      </c>
      <c r="BN285" s="286">
        <v>0</v>
      </c>
      <c r="BO285" s="286">
        <v>0</v>
      </c>
      <c r="BP285" s="286">
        <v>0</v>
      </c>
      <c r="BQ285" s="286">
        <v>0</v>
      </c>
      <c r="BR285" s="281">
        <v>0.65</v>
      </c>
    </row>
    <row r="286" spans="1:70" ht="14.25" customHeight="1" x14ac:dyDescent="0.35">
      <c r="A286" s="4" t="s">
        <v>458</v>
      </c>
      <c r="B286" s="384">
        <v>953.73898221343882</v>
      </c>
      <c r="C286" s="385"/>
      <c r="D286" s="41" t="s">
        <v>119</v>
      </c>
      <c r="E286" s="93">
        <f t="shared" si="1"/>
        <v>0</v>
      </c>
      <c r="F286" s="93">
        <v>2025</v>
      </c>
      <c r="G286" s="93">
        <v>2050</v>
      </c>
      <c r="I286" s="41" t="s">
        <v>119</v>
      </c>
      <c r="J286" s="281">
        <v>0.85</v>
      </c>
      <c r="K286" s="281">
        <v>0.85</v>
      </c>
      <c r="L286" s="281">
        <v>0.85</v>
      </c>
      <c r="M286" s="281">
        <v>0.85</v>
      </c>
      <c r="N286" s="281">
        <v>0.85</v>
      </c>
      <c r="O286" s="281">
        <v>0.85</v>
      </c>
      <c r="P286" s="281">
        <v>0.85</v>
      </c>
      <c r="Q286" s="281">
        <v>0.85</v>
      </c>
      <c r="R286" s="281">
        <v>0.85</v>
      </c>
      <c r="S286" s="281">
        <v>0.85</v>
      </c>
      <c r="T286" s="281">
        <v>0.85</v>
      </c>
      <c r="U286" s="281">
        <v>0.85</v>
      </c>
      <c r="V286" s="281">
        <v>0.85</v>
      </c>
      <c r="W286" s="281">
        <v>0.85</v>
      </c>
      <c r="X286" s="281">
        <v>0.85</v>
      </c>
      <c r="Y286" s="281">
        <v>0.85</v>
      </c>
      <c r="Z286" s="281">
        <v>0.85</v>
      </c>
      <c r="AA286" s="281">
        <v>0.85</v>
      </c>
      <c r="AB286" s="281">
        <v>0.85</v>
      </c>
      <c r="AC286" s="281">
        <v>0.85</v>
      </c>
      <c r="AD286" s="281">
        <v>0.85</v>
      </c>
      <c r="AE286" s="281">
        <v>0.85</v>
      </c>
      <c r="AF286" s="281">
        <v>0.85</v>
      </c>
      <c r="AG286" s="281">
        <v>0.85</v>
      </c>
      <c r="AH286" s="281">
        <v>0.65</v>
      </c>
      <c r="AI286" s="281">
        <v>0.65</v>
      </c>
      <c r="AJ286" s="281">
        <v>0.65</v>
      </c>
      <c r="AK286" s="281">
        <v>0.65</v>
      </c>
      <c r="AL286" s="281">
        <v>0.65</v>
      </c>
      <c r="AM286" s="281">
        <v>0.65</v>
      </c>
      <c r="AN286" s="281">
        <v>0.65</v>
      </c>
      <c r="AO286" s="281">
        <v>0.65</v>
      </c>
      <c r="AP286" s="281">
        <v>0.65</v>
      </c>
      <c r="AQ286" s="281">
        <v>0.65</v>
      </c>
      <c r="AR286" s="281">
        <v>0.65</v>
      </c>
      <c r="AS286" s="281">
        <v>0.65</v>
      </c>
      <c r="AT286" s="281">
        <v>0.5</v>
      </c>
      <c r="AU286" s="281">
        <v>0.5</v>
      </c>
      <c r="AV286" s="281">
        <v>0.5</v>
      </c>
      <c r="AW286" s="281">
        <v>0.5</v>
      </c>
      <c r="AX286" s="281">
        <v>0.5</v>
      </c>
      <c r="AY286" s="281">
        <v>0.5</v>
      </c>
      <c r="AZ286" s="281">
        <v>0.5</v>
      </c>
      <c r="BA286" s="281">
        <v>0.5</v>
      </c>
      <c r="BB286" s="281">
        <v>0.5</v>
      </c>
      <c r="BC286" s="281">
        <v>0.5</v>
      </c>
      <c r="BD286" s="281">
        <v>0.5</v>
      </c>
      <c r="BE286" s="281">
        <v>0.5</v>
      </c>
      <c r="BF286" s="281">
        <v>0.5</v>
      </c>
      <c r="BG286" s="281">
        <v>0.3</v>
      </c>
      <c r="BH286" s="281">
        <v>0.3</v>
      </c>
      <c r="BI286" s="281">
        <v>0.3</v>
      </c>
      <c r="BJ286" s="281">
        <v>0.3</v>
      </c>
      <c r="BK286" s="281">
        <v>0.3</v>
      </c>
      <c r="BL286" s="281">
        <v>0.3</v>
      </c>
      <c r="BM286" s="281">
        <v>0.3</v>
      </c>
      <c r="BN286" s="281">
        <v>0.3</v>
      </c>
      <c r="BO286" s="281">
        <v>0.3</v>
      </c>
      <c r="BP286" s="281">
        <v>0.3</v>
      </c>
      <c r="BQ286" s="281">
        <v>0.3</v>
      </c>
      <c r="BR286" s="286">
        <v>0</v>
      </c>
    </row>
    <row r="287" spans="1:70" ht="14.25" customHeight="1" x14ac:dyDescent="0.35">
      <c r="A287" s="4" t="s">
        <v>459</v>
      </c>
      <c r="B287" s="384">
        <v>953.73898221343882</v>
      </c>
      <c r="C287" s="385"/>
      <c r="D287" s="41" t="s">
        <v>120</v>
      </c>
      <c r="E287" s="93">
        <f t="shared" si="1"/>
        <v>0</v>
      </c>
      <c r="F287" s="93">
        <v>2025</v>
      </c>
      <c r="G287" s="93">
        <v>2050</v>
      </c>
      <c r="I287" s="41" t="s">
        <v>120</v>
      </c>
      <c r="J287" s="281">
        <v>0.85</v>
      </c>
      <c r="K287" s="281">
        <v>0.85</v>
      </c>
      <c r="L287" s="281">
        <v>0.85</v>
      </c>
      <c r="M287" s="281">
        <v>0.85</v>
      </c>
      <c r="N287" s="281">
        <v>0.85</v>
      </c>
      <c r="O287" s="281">
        <v>0.85</v>
      </c>
      <c r="P287" s="281">
        <v>0.85</v>
      </c>
      <c r="Q287" s="281">
        <v>0.85</v>
      </c>
      <c r="R287" s="281">
        <v>0.85</v>
      </c>
      <c r="S287" s="281">
        <v>0.85</v>
      </c>
      <c r="T287" s="281">
        <v>0.85</v>
      </c>
      <c r="U287" s="281">
        <v>0.85</v>
      </c>
      <c r="V287" s="281">
        <v>0.85</v>
      </c>
      <c r="W287" s="281">
        <v>0.85</v>
      </c>
      <c r="X287" s="281">
        <v>0.85</v>
      </c>
      <c r="Y287" s="281">
        <v>0.85</v>
      </c>
      <c r="Z287" s="281">
        <v>0.85</v>
      </c>
      <c r="AA287" s="281">
        <v>0.85</v>
      </c>
      <c r="AB287" s="281">
        <v>0.85</v>
      </c>
      <c r="AC287" s="281">
        <v>0.85</v>
      </c>
      <c r="AD287" s="281">
        <v>0.85</v>
      </c>
      <c r="AE287" s="281">
        <v>0.85</v>
      </c>
      <c r="AF287" s="281">
        <v>0.85</v>
      </c>
      <c r="AG287" s="281">
        <v>0.85</v>
      </c>
      <c r="AH287" s="281">
        <v>0.65</v>
      </c>
      <c r="AI287" s="281">
        <v>0.65</v>
      </c>
      <c r="AJ287" s="281">
        <v>0.65</v>
      </c>
      <c r="AK287" s="281">
        <v>0.65</v>
      </c>
      <c r="AL287" s="281">
        <v>0.65</v>
      </c>
      <c r="AM287" s="281">
        <v>0.65</v>
      </c>
      <c r="AN287" s="281">
        <v>0.65</v>
      </c>
      <c r="AO287" s="281">
        <v>0.65</v>
      </c>
      <c r="AP287" s="281">
        <v>0.65</v>
      </c>
      <c r="AQ287" s="281">
        <v>0.65</v>
      </c>
      <c r="AR287" s="281">
        <v>0.65</v>
      </c>
      <c r="AS287" s="281">
        <v>0.65</v>
      </c>
      <c r="AT287" s="281">
        <v>0.5</v>
      </c>
      <c r="AU287" s="281">
        <v>0.5</v>
      </c>
      <c r="AV287" s="281">
        <v>0.5</v>
      </c>
      <c r="AW287" s="281">
        <v>0.5</v>
      </c>
      <c r="AX287" s="281">
        <v>0.5</v>
      </c>
      <c r="AY287" s="281">
        <v>0.5</v>
      </c>
      <c r="AZ287" s="281">
        <v>0.5</v>
      </c>
      <c r="BA287" s="281">
        <v>0.5</v>
      </c>
      <c r="BB287" s="281">
        <v>0.5</v>
      </c>
      <c r="BC287" s="281">
        <v>0.5</v>
      </c>
      <c r="BD287" s="281">
        <v>0.5</v>
      </c>
      <c r="BE287" s="281">
        <v>0.5</v>
      </c>
      <c r="BF287" s="281">
        <v>0.5</v>
      </c>
      <c r="BG287" s="281">
        <v>0.3</v>
      </c>
      <c r="BH287" s="281">
        <v>0.3</v>
      </c>
      <c r="BI287" s="281">
        <v>0.3</v>
      </c>
      <c r="BJ287" s="281">
        <v>0.3</v>
      </c>
      <c r="BK287" s="281">
        <v>0.3</v>
      </c>
      <c r="BL287" s="281">
        <v>0.3</v>
      </c>
      <c r="BM287" s="281">
        <v>0.3</v>
      </c>
      <c r="BN287" s="281">
        <v>0.3</v>
      </c>
      <c r="BO287" s="281">
        <v>0.3</v>
      </c>
      <c r="BP287" s="281">
        <v>0.3</v>
      </c>
      <c r="BQ287" s="281">
        <v>0.3</v>
      </c>
      <c r="BR287" s="286">
        <v>0</v>
      </c>
    </row>
    <row r="288" spans="1:70" ht="14.25" customHeight="1" x14ac:dyDescent="0.35">
      <c r="A288" s="4" t="s">
        <v>83</v>
      </c>
      <c r="B288" s="384">
        <v>953.73898221343882</v>
      </c>
      <c r="C288" s="385"/>
      <c r="D288" s="42" t="s">
        <v>83</v>
      </c>
      <c r="E288" s="93">
        <f t="shared" si="1"/>
        <v>0</v>
      </c>
      <c r="F288" s="93">
        <v>2025</v>
      </c>
      <c r="G288" s="93">
        <v>2050</v>
      </c>
      <c r="I288" s="42" t="s">
        <v>83</v>
      </c>
      <c r="J288" s="286">
        <v>0</v>
      </c>
      <c r="K288" s="286">
        <v>0</v>
      </c>
      <c r="L288" s="286">
        <v>0</v>
      </c>
      <c r="M288" s="286">
        <v>0</v>
      </c>
      <c r="N288" s="286">
        <v>0</v>
      </c>
      <c r="O288" s="286">
        <v>0</v>
      </c>
      <c r="P288" s="286">
        <v>0</v>
      </c>
      <c r="Q288" s="286">
        <v>0</v>
      </c>
      <c r="R288" s="286">
        <v>0</v>
      </c>
      <c r="S288" s="286">
        <v>0</v>
      </c>
      <c r="T288" s="286">
        <v>0</v>
      </c>
      <c r="U288" s="286">
        <v>0</v>
      </c>
      <c r="V288" s="286">
        <v>0</v>
      </c>
      <c r="W288" s="286">
        <v>0</v>
      </c>
      <c r="X288" s="286">
        <v>0</v>
      </c>
      <c r="Y288" s="286">
        <v>0</v>
      </c>
      <c r="Z288" s="286">
        <v>0</v>
      </c>
      <c r="AA288" s="286">
        <v>0</v>
      </c>
      <c r="AB288" s="286">
        <v>0</v>
      </c>
      <c r="AC288" s="286">
        <v>0</v>
      </c>
      <c r="AD288" s="286">
        <v>0</v>
      </c>
      <c r="AE288" s="286">
        <v>0</v>
      </c>
      <c r="AF288" s="286">
        <v>0</v>
      </c>
      <c r="AG288" s="286">
        <v>0</v>
      </c>
      <c r="AH288" s="286">
        <v>0</v>
      </c>
      <c r="AI288" s="286">
        <v>0</v>
      </c>
      <c r="AJ288" s="286">
        <v>0</v>
      </c>
      <c r="AK288" s="286">
        <v>0</v>
      </c>
      <c r="AL288" s="286">
        <v>0</v>
      </c>
      <c r="AM288" s="286">
        <v>0</v>
      </c>
      <c r="AN288" s="286">
        <v>0</v>
      </c>
      <c r="AO288" s="286">
        <v>0</v>
      </c>
      <c r="AP288" s="286">
        <v>0</v>
      </c>
      <c r="AQ288" s="286">
        <v>0</v>
      </c>
      <c r="AR288" s="286">
        <v>0</v>
      </c>
      <c r="AS288" s="286">
        <v>0</v>
      </c>
      <c r="AT288" s="286">
        <v>0</v>
      </c>
      <c r="AU288" s="286">
        <v>0</v>
      </c>
      <c r="AV288" s="286">
        <v>0</v>
      </c>
      <c r="AW288" s="286">
        <v>0</v>
      </c>
      <c r="AX288" s="286">
        <v>0</v>
      </c>
      <c r="AY288" s="286">
        <v>0</v>
      </c>
      <c r="AZ288" s="286">
        <v>0</v>
      </c>
      <c r="BA288" s="286">
        <v>0</v>
      </c>
      <c r="BB288" s="286">
        <v>0</v>
      </c>
      <c r="BC288" s="286">
        <v>0</v>
      </c>
      <c r="BD288" s="286">
        <v>0</v>
      </c>
      <c r="BE288" s="286">
        <v>0</v>
      </c>
      <c r="BF288" s="286">
        <v>0</v>
      </c>
      <c r="BG288" s="286">
        <v>0</v>
      </c>
      <c r="BH288" s="286">
        <v>0</v>
      </c>
      <c r="BI288" s="286">
        <v>0</v>
      </c>
      <c r="BJ288" s="286">
        <v>0</v>
      </c>
      <c r="BK288" s="286">
        <v>0</v>
      </c>
      <c r="BL288" s="286">
        <v>0</v>
      </c>
      <c r="BM288" s="286">
        <v>0</v>
      </c>
      <c r="BN288" s="286">
        <v>0</v>
      </c>
      <c r="BO288" s="286">
        <v>0</v>
      </c>
      <c r="BP288" s="286">
        <v>0</v>
      </c>
      <c r="BQ288" s="286">
        <v>0</v>
      </c>
      <c r="BR288" s="281">
        <v>0.65</v>
      </c>
    </row>
    <row r="289" spans="1:70" ht="14.25" customHeight="1" x14ac:dyDescent="0.35">
      <c r="A289" s="4" t="s">
        <v>758</v>
      </c>
      <c r="B289" s="384">
        <v>0</v>
      </c>
      <c r="C289" s="385"/>
      <c r="D289" s="42" t="s">
        <v>144</v>
      </c>
      <c r="E289" s="386">
        <v>0</v>
      </c>
      <c r="F289" s="386">
        <v>0</v>
      </c>
      <c r="G289" s="386">
        <v>0</v>
      </c>
      <c r="I289" s="42" t="s">
        <v>144</v>
      </c>
      <c r="J289" s="286">
        <v>0</v>
      </c>
      <c r="K289" s="286">
        <v>0</v>
      </c>
      <c r="L289" s="286">
        <v>0</v>
      </c>
      <c r="M289" s="286">
        <v>0</v>
      </c>
      <c r="N289" s="286">
        <v>0</v>
      </c>
      <c r="O289" s="286">
        <v>0</v>
      </c>
      <c r="P289" s="286">
        <v>0</v>
      </c>
      <c r="Q289" s="286">
        <v>0</v>
      </c>
      <c r="R289" s="286">
        <v>0</v>
      </c>
      <c r="S289" s="286">
        <v>0</v>
      </c>
      <c r="T289" s="286">
        <v>0</v>
      </c>
      <c r="U289" s="286">
        <v>0</v>
      </c>
      <c r="V289" s="286">
        <v>0</v>
      </c>
      <c r="W289" s="286">
        <v>0</v>
      </c>
      <c r="X289" s="286">
        <v>0</v>
      </c>
      <c r="Y289" s="286">
        <v>0</v>
      </c>
      <c r="Z289" s="286">
        <v>0</v>
      </c>
      <c r="AA289" s="286">
        <v>0</v>
      </c>
      <c r="AB289" s="286">
        <v>0</v>
      </c>
      <c r="AC289" s="286">
        <v>0</v>
      </c>
      <c r="AD289" s="286">
        <v>0</v>
      </c>
      <c r="AE289" s="286">
        <v>0</v>
      </c>
      <c r="AF289" s="286">
        <v>0</v>
      </c>
      <c r="AG289" s="286">
        <v>0</v>
      </c>
      <c r="AH289" s="286">
        <v>0</v>
      </c>
      <c r="AI289" s="286">
        <v>0</v>
      </c>
      <c r="AJ289" s="286">
        <v>0</v>
      </c>
      <c r="AK289" s="286">
        <v>0</v>
      </c>
      <c r="AL289" s="286">
        <v>0</v>
      </c>
      <c r="AM289" s="286">
        <v>0</v>
      </c>
      <c r="AN289" s="286">
        <v>0</v>
      </c>
      <c r="AO289" s="286">
        <v>0</v>
      </c>
      <c r="AP289" s="286">
        <v>0</v>
      </c>
      <c r="AQ289" s="286">
        <v>0</v>
      </c>
      <c r="AR289" s="286">
        <v>0</v>
      </c>
      <c r="AS289" s="286">
        <v>0</v>
      </c>
      <c r="AT289" s="286">
        <v>0</v>
      </c>
      <c r="AU289" s="286">
        <v>0</v>
      </c>
      <c r="AV289" s="286">
        <v>0</v>
      </c>
      <c r="AW289" s="286">
        <v>0</v>
      </c>
      <c r="AX289" s="286">
        <v>0</v>
      </c>
      <c r="AY289" s="286">
        <v>0</v>
      </c>
      <c r="AZ289" s="286">
        <v>0</v>
      </c>
      <c r="BA289" s="286">
        <v>0</v>
      </c>
      <c r="BB289" s="286">
        <v>0</v>
      </c>
      <c r="BC289" s="286">
        <v>0</v>
      </c>
      <c r="BD289" s="286">
        <v>0</v>
      </c>
      <c r="BE289" s="286">
        <v>0</v>
      </c>
      <c r="BF289" s="286">
        <v>0</v>
      </c>
      <c r="BG289" s="286">
        <v>0</v>
      </c>
      <c r="BH289" s="286">
        <v>0</v>
      </c>
      <c r="BI289" s="286">
        <v>0</v>
      </c>
      <c r="BJ289" s="286">
        <v>0</v>
      </c>
      <c r="BK289" s="286">
        <v>0</v>
      </c>
      <c r="BL289" s="286">
        <v>0</v>
      </c>
      <c r="BM289" s="286">
        <v>0</v>
      </c>
      <c r="BN289" s="286">
        <v>0</v>
      </c>
      <c r="BO289" s="286">
        <v>0</v>
      </c>
      <c r="BP289" s="286">
        <v>0</v>
      </c>
      <c r="BQ289" s="286">
        <v>0</v>
      </c>
      <c r="BR289" s="286">
        <v>0</v>
      </c>
    </row>
    <row r="290" spans="1:70" ht="14.25" customHeight="1" x14ac:dyDescent="0.35">
      <c r="A290" s="4" t="s">
        <v>164</v>
      </c>
      <c r="B290" s="384">
        <v>0</v>
      </c>
      <c r="C290" s="385"/>
      <c r="D290" s="42" t="s">
        <v>164</v>
      </c>
      <c r="E290" s="386">
        <v>0</v>
      </c>
      <c r="F290" s="386">
        <v>0</v>
      </c>
      <c r="G290" s="386">
        <v>0</v>
      </c>
      <c r="I290" s="42" t="s">
        <v>164</v>
      </c>
      <c r="J290" s="286">
        <v>0</v>
      </c>
      <c r="K290" s="286">
        <v>0</v>
      </c>
      <c r="L290" s="286">
        <v>0</v>
      </c>
      <c r="M290" s="286">
        <v>0</v>
      </c>
      <c r="N290" s="286">
        <v>0</v>
      </c>
      <c r="O290" s="286">
        <v>0</v>
      </c>
      <c r="P290" s="286">
        <v>0</v>
      </c>
      <c r="Q290" s="286">
        <v>0</v>
      </c>
      <c r="R290" s="286">
        <v>0</v>
      </c>
      <c r="S290" s="286">
        <v>0</v>
      </c>
      <c r="T290" s="286">
        <v>0</v>
      </c>
      <c r="U290" s="286">
        <v>0</v>
      </c>
      <c r="V290" s="286">
        <v>0</v>
      </c>
      <c r="W290" s="286">
        <v>0</v>
      </c>
      <c r="X290" s="286">
        <v>0</v>
      </c>
      <c r="Y290" s="286">
        <v>0</v>
      </c>
      <c r="Z290" s="286">
        <v>0</v>
      </c>
      <c r="AA290" s="286">
        <v>0</v>
      </c>
      <c r="AB290" s="286">
        <v>0</v>
      </c>
      <c r="AC290" s="286">
        <v>0</v>
      </c>
      <c r="AD290" s="286">
        <v>0</v>
      </c>
      <c r="AE290" s="286">
        <v>0</v>
      </c>
      <c r="AF290" s="286">
        <v>0</v>
      </c>
      <c r="AG290" s="286">
        <v>0</v>
      </c>
      <c r="AH290" s="286">
        <v>0</v>
      </c>
      <c r="AI290" s="286">
        <v>0</v>
      </c>
      <c r="AJ290" s="286">
        <v>0</v>
      </c>
      <c r="AK290" s="286">
        <v>0</v>
      </c>
      <c r="AL290" s="286">
        <v>0</v>
      </c>
      <c r="AM290" s="286">
        <v>0</v>
      </c>
      <c r="AN290" s="286">
        <v>0</v>
      </c>
      <c r="AO290" s="286">
        <v>0</v>
      </c>
      <c r="AP290" s="286">
        <v>0</v>
      </c>
      <c r="AQ290" s="286">
        <v>0</v>
      </c>
      <c r="AR290" s="286">
        <v>0</v>
      </c>
      <c r="AS290" s="286">
        <v>0</v>
      </c>
      <c r="AT290" s="286">
        <v>0</v>
      </c>
      <c r="AU290" s="286">
        <v>0</v>
      </c>
      <c r="AV290" s="286">
        <v>0</v>
      </c>
      <c r="AW290" s="286">
        <v>0</v>
      </c>
      <c r="AX290" s="286">
        <v>0</v>
      </c>
      <c r="AY290" s="286">
        <v>0</v>
      </c>
      <c r="AZ290" s="286">
        <v>0</v>
      </c>
      <c r="BA290" s="286">
        <v>0</v>
      </c>
      <c r="BB290" s="286">
        <v>0</v>
      </c>
      <c r="BC290" s="286">
        <v>0</v>
      </c>
      <c r="BD290" s="286">
        <v>0</v>
      </c>
      <c r="BE290" s="286">
        <v>0</v>
      </c>
      <c r="BF290" s="286">
        <v>0</v>
      </c>
      <c r="BG290" s="286">
        <v>0</v>
      </c>
      <c r="BH290" s="286">
        <v>0</v>
      </c>
      <c r="BI290" s="286">
        <v>0</v>
      </c>
      <c r="BJ290" s="286">
        <v>0</v>
      </c>
      <c r="BK290" s="286">
        <v>0</v>
      </c>
      <c r="BL290" s="286">
        <v>0</v>
      </c>
      <c r="BM290" s="286">
        <v>0</v>
      </c>
      <c r="BN290" s="286">
        <v>0</v>
      </c>
      <c r="BO290" s="286">
        <v>0</v>
      </c>
      <c r="BP290" s="286">
        <v>0</v>
      </c>
      <c r="BQ290" s="286">
        <v>0</v>
      </c>
      <c r="BR290" s="286">
        <v>0</v>
      </c>
    </row>
    <row r="291" spans="1:70" ht="14.25" customHeight="1" x14ac:dyDescent="0.35">
      <c r="A291" s="4" t="s">
        <v>759</v>
      </c>
      <c r="B291" s="384">
        <v>0</v>
      </c>
      <c r="C291" s="385"/>
      <c r="D291" s="42" t="s">
        <v>145</v>
      </c>
      <c r="E291" s="386">
        <v>0</v>
      </c>
      <c r="F291" s="386">
        <v>0</v>
      </c>
      <c r="G291" s="386">
        <v>0</v>
      </c>
      <c r="I291" s="42" t="s">
        <v>145</v>
      </c>
      <c r="J291" s="286">
        <v>0</v>
      </c>
      <c r="K291" s="286">
        <v>0</v>
      </c>
      <c r="L291" s="286">
        <v>0</v>
      </c>
      <c r="M291" s="286">
        <v>0</v>
      </c>
      <c r="N291" s="286">
        <v>0</v>
      </c>
      <c r="O291" s="286">
        <v>0</v>
      </c>
      <c r="P291" s="286">
        <v>0</v>
      </c>
      <c r="Q291" s="286">
        <v>0</v>
      </c>
      <c r="R291" s="286">
        <v>0</v>
      </c>
      <c r="S291" s="286">
        <v>0</v>
      </c>
      <c r="T291" s="286">
        <v>0</v>
      </c>
      <c r="U291" s="286">
        <v>0</v>
      </c>
      <c r="V291" s="286">
        <v>0</v>
      </c>
      <c r="W291" s="286">
        <v>0</v>
      </c>
      <c r="X291" s="286">
        <v>0</v>
      </c>
      <c r="Y291" s="286">
        <v>0</v>
      </c>
      <c r="Z291" s="286">
        <v>0</v>
      </c>
      <c r="AA291" s="286">
        <v>0</v>
      </c>
      <c r="AB291" s="286">
        <v>0</v>
      </c>
      <c r="AC291" s="286">
        <v>0</v>
      </c>
      <c r="AD291" s="286">
        <v>0</v>
      </c>
      <c r="AE291" s="286">
        <v>0</v>
      </c>
      <c r="AF291" s="286">
        <v>0</v>
      </c>
      <c r="AG291" s="286">
        <v>0</v>
      </c>
      <c r="AH291" s="286">
        <v>0</v>
      </c>
      <c r="AI291" s="286">
        <v>0</v>
      </c>
      <c r="AJ291" s="286">
        <v>0</v>
      </c>
      <c r="AK291" s="286">
        <v>0</v>
      </c>
      <c r="AL291" s="286">
        <v>0</v>
      </c>
      <c r="AM291" s="286">
        <v>0</v>
      </c>
      <c r="AN291" s="286">
        <v>0</v>
      </c>
      <c r="AO291" s="286">
        <v>0</v>
      </c>
      <c r="AP291" s="286">
        <v>0</v>
      </c>
      <c r="AQ291" s="286">
        <v>0</v>
      </c>
      <c r="AR291" s="286">
        <v>0</v>
      </c>
      <c r="AS291" s="286">
        <v>0</v>
      </c>
      <c r="AT291" s="286">
        <v>0</v>
      </c>
      <c r="AU291" s="286">
        <v>0</v>
      </c>
      <c r="AV291" s="286">
        <v>0</v>
      </c>
      <c r="AW291" s="286">
        <v>0</v>
      </c>
      <c r="AX291" s="286">
        <v>0</v>
      </c>
      <c r="AY291" s="286">
        <v>0</v>
      </c>
      <c r="AZ291" s="286">
        <v>0</v>
      </c>
      <c r="BA291" s="286">
        <v>0</v>
      </c>
      <c r="BB291" s="286">
        <v>0</v>
      </c>
      <c r="BC291" s="286">
        <v>0</v>
      </c>
      <c r="BD291" s="286">
        <v>0</v>
      </c>
      <c r="BE291" s="286">
        <v>0</v>
      </c>
      <c r="BF291" s="286">
        <v>0</v>
      </c>
      <c r="BG291" s="286">
        <v>0</v>
      </c>
      <c r="BH291" s="286">
        <v>0</v>
      </c>
      <c r="BI291" s="286">
        <v>0</v>
      </c>
      <c r="BJ291" s="286">
        <v>0</v>
      </c>
      <c r="BK291" s="286">
        <v>0</v>
      </c>
      <c r="BL291" s="286">
        <v>0</v>
      </c>
      <c r="BM291" s="286">
        <v>0</v>
      </c>
      <c r="BN291" s="286">
        <v>0</v>
      </c>
      <c r="BO291" s="286">
        <v>0</v>
      </c>
      <c r="BP291" s="286">
        <v>0</v>
      </c>
      <c r="BQ291" s="286">
        <v>0</v>
      </c>
      <c r="BR291" s="286">
        <v>0</v>
      </c>
    </row>
    <row r="292" spans="1:70" ht="14.25" customHeight="1" x14ac:dyDescent="0.35">
      <c r="A292" s="4" t="s">
        <v>87</v>
      </c>
      <c r="B292" s="384">
        <v>0</v>
      </c>
      <c r="C292" s="385"/>
      <c r="D292" s="42" t="s">
        <v>87</v>
      </c>
      <c r="E292" s="386">
        <v>0</v>
      </c>
      <c r="F292" s="386">
        <v>0</v>
      </c>
      <c r="G292" s="386">
        <v>0</v>
      </c>
      <c r="I292" s="42" t="s">
        <v>87</v>
      </c>
      <c r="J292" s="286">
        <v>0</v>
      </c>
      <c r="K292" s="286">
        <v>0</v>
      </c>
      <c r="L292" s="286">
        <v>0</v>
      </c>
      <c r="M292" s="286">
        <v>0</v>
      </c>
      <c r="N292" s="286">
        <v>0</v>
      </c>
      <c r="O292" s="286">
        <v>0</v>
      </c>
      <c r="P292" s="286">
        <v>0</v>
      </c>
      <c r="Q292" s="286">
        <v>0</v>
      </c>
      <c r="R292" s="286">
        <v>0</v>
      </c>
      <c r="S292" s="286">
        <v>0</v>
      </c>
      <c r="T292" s="286">
        <v>0</v>
      </c>
      <c r="U292" s="286">
        <v>0</v>
      </c>
      <c r="V292" s="286">
        <v>0</v>
      </c>
      <c r="W292" s="286">
        <v>0</v>
      </c>
      <c r="X292" s="286">
        <v>0</v>
      </c>
      <c r="Y292" s="286">
        <v>0</v>
      </c>
      <c r="Z292" s="286">
        <v>0</v>
      </c>
      <c r="AA292" s="286">
        <v>0</v>
      </c>
      <c r="AB292" s="286">
        <v>0</v>
      </c>
      <c r="AC292" s="286">
        <v>0</v>
      </c>
      <c r="AD292" s="286">
        <v>0</v>
      </c>
      <c r="AE292" s="286">
        <v>0</v>
      </c>
      <c r="AF292" s="286">
        <v>0</v>
      </c>
      <c r="AG292" s="286">
        <v>0</v>
      </c>
      <c r="AH292" s="286">
        <v>0</v>
      </c>
      <c r="AI292" s="286">
        <v>0</v>
      </c>
      <c r="AJ292" s="286">
        <v>0</v>
      </c>
      <c r="AK292" s="286">
        <v>0</v>
      </c>
      <c r="AL292" s="286">
        <v>0</v>
      </c>
      <c r="AM292" s="286">
        <v>0</v>
      </c>
      <c r="AN292" s="286">
        <v>0</v>
      </c>
      <c r="AO292" s="286">
        <v>0</v>
      </c>
      <c r="AP292" s="286">
        <v>0</v>
      </c>
      <c r="AQ292" s="286">
        <v>0</v>
      </c>
      <c r="AR292" s="286">
        <v>0</v>
      </c>
      <c r="AS292" s="286">
        <v>0</v>
      </c>
      <c r="AT292" s="286">
        <v>0</v>
      </c>
      <c r="AU292" s="286">
        <v>0</v>
      </c>
      <c r="AV292" s="286">
        <v>0</v>
      </c>
      <c r="AW292" s="286">
        <v>0</v>
      </c>
      <c r="AX292" s="286">
        <v>0</v>
      </c>
      <c r="AY292" s="286">
        <v>0</v>
      </c>
      <c r="AZ292" s="286">
        <v>0</v>
      </c>
      <c r="BA292" s="286">
        <v>0</v>
      </c>
      <c r="BB292" s="286">
        <v>0</v>
      </c>
      <c r="BC292" s="286">
        <v>0</v>
      </c>
      <c r="BD292" s="286">
        <v>0</v>
      </c>
      <c r="BE292" s="286">
        <v>0</v>
      </c>
      <c r="BF292" s="286">
        <v>0</v>
      </c>
      <c r="BG292" s="286">
        <v>0</v>
      </c>
      <c r="BH292" s="286">
        <v>0</v>
      </c>
      <c r="BI292" s="286">
        <v>0</v>
      </c>
      <c r="BJ292" s="286">
        <v>0</v>
      </c>
      <c r="BK292" s="286">
        <v>0</v>
      </c>
      <c r="BL292" s="286">
        <v>0</v>
      </c>
      <c r="BM292" s="286">
        <v>0</v>
      </c>
      <c r="BN292" s="286">
        <v>0</v>
      </c>
      <c r="BO292" s="286">
        <v>0</v>
      </c>
      <c r="BP292" s="286">
        <v>0</v>
      </c>
      <c r="BQ292" s="286">
        <v>0</v>
      </c>
      <c r="BR292" s="286">
        <v>0</v>
      </c>
    </row>
    <row r="293" spans="1:70" ht="14.25" customHeight="1" x14ac:dyDescent="0.35">
      <c r="A293" s="4" t="s">
        <v>760</v>
      </c>
      <c r="B293" s="384">
        <v>0</v>
      </c>
      <c r="C293" s="385"/>
      <c r="D293" s="42" t="s">
        <v>146</v>
      </c>
      <c r="E293" s="386">
        <v>0</v>
      </c>
      <c r="F293" s="386">
        <v>0</v>
      </c>
      <c r="G293" s="386">
        <v>0</v>
      </c>
      <c r="I293" s="42" t="s">
        <v>146</v>
      </c>
      <c r="J293" s="286">
        <v>0</v>
      </c>
      <c r="K293" s="286">
        <v>0</v>
      </c>
      <c r="L293" s="286">
        <v>0</v>
      </c>
      <c r="M293" s="286">
        <v>0</v>
      </c>
      <c r="N293" s="286">
        <v>0</v>
      </c>
      <c r="O293" s="286">
        <v>0</v>
      </c>
      <c r="P293" s="286">
        <v>0</v>
      </c>
      <c r="Q293" s="286">
        <v>0</v>
      </c>
      <c r="R293" s="286">
        <v>0</v>
      </c>
      <c r="S293" s="286">
        <v>0</v>
      </c>
      <c r="T293" s="286">
        <v>0</v>
      </c>
      <c r="U293" s="286">
        <v>0</v>
      </c>
      <c r="V293" s="286">
        <v>0</v>
      </c>
      <c r="W293" s="286">
        <v>0</v>
      </c>
      <c r="X293" s="286">
        <v>0</v>
      </c>
      <c r="Y293" s="286">
        <v>0</v>
      </c>
      <c r="Z293" s="286">
        <v>0</v>
      </c>
      <c r="AA293" s="286">
        <v>0</v>
      </c>
      <c r="AB293" s="286">
        <v>0</v>
      </c>
      <c r="AC293" s="286">
        <v>0</v>
      </c>
      <c r="AD293" s="286">
        <v>0</v>
      </c>
      <c r="AE293" s="286">
        <v>0</v>
      </c>
      <c r="AF293" s="286">
        <v>0</v>
      </c>
      <c r="AG293" s="286">
        <v>0</v>
      </c>
      <c r="AH293" s="286">
        <v>0</v>
      </c>
      <c r="AI293" s="286">
        <v>0</v>
      </c>
      <c r="AJ293" s="286">
        <v>0</v>
      </c>
      <c r="AK293" s="286">
        <v>0</v>
      </c>
      <c r="AL293" s="286">
        <v>0</v>
      </c>
      <c r="AM293" s="286">
        <v>0</v>
      </c>
      <c r="AN293" s="286">
        <v>0</v>
      </c>
      <c r="AO293" s="286">
        <v>0</v>
      </c>
      <c r="AP293" s="286">
        <v>0</v>
      </c>
      <c r="AQ293" s="286">
        <v>0</v>
      </c>
      <c r="AR293" s="286">
        <v>0</v>
      </c>
      <c r="AS293" s="286">
        <v>0</v>
      </c>
      <c r="AT293" s="286">
        <v>0</v>
      </c>
      <c r="AU293" s="286">
        <v>0</v>
      </c>
      <c r="AV293" s="286">
        <v>0</v>
      </c>
      <c r="AW293" s="286">
        <v>0</v>
      </c>
      <c r="AX293" s="286">
        <v>0</v>
      </c>
      <c r="AY293" s="286">
        <v>0</v>
      </c>
      <c r="AZ293" s="286">
        <v>0</v>
      </c>
      <c r="BA293" s="286">
        <v>0</v>
      </c>
      <c r="BB293" s="286">
        <v>0</v>
      </c>
      <c r="BC293" s="286">
        <v>0</v>
      </c>
      <c r="BD293" s="286">
        <v>0</v>
      </c>
      <c r="BE293" s="286">
        <v>0</v>
      </c>
      <c r="BF293" s="286">
        <v>0</v>
      </c>
      <c r="BG293" s="286">
        <v>0</v>
      </c>
      <c r="BH293" s="286">
        <v>0</v>
      </c>
      <c r="BI293" s="286">
        <v>0</v>
      </c>
      <c r="BJ293" s="286">
        <v>0</v>
      </c>
      <c r="BK293" s="286">
        <v>0</v>
      </c>
      <c r="BL293" s="286">
        <v>0</v>
      </c>
      <c r="BM293" s="286">
        <v>0</v>
      </c>
      <c r="BN293" s="286">
        <v>0</v>
      </c>
      <c r="BO293" s="286">
        <v>0</v>
      </c>
      <c r="BP293" s="286">
        <v>0</v>
      </c>
      <c r="BQ293" s="286">
        <v>0</v>
      </c>
      <c r="BR293" s="286">
        <v>0</v>
      </c>
    </row>
    <row r="294" spans="1:70" ht="14.25" customHeight="1" x14ac:dyDescent="0.35">
      <c r="A294" s="4" t="s">
        <v>89</v>
      </c>
      <c r="B294" s="384">
        <v>0</v>
      </c>
      <c r="C294" s="385"/>
      <c r="D294" s="42" t="s">
        <v>89</v>
      </c>
      <c r="E294" s="386">
        <v>0</v>
      </c>
      <c r="F294" s="386">
        <v>0</v>
      </c>
      <c r="G294" s="386">
        <v>0</v>
      </c>
      <c r="I294" s="42" t="s">
        <v>89</v>
      </c>
      <c r="J294" s="286">
        <v>0</v>
      </c>
      <c r="K294" s="286">
        <v>0</v>
      </c>
      <c r="L294" s="286">
        <v>0</v>
      </c>
      <c r="M294" s="286">
        <v>0</v>
      </c>
      <c r="N294" s="286">
        <v>0</v>
      </c>
      <c r="O294" s="286">
        <v>0</v>
      </c>
      <c r="P294" s="286">
        <v>0</v>
      </c>
      <c r="Q294" s="286">
        <v>0</v>
      </c>
      <c r="R294" s="286">
        <v>0</v>
      </c>
      <c r="S294" s="286">
        <v>0</v>
      </c>
      <c r="T294" s="286">
        <v>0</v>
      </c>
      <c r="U294" s="286">
        <v>0</v>
      </c>
      <c r="V294" s="286">
        <v>0</v>
      </c>
      <c r="W294" s="286">
        <v>0</v>
      </c>
      <c r="X294" s="286">
        <v>0</v>
      </c>
      <c r="Y294" s="286">
        <v>0</v>
      </c>
      <c r="Z294" s="286">
        <v>0</v>
      </c>
      <c r="AA294" s="286">
        <v>0</v>
      </c>
      <c r="AB294" s="286">
        <v>0</v>
      </c>
      <c r="AC294" s="286">
        <v>0</v>
      </c>
      <c r="AD294" s="286">
        <v>0</v>
      </c>
      <c r="AE294" s="286">
        <v>0</v>
      </c>
      <c r="AF294" s="286">
        <v>0</v>
      </c>
      <c r="AG294" s="286">
        <v>0</v>
      </c>
      <c r="AH294" s="286">
        <v>0</v>
      </c>
      <c r="AI294" s="286">
        <v>0</v>
      </c>
      <c r="AJ294" s="286">
        <v>0</v>
      </c>
      <c r="AK294" s="286">
        <v>0</v>
      </c>
      <c r="AL294" s="286">
        <v>0</v>
      </c>
      <c r="AM294" s="286">
        <v>0</v>
      </c>
      <c r="AN294" s="286">
        <v>0</v>
      </c>
      <c r="AO294" s="286">
        <v>0</v>
      </c>
      <c r="AP294" s="286">
        <v>0</v>
      </c>
      <c r="AQ294" s="286">
        <v>0</v>
      </c>
      <c r="AR294" s="286">
        <v>0</v>
      </c>
      <c r="AS294" s="286">
        <v>0</v>
      </c>
      <c r="AT294" s="286">
        <v>0</v>
      </c>
      <c r="AU294" s="286">
        <v>0</v>
      </c>
      <c r="AV294" s="286">
        <v>0</v>
      </c>
      <c r="AW294" s="286">
        <v>0</v>
      </c>
      <c r="AX294" s="286">
        <v>0</v>
      </c>
      <c r="AY294" s="286">
        <v>0</v>
      </c>
      <c r="AZ294" s="286">
        <v>0</v>
      </c>
      <c r="BA294" s="286">
        <v>0</v>
      </c>
      <c r="BB294" s="286">
        <v>0</v>
      </c>
      <c r="BC294" s="286">
        <v>0</v>
      </c>
      <c r="BD294" s="286">
        <v>0</v>
      </c>
      <c r="BE294" s="286">
        <v>0</v>
      </c>
      <c r="BF294" s="286">
        <v>0</v>
      </c>
      <c r="BG294" s="286">
        <v>0</v>
      </c>
      <c r="BH294" s="286">
        <v>0</v>
      </c>
      <c r="BI294" s="286">
        <v>0</v>
      </c>
      <c r="BJ294" s="286">
        <v>0</v>
      </c>
      <c r="BK294" s="286">
        <v>0</v>
      </c>
      <c r="BL294" s="286">
        <v>0</v>
      </c>
      <c r="BM294" s="286">
        <v>0</v>
      </c>
      <c r="BN294" s="286">
        <v>0</v>
      </c>
      <c r="BO294" s="286">
        <v>0</v>
      </c>
      <c r="BP294" s="286">
        <v>0</v>
      </c>
      <c r="BQ294" s="286">
        <v>0</v>
      </c>
      <c r="BR294" s="286">
        <v>0</v>
      </c>
    </row>
    <row r="295" spans="1:70" ht="14.25" customHeight="1" x14ac:dyDescent="0.35">
      <c r="A295" s="4" t="s">
        <v>90</v>
      </c>
      <c r="B295" s="384">
        <v>0</v>
      </c>
      <c r="C295" s="385"/>
      <c r="D295" s="42" t="s">
        <v>90</v>
      </c>
      <c r="E295" s="386">
        <v>0</v>
      </c>
      <c r="F295" s="386">
        <v>0</v>
      </c>
      <c r="G295" s="386">
        <v>0</v>
      </c>
      <c r="I295" s="42" t="s">
        <v>90</v>
      </c>
      <c r="J295" s="286">
        <v>0</v>
      </c>
      <c r="K295" s="286">
        <v>0</v>
      </c>
      <c r="L295" s="286">
        <v>0</v>
      </c>
      <c r="M295" s="286">
        <v>0</v>
      </c>
      <c r="N295" s="286">
        <v>0</v>
      </c>
      <c r="O295" s="286">
        <v>0</v>
      </c>
      <c r="P295" s="286">
        <v>0</v>
      </c>
      <c r="Q295" s="286">
        <v>0</v>
      </c>
      <c r="R295" s="286">
        <v>0</v>
      </c>
      <c r="S295" s="286">
        <v>0</v>
      </c>
      <c r="T295" s="286">
        <v>0</v>
      </c>
      <c r="U295" s="286">
        <v>0</v>
      </c>
      <c r="V295" s="286">
        <v>0</v>
      </c>
      <c r="W295" s="286">
        <v>0</v>
      </c>
      <c r="X295" s="286">
        <v>0</v>
      </c>
      <c r="Y295" s="286">
        <v>0</v>
      </c>
      <c r="Z295" s="286">
        <v>0</v>
      </c>
      <c r="AA295" s="286">
        <v>0</v>
      </c>
      <c r="AB295" s="286">
        <v>0</v>
      </c>
      <c r="AC295" s="286">
        <v>0</v>
      </c>
      <c r="AD295" s="286">
        <v>0</v>
      </c>
      <c r="AE295" s="286">
        <v>0</v>
      </c>
      <c r="AF295" s="286">
        <v>0</v>
      </c>
      <c r="AG295" s="286">
        <v>0</v>
      </c>
      <c r="AH295" s="286">
        <v>0</v>
      </c>
      <c r="AI295" s="286">
        <v>0</v>
      </c>
      <c r="AJ295" s="286">
        <v>0</v>
      </c>
      <c r="AK295" s="286">
        <v>0</v>
      </c>
      <c r="AL295" s="286">
        <v>0</v>
      </c>
      <c r="AM295" s="286">
        <v>0</v>
      </c>
      <c r="AN295" s="286">
        <v>0</v>
      </c>
      <c r="AO295" s="286">
        <v>0</v>
      </c>
      <c r="AP295" s="286">
        <v>0</v>
      </c>
      <c r="AQ295" s="286">
        <v>0</v>
      </c>
      <c r="AR295" s="286">
        <v>0</v>
      </c>
      <c r="AS295" s="286">
        <v>0</v>
      </c>
      <c r="AT295" s="286">
        <v>0</v>
      </c>
      <c r="AU295" s="286">
        <v>0</v>
      </c>
      <c r="AV295" s="286">
        <v>0</v>
      </c>
      <c r="AW295" s="286">
        <v>0</v>
      </c>
      <c r="AX295" s="286">
        <v>0</v>
      </c>
      <c r="AY295" s="286">
        <v>0</v>
      </c>
      <c r="AZ295" s="286">
        <v>0</v>
      </c>
      <c r="BA295" s="286">
        <v>0</v>
      </c>
      <c r="BB295" s="286">
        <v>0</v>
      </c>
      <c r="BC295" s="286">
        <v>0</v>
      </c>
      <c r="BD295" s="286">
        <v>0</v>
      </c>
      <c r="BE295" s="286">
        <v>0</v>
      </c>
      <c r="BF295" s="286">
        <v>0</v>
      </c>
      <c r="BG295" s="286">
        <v>0</v>
      </c>
      <c r="BH295" s="286">
        <v>0</v>
      </c>
      <c r="BI295" s="286">
        <v>0</v>
      </c>
      <c r="BJ295" s="286">
        <v>0</v>
      </c>
      <c r="BK295" s="286">
        <v>0</v>
      </c>
      <c r="BL295" s="286">
        <v>0</v>
      </c>
      <c r="BM295" s="286">
        <v>0</v>
      </c>
      <c r="BN295" s="286">
        <v>0</v>
      </c>
      <c r="BO295" s="286">
        <v>0</v>
      </c>
      <c r="BP295" s="286">
        <v>0</v>
      </c>
      <c r="BQ295" s="286">
        <v>0</v>
      </c>
      <c r="BR295" s="286">
        <v>0</v>
      </c>
    </row>
    <row r="297" spans="1:70" ht="14.25" customHeight="1" x14ac:dyDescent="0.35">
      <c r="A297" s="383" t="s">
        <v>1744</v>
      </c>
      <c r="D297" s="25" t="s">
        <v>1770</v>
      </c>
      <c r="E297" s="25" t="s">
        <v>1771</v>
      </c>
      <c r="I297" s="94" t="s">
        <v>1772</v>
      </c>
    </row>
    <row r="298" spans="1:70" ht="14.25" customHeight="1" x14ac:dyDescent="0.35">
      <c r="A298" s="39" t="s">
        <v>1748</v>
      </c>
      <c r="B298" s="4"/>
      <c r="D298" s="39" t="s">
        <v>1232</v>
      </c>
      <c r="E298" s="279" t="s">
        <v>1773</v>
      </c>
      <c r="F298" s="279" t="s">
        <v>1774</v>
      </c>
      <c r="G298" s="279" t="s">
        <v>1775</v>
      </c>
      <c r="I298" s="39" t="s">
        <v>1232</v>
      </c>
      <c r="J298" s="387" t="s">
        <v>927</v>
      </c>
      <c r="K298" s="387" t="s">
        <v>928</v>
      </c>
      <c r="L298" s="387" t="s">
        <v>929</v>
      </c>
      <c r="M298" s="387" t="s">
        <v>930</v>
      </c>
      <c r="N298" s="387" t="s">
        <v>931</v>
      </c>
      <c r="O298" s="387" t="s">
        <v>932</v>
      </c>
      <c r="P298" s="387" t="s">
        <v>933</v>
      </c>
      <c r="Q298" s="387" t="s">
        <v>934</v>
      </c>
      <c r="R298" s="387" t="s">
        <v>935</v>
      </c>
      <c r="S298" s="387" t="s">
        <v>936</v>
      </c>
      <c r="T298" s="387" t="s">
        <v>937</v>
      </c>
      <c r="U298" s="387" t="s">
        <v>938</v>
      </c>
      <c r="V298" s="387" t="s">
        <v>939</v>
      </c>
      <c r="W298" s="387" t="s">
        <v>940</v>
      </c>
      <c r="X298" s="387" t="s">
        <v>941</v>
      </c>
      <c r="Y298" s="387" t="s">
        <v>942</v>
      </c>
      <c r="Z298" s="387" t="s">
        <v>943</v>
      </c>
      <c r="AA298" s="387" t="s">
        <v>944</v>
      </c>
      <c r="AB298" s="387" t="s">
        <v>945</v>
      </c>
      <c r="AC298" s="387" t="s">
        <v>946</v>
      </c>
      <c r="AD298" s="387" t="s">
        <v>947</v>
      </c>
      <c r="AE298" s="387" t="s">
        <v>948</v>
      </c>
      <c r="AF298" s="387" t="s">
        <v>949</v>
      </c>
      <c r="AG298" s="387" t="s">
        <v>950</v>
      </c>
      <c r="AH298" s="387" t="s">
        <v>951</v>
      </c>
      <c r="AI298" s="387" t="s">
        <v>952</v>
      </c>
      <c r="AJ298" s="387" t="s">
        <v>953</v>
      </c>
      <c r="AK298" s="387" t="s">
        <v>954</v>
      </c>
      <c r="AL298" s="387" t="s">
        <v>955</v>
      </c>
      <c r="AM298" s="387" t="s">
        <v>956</v>
      </c>
      <c r="AN298" s="387" t="s">
        <v>957</v>
      </c>
      <c r="AO298" s="387" t="s">
        <v>958</v>
      </c>
      <c r="AP298" s="387" t="s">
        <v>959</v>
      </c>
      <c r="AQ298" s="387" t="s">
        <v>960</v>
      </c>
      <c r="AR298" s="387" t="s">
        <v>961</v>
      </c>
      <c r="AS298" s="387" t="s">
        <v>962</v>
      </c>
      <c r="AT298" s="387" t="s">
        <v>963</v>
      </c>
      <c r="AU298" s="387" t="s">
        <v>964</v>
      </c>
      <c r="AV298" s="387" t="s">
        <v>965</v>
      </c>
      <c r="AW298" s="387" t="s">
        <v>966</v>
      </c>
      <c r="AX298" s="387" t="s">
        <v>967</v>
      </c>
      <c r="AY298" s="387" t="s">
        <v>968</v>
      </c>
      <c r="AZ298" s="387" t="s">
        <v>969</v>
      </c>
      <c r="BA298" s="387" t="s">
        <v>970</v>
      </c>
      <c r="BB298" s="387" t="s">
        <v>971</v>
      </c>
      <c r="BC298" s="387" t="s">
        <v>972</v>
      </c>
      <c r="BD298" s="387" t="s">
        <v>973</v>
      </c>
      <c r="BE298" s="387" t="s">
        <v>974</v>
      </c>
      <c r="BF298" s="387" t="s">
        <v>975</v>
      </c>
      <c r="BG298" s="387" t="s">
        <v>976</v>
      </c>
      <c r="BH298" s="387" t="s">
        <v>977</v>
      </c>
      <c r="BI298" s="387" t="s">
        <v>978</v>
      </c>
      <c r="BJ298" s="387" t="s">
        <v>979</v>
      </c>
      <c r="BK298" s="387" t="s">
        <v>980</v>
      </c>
      <c r="BL298" s="387" t="s">
        <v>981</v>
      </c>
      <c r="BM298" s="387" t="s">
        <v>982</v>
      </c>
      <c r="BN298" s="387" t="s">
        <v>983</v>
      </c>
      <c r="BO298" s="387" t="s">
        <v>984</v>
      </c>
      <c r="BP298" s="387" t="s">
        <v>985</v>
      </c>
      <c r="BQ298" s="387" t="s">
        <v>986</v>
      </c>
      <c r="BR298" s="387" t="s">
        <v>987</v>
      </c>
    </row>
    <row r="299" spans="1:70" ht="14.25" customHeight="1" x14ac:dyDescent="0.35">
      <c r="A299" s="4" t="s">
        <v>433</v>
      </c>
      <c r="B299" s="384">
        <v>952.0038333333332</v>
      </c>
      <c r="C299" s="385"/>
      <c r="D299" s="45" t="s">
        <v>228</v>
      </c>
      <c r="E299" s="93">
        <f>+$E$144</f>
        <v>0</v>
      </c>
      <c r="F299" s="93">
        <v>2025</v>
      </c>
      <c r="G299" s="93">
        <v>2050</v>
      </c>
      <c r="I299" s="45" t="s">
        <v>228</v>
      </c>
      <c r="J299" s="286">
        <v>0</v>
      </c>
      <c r="K299" s="286">
        <v>0</v>
      </c>
      <c r="L299" s="286">
        <v>0</v>
      </c>
      <c r="M299" s="286">
        <v>0</v>
      </c>
      <c r="N299" s="286">
        <v>0</v>
      </c>
      <c r="O299" s="286">
        <v>0</v>
      </c>
      <c r="P299" s="286">
        <v>0</v>
      </c>
      <c r="Q299" s="286">
        <v>0</v>
      </c>
      <c r="R299" s="286">
        <v>0</v>
      </c>
      <c r="S299" s="286">
        <v>0</v>
      </c>
      <c r="T299" s="286">
        <v>0</v>
      </c>
      <c r="U299" s="286">
        <v>0</v>
      </c>
      <c r="V299" s="286">
        <v>0</v>
      </c>
      <c r="W299" s="286">
        <v>0</v>
      </c>
      <c r="X299" s="286">
        <v>0</v>
      </c>
      <c r="Y299" s="286">
        <v>0</v>
      </c>
      <c r="Z299" s="286">
        <v>0</v>
      </c>
      <c r="AA299" s="286">
        <v>0</v>
      </c>
      <c r="AB299" s="286">
        <v>0</v>
      </c>
      <c r="AC299" s="286">
        <v>0</v>
      </c>
      <c r="AD299" s="286">
        <v>0</v>
      </c>
      <c r="AE299" s="286">
        <v>0</v>
      </c>
      <c r="AF299" s="286">
        <v>0</v>
      </c>
      <c r="AG299" s="286">
        <v>0</v>
      </c>
      <c r="AH299" s="286">
        <v>0</v>
      </c>
      <c r="AI299" s="286">
        <v>0</v>
      </c>
      <c r="AJ299" s="286">
        <v>0</v>
      </c>
      <c r="AK299" s="286">
        <v>0</v>
      </c>
      <c r="AL299" s="286">
        <v>0</v>
      </c>
      <c r="AM299" s="286">
        <v>0</v>
      </c>
      <c r="AN299" s="286">
        <v>0</v>
      </c>
      <c r="AO299" s="286">
        <v>0</v>
      </c>
      <c r="AP299" s="286">
        <v>0</v>
      </c>
      <c r="AQ299" s="286">
        <v>0</v>
      </c>
      <c r="AR299" s="286">
        <v>0</v>
      </c>
      <c r="AS299" s="286">
        <v>0</v>
      </c>
      <c r="AT299" s="286">
        <v>0</v>
      </c>
      <c r="AU299" s="286">
        <v>0</v>
      </c>
      <c r="AV299" s="286">
        <v>0</v>
      </c>
      <c r="AW299" s="286">
        <v>0</v>
      </c>
      <c r="AX299" s="286">
        <v>0</v>
      </c>
      <c r="AY299" s="286">
        <v>0</v>
      </c>
      <c r="AZ299" s="286">
        <v>0</v>
      </c>
      <c r="BA299" s="286">
        <v>0</v>
      </c>
      <c r="BB299" s="286">
        <v>0</v>
      </c>
      <c r="BC299" s="286">
        <v>0</v>
      </c>
      <c r="BD299" s="286">
        <v>0</v>
      </c>
      <c r="BE299" s="286">
        <v>0</v>
      </c>
      <c r="BF299" s="286">
        <v>0</v>
      </c>
      <c r="BG299" s="286">
        <v>0</v>
      </c>
      <c r="BH299" s="286">
        <v>0</v>
      </c>
      <c r="BI299" s="286">
        <v>0</v>
      </c>
      <c r="BJ299" s="286">
        <v>0</v>
      </c>
      <c r="BK299" s="286">
        <v>0</v>
      </c>
      <c r="BL299" s="286">
        <v>0</v>
      </c>
      <c r="BM299" s="286">
        <v>0</v>
      </c>
      <c r="BN299" s="286">
        <v>0</v>
      </c>
      <c r="BO299" s="286">
        <v>0</v>
      </c>
      <c r="BP299" s="286">
        <v>0</v>
      </c>
      <c r="BQ299" s="286">
        <v>0</v>
      </c>
      <c r="BR299" s="281">
        <v>0.65</v>
      </c>
    </row>
    <row r="300" spans="1:70" ht="14.25" customHeight="1" x14ac:dyDescent="0.35">
      <c r="A300" s="4" t="s">
        <v>434</v>
      </c>
      <c r="B300" s="384">
        <v>952.0038333333332</v>
      </c>
      <c r="C300" s="385"/>
      <c r="D300" s="41" t="s">
        <v>95</v>
      </c>
      <c r="E300" s="93">
        <f t="shared" ref="E300:E326" si="2">+$E$144</f>
        <v>0</v>
      </c>
      <c r="F300" s="93">
        <v>2025</v>
      </c>
      <c r="G300" s="93">
        <v>2050</v>
      </c>
      <c r="I300" s="41" t="s">
        <v>95</v>
      </c>
      <c r="J300" s="281">
        <v>0.85</v>
      </c>
      <c r="K300" s="281">
        <v>0.85</v>
      </c>
      <c r="L300" s="281">
        <v>0.85</v>
      </c>
      <c r="M300" s="281">
        <v>0.85</v>
      </c>
      <c r="N300" s="281">
        <v>0.85</v>
      </c>
      <c r="O300" s="281">
        <v>0.85</v>
      </c>
      <c r="P300" s="281">
        <v>0.85</v>
      </c>
      <c r="Q300" s="281">
        <v>0.85</v>
      </c>
      <c r="R300" s="281">
        <v>0.85</v>
      </c>
      <c r="S300" s="281">
        <v>0.85</v>
      </c>
      <c r="T300" s="281">
        <v>0.85</v>
      </c>
      <c r="U300" s="281">
        <v>0.85</v>
      </c>
      <c r="V300" s="281">
        <v>0.85</v>
      </c>
      <c r="W300" s="281">
        <v>0.85</v>
      </c>
      <c r="X300" s="281">
        <v>0.85</v>
      </c>
      <c r="Y300" s="281">
        <v>0.85</v>
      </c>
      <c r="Z300" s="281">
        <v>0.85</v>
      </c>
      <c r="AA300" s="281">
        <v>0.85</v>
      </c>
      <c r="AB300" s="281">
        <v>0.85</v>
      </c>
      <c r="AC300" s="281">
        <v>0.85</v>
      </c>
      <c r="AD300" s="281">
        <v>0.85</v>
      </c>
      <c r="AE300" s="281">
        <v>0.85</v>
      </c>
      <c r="AF300" s="281">
        <v>0.85</v>
      </c>
      <c r="AG300" s="281">
        <v>0.85</v>
      </c>
      <c r="AH300" s="281">
        <v>0.65</v>
      </c>
      <c r="AI300" s="281">
        <v>0.65</v>
      </c>
      <c r="AJ300" s="281">
        <v>0.65</v>
      </c>
      <c r="AK300" s="281">
        <v>0.65</v>
      </c>
      <c r="AL300" s="281">
        <v>0.65</v>
      </c>
      <c r="AM300" s="281">
        <v>0.65</v>
      </c>
      <c r="AN300" s="281">
        <v>0.65</v>
      </c>
      <c r="AO300" s="281">
        <v>0.65</v>
      </c>
      <c r="AP300" s="281">
        <v>0.65</v>
      </c>
      <c r="AQ300" s="281">
        <v>0.65</v>
      </c>
      <c r="AR300" s="281">
        <v>0.65</v>
      </c>
      <c r="AS300" s="281">
        <v>0.65</v>
      </c>
      <c r="AT300" s="281">
        <v>0.5</v>
      </c>
      <c r="AU300" s="281">
        <v>0.5</v>
      </c>
      <c r="AV300" s="281">
        <v>0.5</v>
      </c>
      <c r="AW300" s="281">
        <v>0.5</v>
      </c>
      <c r="AX300" s="281">
        <v>0.5</v>
      </c>
      <c r="AY300" s="281">
        <v>0.5</v>
      </c>
      <c r="AZ300" s="281">
        <v>0.5</v>
      </c>
      <c r="BA300" s="281">
        <v>0.5</v>
      </c>
      <c r="BB300" s="281">
        <v>0.5</v>
      </c>
      <c r="BC300" s="281">
        <v>0.5</v>
      </c>
      <c r="BD300" s="281">
        <v>0.5</v>
      </c>
      <c r="BE300" s="281">
        <v>0.5</v>
      </c>
      <c r="BF300" s="281">
        <v>0.5</v>
      </c>
      <c r="BG300" s="281">
        <v>0.3</v>
      </c>
      <c r="BH300" s="281">
        <v>0.3</v>
      </c>
      <c r="BI300" s="281">
        <v>0.3</v>
      </c>
      <c r="BJ300" s="281">
        <v>0.3</v>
      </c>
      <c r="BK300" s="281">
        <v>0.3</v>
      </c>
      <c r="BL300" s="281">
        <v>0.3</v>
      </c>
      <c r="BM300" s="281">
        <v>0.3</v>
      </c>
      <c r="BN300" s="281">
        <v>0.3</v>
      </c>
      <c r="BO300" s="281">
        <v>0.3</v>
      </c>
      <c r="BP300" s="281">
        <v>0.3</v>
      </c>
      <c r="BQ300" s="281">
        <v>0.3</v>
      </c>
      <c r="BR300" s="286">
        <v>0</v>
      </c>
    </row>
    <row r="301" spans="1:70" ht="14.25" customHeight="1" x14ac:dyDescent="0.35">
      <c r="A301" s="4" t="s">
        <v>435</v>
      </c>
      <c r="B301" s="384">
        <v>952.0038333333332</v>
      </c>
      <c r="C301" s="385"/>
      <c r="D301" s="41" t="s">
        <v>96</v>
      </c>
      <c r="E301" s="93">
        <f t="shared" si="2"/>
        <v>0</v>
      </c>
      <c r="F301" s="93">
        <v>2025</v>
      </c>
      <c r="G301" s="93">
        <v>2050</v>
      </c>
      <c r="I301" s="41" t="s">
        <v>96</v>
      </c>
      <c r="J301" s="281">
        <v>0.85</v>
      </c>
      <c r="K301" s="281">
        <v>0.85</v>
      </c>
      <c r="L301" s="281">
        <v>0.85</v>
      </c>
      <c r="M301" s="281">
        <v>0.85</v>
      </c>
      <c r="N301" s="281">
        <v>0.85</v>
      </c>
      <c r="O301" s="281">
        <v>0.85</v>
      </c>
      <c r="P301" s="281">
        <v>0.85</v>
      </c>
      <c r="Q301" s="281">
        <v>0.85</v>
      </c>
      <c r="R301" s="281">
        <v>0.85</v>
      </c>
      <c r="S301" s="281">
        <v>0.85</v>
      </c>
      <c r="T301" s="281">
        <v>0.85</v>
      </c>
      <c r="U301" s="281">
        <v>0.85</v>
      </c>
      <c r="V301" s="281">
        <v>0.85</v>
      </c>
      <c r="W301" s="281">
        <v>0.85</v>
      </c>
      <c r="X301" s="281">
        <v>0.85</v>
      </c>
      <c r="Y301" s="281">
        <v>0.85</v>
      </c>
      <c r="Z301" s="281">
        <v>0.85</v>
      </c>
      <c r="AA301" s="281">
        <v>0.85</v>
      </c>
      <c r="AB301" s="281">
        <v>0.85</v>
      </c>
      <c r="AC301" s="281">
        <v>0.85</v>
      </c>
      <c r="AD301" s="281">
        <v>0.85</v>
      </c>
      <c r="AE301" s="281">
        <v>0.85</v>
      </c>
      <c r="AF301" s="281">
        <v>0.85</v>
      </c>
      <c r="AG301" s="281">
        <v>0.85</v>
      </c>
      <c r="AH301" s="281">
        <v>0.65</v>
      </c>
      <c r="AI301" s="281">
        <v>0.65</v>
      </c>
      <c r="AJ301" s="281">
        <v>0.65</v>
      </c>
      <c r="AK301" s="281">
        <v>0.65</v>
      </c>
      <c r="AL301" s="281">
        <v>0.65</v>
      </c>
      <c r="AM301" s="281">
        <v>0.65</v>
      </c>
      <c r="AN301" s="281">
        <v>0.65</v>
      </c>
      <c r="AO301" s="281">
        <v>0.65</v>
      </c>
      <c r="AP301" s="281">
        <v>0.65</v>
      </c>
      <c r="AQ301" s="281">
        <v>0.65</v>
      </c>
      <c r="AR301" s="281">
        <v>0.65</v>
      </c>
      <c r="AS301" s="281">
        <v>0.65</v>
      </c>
      <c r="AT301" s="281">
        <v>0.5</v>
      </c>
      <c r="AU301" s="281">
        <v>0.5</v>
      </c>
      <c r="AV301" s="281">
        <v>0.5</v>
      </c>
      <c r="AW301" s="281">
        <v>0.5</v>
      </c>
      <c r="AX301" s="281">
        <v>0.5</v>
      </c>
      <c r="AY301" s="281">
        <v>0.5</v>
      </c>
      <c r="AZ301" s="281">
        <v>0.5</v>
      </c>
      <c r="BA301" s="281">
        <v>0.5</v>
      </c>
      <c r="BB301" s="281">
        <v>0.5</v>
      </c>
      <c r="BC301" s="281">
        <v>0.5</v>
      </c>
      <c r="BD301" s="281">
        <v>0.5</v>
      </c>
      <c r="BE301" s="281">
        <v>0.5</v>
      </c>
      <c r="BF301" s="281">
        <v>0.5</v>
      </c>
      <c r="BG301" s="281">
        <v>0.3</v>
      </c>
      <c r="BH301" s="281">
        <v>0.3</v>
      </c>
      <c r="BI301" s="281">
        <v>0.3</v>
      </c>
      <c r="BJ301" s="281">
        <v>0.3</v>
      </c>
      <c r="BK301" s="281">
        <v>0.3</v>
      </c>
      <c r="BL301" s="281">
        <v>0.3</v>
      </c>
      <c r="BM301" s="281">
        <v>0.3</v>
      </c>
      <c r="BN301" s="281">
        <v>0.3</v>
      </c>
      <c r="BO301" s="281">
        <v>0.3</v>
      </c>
      <c r="BP301" s="281">
        <v>0.3</v>
      </c>
      <c r="BQ301" s="281">
        <v>0.3</v>
      </c>
      <c r="BR301" s="286">
        <v>0</v>
      </c>
    </row>
    <row r="302" spans="1:70" ht="14.25" customHeight="1" x14ac:dyDescent="0.35">
      <c r="A302" s="4" t="s">
        <v>436</v>
      </c>
      <c r="B302" s="384">
        <v>952.0038333333332</v>
      </c>
      <c r="C302" s="385"/>
      <c r="D302" s="41" t="s">
        <v>97</v>
      </c>
      <c r="E302" s="93">
        <f t="shared" si="2"/>
        <v>0</v>
      </c>
      <c r="F302" s="93">
        <v>2025</v>
      </c>
      <c r="G302" s="93">
        <v>2050</v>
      </c>
      <c r="I302" s="41" t="s">
        <v>97</v>
      </c>
      <c r="J302" s="281">
        <v>0.85</v>
      </c>
      <c r="K302" s="281">
        <v>0.85</v>
      </c>
      <c r="L302" s="281">
        <v>0.85</v>
      </c>
      <c r="M302" s="281">
        <v>0.85</v>
      </c>
      <c r="N302" s="281">
        <v>0.85</v>
      </c>
      <c r="O302" s="281">
        <v>0.85</v>
      </c>
      <c r="P302" s="281">
        <v>0.85</v>
      </c>
      <c r="Q302" s="281">
        <v>0.85</v>
      </c>
      <c r="R302" s="281">
        <v>0.85</v>
      </c>
      <c r="S302" s="281">
        <v>0.85</v>
      </c>
      <c r="T302" s="281">
        <v>0.85</v>
      </c>
      <c r="U302" s="281">
        <v>0.85</v>
      </c>
      <c r="V302" s="281">
        <v>0.85</v>
      </c>
      <c r="W302" s="281">
        <v>0.85</v>
      </c>
      <c r="X302" s="281">
        <v>0.85</v>
      </c>
      <c r="Y302" s="281">
        <v>0.85</v>
      </c>
      <c r="Z302" s="281">
        <v>0.85</v>
      </c>
      <c r="AA302" s="281">
        <v>0.85</v>
      </c>
      <c r="AB302" s="281">
        <v>0.85</v>
      </c>
      <c r="AC302" s="281">
        <v>0.85</v>
      </c>
      <c r="AD302" s="281">
        <v>0.85</v>
      </c>
      <c r="AE302" s="281">
        <v>0.85</v>
      </c>
      <c r="AF302" s="281">
        <v>0.85</v>
      </c>
      <c r="AG302" s="281">
        <v>0.85</v>
      </c>
      <c r="AH302" s="281">
        <v>0.65</v>
      </c>
      <c r="AI302" s="281">
        <v>0.65</v>
      </c>
      <c r="AJ302" s="281">
        <v>0.65</v>
      </c>
      <c r="AK302" s="281">
        <v>0.65</v>
      </c>
      <c r="AL302" s="281">
        <v>0.65</v>
      </c>
      <c r="AM302" s="281">
        <v>0.65</v>
      </c>
      <c r="AN302" s="281">
        <v>0.65</v>
      </c>
      <c r="AO302" s="281">
        <v>0.65</v>
      </c>
      <c r="AP302" s="281">
        <v>0.65</v>
      </c>
      <c r="AQ302" s="281">
        <v>0.65</v>
      </c>
      <c r="AR302" s="281">
        <v>0.65</v>
      </c>
      <c r="AS302" s="281">
        <v>0.65</v>
      </c>
      <c r="AT302" s="281">
        <v>0.5</v>
      </c>
      <c r="AU302" s="281">
        <v>0.5</v>
      </c>
      <c r="AV302" s="281">
        <v>0.5</v>
      </c>
      <c r="AW302" s="281">
        <v>0.5</v>
      </c>
      <c r="AX302" s="281">
        <v>0.5</v>
      </c>
      <c r="AY302" s="281">
        <v>0.5</v>
      </c>
      <c r="AZ302" s="281">
        <v>0.5</v>
      </c>
      <c r="BA302" s="281">
        <v>0.5</v>
      </c>
      <c r="BB302" s="281">
        <v>0.5</v>
      </c>
      <c r="BC302" s="281">
        <v>0.5</v>
      </c>
      <c r="BD302" s="281">
        <v>0.5</v>
      </c>
      <c r="BE302" s="281">
        <v>0.5</v>
      </c>
      <c r="BF302" s="281">
        <v>0.5</v>
      </c>
      <c r="BG302" s="281">
        <v>0.3</v>
      </c>
      <c r="BH302" s="281">
        <v>0.3</v>
      </c>
      <c r="BI302" s="281">
        <v>0.3</v>
      </c>
      <c r="BJ302" s="281">
        <v>0.3</v>
      </c>
      <c r="BK302" s="281">
        <v>0.3</v>
      </c>
      <c r="BL302" s="281">
        <v>0.3</v>
      </c>
      <c r="BM302" s="281">
        <v>0.3</v>
      </c>
      <c r="BN302" s="281">
        <v>0.3</v>
      </c>
      <c r="BO302" s="281">
        <v>0.3</v>
      </c>
      <c r="BP302" s="281">
        <v>0.3</v>
      </c>
      <c r="BQ302" s="281">
        <v>0.3</v>
      </c>
      <c r="BR302" s="286">
        <v>0</v>
      </c>
    </row>
    <row r="303" spans="1:70" ht="14.25" customHeight="1" x14ac:dyDescent="0.35">
      <c r="A303" s="4" t="s">
        <v>437</v>
      </c>
      <c r="B303" s="384">
        <v>952.0038333333332</v>
      </c>
      <c r="C303" s="385"/>
      <c r="D303" s="41" t="s">
        <v>98</v>
      </c>
      <c r="E303" s="93">
        <f t="shared" si="2"/>
        <v>0</v>
      </c>
      <c r="F303" s="93">
        <v>2025</v>
      </c>
      <c r="G303" s="93">
        <v>2050</v>
      </c>
      <c r="I303" s="41" t="s">
        <v>98</v>
      </c>
      <c r="J303" s="281">
        <v>0.85</v>
      </c>
      <c r="K303" s="281">
        <v>0.85</v>
      </c>
      <c r="L303" s="281">
        <v>0.85</v>
      </c>
      <c r="M303" s="281">
        <v>0.85</v>
      </c>
      <c r="N303" s="281">
        <v>0.85</v>
      </c>
      <c r="O303" s="281">
        <v>0.85</v>
      </c>
      <c r="P303" s="281">
        <v>0.85</v>
      </c>
      <c r="Q303" s="281">
        <v>0.85</v>
      </c>
      <c r="R303" s="281">
        <v>0.85</v>
      </c>
      <c r="S303" s="281">
        <v>0.85</v>
      </c>
      <c r="T303" s="281">
        <v>0.85</v>
      </c>
      <c r="U303" s="281">
        <v>0.85</v>
      </c>
      <c r="V303" s="281">
        <v>0.85</v>
      </c>
      <c r="W303" s="281">
        <v>0.85</v>
      </c>
      <c r="X303" s="281">
        <v>0.85</v>
      </c>
      <c r="Y303" s="281">
        <v>0.85</v>
      </c>
      <c r="Z303" s="281">
        <v>0.85</v>
      </c>
      <c r="AA303" s="281">
        <v>0.85</v>
      </c>
      <c r="AB303" s="281">
        <v>0.85</v>
      </c>
      <c r="AC303" s="281">
        <v>0.85</v>
      </c>
      <c r="AD303" s="281">
        <v>0.85</v>
      </c>
      <c r="AE303" s="281">
        <v>0.85</v>
      </c>
      <c r="AF303" s="281">
        <v>0.85</v>
      </c>
      <c r="AG303" s="281">
        <v>0.85</v>
      </c>
      <c r="AH303" s="281">
        <v>0.65</v>
      </c>
      <c r="AI303" s="281">
        <v>0.65</v>
      </c>
      <c r="AJ303" s="281">
        <v>0.65</v>
      </c>
      <c r="AK303" s="281">
        <v>0.65</v>
      </c>
      <c r="AL303" s="281">
        <v>0.65</v>
      </c>
      <c r="AM303" s="281">
        <v>0.65</v>
      </c>
      <c r="AN303" s="281">
        <v>0.65</v>
      </c>
      <c r="AO303" s="281">
        <v>0.65</v>
      </c>
      <c r="AP303" s="281">
        <v>0.65</v>
      </c>
      <c r="AQ303" s="281">
        <v>0.65</v>
      </c>
      <c r="AR303" s="281">
        <v>0.65</v>
      </c>
      <c r="AS303" s="281">
        <v>0.65</v>
      </c>
      <c r="AT303" s="281">
        <v>0.5</v>
      </c>
      <c r="AU303" s="281">
        <v>0.5</v>
      </c>
      <c r="AV303" s="281">
        <v>0.5</v>
      </c>
      <c r="AW303" s="281">
        <v>0.5</v>
      </c>
      <c r="AX303" s="281">
        <v>0.5</v>
      </c>
      <c r="AY303" s="281">
        <v>0.5</v>
      </c>
      <c r="AZ303" s="281">
        <v>0.5</v>
      </c>
      <c r="BA303" s="281">
        <v>0.5</v>
      </c>
      <c r="BB303" s="281">
        <v>0.5</v>
      </c>
      <c r="BC303" s="281">
        <v>0.5</v>
      </c>
      <c r="BD303" s="281">
        <v>0.5</v>
      </c>
      <c r="BE303" s="281">
        <v>0.5</v>
      </c>
      <c r="BF303" s="281">
        <v>0.5</v>
      </c>
      <c r="BG303" s="281">
        <v>0.3</v>
      </c>
      <c r="BH303" s="281">
        <v>0.3</v>
      </c>
      <c r="BI303" s="281">
        <v>0.3</v>
      </c>
      <c r="BJ303" s="281">
        <v>0.3</v>
      </c>
      <c r="BK303" s="281">
        <v>0.3</v>
      </c>
      <c r="BL303" s="281">
        <v>0.3</v>
      </c>
      <c r="BM303" s="281">
        <v>0.3</v>
      </c>
      <c r="BN303" s="281">
        <v>0.3</v>
      </c>
      <c r="BO303" s="281">
        <v>0.3</v>
      </c>
      <c r="BP303" s="281">
        <v>0.3</v>
      </c>
      <c r="BQ303" s="281">
        <v>0.3</v>
      </c>
      <c r="BR303" s="286">
        <v>0</v>
      </c>
    </row>
    <row r="304" spans="1:70" ht="14.25" customHeight="1" x14ac:dyDescent="0.35">
      <c r="A304" s="4" t="s">
        <v>438</v>
      </c>
      <c r="B304" s="384">
        <v>952.0038333333332</v>
      </c>
      <c r="C304" s="385"/>
      <c r="D304" s="41" t="s">
        <v>163</v>
      </c>
      <c r="E304" s="93">
        <f t="shared" si="2"/>
        <v>0</v>
      </c>
      <c r="F304" s="93">
        <v>2025</v>
      </c>
      <c r="G304" s="93">
        <v>2050</v>
      </c>
      <c r="I304" s="41" t="s">
        <v>163</v>
      </c>
      <c r="J304" s="281">
        <v>0.85</v>
      </c>
      <c r="K304" s="281">
        <v>0.85</v>
      </c>
      <c r="L304" s="281">
        <v>0.85</v>
      </c>
      <c r="M304" s="281">
        <v>0.85</v>
      </c>
      <c r="N304" s="281">
        <v>0.85</v>
      </c>
      <c r="O304" s="281">
        <v>0.85</v>
      </c>
      <c r="P304" s="281">
        <v>0.85</v>
      </c>
      <c r="Q304" s="281">
        <v>0.85</v>
      </c>
      <c r="R304" s="281">
        <v>0.85</v>
      </c>
      <c r="S304" s="281">
        <v>0.85</v>
      </c>
      <c r="T304" s="281">
        <v>0.85</v>
      </c>
      <c r="U304" s="281">
        <v>0.85</v>
      </c>
      <c r="V304" s="281">
        <v>0.85</v>
      </c>
      <c r="W304" s="281">
        <v>0.85</v>
      </c>
      <c r="X304" s="281">
        <v>0.85</v>
      </c>
      <c r="Y304" s="281">
        <v>0.85</v>
      </c>
      <c r="Z304" s="281">
        <v>0.85</v>
      </c>
      <c r="AA304" s="281">
        <v>0.85</v>
      </c>
      <c r="AB304" s="281">
        <v>0.85</v>
      </c>
      <c r="AC304" s="281">
        <v>0.85</v>
      </c>
      <c r="AD304" s="281">
        <v>0.85</v>
      </c>
      <c r="AE304" s="281">
        <v>0.85</v>
      </c>
      <c r="AF304" s="281">
        <v>0.85</v>
      </c>
      <c r="AG304" s="281">
        <v>0.85</v>
      </c>
      <c r="AH304" s="281">
        <v>0.65</v>
      </c>
      <c r="AI304" s="281">
        <v>0.65</v>
      </c>
      <c r="AJ304" s="281">
        <v>0.65</v>
      </c>
      <c r="AK304" s="281">
        <v>0.65</v>
      </c>
      <c r="AL304" s="281">
        <v>0.65</v>
      </c>
      <c r="AM304" s="281">
        <v>0.65</v>
      </c>
      <c r="AN304" s="281">
        <v>0.65</v>
      </c>
      <c r="AO304" s="281">
        <v>0.65</v>
      </c>
      <c r="AP304" s="281">
        <v>0.65</v>
      </c>
      <c r="AQ304" s="281">
        <v>0.65</v>
      </c>
      <c r="AR304" s="281">
        <v>0.65</v>
      </c>
      <c r="AS304" s="281">
        <v>0.65</v>
      </c>
      <c r="AT304" s="281">
        <v>0.5</v>
      </c>
      <c r="AU304" s="281">
        <v>0.5</v>
      </c>
      <c r="AV304" s="281">
        <v>0.5</v>
      </c>
      <c r="AW304" s="281">
        <v>0.5</v>
      </c>
      <c r="AX304" s="281">
        <v>0.5</v>
      </c>
      <c r="AY304" s="281">
        <v>0.5</v>
      </c>
      <c r="AZ304" s="281">
        <v>0.5</v>
      </c>
      <c r="BA304" s="281">
        <v>0.5</v>
      </c>
      <c r="BB304" s="281">
        <v>0.5</v>
      </c>
      <c r="BC304" s="281">
        <v>0.5</v>
      </c>
      <c r="BD304" s="281">
        <v>0.5</v>
      </c>
      <c r="BE304" s="281">
        <v>0.5</v>
      </c>
      <c r="BF304" s="281">
        <v>0.5</v>
      </c>
      <c r="BG304" s="281">
        <v>0.3</v>
      </c>
      <c r="BH304" s="281">
        <v>0.3</v>
      </c>
      <c r="BI304" s="281">
        <v>0.3</v>
      </c>
      <c r="BJ304" s="281">
        <v>0.3</v>
      </c>
      <c r="BK304" s="281">
        <v>0.3</v>
      </c>
      <c r="BL304" s="281">
        <v>0.3</v>
      </c>
      <c r="BM304" s="281">
        <v>0.3</v>
      </c>
      <c r="BN304" s="281">
        <v>0.3</v>
      </c>
      <c r="BO304" s="281">
        <v>0.3</v>
      </c>
      <c r="BP304" s="281">
        <v>0.3</v>
      </c>
      <c r="BQ304" s="281">
        <v>0.3</v>
      </c>
      <c r="BR304" s="286">
        <v>0</v>
      </c>
    </row>
    <row r="305" spans="1:70" ht="14.25" customHeight="1" x14ac:dyDescent="0.35">
      <c r="A305" s="4" t="s">
        <v>439</v>
      </c>
      <c r="B305" s="384">
        <v>952.0038333333332</v>
      </c>
      <c r="C305" s="385"/>
      <c r="D305" s="41" t="s">
        <v>100</v>
      </c>
      <c r="E305" s="93">
        <f t="shared" si="2"/>
        <v>0</v>
      </c>
      <c r="F305" s="93">
        <v>2025</v>
      </c>
      <c r="G305" s="93">
        <v>2050</v>
      </c>
      <c r="I305" s="41" t="s">
        <v>100</v>
      </c>
      <c r="J305" s="281">
        <v>0.85</v>
      </c>
      <c r="K305" s="281">
        <v>0.85</v>
      </c>
      <c r="L305" s="281">
        <v>0.85</v>
      </c>
      <c r="M305" s="281">
        <v>0.85</v>
      </c>
      <c r="N305" s="281">
        <v>0.85</v>
      </c>
      <c r="O305" s="281">
        <v>0.85</v>
      </c>
      <c r="P305" s="281">
        <v>0.85</v>
      </c>
      <c r="Q305" s="281">
        <v>0.85</v>
      </c>
      <c r="R305" s="281">
        <v>0.85</v>
      </c>
      <c r="S305" s="281">
        <v>0.85</v>
      </c>
      <c r="T305" s="281">
        <v>0.85</v>
      </c>
      <c r="U305" s="281">
        <v>0.85</v>
      </c>
      <c r="V305" s="281">
        <v>0.85</v>
      </c>
      <c r="W305" s="281">
        <v>0.85</v>
      </c>
      <c r="X305" s="281">
        <v>0.85</v>
      </c>
      <c r="Y305" s="281">
        <v>0.85</v>
      </c>
      <c r="Z305" s="281">
        <v>0.85</v>
      </c>
      <c r="AA305" s="281">
        <v>0.85</v>
      </c>
      <c r="AB305" s="281">
        <v>0.85</v>
      </c>
      <c r="AC305" s="281">
        <v>0.85</v>
      </c>
      <c r="AD305" s="281">
        <v>0.85</v>
      </c>
      <c r="AE305" s="281">
        <v>0.85</v>
      </c>
      <c r="AF305" s="281">
        <v>0.85</v>
      </c>
      <c r="AG305" s="281">
        <v>0.85</v>
      </c>
      <c r="AH305" s="281">
        <v>0.65</v>
      </c>
      <c r="AI305" s="281">
        <v>0.65</v>
      </c>
      <c r="AJ305" s="281">
        <v>0.65</v>
      </c>
      <c r="AK305" s="281">
        <v>0.65</v>
      </c>
      <c r="AL305" s="281">
        <v>0.65</v>
      </c>
      <c r="AM305" s="281">
        <v>0.65</v>
      </c>
      <c r="AN305" s="281">
        <v>0.65</v>
      </c>
      <c r="AO305" s="281">
        <v>0.65</v>
      </c>
      <c r="AP305" s="281">
        <v>0.65</v>
      </c>
      <c r="AQ305" s="281">
        <v>0.65</v>
      </c>
      <c r="AR305" s="281">
        <v>0.65</v>
      </c>
      <c r="AS305" s="281">
        <v>0.65</v>
      </c>
      <c r="AT305" s="281">
        <v>0.5</v>
      </c>
      <c r="AU305" s="281">
        <v>0.5</v>
      </c>
      <c r="AV305" s="281">
        <v>0.5</v>
      </c>
      <c r="AW305" s="281">
        <v>0.5</v>
      </c>
      <c r="AX305" s="281">
        <v>0.5</v>
      </c>
      <c r="AY305" s="281">
        <v>0.5</v>
      </c>
      <c r="AZ305" s="281">
        <v>0.5</v>
      </c>
      <c r="BA305" s="281">
        <v>0.5</v>
      </c>
      <c r="BB305" s="281">
        <v>0.5</v>
      </c>
      <c r="BC305" s="281">
        <v>0.5</v>
      </c>
      <c r="BD305" s="281">
        <v>0.5</v>
      </c>
      <c r="BE305" s="281">
        <v>0.5</v>
      </c>
      <c r="BF305" s="281">
        <v>0.5</v>
      </c>
      <c r="BG305" s="281">
        <v>0.3</v>
      </c>
      <c r="BH305" s="281">
        <v>0.3</v>
      </c>
      <c r="BI305" s="281">
        <v>0.3</v>
      </c>
      <c r="BJ305" s="281">
        <v>0.3</v>
      </c>
      <c r="BK305" s="281">
        <v>0.3</v>
      </c>
      <c r="BL305" s="281">
        <v>0.3</v>
      </c>
      <c r="BM305" s="281">
        <v>0.3</v>
      </c>
      <c r="BN305" s="281">
        <v>0.3</v>
      </c>
      <c r="BO305" s="281">
        <v>0.3</v>
      </c>
      <c r="BP305" s="281">
        <v>0.3</v>
      </c>
      <c r="BQ305" s="281">
        <v>0.3</v>
      </c>
      <c r="BR305" s="286">
        <v>0</v>
      </c>
    </row>
    <row r="306" spans="1:70" ht="14.25" customHeight="1" x14ac:dyDescent="0.35">
      <c r="A306" s="4" t="s">
        <v>440</v>
      </c>
      <c r="B306" s="384">
        <v>952.0038333333332</v>
      </c>
      <c r="C306" s="385"/>
      <c r="D306" s="41" t="s">
        <v>101</v>
      </c>
      <c r="E306" s="93">
        <f t="shared" si="2"/>
        <v>0</v>
      </c>
      <c r="F306" s="93">
        <v>2025</v>
      </c>
      <c r="G306" s="93">
        <v>2050</v>
      </c>
      <c r="I306" s="41" t="s">
        <v>101</v>
      </c>
      <c r="J306" s="281">
        <v>0.85</v>
      </c>
      <c r="K306" s="281">
        <v>0.85</v>
      </c>
      <c r="L306" s="281">
        <v>0.85</v>
      </c>
      <c r="M306" s="281">
        <v>0.85</v>
      </c>
      <c r="N306" s="281">
        <v>0.85</v>
      </c>
      <c r="O306" s="281">
        <v>0.85</v>
      </c>
      <c r="P306" s="281">
        <v>0.85</v>
      </c>
      <c r="Q306" s="281">
        <v>0.85</v>
      </c>
      <c r="R306" s="281">
        <v>0.85</v>
      </c>
      <c r="S306" s="281">
        <v>0.85</v>
      </c>
      <c r="T306" s="281">
        <v>0.85</v>
      </c>
      <c r="U306" s="281">
        <v>0.85</v>
      </c>
      <c r="V306" s="281">
        <v>0.85</v>
      </c>
      <c r="W306" s="281">
        <v>0.85</v>
      </c>
      <c r="X306" s="281">
        <v>0.85</v>
      </c>
      <c r="Y306" s="281">
        <v>0.85</v>
      </c>
      <c r="Z306" s="281">
        <v>0.85</v>
      </c>
      <c r="AA306" s="281">
        <v>0.85</v>
      </c>
      <c r="AB306" s="281">
        <v>0.85</v>
      </c>
      <c r="AC306" s="281">
        <v>0.85</v>
      </c>
      <c r="AD306" s="281">
        <v>0.85</v>
      </c>
      <c r="AE306" s="281">
        <v>0.85</v>
      </c>
      <c r="AF306" s="281">
        <v>0.85</v>
      </c>
      <c r="AG306" s="281">
        <v>0.85</v>
      </c>
      <c r="AH306" s="281">
        <v>0.65</v>
      </c>
      <c r="AI306" s="281">
        <v>0.65</v>
      </c>
      <c r="AJ306" s="281">
        <v>0.65</v>
      </c>
      <c r="AK306" s="281">
        <v>0.65</v>
      </c>
      <c r="AL306" s="281">
        <v>0.65</v>
      </c>
      <c r="AM306" s="281">
        <v>0.65</v>
      </c>
      <c r="AN306" s="281">
        <v>0.65</v>
      </c>
      <c r="AO306" s="281">
        <v>0.65</v>
      </c>
      <c r="AP306" s="281">
        <v>0.65</v>
      </c>
      <c r="AQ306" s="281">
        <v>0.65</v>
      </c>
      <c r="AR306" s="281">
        <v>0.65</v>
      </c>
      <c r="AS306" s="281">
        <v>0.65</v>
      </c>
      <c r="AT306" s="281">
        <v>0.5</v>
      </c>
      <c r="AU306" s="281">
        <v>0.5</v>
      </c>
      <c r="AV306" s="281">
        <v>0.5</v>
      </c>
      <c r="AW306" s="281">
        <v>0.5</v>
      </c>
      <c r="AX306" s="281">
        <v>0.5</v>
      </c>
      <c r="AY306" s="281">
        <v>0.5</v>
      </c>
      <c r="AZ306" s="281">
        <v>0.5</v>
      </c>
      <c r="BA306" s="281">
        <v>0.5</v>
      </c>
      <c r="BB306" s="281">
        <v>0.5</v>
      </c>
      <c r="BC306" s="281">
        <v>0.5</v>
      </c>
      <c r="BD306" s="281">
        <v>0.5</v>
      </c>
      <c r="BE306" s="281">
        <v>0.5</v>
      </c>
      <c r="BF306" s="281">
        <v>0.5</v>
      </c>
      <c r="BG306" s="281">
        <v>0.3</v>
      </c>
      <c r="BH306" s="281">
        <v>0.3</v>
      </c>
      <c r="BI306" s="281">
        <v>0.3</v>
      </c>
      <c r="BJ306" s="281">
        <v>0.3</v>
      </c>
      <c r="BK306" s="281">
        <v>0.3</v>
      </c>
      <c r="BL306" s="281">
        <v>0.3</v>
      </c>
      <c r="BM306" s="281">
        <v>0.3</v>
      </c>
      <c r="BN306" s="281">
        <v>0.3</v>
      </c>
      <c r="BO306" s="281">
        <v>0.3</v>
      </c>
      <c r="BP306" s="281">
        <v>0.3</v>
      </c>
      <c r="BQ306" s="281">
        <v>0.3</v>
      </c>
      <c r="BR306" s="286">
        <v>0</v>
      </c>
    </row>
    <row r="307" spans="1:70" ht="14.25" customHeight="1" x14ac:dyDescent="0.35">
      <c r="A307" s="4" t="s">
        <v>441</v>
      </c>
      <c r="B307" s="384">
        <v>952.0038333333332</v>
      </c>
      <c r="C307" s="385"/>
      <c r="D307" s="41" t="s">
        <v>102</v>
      </c>
      <c r="E307" s="93">
        <f t="shared" si="2"/>
        <v>0</v>
      </c>
      <c r="F307" s="93">
        <v>2025</v>
      </c>
      <c r="G307" s="93">
        <v>2050</v>
      </c>
      <c r="I307" s="41" t="s">
        <v>102</v>
      </c>
      <c r="J307" s="281">
        <v>0.85</v>
      </c>
      <c r="K307" s="281">
        <v>0.85</v>
      </c>
      <c r="L307" s="281">
        <v>0.85</v>
      </c>
      <c r="M307" s="281">
        <v>0.85</v>
      </c>
      <c r="N307" s="281">
        <v>0.85</v>
      </c>
      <c r="O307" s="281">
        <v>0.85</v>
      </c>
      <c r="P307" s="281">
        <v>0.85</v>
      </c>
      <c r="Q307" s="281">
        <v>0.85</v>
      </c>
      <c r="R307" s="281">
        <v>0.85</v>
      </c>
      <c r="S307" s="281">
        <v>0.85</v>
      </c>
      <c r="T307" s="281">
        <v>0.85</v>
      </c>
      <c r="U307" s="281">
        <v>0.85</v>
      </c>
      <c r="V307" s="281">
        <v>0.85</v>
      </c>
      <c r="W307" s="281">
        <v>0.85</v>
      </c>
      <c r="X307" s="281">
        <v>0.85</v>
      </c>
      <c r="Y307" s="281">
        <v>0.85</v>
      </c>
      <c r="Z307" s="281">
        <v>0.85</v>
      </c>
      <c r="AA307" s="281">
        <v>0.85</v>
      </c>
      <c r="AB307" s="281">
        <v>0.85</v>
      </c>
      <c r="AC307" s="281">
        <v>0.85</v>
      </c>
      <c r="AD307" s="281">
        <v>0.85</v>
      </c>
      <c r="AE307" s="281">
        <v>0.85</v>
      </c>
      <c r="AF307" s="281">
        <v>0.85</v>
      </c>
      <c r="AG307" s="281">
        <v>0.85</v>
      </c>
      <c r="AH307" s="281">
        <v>0.65</v>
      </c>
      <c r="AI307" s="281">
        <v>0.65</v>
      </c>
      <c r="AJ307" s="281">
        <v>0.65</v>
      </c>
      <c r="AK307" s="281">
        <v>0.65</v>
      </c>
      <c r="AL307" s="281">
        <v>0.65</v>
      </c>
      <c r="AM307" s="281">
        <v>0.65</v>
      </c>
      <c r="AN307" s="281">
        <v>0.65</v>
      </c>
      <c r="AO307" s="281">
        <v>0.65</v>
      </c>
      <c r="AP307" s="281">
        <v>0.65</v>
      </c>
      <c r="AQ307" s="281">
        <v>0.65</v>
      </c>
      <c r="AR307" s="281">
        <v>0.65</v>
      </c>
      <c r="AS307" s="281">
        <v>0.65</v>
      </c>
      <c r="AT307" s="281">
        <v>0.5</v>
      </c>
      <c r="AU307" s="281">
        <v>0.5</v>
      </c>
      <c r="AV307" s="281">
        <v>0.5</v>
      </c>
      <c r="AW307" s="281">
        <v>0.5</v>
      </c>
      <c r="AX307" s="281">
        <v>0.5</v>
      </c>
      <c r="AY307" s="281">
        <v>0.5</v>
      </c>
      <c r="AZ307" s="281">
        <v>0.5</v>
      </c>
      <c r="BA307" s="281">
        <v>0.5</v>
      </c>
      <c r="BB307" s="281">
        <v>0.5</v>
      </c>
      <c r="BC307" s="281">
        <v>0.5</v>
      </c>
      <c r="BD307" s="281">
        <v>0.5</v>
      </c>
      <c r="BE307" s="281">
        <v>0.5</v>
      </c>
      <c r="BF307" s="281">
        <v>0.5</v>
      </c>
      <c r="BG307" s="281">
        <v>0.3</v>
      </c>
      <c r="BH307" s="281">
        <v>0.3</v>
      </c>
      <c r="BI307" s="281">
        <v>0.3</v>
      </c>
      <c r="BJ307" s="281">
        <v>0.3</v>
      </c>
      <c r="BK307" s="281">
        <v>0.3</v>
      </c>
      <c r="BL307" s="281">
        <v>0.3</v>
      </c>
      <c r="BM307" s="281">
        <v>0.3</v>
      </c>
      <c r="BN307" s="281">
        <v>0.3</v>
      </c>
      <c r="BO307" s="281">
        <v>0.3</v>
      </c>
      <c r="BP307" s="281">
        <v>0.3</v>
      </c>
      <c r="BQ307" s="281">
        <v>0.3</v>
      </c>
      <c r="BR307" s="286">
        <v>0</v>
      </c>
    </row>
    <row r="308" spans="1:70" ht="14.25" customHeight="1" x14ac:dyDescent="0.35">
      <c r="A308" s="4" t="s">
        <v>442</v>
      </c>
      <c r="B308" s="384">
        <v>952.0038333333332</v>
      </c>
      <c r="C308" s="385"/>
      <c r="D308" s="41" t="s">
        <v>103</v>
      </c>
      <c r="E308" s="93">
        <f t="shared" si="2"/>
        <v>0</v>
      </c>
      <c r="F308" s="93">
        <v>2025</v>
      </c>
      <c r="G308" s="93">
        <v>2050</v>
      </c>
      <c r="I308" s="41" t="s">
        <v>103</v>
      </c>
      <c r="J308" s="281">
        <v>0.85</v>
      </c>
      <c r="K308" s="281">
        <v>0.85</v>
      </c>
      <c r="L308" s="281">
        <v>0.85</v>
      </c>
      <c r="M308" s="281">
        <v>0.85</v>
      </c>
      <c r="N308" s="281">
        <v>0.85</v>
      </c>
      <c r="O308" s="281">
        <v>0.85</v>
      </c>
      <c r="P308" s="281">
        <v>0.85</v>
      </c>
      <c r="Q308" s="281">
        <v>0.85</v>
      </c>
      <c r="R308" s="281">
        <v>0.85</v>
      </c>
      <c r="S308" s="281">
        <v>0.85</v>
      </c>
      <c r="T308" s="281">
        <v>0.85</v>
      </c>
      <c r="U308" s="281">
        <v>0.85</v>
      </c>
      <c r="V308" s="281">
        <v>0.85</v>
      </c>
      <c r="W308" s="281">
        <v>0.85</v>
      </c>
      <c r="X308" s="281">
        <v>0.85</v>
      </c>
      <c r="Y308" s="281">
        <v>0.85</v>
      </c>
      <c r="Z308" s="281">
        <v>0.85</v>
      </c>
      <c r="AA308" s="281">
        <v>0.85</v>
      </c>
      <c r="AB308" s="281">
        <v>0.85</v>
      </c>
      <c r="AC308" s="281">
        <v>0.85</v>
      </c>
      <c r="AD308" s="281">
        <v>0.85</v>
      </c>
      <c r="AE308" s="281">
        <v>0.85</v>
      </c>
      <c r="AF308" s="281">
        <v>0.85</v>
      </c>
      <c r="AG308" s="281">
        <v>0.85</v>
      </c>
      <c r="AH308" s="281">
        <v>0.65</v>
      </c>
      <c r="AI308" s="281">
        <v>0.65</v>
      </c>
      <c r="AJ308" s="281">
        <v>0.65</v>
      </c>
      <c r="AK308" s="281">
        <v>0.65</v>
      </c>
      <c r="AL308" s="281">
        <v>0.65</v>
      </c>
      <c r="AM308" s="281">
        <v>0.65</v>
      </c>
      <c r="AN308" s="281">
        <v>0.65</v>
      </c>
      <c r="AO308" s="281">
        <v>0.65</v>
      </c>
      <c r="AP308" s="281">
        <v>0.65</v>
      </c>
      <c r="AQ308" s="281">
        <v>0.65</v>
      </c>
      <c r="AR308" s="281">
        <v>0.65</v>
      </c>
      <c r="AS308" s="281">
        <v>0.65</v>
      </c>
      <c r="AT308" s="281">
        <v>0.5</v>
      </c>
      <c r="AU308" s="281">
        <v>0.5</v>
      </c>
      <c r="AV308" s="281">
        <v>0.5</v>
      </c>
      <c r="AW308" s="281">
        <v>0.5</v>
      </c>
      <c r="AX308" s="281">
        <v>0.5</v>
      </c>
      <c r="AY308" s="281">
        <v>0.5</v>
      </c>
      <c r="AZ308" s="281">
        <v>0.5</v>
      </c>
      <c r="BA308" s="281">
        <v>0.5</v>
      </c>
      <c r="BB308" s="281">
        <v>0.5</v>
      </c>
      <c r="BC308" s="281">
        <v>0.5</v>
      </c>
      <c r="BD308" s="281">
        <v>0.5</v>
      </c>
      <c r="BE308" s="281">
        <v>0.5</v>
      </c>
      <c r="BF308" s="281">
        <v>0.5</v>
      </c>
      <c r="BG308" s="281">
        <v>0.3</v>
      </c>
      <c r="BH308" s="281">
        <v>0.3</v>
      </c>
      <c r="BI308" s="281">
        <v>0.3</v>
      </c>
      <c r="BJ308" s="281">
        <v>0.3</v>
      </c>
      <c r="BK308" s="281">
        <v>0.3</v>
      </c>
      <c r="BL308" s="281">
        <v>0.3</v>
      </c>
      <c r="BM308" s="281">
        <v>0.3</v>
      </c>
      <c r="BN308" s="281">
        <v>0.3</v>
      </c>
      <c r="BO308" s="281">
        <v>0.3</v>
      </c>
      <c r="BP308" s="281">
        <v>0.3</v>
      </c>
      <c r="BQ308" s="281">
        <v>0.3</v>
      </c>
      <c r="BR308" s="286">
        <v>0</v>
      </c>
    </row>
    <row r="309" spans="1:70" ht="14.25" customHeight="1" x14ac:dyDescent="0.35">
      <c r="A309" s="4" t="s">
        <v>443</v>
      </c>
      <c r="B309" s="384">
        <v>952.0038333333332</v>
      </c>
      <c r="C309" s="385"/>
      <c r="D309" s="41" t="s">
        <v>104</v>
      </c>
      <c r="E309" s="93">
        <f t="shared" si="2"/>
        <v>0</v>
      </c>
      <c r="F309" s="93">
        <v>2025</v>
      </c>
      <c r="G309" s="93">
        <v>2050</v>
      </c>
      <c r="I309" s="41" t="s">
        <v>104</v>
      </c>
      <c r="J309" s="281">
        <v>0.85</v>
      </c>
      <c r="K309" s="281">
        <v>0.85</v>
      </c>
      <c r="L309" s="281">
        <v>0.85</v>
      </c>
      <c r="M309" s="281">
        <v>0.85</v>
      </c>
      <c r="N309" s="281">
        <v>0.85</v>
      </c>
      <c r="O309" s="281">
        <v>0.85</v>
      </c>
      <c r="P309" s="281">
        <v>0.85</v>
      </c>
      <c r="Q309" s="281">
        <v>0.85</v>
      </c>
      <c r="R309" s="281">
        <v>0.85</v>
      </c>
      <c r="S309" s="281">
        <v>0.85</v>
      </c>
      <c r="T309" s="281">
        <v>0.85</v>
      </c>
      <c r="U309" s="281">
        <v>0.85</v>
      </c>
      <c r="V309" s="281">
        <v>0.85</v>
      </c>
      <c r="W309" s="281">
        <v>0.85</v>
      </c>
      <c r="X309" s="281">
        <v>0.85</v>
      </c>
      <c r="Y309" s="281">
        <v>0.85</v>
      </c>
      <c r="Z309" s="281">
        <v>0.85</v>
      </c>
      <c r="AA309" s="281">
        <v>0.85</v>
      </c>
      <c r="AB309" s="281">
        <v>0.85</v>
      </c>
      <c r="AC309" s="281">
        <v>0.85</v>
      </c>
      <c r="AD309" s="281">
        <v>0.85</v>
      </c>
      <c r="AE309" s="281">
        <v>0.85</v>
      </c>
      <c r="AF309" s="281">
        <v>0.85</v>
      </c>
      <c r="AG309" s="281">
        <v>0.85</v>
      </c>
      <c r="AH309" s="281">
        <v>0.65</v>
      </c>
      <c r="AI309" s="281">
        <v>0.65</v>
      </c>
      <c r="AJ309" s="281">
        <v>0.65</v>
      </c>
      <c r="AK309" s="281">
        <v>0.65</v>
      </c>
      <c r="AL309" s="281">
        <v>0.65</v>
      </c>
      <c r="AM309" s="281">
        <v>0.65</v>
      </c>
      <c r="AN309" s="281">
        <v>0.65</v>
      </c>
      <c r="AO309" s="281">
        <v>0.65</v>
      </c>
      <c r="AP309" s="281">
        <v>0.65</v>
      </c>
      <c r="AQ309" s="281">
        <v>0.65</v>
      </c>
      <c r="AR309" s="281">
        <v>0.65</v>
      </c>
      <c r="AS309" s="281">
        <v>0.65</v>
      </c>
      <c r="AT309" s="281">
        <v>0.5</v>
      </c>
      <c r="AU309" s="281">
        <v>0.5</v>
      </c>
      <c r="AV309" s="281">
        <v>0.5</v>
      </c>
      <c r="AW309" s="281">
        <v>0.5</v>
      </c>
      <c r="AX309" s="281">
        <v>0.5</v>
      </c>
      <c r="AY309" s="281">
        <v>0.5</v>
      </c>
      <c r="AZ309" s="281">
        <v>0.5</v>
      </c>
      <c r="BA309" s="281">
        <v>0.5</v>
      </c>
      <c r="BB309" s="281">
        <v>0.5</v>
      </c>
      <c r="BC309" s="281">
        <v>0.5</v>
      </c>
      <c r="BD309" s="281">
        <v>0.5</v>
      </c>
      <c r="BE309" s="281">
        <v>0.5</v>
      </c>
      <c r="BF309" s="281">
        <v>0.5</v>
      </c>
      <c r="BG309" s="281">
        <v>0.3</v>
      </c>
      <c r="BH309" s="281">
        <v>0.3</v>
      </c>
      <c r="BI309" s="281">
        <v>0.3</v>
      </c>
      <c r="BJ309" s="281">
        <v>0.3</v>
      </c>
      <c r="BK309" s="281">
        <v>0.3</v>
      </c>
      <c r="BL309" s="281">
        <v>0.3</v>
      </c>
      <c r="BM309" s="281">
        <v>0.3</v>
      </c>
      <c r="BN309" s="281">
        <v>0.3</v>
      </c>
      <c r="BO309" s="281">
        <v>0.3</v>
      </c>
      <c r="BP309" s="281">
        <v>0.3</v>
      </c>
      <c r="BQ309" s="281">
        <v>0.3</v>
      </c>
      <c r="BR309" s="286">
        <v>0</v>
      </c>
    </row>
    <row r="310" spans="1:70" ht="14.25" customHeight="1" x14ac:dyDescent="0.35">
      <c r="A310" s="4" t="s">
        <v>444</v>
      </c>
      <c r="B310" s="384">
        <v>952.0038333333332</v>
      </c>
      <c r="C310" s="385"/>
      <c r="D310" s="41" t="s">
        <v>105</v>
      </c>
      <c r="E310" s="93">
        <f t="shared" si="2"/>
        <v>0</v>
      </c>
      <c r="F310" s="93">
        <v>2025</v>
      </c>
      <c r="G310" s="93">
        <v>2050</v>
      </c>
      <c r="I310" s="41" t="s">
        <v>105</v>
      </c>
      <c r="J310" s="281">
        <v>0.85</v>
      </c>
      <c r="K310" s="281">
        <v>0.85</v>
      </c>
      <c r="L310" s="281">
        <v>0.85</v>
      </c>
      <c r="M310" s="281">
        <v>0.85</v>
      </c>
      <c r="N310" s="281">
        <v>0.85</v>
      </c>
      <c r="O310" s="281">
        <v>0.85</v>
      </c>
      <c r="P310" s="281">
        <v>0.85</v>
      </c>
      <c r="Q310" s="281">
        <v>0.85</v>
      </c>
      <c r="R310" s="281">
        <v>0.85</v>
      </c>
      <c r="S310" s="281">
        <v>0.85</v>
      </c>
      <c r="T310" s="281">
        <v>0.85</v>
      </c>
      <c r="U310" s="281">
        <v>0.85</v>
      </c>
      <c r="V310" s="281">
        <v>0.85</v>
      </c>
      <c r="W310" s="281">
        <v>0.85</v>
      </c>
      <c r="X310" s="281">
        <v>0.85</v>
      </c>
      <c r="Y310" s="281">
        <v>0.85</v>
      </c>
      <c r="Z310" s="281">
        <v>0.85</v>
      </c>
      <c r="AA310" s="281">
        <v>0.85</v>
      </c>
      <c r="AB310" s="281">
        <v>0.85</v>
      </c>
      <c r="AC310" s="281">
        <v>0.85</v>
      </c>
      <c r="AD310" s="281">
        <v>0.85</v>
      </c>
      <c r="AE310" s="281">
        <v>0.85</v>
      </c>
      <c r="AF310" s="281">
        <v>0.85</v>
      </c>
      <c r="AG310" s="281">
        <v>0.85</v>
      </c>
      <c r="AH310" s="281">
        <v>0.65</v>
      </c>
      <c r="AI310" s="281">
        <v>0.65</v>
      </c>
      <c r="AJ310" s="281">
        <v>0.65</v>
      </c>
      <c r="AK310" s="281">
        <v>0.65</v>
      </c>
      <c r="AL310" s="281">
        <v>0.65</v>
      </c>
      <c r="AM310" s="281">
        <v>0.65</v>
      </c>
      <c r="AN310" s="281">
        <v>0.65</v>
      </c>
      <c r="AO310" s="281">
        <v>0.65</v>
      </c>
      <c r="AP310" s="281">
        <v>0.65</v>
      </c>
      <c r="AQ310" s="281">
        <v>0.65</v>
      </c>
      <c r="AR310" s="281">
        <v>0.65</v>
      </c>
      <c r="AS310" s="281">
        <v>0.65</v>
      </c>
      <c r="AT310" s="281">
        <v>0.5</v>
      </c>
      <c r="AU310" s="281">
        <v>0.5</v>
      </c>
      <c r="AV310" s="281">
        <v>0.5</v>
      </c>
      <c r="AW310" s="281">
        <v>0.5</v>
      </c>
      <c r="AX310" s="281">
        <v>0.5</v>
      </c>
      <c r="AY310" s="281">
        <v>0.5</v>
      </c>
      <c r="AZ310" s="281">
        <v>0.5</v>
      </c>
      <c r="BA310" s="281">
        <v>0.5</v>
      </c>
      <c r="BB310" s="281">
        <v>0.5</v>
      </c>
      <c r="BC310" s="281">
        <v>0.5</v>
      </c>
      <c r="BD310" s="281">
        <v>0.5</v>
      </c>
      <c r="BE310" s="281">
        <v>0.5</v>
      </c>
      <c r="BF310" s="281">
        <v>0.5</v>
      </c>
      <c r="BG310" s="281">
        <v>0.3</v>
      </c>
      <c r="BH310" s="281">
        <v>0.3</v>
      </c>
      <c r="BI310" s="281">
        <v>0.3</v>
      </c>
      <c r="BJ310" s="281">
        <v>0.3</v>
      </c>
      <c r="BK310" s="281">
        <v>0.3</v>
      </c>
      <c r="BL310" s="281">
        <v>0.3</v>
      </c>
      <c r="BM310" s="281">
        <v>0.3</v>
      </c>
      <c r="BN310" s="281">
        <v>0.3</v>
      </c>
      <c r="BO310" s="281">
        <v>0.3</v>
      </c>
      <c r="BP310" s="281">
        <v>0.3</v>
      </c>
      <c r="BQ310" s="281">
        <v>0.3</v>
      </c>
      <c r="BR310" s="286">
        <v>0</v>
      </c>
    </row>
    <row r="311" spans="1:70" ht="14.25" customHeight="1" x14ac:dyDescent="0.35">
      <c r="A311" s="4" t="s">
        <v>445</v>
      </c>
      <c r="B311" s="384">
        <v>952.0038333333332</v>
      </c>
      <c r="C311" s="385"/>
      <c r="D311" s="41" t="s">
        <v>106</v>
      </c>
      <c r="E311" s="93">
        <f t="shared" si="2"/>
        <v>0</v>
      </c>
      <c r="F311" s="93">
        <v>2025</v>
      </c>
      <c r="G311" s="93">
        <v>2050</v>
      </c>
      <c r="I311" s="41" t="s">
        <v>106</v>
      </c>
      <c r="J311" s="281">
        <v>0.85</v>
      </c>
      <c r="K311" s="281">
        <v>0.85</v>
      </c>
      <c r="L311" s="281">
        <v>0.85</v>
      </c>
      <c r="M311" s="281">
        <v>0.85</v>
      </c>
      <c r="N311" s="281">
        <v>0.85</v>
      </c>
      <c r="O311" s="281">
        <v>0.85</v>
      </c>
      <c r="P311" s="281">
        <v>0.85</v>
      </c>
      <c r="Q311" s="281">
        <v>0.85</v>
      </c>
      <c r="R311" s="281">
        <v>0.85</v>
      </c>
      <c r="S311" s="281">
        <v>0.85</v>
      </c>
      <c r="T311" s="281">
        <v>0.85</v>
      </c>
      <c r="U311" s="281">
        <v>0.85</v>
      </c>
      <c r="V311" s="281">
        <v>0.85</v>
      </c>
      <c r="W311" s="281">
        <v>0.85</v>
      </c>
      <c r="X311" s="281">
        <v>0.85</v>
      </c>
      <c r="Y311" s="281">
        <v>0.85</v>
      </c>
      <c r="Z311" s="281">
        <v>0.85</v>
      </c>
      <c r="AA311" s="281">
        <v>0.85</v>
      </c>
      <c r="AB311" s="281">
        <v>0.85</v>
      </c>
      <c r="AC311" s="281">
        <v>0.85</v>
      </c>
      <c r="AD311" s="281">
        <v>0.85</v>
      </c>
      <c r="AE311" s="281">
        <v>0.85</v>
      </c>
      <c r="AF311" s="281">
        <v>0.85</v>
      </c>
      <c r="AG311" s="281">
        <v>0.85</v>
      </c>
      <c r="AH311" s="281">
        <v>0.65</v>
      </c>
      <c r="AI311" s="281">
        <v>0.65</v>
      </c>
      <c r="AJ311" s="281">
        <v>0.65</v>
      </c>
      <c r="AK311" s="281">
        <v>0.65</v>
      </c>
      <c r="AL311" s="281">
        <v>0.65</v>
      </c>
      <c r="AM311" s="281">
        <v>0.65</v>
      </c>
      <c r="AN311" s="281">
        <v>0.65</v>
      </c>
      <c r="AO311" s="281">
        <v>0.65</v>
      </c>
      <c r="AP311" s="281">
        <v>0.65</v>
      </c>
      <c r="AQ311" s="281">
        <v>0.65</v>
      </c>
      <c r="AR311" s="281">
        <v>0.65</v>
      </c>
      <c r="AS311" s="281">
        <v>0.65</v>
      </c>
      <c r="AT311" s="281">
        <v>0.5</v>
      </c>
      <c r="AU311" s="281">
        <v>0.5</v>
      </c>
      <c r="AV311" s="281">
        <v>0.5</v>
      </c>
      <c r="AW311" s="281">
        <v>0.5</v>
      </c>
      <c r="AX311" s="281">
        <v>0.5</v>
      </c>
      <c r="AY311" s="281">
        <v>0.5</v>
      </c>
      <c r="AZ311" s="281">
        <v>0.5</v>
      </c>
      <c r="BA311" s="281">
        <v>0.5</v>
      </c>
      <c r="BB311" s="281">
        <v>0.5</v>
      </c>
      <c r="BC311" s="281">
        <v>0.5</v>
      </c>
      <c r="BD311" s="281">
        <v>0.5</v>
      </c>
      <c r="BE311" s="281">
        <v>0.5</v>
      </c>
      <c r="BF311" s="281">
        <v>0.5</v>
      </c>
      <c r="BG311" s="281">
        <v>0.3</v>
      </c>
      <c r="BH311" s="281">
        <v>0.3</v>
      </c>
      <c r="BI311" s="281">
        <v>0.3</v>
      </c>
      <c r="BJ311" s="281">
        <v>0.3</v>
      </c>
      <c r="BK311" s="281">
        <v>0.3</v>
      </c>
      <c r="BL311" s="281">
        <v>0.3</v>
      </c>
      <c r="BM311" s="281">
        <v>0.3</v>
      </c>
      <c r="BN311" s="281">
        <v>0.3</v>
      </c>
      <c r="BO311" s="281">
        <v>0.3</v>
      </c>
      <c r="BP311" s="281">
        <v>0.3</v>
      </c>
      <c r="BQ311" s="281">
        <v>0.3</v>
      </c>
      <c r="BR311" s="286">
        <v>0</v>
      </c>
    </row>
    <row r="312" spans="1:70" ht="14.25" customHeight="1" x14ac:dyDescent="0.35">
      <c r="A312" s="4" t="s">
        <v>446</v>
      </c>
      <c r="B312" s="384">
        <v>952.0038333333332</v>
      </c>
      <c r="C312" s="385"/>
      <c r="D312" s="41" t="s">
        <v>107</v>
      </c>
      <c r="E312" s="93">
        <f t="shared" si="2"/>
        <v>0</v>
      </c>
      <c r="F312" s="93">
        <v>2025</v>
      </c>
      <c r="G312" s="93">
        <v>2050</v>
      </c>
      <c r="I312" s="41" t="s">
        <v>107</v>
      </c>
      <c r="J312" s="281">
        <v>0.85</v>
      </c>
      <c r="K312" s="281">
        <v>0.85</v>
      </c>
      <c r="L312" s="281">
        <v>0.85</v>
      </c>
      <c r="M312" s="281">
        <v>0.85</v>
      </c>
      <c r="N312" s="281">
        <v>0.85</v>
      </c>
      <c r="O312" s="281">
        <v>0.85</v>
      </c>
      <c r="P312" s="281">
        <v>0.85</v>
      </c>
      <c r="Q312" s="281">
        <v>0.85</v>
      </c>
      <c r="R312" s="281">
        <v>0.85</v>
      </c>
      <c r="S312" s="281">
        <v>0.85</v>
      </c>
      <c r="T312" s="281">
        <v>0.85</v>
      </c>
      <c r="U312" s="281">
        <v>0.85</v>
      </c>
      <c r="V312" s="281">
        <v>0.85</v>
      </c>
      <c r="W312" s="281">
        <v>0.85</v>
      </c>
      <c r="X312" s="281">
        <v>0.85</v>
      </c>
      <c r="Y312" s="281">
        <v>0.85</v>
      </c>
      <c r="Z312" s="281">
        <v>0.85</v>
      </c>
      <c r="AA312" s="281">
        <v>0.85</v>
      </c>
      <c r="AB312" s="281">
        <v>0.85</v>
      </c>
      <c r="AC312" s="281">
        <v>0.85</v>
      </c>
      <c r="AD312" s="281">
        <v>0.85</v>
      </c>
      <c r="AE312" s="281">
        <v>0.85</v>
      </c>
      <c r="AF312" s="281">
        <v>0.85</v>
      </c>
      <c r="AG312" s="281">
        <v>0.85</v>
      </c>
      <c r="AH312" s="281">
        <v>0.65</v>
      </c>
      <c r="AI312" s="281">
        <v>0.65</v>
      </c>
      <c r="AJ312" s="281">
        <v>0.65</v>
      </c>
      <c r="AK312" s="281">
        <v>0.65</v>
      </c>
      <c r="AL312" s="281">
        <v>0.65</v>
      </c>
      <c r="AM312" s="281">
        <v>0.65</v>
      </c>
      <c r="AN312" s="281">
        <v>0.65</v>
      </c>
      <c r="AO312" s="281">
        <v>0.65</v>
      </c>
      <c r="AP312" s="281">
        <v>0.65</v>
      </c>
      <c r="AQ312" s="281">
        <v>0.65</v>
      </c>
      <c r="AR312" s="281">
        <v>0.65</v>
      </c>
      <c r="AS312" s="281">
        <v>0.65</v>
      </c>
      <c r="AT312" s="281">
        <v>0.5</v>
      </c>
      <c r="AU312" s="281">
        <v>0.5</v>
      </c>
      <c r="AV312" s="281">
        <v>0.5</v>
      </c>
      <c r="AW312" s="281">
        <v>0.5</v>
      </c>
      <c r="AX312" s="281">
        <v>0.5</v>
      </c>
      <c r="AY312" s="281">
        <v>0.5</v>
      </c>
      <c r="AZ312" s="281">
        <v>0.5</v>
      </c>
      <c r="BA312" s="281">
        <v>0.5</v>
      </c>
      <c r="BB312" s="281">
        <v>0.5</v>
      </c>
      <c r="BC312" s="281">
        <v>0.5</v>
      </c>
      <c r="BD312" s="281">
        <v>0.5</v>
      </c>
      <c r="BE312" s="281">
        <v>0.5</v>
      </c>
      <c r="BF312" s="281">
        <v>0.5</v>
      </c>
      <c r="BG312" s="281">
        <v>0.3</v>
      </c>
      <c r="BH312" s="281">
        <v>0.3</v>
      </c>
      <c r="BI312" s="281">
        <v>0.3</v>
      </c>
      <c r="BJ312" s="281">
        <v>0.3</v>
      </c>
      <c r="BK312" s="281">
        <v>0.3</v>
      </c>
      <c r="BL312" s="281">
        <v>0.3</v>
      </c>
      <c r="BM312" s="281">
        <v>0.3</v>
      </c>
      <c r="BN312" s="281">
        <v>0.3</v>
      </c>
      <c r="BO312" s="281">
        <v>0.3</v>
      </c>
      <c r="BP312" s="281">
        <v>0.3</v>
      </c>
      <c r="BQ312" s="281">
        <v>0.3</v>
      </c>
      <c r="BR312" s="286">
        <v>0</v>
      </c>
    </row>
    <row r="313" spans="1:70" ht="14.25" customHeight="1" x14ac:dyDescent="0.35">
      <c r="A313" s="4" t="s">
        <v>447</v>
      </c>
      <c r="B313" s="384">
        <v>952.0038333333332</v>
      </c>
      <c r="C313" s="385"/>
      <c r="D313" s="41" t="s">
        <v>108</v>
      </c>
      <c r="E313" s="93">
        <f t="shared" si="2"/>
        <v>0</v>
      </c>
      <c r="F313" s="93">
        <v>2025</v>
      </c>
      <c r="G313" s="93">
        <v>2050</v>
      </c>
      <c r="I313" s="41" t="s">
        <v>108</v>
      </c>
      <c r="J313" s="286">
        <v>0</v>
      </c>
      <c r="K313" s="286">
        <v>0</v>
      </c>
      <c r="L313" s="286">
        <v>0</v>
      </c>
      <c r="M313" s="286">
        <v>0</v>
      </c>
      <c r="N313" s="286">
        <v>0</v>
      </c>
      <c r="O313" s="286">
        <v>0</v>
      </c>
      <c r="P313" s="286">
        <v>0</v>
      </c>
      <c r="Q313" s="286">
        <v>0</v>
      </c>
      <c r="R313" s="286">
        <v>0</v>
      </c>
      <c r="S313" s="286">
        <v>0</v>
      </c>
      <c r="T313" s="286">
        <v>0</v>
      </c>
      <c r="U313" s="286">
        <v>0</v>
      </c>
      <c r="V313" s="286">
        <v>0</v>
      </c>
      <c r="W313" s="286">
        <v>0</v>
      </c>
      <c r="X313" s="286">
        <v>0</v>
      </c>
      <c r="Y313" s="286">
        <v>0</v>
      </c>
      <c r="Z313" s="286">
        <v>0</v>
      </c>
      <c r="AA313" s="286">
        <v>0</v>
      </c>
      <c r="AB313" s="286">
        <v>0</v>
      </c>
      <c r="AC313" s="286">
        <v>0</v>
      </c>
      <c r="AD313" s="286">
        <v>0</v>
      </c>
      <c r="AE313" s="286">
        <v>0</v>
      </c>
      <c r="AF313" s="286">
        <v>0</v>
      </c>
      <c r="AG313" s="286">
        <v>0</v>
      </c>
      <c r="AH313" s="286">
        <v>0</v>
      </c>
      <c r="AI313" s="286">
        <v>0</v>
      </c>
      <c r="AJ313" s="286">
        <v>0</v>
      </c>
      <c r="AK313" s="286">
        <v>0</v>
      </c>
      <c r="AL313" s="286">
        <v>0</v>
      </c>
      <c r="AM313" s="286">
        <v>0</v>
      </c>
      <c r="AN313" s="286">
        <v>0</v>
      </c>
      <c r="AO313" s="286">
        <v>0</v>
      </c>
      <c r="AP313" s="286">
        <v>0</v>
      </c>
      <c r="AQ313" s="286">
        <v>0</v>
      </c>
      <c r="AR313" s="286">
        <v>0</v>
      </c>
      <c r="AS313" s="286">
        <v>0</v>
      </c>
      <c r="AT313" s="286">
        <v>0</v>
      </c>
      <c r="AU313" s="286">
        <v>0</v>
      </c>
      <c r="AV313" s="286">
        <v>0</v>
      </c>
      <c r="AW313" s="286">
        <v>0</v>
      </c>
      <c r="AX313" s="286">
        <v>0</v>
      </c>
      <c r="AY313" s="286">
        <v>0</v>
      </c>
      <c r="AZ313" s="286">
        <v>0</v>
      </c>
      <c r="BA313" s="286">
        <v>0</v>
      </c>
      <c r="BB313" s="286">
        <v>0</v>
      </c>
      <c r="BC313" s="286">
        <v>0</v>
      </c>
      <c r="BD313" s="286">
        <v>0</v>
      </c>
      <c r="BE313" s="286">
        <v>0</v>
      </c>
      <c r="BF313" s="286">
        <v>0</v>
      </c>
      <c r="BG313" s="286">
        <v>0</v>
      </c>
      <c r="BH313" s="286">
        <v>0</v>
      </c>
      <c r="BI313" s="286">
        <v>0</v>
      </c>
      <c r="BJ313" s="286">
        <v>0</v>
      </c>
      <c r="BK313" s="286">
        <v>0</v>
      </c>
      <c r="BL313" s="286">
        <v>0</v>
      </c>
      <c r="BM313" s="286">
        <v>0</v>
      </c>
      <c r="BN313" s="286">
        <v>0</v>
      </c>
      <c r="BO313" s="286">
        <v>0</v>
      </c>
      <c r="BP313" s="286">
        <v>0</v>
      </c>
      <c r="BQ313" s="286">
        <v>0</v>
      </c>
      <c r="BR313" s="281">
        <v>0.65</v>
      </c>
    </row>
    <row r="314" spans="1:70" ht="14.25" customHeight="1" x14ac:dyDescent="0.35">
      <c r="A314" s="4" t="s">
        <v>448</v>
      </c>
      <c r="B314" s="384">
        <v>952.0038333333332</v>
      </c>
      <c r="C314" s="385"/>
      <c r="D314" s="41" t="s">
        <v>109</v>
      </c>
      <c r="E314" s="93">
        <f t="shared" si="2"/>
        <v>0</v>
      </c>
      <c r="F314" s="93">
        <v>2025</v>
      </c>
      <c r="G314" s="93">
        <v>2050</v>
      </c>
      <c r="I314" s="41" t="s">
        <v>109</v>
      </c>
      <c r="J314" s="281">
        <v>0.85</v>
      </c>
      <c r="K314" s="281">
        <v>0.85</v>
      </c>
      <c r="L314" s="281">
        <v>0.85</v>
      </c>
      <c r="M314" s="281">
        <v>0.85</v>
      </c>
      <c r="N314" s="281">
        <v>0.85</v>
      </c>
      <c r="O314" s="281">
        <v>0.85</v>
      </c>
      <c r="P314" s="281">
        <v>0.85</v>
      </c>
      <c r="Q314" s="281">
        <v>0.85</v>
      </c>
      <c r="R314" s="281">
        <v>0.85</v>
      </c>
      <c r="S314" s="281">
        <v>0.85</v>
      </c>
      <c r="T314" s="281">
        <v>0.85</v>
      </c>
      <c r="U314" s="281">
        <v>0.85</v>
      </c>
      <c r="V314" s="281">
        <v>0.85</v>
      </c>
      <c r="W314" s="281">
        <v>0.85</v>
      </c>
      <c r="X314" s="281">
        <v>0.85</v>
      </c>
      <c r="Y314" s="281">
        <v>0.85</v>
      </c>
      <c r="Z314" s="281">
        <v>0.85</v>
      </c>
      <c r="AA314" s="281">
        <v>0.85</v>
      </c>
      <c r="AB314" s="281">
        <v>0.85</v>
      </c>
      <c r="AC314" s="281">
        <v>0.85</v>
      </c>
      <c r="AD314" s="281">
        <v>0.85</v>
      </c>
      <c r="AE314" s="281">
        <v>0.85</v>
      </c>
      <c r="AF314" s="281">
        <v>0.85</v>
      </c>
      <c r="AG314" s="281">
        <v>0.85</v>
      </c>
      <c r="AH314" s="281">
        <v>0.65</v>
      </c>
      <c r="AI314" s="281">
        <v>0.65</v>
      </c>
      <c r="AJ314" s="281">
        <v>0.65</v>
      </c>
      <c r="AK314" s="281">
        <v>0.65</v>
      </c>
      <c r="AL314" s="281">
        <v>0.65</v>
      </c>
      <c r="AM314" s="281">
        <v>0.65</v>
      </c>
      <c r="AN314" s="281">
        <v>0.65</v>
      </c>
      <c r="AO314" s="281">
        <v>0.65</v>
      </c>
      <c r="AP314" s="281">
        <v>0.65</v>
      </c>
      <c r="AQ314" s="281">
        <v>0.65</v>
      </c>
      <c r="AR314" s="281">
        <v>0.65</v>
      </c>
      <c r="AS314" s="281">
        <v>0.65</v>
      </c>
      <c r="AT314" s="281">
        <v>0.5</v>
      </c>
      <c r="AU314" s="281">
        <v>0.5</v>
      </c>
      <c r="AV314" s="281">
        <v>0.5</v>
      </c>
      <c r="AW314" s="281">
        <v>0.5</v>
      </c>
      <c r="AX314" s="281">
        <v>0.5</v>
      </c>
      <c r="AY314" s="281">
        <v>0.5</v>
      </c>
      <c r="AZ314" s="281">
        <v>0.5</v>
      </c>
      <c r="BA314" s="281">
        <v>0.5</v>
      </c>
      <c r="BB314" s="281">
        <v>0.5</v>
      </c>
      <c r="BC314" s="281">
        <v>0.5</v>
      </c>
      <c r="BD314" s="281">
        <v>0.5</v>
      </c>
      <c r="BE314" s="281">
        <v>0.5</v>
      </c>
      <c r="BF314" s="281">
        <v>0.5</v>
      </c>
      <c r="BG314" s="281">
        <v>0.3</v>
      </c>
      <c r="BH314" s="281">
        <v>0.3</v>
      </c>
      <c r="BI314" s="281">
        <v>0.3</v>
      </c>
      <c r="BJ314" s="281">
        <v>0.3</v>
      </c>
      <c r="BK314" s="281">
        <v>0.3</v>
      </c>
      <c r="BL314" s="281">
        <v>0.3</v>
      </c>
      <c r="BM314" s="281">
        <v>0.3</v>
      </c>
      <c r="BN314" s="281">
        <v>0.3</v>
      </c>
      <c r="BO314" s="281">
        <v>0.3</v>
      </c>
      <c r="BP314" s="281">
        <v>0.3</v>
      </c>
      <c r="BQ314" s="281">
        <v>0.3</v>
      </c>
      <c r="BR314" s="286">
        <v>0</v>
      </c>
    </row>
    <row r="315" spans="1:70" ht="14.25" customHeight="1" x14ac:dyDescent="0.35">
      <c r="A315" s="4" t="s">
        <v>449</v>
      </c>
      <c r="B315" s="384">
        <v>952.0038333333332</v>
      </c>
      <c r="C315" s="385"/>
      <c r="D315" s="41" t="s">
        <v>229</v>
      </c>
      <c r="E315" s="93">
        <f t="shared" si="2"/>
        <v>0</v>
      </c>
      <c r="F315" s="93">
        <v>2025</v>
      </c>
      <c r="G315" s="93">
        <v>2050</v>
      </c>
      <c r="I315" s="41" t="s">
        <v>229</v>
      </c>
      <c r="J315" s="281">
        <v>0.85</v>
      </c>
      <c r="K315" s="281">
        <v>0.85</v>
      </c>
      <c r="L315" s="281">
        <v>0.85</v>
      </c>
      <c r="M315" s="281">
        <v>0.85</v>
      </c>
      <c r="N315" s="281">
        <v>0.85</v>
      </c>
      <c r="O315" s="281">
        <v>0.85</v>
      </c>
      <c r="P315" s="281">
        <v>0.85</v>
      </c>
      <c r="Q315" s="281">
        <v>0.85</v>
      </c>
      <c r="R315" s="281">
        <v>0.85</v>
      </c>
      <c r="S315" s="281">
        <v>0.85</v>
      </c>
      <c r="T315" s="281">
        <v>0.85</v>
      </c>
      <c r="U315" s="281">
        <v>0.85</v>
      </c>
      <c r="V315" s="281">
        <v>0.85</v>
      </c>
      <c r="W315" s="281">
        <v>0.85</v>
      </c>
      <c r="X315" s="281">
        <v>0.85</v>
      </c>
      <c r="Y315" s="281">
        <v>0.85</v>
      </c>
      <c r="Z315" s="281">
        <v>0.85</v>
      </c>
      <c r="AA315" s="281">
        <v>0.85</v>
      </c>
      <c r="AB315" s="281">
        <v>0.85</v>
      </c>
      <c r="AC315" s="281">
        <v>0.85</v>
      </c>
      <c r="AD315" s="281">
        <v>0.85</v>
      </c>
      <c r="AE315" s="281">
        <v>0.85</v>
      </c>
      <c r="AF315" s="281">
        <v>0.85</v>
      </c>
      <c r="AG315" s="281">
        <v>0.85</v>
      </c>
      <c r="AH315" s="281">
        <v>0.65</v>
      </c>
      <c r="AI315" s="281">
        <v>0.65</v>
      </c>
      <c r="AJ315" s="281">
        <v>0.65</v>
      </c>
      <c r="AK315" s="281">
        <v>0.65</v>
      </c>
      <c r="AL315" s="281">
        <v>0.65</v>
      </c>
      <c r="AM315" s="281">
        <v>0.65</v>
      </c>
      <c r="AN315" s="281">
        <v>0.65</v>
      </c>
      <c r="AO315" s="281">
        <v>0.65</v>
      </c>
      <c r="AP315" s="281">
        <v>0.65</v>
      </c>
      <c r="AQ315" s="281">
        <v>0.65</v>
      </c>
      <c r="AR315" s="281">
        <v>0.65</v>
      </c>
      <c r="AS315" s="281">
        <v>0.65</v>
      </c>
      <c r="AT315" s="281">
        <v>0.5</v>
      </c>
      <c r="AU315" s="281">
        <v>0.5</v>
      </c>
      <c r="AV315" s="281">
        <v>0.5</v>
      </c>
      <c r="AW315" s="281">
        <v>0.5</v>
      </c>
      <c r="AX315" s="281">
        <v>0.5</v>
      </c>
      <c r="AY315" s="281">
        <v>0.5</v>
      </c>
      <c r="AZ315" s="281">
        <v>0.5</v>
      </c>
      <c r="BA315" s="281">
        <v>0.5</v>
      </c>
      <c r="BB315" s="281">
        <v>0.5</v>
      </c>
      <c r="BC315" s="281">
        <v>0.5</v>
      </c>
      <c r="BD315" s="281">
        <v>0.5</v>
      </c>
      <c r="BE315" s="281">
        <v>0.5</v>
      </c>
      <c r="BF315" s="281">
        <v>0.5</v>
      </c>
      <c r="BG315" s="281">
        <v>0.3</v>
      </c>
      <c r="BH315" s="281">
        <v>0.3</v>
      </c>
      <c r="BI315" s="281">
        <v>0.3</v>
      </c>
      <c r="BJ315" s="281">
        <v>0.3</v>
      </c>
      <c r="BK315" s="281">
        <v>0.3</v>
      </c>
      <c r="BL315" s="281">
        <v>0.3</v>
      </c>
      <c r="BM315" s="281">
        <v>0.3</v>
      </c>
      <c r="BN315" s="281">
        <v>0.3</v>
      </c>
      <c r="BO315" s="281">
        <v>0.3</v>
      </c>
      <c r="BP315" s="281">
        <v>0.3</v>
      </c>
      <c r="BQ315" s="281">
        <v>0.3</v>
      </c>
      <c r="BR315" s="286">
        <v>0</v>
      </c>
    </row>
    <row r="316" spans="1:70" ht="14.25" customHeight="1" x14ac:dyDescent="0.35">
      <c r="A316" s="4" t="s">
        <v>450</v>
      </c>
      <c r="B316" s="384">
        <v>952.0038333333332</v>
      </c>
      <c r="C316" s="385"/>
      <c r="D316" s="41" t="s">
        <v>111</v>
      </c>
      <c r="E316" s="93">
        <f t="shared" si="2"/>
        <v>0</v>
      </c>
      <c r="F316" s="93">
        <v>2025</v>
      </c>
      <c r="G316" s="93">
        <v>2050</v>
      </c>
      <c r="I316" s="41" t="s">
        <v>111</v>
      </c>
      <c r="J316" s="281">
        <v>0.85</v>
      </c>
      <c r="K316" s="281">
        <v>0.85</v>
      </c>
      <c r="L316" s="281">
        <v>0.85</v>
      </c>
      <c r="M316" s="281">
        <v>0.85</v>
      </c>
      <c r="N316" s="281">
        <v>0.85</v>
      </c>
      <c r="O316" s="281">
        <v>0.85</v>
      </c>
      <c r="P316" s="281">
        <v>0.85</v>
      </c>
      <c r="Q316" s="281">
        <v>0.85</v>
      </c>
      <c r="R316" s="281">
        <v>0.85</v>
      </c>
      <c r="S316" s="281">
        <v>0.85</v>
      </c>
      <c r="T316" s="281">
        <v>0.85</v>
      </c>
      <c r="U316" s="281">
        <v>0.85</v>
      </c>
      <c r="V316" s="281">
        <v>0.85</v>
      </c>
      <c r="W316" s="281">
        <v>0.85</v>
      </c>
      <c r="X316" s="281">
        <v>0.85</v>
      </c>
      <c r="Y316" s="281">
        <v>0.85</v>
      </c>
      <c r="Z316" s="281">
        <v>0.85</v>
      </c>
      <c r="AA316" s="281">
        <v>0.85</v>
      </c>
      <c r="AB316" s="281">
        <v>0.85</v>
      </c>
      <c r="AC316" s="281">
        <v>0.85</v>
      </c>
      <c r="AD316" s="281">
        <v>0.85</v>
      </c>
      <c r="AE316" s="281">
        <v>0.85</v>
      </c>
      <c r="AF316" s="281">
        <v>0.85</v>
      </c>
      <c r="AG316" s="281">
        <v>0.85</v>
      </c>
      <c r="AH316" s="281">
        <v>0.65</v>
      </c>
      <c r="AI316" s="281">
        <v>0.65</v>
      </c>
      <c r="AJ316" s="281">
        <v>0.65</v>
      </c>
      <c r="AK316" s="281">
        <v>0.65</v>
      </c>
      <c r="AL316" s="281">
        <v>0.65</v>
      </c>
      <c r="AM316" s="281">
        <v>0.65</v>
      </c>
      <c r="AN316" s="281">
        <v>0.65</v>
      </c>
      <c r="AO316" s="281">
        <v>0.65</v>
      </c>
      <c r="AP316" s="281">
        <v>0.65</v>
      </c>
      <c r="AQ316" s="281">
        <v>0.65</v>
      </c>
      <c r="AR316" s="281">
        <v>0.65</v>
      </c>
      <c r="AS316" s="281">
        <v>0.65</v>
      </c>
      <c r="AT316" s="281">
        <v>0.5</v>
      </c>
      <c r="AU316" s="281">
        <v>0.5</v>
      </c>
      <c r="AV316" s="281">
        <v>0.5</v>
      </c>
      <c r="AW316" s="281">
        <v>0.5</v>
      </c>
      <c r="AX316" s="281">
        <v>0.5</v>
      </c>
      <c r="AY316" s="281">
        <v>0.5</v>
      </c>
      <c r="AZ316" s="281">
        <v>0.5</v>
      </c>
      <c r="BA316" s="281">
        <v>0.5</v>
      </c>
      <c r="BB316" s="281">
        <v>0.5</v>
      </c>
      <c r="BC316" s="281">
        <v>0.5</v>
      </c>
      <c r="BD316" s="281">
        <v>0.5</v>
      </c>
      <c r="BE316" s="281">
        <v>0.5</v>
      </c>
      <c r="BF316" s="281">
        <v>0.5</v>
      </c>
      <c r="BG316" s="281">
        <v>0.3</v>
      </c>
      <c r="BH316" s="281">
        <v>0.3</v>
      </c>
      <c r="BI316" s="281">
        <v>0.3</v>
      </c>
      <c r="BJ316" s="281">
        <v>0.3</v>
      </c>
      <c r="BK316" s="281">
        <v>0.3</v>
      </c>
      <c r="BL316" s="281">
        <v>0.3</v>
      </c>
      <c r="BM316" s="281">
        <v>0.3</v>
      </c>
      <c r="BN316" s="281">
        <v>0.3</v>
      </c>
      <c r="BO316" s="281">
        <v>0.3</v>
      </c>
      <c r="BP316" s="281">
        <v>0.3</v>
      </c>
      <c r="BQ316" s="281">
        <v>0.3</v>
      </c>
      <c r="BR316" s="286">
        <v>0</v>
      </c>
    </row>
    <row r="317" spans="1:70" ht="14.25" customHeight="1" x14ac:dyDescent="0.35">
      <c r="A317" s="4" t="s">
        <v>451</v>
      </c>
      <c r="B317" s="384">
        <v>952.0038333333332</v>
      </c>
      <c r="C317" s="385"/>
      <c r="D317" s="41" t="s">
        <v>112</v>
      </c>
      <c r="E317" s="93">
        <f t="shared" si="2"/>
        <v>0</v>
      </c>
      <c r="F317" s="93">
        <v>2025</v>
      </c>
      <c r="G317" s="93">
        <v>2050</v>
      </c>
      <c r="I317" s="41" t="s">
        <v>112</v>
      </c>
      <c r="J317" s="286">
        <v>0</v>
      </c>
      <c r="K317" s="286">
        <v>0</v>
      </c>
      <c r="L317" s="286">
        <v>0</v>
      </c>
      <c r="M317" s="286">
        <v>0</v>
      </c>
      <c r="N317" s="286">
        <v>0</v>
      </c>
      <c r="O317" s="286">
        <v>0</v>
      </c>
      <c r="P317" s="286">
        <v>0</v>
      </c>
      <c r="Q317" s="286">
        <v>0</v>
      </c>
      <c r="R317" s="286">
        <v>0</v>
      </c>
      <c r="S317" s="286">
        <v>0</v>
      </c>
      <c r="T317" s="286">
        <v>0</v>
      </c>
      <c r="U317" s="286">
        <v>0</v>
      </c>
      <c r="V317" s="286">
        <v>0</v>
      </c>
      <c r="W317" s="286">
        <v>0</v>
      </c>
      <c r="X317" s="286">
        <v>0</v>
      </c>
      <c r="Y317" s="286">
        <v>0</v>
      </c>
      <c r="Z317" s="286">
        <v>0</v>
      </c>
      <c r="AA317" s="286">
        <v>0</v>
      </c>
      <c r="AB317" s="286">
        <v>0</v>
      </c>
      <c r="AC317" s="286">
        <v>0</v>
      </c>
      <c r="AD317" s="286">
        <v>0</v>
      </c>
      <c r="AE317" s="286">
        <v>0</v>
      </c>
      <c r="AF317" s="286">
        <v>0</v>
      </c>
      <c r="AG317" s="286">
        <v>0</v>
      </c>
      <c r="AH317" s="286">
        <v>0</v>
      </c>
      <c r="AI317" s="286">
        <v>0</v>
      </c>
      <c r="AJ317" s="286">
        <v>0</v>
      </c>
      <c r="AK317" s="286">
        <v>0</v>
      </c>
      <c r="AL317" s="286">
        <v>0</v>
      </c>
      <c r="AM317" s="286">
        <v>0</v>
      </c>
      <c r="AN317" s="286">
        <v>0</v>
      </c>
      <c r="AO317" s="286">
        <v>0</v>
      </c>
      <c r="AP317" s="286">
        <v>0</v>
      </c>
      <c r="AQ317" s="286">
        <v>0</v>
      </c>
      <c r="AR317" s="286">
        <v>0</v>
      </c>
      <c r="AS317" s="286">
        <v>0</v>
      </c>
      <c r="AT317" s="286">
        <v>0</v>
      </c>
      <c r="AU317" s="286">
        <v>0</v>
      </c>
      <c r="AV317" s="286">
        <v>0</v>
      </c>
      <c r="AW317" s="286">
        <v>0</v>
      </c>
      <c r="AX317" s="286">
        <v>0</v>
      </c>
      <c r="AY317" s="286">
        <v>0</v>
      </c>
      <c r="AZ317" s="286">
        <v>0</v>
      </c>
      <c r="BA317" s="286">
        <v>0</v>
      </c>
      <c r="BB317" s="286">
        <v>0</v>
      </c>
      <c r="BC317" s="286">
        <v>0</v>
      </c>
      <c r="BD317" s="286">
        <v>0</v>
      </c>
      <c r="BE317" s="286">
        <v>0</v>
      </c>
      <c r="BF317" s="286">
        <v>0</v>
      </c>
      <c r="BG317" s="286">
        <v>0</v>
      </c>
      <c r="BH317" s="286">
        <v>0</v>
      </c>
      <c r="BI317" s="286">
        <v>0</v>
      </c>
      <c r="BJ317" s="286">
        <v>0</v>
      </c>
      <c r="BK317" s="286">
        <v>0</v>
      </c>
      <c r="BL317" s="286">
        <v>0</v>
      </c>
      <c r="BM317" s="286">
        <v>0</v>
      </c>
      <c r="BN317" s="286">
        <v>0</v>
      </c>
      <c r="BO317" s="286">
        <v>0</v>
      </c>
      <c r="BP317" s="286">
        <v>0</v>
      </c>
      <c r="BQ317" s="286">
        <v>0</v>
      </c>
      <c r="BR317" s="281">
        <v>0.65</v>
      </c>
    </row>
    <row r="318" spans="1:70" ht="14.25" customHeight="1" x14ac:dyDescent="0.35">
      <c r="A318" s="4" t="s">
        <v>452</v>
      </c>
      <c r="B318" s="384">
        <v>952.0038333333332</v>
      </c>
      <c r="C318" s="385"/>
      <c r="D318" s="41" t="s">
        <v>113</v>
      </c>
      <c r="E318" s="93">
        <f t="shared" si="2"/>
        <v>0</v>
      </c>
      <c r="F318" s="93">
        <v>2025</v>
      </c>
      <c r="G318" s="93">
        <v>2050</v>
      </c>
      <c r="I318" s="41" t="s">
        <v>113</v>
      </c>
      <c r="J318" s="286">
        <v>0</v>
      </c>
      <c r="K318" s="286">
        <v>0</v>
      </c>
      <c r="L318" s="286">
        <v>0</v>
      </c>
      <c r="M318" s="286">
        <v>0</v>
      </c>
      <c r="N318" s="286">
        <v>0</v>
      </c>
      <c r="O318" s="286">
        <v>0</v>
      </c>
      <c r="P318" s="286">
        <v>0</v>
      </c>
      <c r="Q318" s="286">
        <v>0</v>
      </c>
      <c r="R318" s="286">
        <v>0</v>
      </c>
      <c r="S318" s="286">
        <v>0</v>
      </c>
      <c r="T318" s="286">
        <v>0</v>
      </c>
      <c r="U318" s="286">
        <v>0</v>
      </c>
      <c r="V318" s="286">
        <v>0</v>
      </c>
      <c r="W318" s="286">
        <v>0</v>
      </c>
      <c r="X318" s="286">
        <v>0</v>
      </c>
      <c r="Y318" s="286">
        <v>0</v>
      </c>
      <c r="Z318" s="286">
        <v>0</v>
      </c>
      <c r="AA318" s="286">
        <v>0</v>
      </c>
      <c r="AB318" s="286">
        <v>0</v>
      </c>
      <c r="AC318" s="286">
        <v>0</v>
      </c>
      <c r="AD318" s="286">
        <v>0</v>
      </c>
      <c r="AE318" s="286">
        <v>0</v>
      </c>
      <c r="AF318" s="286">
        <v>0</v>
      </c>
      <c r="AG318" s="286">
        <v>0</v>
      </c>
      <c r="AH318" s="286">
        <v>0</v>
      </c>
      <c r="AI318" s="286">
        <v>0</v>
      </c>
      <c r="AJ318" s="286">
        <v>0</v>
      </c>
      <c r="AK318" s="286">
        <v>0</v>
      </c>
      <c r="AL318" s="286">
        <v>0</v>
      </c>
      <c r="AM318" s="286">
        <v>0</v>
      </c>
      <c r="AN318" s="286">
        <v>0</v>
      </c>
      <c r="AO318" s="286">
        <v>0</v>
      </c>
      <c r="AP318" s="286">
        <v>0</v>
      </c>
      <c r="AQ318" s="286">
        <v>0</v>
      </c>
      <c r="AR318" s="286">
        <v>0</v>
      </c>
      <c r="AS318" s="286">
        <v>0</v>
      </c>
      <c r="AT318" s="286">
        <v>0</v>
      </c>
      <c r="AU318" s="286">
        <v>0</v>
      </c>
      <c r="AV318" s="286">
        <v>0</v>
      </c>
      <c r="AW318" s="286">
        <v>0</v>
      </c>
      <c r="AX318" s="286">
        <v>0</v>
      </c>
      <c r="AY318" s="286">
        <v>0</v>
      </c>
      <c r="AZ318" s="286">
        <v>0</v>
      </c>
      <c r="BA318" s="286">
        <v>0</v>
      </c>
      <c r="BB318" s="286">
        <v>0</v>
      </c>
      <c r="BC318" s="286">
        <v>0</v>
      </c>
      <c r="BD318" s="286">
        <v>0</v>
      </c>
      <c r="BE318" s="286">
        <v>0</v>
      </c>
      <c r="BF318" s="286">
        <v>0</v>
      </c>
      <c r="BG318" s="286">
        <v>0</v>
      </c>
      <c r="BH318" s="286">
        <v>0</v>
      </c>
      <c r="BI318" s="286">
        <v>0</v>
      </c>
      <c r="BJ318" s="286">
        <v>0</v>
      </c>
      <c r="BK318" s="286">
        <v>0</v>
      </c>
      <c r="BL318" s="286">
        <v>0</v>
      </c>
      <c r="BM318" s="286">
        <v>0</v>
      </c>
      <c r="BN318" s="286">
        <v>0</v>
      </c>
      <c r="BO318" s="286">
        <v>0</v>
      </c>
      <c r="BP318" s="286">
        <v>0</v>
      </c>
      <c r="BQ318" s="286">
        <v>0</v>
      </c>
      <c r="BR318" s="281">
        <v>0.65</v>
      </c>
    </row>
    <row r="319" spans="1:70" ht="14.25" customHeight="1" x14ac:dyDescent="0.35">
      <c r="A319" s="4" t="s">
        <v>453</v>
      </c>
      <c r="B319" s="384">
        <v>952.0038333333332</v>
      </c>
      <c r="C319" s="385"/>
      <c r="D319" s="41" t="s">
        <v>114</v>
      </c>
      <c r="E319" s="93">
        <f t="shared" si="2"/>
        <v>0</v>
      </c>
      <c r="F319" s="93">
        <v>2025</v>
      </c>
      <c r="G319" s="93">
        <v>2050</v>
      </c>
      <c r="I319" s="41" t="s">
        <v>114</v>
      </c>
      <c r="J319" s="281">
        <v>0.85</v>
      </c>
      <c r="K319" s="281">
        <v>0.85</v>
      </c>
      <c r="L319" s="281">
        <v>0.85</v>
      </c>
      <c r="M319" s="281">
        <v>0.85</v>
      </c>
      <c r="N319" s="281">
        <v>0.85</v>
      </c>
      <c r="O319" s="281">
        <v>0.85</v>
      </c>
      <c r="P319" s="281">
        <v>0.85</v>
      </c>
      <c r="Q319" s="281">
        <v>0.85</v>
      </c>
      <c r="R319" s="281">
        <v>0.85</v>
      </c>
      <c r="S319" s="281">
        <v>0.85</v>
      </c>
      <c r="T319" s="281">
        <v>0.85</v>
      </c>
      <c r="U319" s="281">
        <v>0.85</v>
      </c>
      <c r="V319" s="281">
        <v>0.85</v>
      </c>
      <c r="W319" s="281">
        <v>0.85</v>
      </c>
      <c r="X319" s="281">
        <v>0.85</v>
      </c>
      <c r="Y319" s="281">
        <v>0.85</v>
      </c>
      <c r="Z319" s="281">
        <v>0.85</v>
      </c>
      <c r="AA319" s="281">
        <v>0.85</v>
      </c>
      <c r="AB319" s="281">
        <v>0.85</v>
      </c>
      <c r="AC319" s="281">
        <v>0.85</v>
      </c>
      <c r="AD319" s="281">
        <v>0.85</v>
      </c>
      <c r="AE319" s="281">
        <v>0.85</v>
      </c>
      <c r="AF319" s="281">
        <v>0.85</v>
      </c>
      <c r="AG319" s="281">
        <v>0.85</v>
      </c>
      <c r="AH319" s="281">
        <v>0.65</v>
      </c>
      <c r="AI319" s="281">
        <v>0.65</v>
      </c>
      <c r="AJ319" s="281">
        <v>0.65</v>
      </c>
      <c r="AK319" s="281">
        <v>0.65</v>
      </c>
      <c r="AL319" s="281">
        <v>0.65</v>
      </c>
      <c r="AM319" s="281">
        <v>0.65</v>
      </c>
      <c r="AN319" s="281">
        <v>0.65</v>
      </c>
      <c r="AO319" s="281">
        <v>0.65</v>
      </c>
      <c r="AP319" s="281">
        <v>0.65</v>
      </c>
      <c r="AQ319" s="281">
        <v>0.65</v>
      </c>
      <c r="AR319" s="281">
        <v>0.65</v>
      </c>
      <c r="AS319" s="281">
        <v>0.65</v>
      </c>
      <c r="AT319" s="281">
        <v>0.5</v>
      </c>
      <c r="AU319" s="281">
        <v>0.5</v>
      </c>
      <c r="AV319" s="281">
        <v>0.5</v>
      </c>
      <c r="AW319" s="281">
        <v>0.5</v>
      </c>
      <c r="AX319" s="281">
        <v>0.5</v>
      </c>
      <c r="AY319" s="281">
        <v>0.5</v>
      </c>
      <c r="AZ319" s="281">
        <v>0.5</v>
      </c>
      <c r="BA319" s="281">
        <v>0.5</v>
      </c>
      <c r="BB319" s="281">
        <v>0.5</v>
      </c>
      <c r="BC319" s="281">
        <v>0.5</v>
      </c>
      <c r="BD319" s="281">
        <v>0.5</v>
      </c>
      <c r="BE319" s="281">
        <v>0.5</v>
      </c>
      <c r="BF319" s="281">
        <v>0.5</v>
      </c>
      <c r="BG319" s="281">
        <v>0.3</v>
      </c>
      <c r="BH319" s="281">
        <v>0.3</v>
      </c>
      <c r="BI319" s="281">
        <v>0.3</v>
      </c>
      <c r="BJ319" s="281">
        <v>0.3</v>
      </c>
      <c r="BK319" s="281">
        <v>0.3</v>
      </c>
      <c r="BL319" s="281">
        <v>0.3</v>
      </c>
      <c r="BM319" s="281">
        <v>0.3</v>
      </c>
      <c r="BN319" s="281">
        <v>0.3</v>
      </c>
      <c r="BO319" s="281">
        <v>0.3</v>
      </c>
      <c r="BP319" s="281">
        <v>0.3</v>
      </c>
      <c r="BQ319" s="281">
        <v>0.3</v>
      </c>
      <c r="BR319" s="286">
        <v>0</v>
      </c>
    </row>
    <row r="320" spans="1:70" ht="14.25" customHeight="1" x14ac:dyDescent="0.35">
      <c r="A320" s="4" t="s">
        <v>454</v>
      </c>
      <c r="B320" s="384">
        <v>952.0038333333332</v>
      </c>
      <c r="C320" s="385"/>
      <c r="D320" s="41" t="s">
        <v>115</v>
      </c>
      <c r="E320" s="93">
        <f t="shared" si="2"/>
        <v>0</v>
      </c>
      <c r="F320" s="93">
        <v>2025</v>
      </c>
      <c r="G320" s="93">
        <v>2050</v>
      </c>
      <c r="I320" s="41" t="s">
        <v>115</v>
      </c>
      <c r="J320" s="281">
        <v>0.85</v>
      </c>
      <c r="K320" s="281">
        <v>0.85</v>
      </c>
      <c r="L320" s="281">
        <v>0.85</v>
      </c>
      <c r="M320" s="281">
        <v>0.85</v>
      </c>
      <c r="N320" s="281">
        <v>0.85</v>
      </c>
      <c r="O320" s="281">
        <v>0.85</v>
      </c>
      <c r="P320" s="281">
        <v>0.85</v>
      </c>
      <c r="Q320" s="281">
        <v>0.85</v>
      </c>
      <c r="R320" s="281">
        <v>0.85</v>
      </c>
      <c r="S320" s="281">
        <v>0.85</v>
      </c>
      <c r="T320" s="281">
        <v>0.85</v>
      </c>
      <c r="U320" s="281">
        <v>0.85</v>
      </c>
      <c r="V320" s="281">
        <v>0.85</v>
      </c>
      <c r="W320" s="281">
        <v>0.85</v>
      </c>
      <c r="X320" s="281">
        <v>0.85</v>
      </c>
      <c r="Y320" s="281">
        <v>0.85</v>
      </c>
      <c r="Z320" s="281">
        <v>0.85</v>
      </c>
      <c r="AA320" s="281">
        <v>0.85</v>
      </c>
      <c r="AB320" s="281">
        <v>0.85</v>
      </c>
      <c r="AC320" s="281">
        <v>0.85</v>
      </c>
      <c r="AD320" s="281">
        <v>0.85</v>
      </c>
      <c r="AE320" s="281">
        <v>0.85</v>
      </c>
      <c r="AF320" s="281">
        <v>0.85</v>
      </c>
      <c r="AG320" s="281">
        <v>0.85</v>
      </c>
      <c r="AH320" s="281">
        <v>0.65</v>
      </c>
      <c r="AI320" s="281">
        <v>0.65</v>
      </c>
      <c r="AJ320" s="281">
        <v>0.65</v>
      </c>
      <c r="AK320" s="281">
        <v>0.65</v>
      </c>
      <c r="AL320" s="281">
        <v>0.65</v>
      </c>
      <c r="AM320" s="281">
        <v>0.65</v>
      </c>
      <c r="AN320" s="281">
        <v>0.65</v>
      </c>
      <c r="AO320" s="281">
        <v>0.65</v>
      </c>
      <c r="AP320" s="281">
        <v>0.65</v>
      </c>
      <c r="AQ320" s="281">
        <v>0.65</v>
      </c>
      <c r="AR320" s="281">
        <v>0.65</v>
      </c>
      <c r="AS320" s="281">
        <v>0.65</v>
      </c>
      <c r="AT320" s="281">
        <v>0.5</v>
      </c>
      <c r="AU320" s="281">
        <v>0.5</v>
      </c>
      <c r="AV320" s="281">
        <v>0.5</v>
      </c>
      <c r="AW320" s="281">
        <v>0.5</v>
      </c>
      <c r="AX320" s="281">
        <v>0.5</v>
      </c>
      <c r="AY320" s="281">
        <v>0.5</v>
      </c>
      <c r="AZ320" s="281">
        <v>0.5</v>
      </c>
      <c r="BA320" s="281">
        <v>0.5</v>
      </c>
      <c r="BB320" s="281">
        <v>0.5</v>
      </c>
      <c r="BC320" s="281">
        <v>0.5</v>
      </c>
      <c r="BD320" s="281">
        <v>0.5</v>
      </c>
      <c r="BE320" s="281">
        <v>0.5</v>
      </c>
      <c r="BF320" s="281">
        <v>0.5</v>
      </c>
      <c r="BG320" s="281">
        <v>0.3</v>
      </c>
      <c r="BH320" s="281">
        <v>0.3</v>
      </c>
      <c r="BI320" s="281">
        <v>0.3</v>
      </c>
      <c r="BJ320" s="281">
        <v>0.3</v>
      </c>
      <c r="BK320" s="281">
        <v>0.3</v>
      </c>
      <c r="BL320" s="281">
        <v>0.3</v>
      </c>
      <c r="BM320" s="281">
        <v>0.3</v>
      </c>
      <c r="BN320" s="281">
        <v>0.3</v>
      </c>
      <c r="BO320" s="281">
        <v>0.3</v>
      </c>
      <c r="BP320" s="281">
        <v>0.3</v>
      </c>
      <c r="BQ320" s="281">
        <v>0.3</v>
      </c>
      <c r="BR320" s="286">
        <v>0</v>
      </c>
    </row>
    <row r="321" spans="1:70" ht="14.25" customHeight="1" x14ac:dyDescent="0.35">
      <c r="A321" s="4" t="s">
        <v>455</v>
      </c>
      <c r="B321" s="384">
        <v>952.0038333333332</v>
      </c>
      <c r="C321" s="385"/>
      <c r="D321" s="41" t="s">
        <v>116</v>
      </c>
      <c r="E321" s="93">
        <f t="shared" si="2"/>
        <v>0</v>
      </c>
      <c r="F321" s="93">
        <v>2025</v>
      </c>
      <c r="G321" s="93">
        <v>2050</v>
      </c>
      <c r="I321" s="41" t="s">
        <v>116</v>
      </c>
      <c r="J321" s="286">
        <v>0</v>
      </c>
      <c r="K321" s="286">
        <v>0</v>
      </c>
      <c r="L321" s="286">
        <v>0</v>
      </c>
      <c r="M321" s="286">
        <v>0</v>
      </c>
      <c r="N321" s="286">
        <v>0</v>
      </c>
      <c r="O321" s="286">
        <v>0</v>
      </c>
      <c r="P321" s="286">
        <v>0</v>
      </c>
      <c r="Q321" s="286">
        <v>0</v>
      </c>
      <c r="R321" s="286">
        <v>0</v>
      </c>
      <c r="S321" s="286">
        <v>0</v>
      </c>
      <c r="T321" s="286">
        <v>0</v>
      </c>
      <c r="U321" s="286">
        <v>0</v>
      </c>
      <c r="V321" s="286">
        <v>0</v>
      </c>
      <c r="W321" s="286">
        <v>0</v>
      </c>
      <c r="X321" s="286">
        <v>0</v>
      </c>
      <c r="Y321" s="286">
        <v>0</v>
      </c>
      <c r="Z321" s="286">
        <v>0</v>
      </c>
      <c r="AA321" s="286">
        <v>0</v>
      </c>
      <c r="AB321" s="286">
        <v>0</v>
      </c>
      <c r="AC321" s="286">
        <v>0</v>
      </c>
      <c r="AD321" s="286">
        <v>0</v>
      </c>
      <c r="AE321" s="286">
        <v>0</v>
      </c>
      <c r="AF321" s="286">
        <v>0</v>
      </c>
      <c r="AG321" s="286">
        <v>0</v>
      </c>
      <c r="AH321" s="286">
        <v>0</v>
      </c>
      <c r="AI321" s="286">
        <v>0</v>
      </c>
      <c r="AJ321" s="286">
        <v>0</v>
      </c>
      <c r="AK321" s="286">
        <v>0</v>
      </c>
      <c r="AL321" s="286">
        <v>0</v>
      </c>
      <c r="AM321" s="286">
        <v>0</v>
      </c>
      <c r="AN321" s="286">
        <v>0</v>
      </c>
      <c r="AO321" s="286">
        <v>0</v>
      </c>
      <c r="AP321" s="286">
        <v>0</v>
      </c>
      <c r="AQ321" s="286">
        <v>0</v>
      </c>
      <c r="AR321" s="286">
        <v>0</v>
      </c>
      <c r="AS321" s="286">
        <v>0</v>
      </c>
      <c r="AT321" s="286">
        <v>0</v>
      </c>
      <c r="AU321" s="286">
        <v>0</v>
      </c>
      <c r="AV321" s="286">
        <v>0</v>
      </c>
      <c r="AW321" s="286">
        <v>0</v>
      </c>
      <c r="AX321" s="286">
        <v>0</v>
      </c>
      <c r="AY321" s="286">
        <v>0</v>
      </c>
      <c r="AZ321" s="286">
        <v>0</v>
      </c>
      <c r="BA321" s="286">
        <v>0</v>
      </c>
      <c r="BB321" s="286">
        <v>0</v>
      </c>
      <c r="BC321" s="286">
        <v>0</v>
      </c>
      <c r="BD321" s="286">
        <v>0</v>
      </c>
      <c r="BE321" s="286">
        <v>0</v>
      </c>
      <c r="BF321" s="286">
        <v>0</v>
      </c>
      <c r="BG321" s="286">
        <v>0</v>
      </c>
      <c r="BH321" s="286">
        <v>0</v>
      </c>
      <c r="BI321" s="286">
        <v>0</v>
      </c>
      <c r="BJ321" s="286">
        <v>0</v>
      </c>
      <c r="BK321" s="286">
        <v>0</v>
      </c>
      <c r="BL321" s="286">
        <v>0</v>
      </c>
      <c r="BM321" s="286">
        <v>0</v>
      </c>
      <c r="BN321" s="286">
        <v>0</v>
      </c>
      <c r="BO321" s="286">
        <v>0</v>
      </c>
      <c r="BP321" s="286">
        <v>0</v>
      </c>
      <c r="BQ321" s="286">
        <v>0</v>
      </c>
      <c r="BR321" s="281">
        <v>0.65</v>
      </c>
    </row>
    <row r="322" spans="1:70" ht="14.25" customHeight="1" x14ac:dyDescent="0.35">
      <c r="A322" s="4" t="s">
        <v>456</v>
      </c>
      <c r="B322" s="384">
        <v>952.0038333333332</v>
      </c>
      <c r="C322" s="385"/>
      <c r="D322" s="41" t="s">
        <v>117</v>
      </c>
      <c r="E322" s="93">
        <f t="shared" si="2"/>
        <v>0</v>
      </c>
      <c r="F322" s="93">
        <v>2025</v>
      </c>
      <c r="G322" s="93">
        <v>2050</v>
      </c>
      <c r="I322" s="41" t="s">
        <v>117</v>
      </c>
      <c r="J322" s="281">
        <v>0.85</v>
      </c>
      <c r="K322" s="281">
        <v>0.85</v>
      </c>
      <c r="L322" s="281">
        <v>0.85</v>
      </c>
      <c r="M322" s="281">
        <v>0.85</v>
      </c>
      <c r="N322" s="281">
        <v>0.85</v>
      </c>
      <c r="O322" s="281">
        <v>0.85</v>
      </c>
      <c r="P322" s="281">
        <v>0.85</v>
      </c>
      <c r="Q322" s="281">
        <v>0.85</v>
      </c>
      <c r="R322" s="281">
        <v>0.85</v>
      </c>
      <c r="S322" s="281">
        <v>0.85</v>
      </c>
      <c r="T322" s="281">
        <v>0.85</v>
      </c>
      <c r="U322" s="281">
        <v>0.85</v>
      </c>
      <c r="V322" s="281">
        <v>0.85</v>
      </c>
      <c r="W322" s="281">
        <v>0.85</v>
      </c>
      <c r="X322" s="281">
        <v>0.85</v>
      </c>
      <c r="Y322" s="281">
        <v>0.85</v>
      </c>
      <c r="Z322" s="281">
        <v>0.85</v>
      </c>
      <c r="AA322" s="281">
        <v>0.85</v>
      </c>
      <c r="AB322" s="281">
        <v>0.85</v>
      </c>
      <c r="AC322" s="281">
        <v>0.85</v>
      </c>
      <c r="AD322" s="281">
        <v>0.85</v>
      </c>
      <c r="AE322" s="281">
        <v>0.85</v>
      </c>
      <c r="AF322" s="281">
        <v>0.85</v>
      </c>
      <c r="AG322" s="281">
        <v>0.85</v>
      </c>
      <c r="AH322" s="281">
        <v>0.65</v>
      </c>
      <c r="AI322" s="281">
        <v>0.65</v>
      </c>
      <c r="AJ322" s="281">
        <v>0.65</v>
      </c>
      <c r="AK322" s="281">
        <v>0.65</v>
      </c>
      <c r="AL322" s="281">
        <v>0.65</v>
      </c>
      <c r="AM322" s="281">
        <v>0.65</v>
      </c>
      <c r="AN322" s="281">
        <v>0.65</v>
      </c>
      <c r="AO322" s="281">
        <v>0.65</v>
      </c>
      <c r="AP322" s="281">
        <v>0.65</v>
      </c>
      <c r="AQ322" s="281">
        <v>0.65</v>
      </c>
      <c r="AR322" s="281">
        <v>0.65</v>
      </c>
      <c r="AS322" s="281">
        <v>0.65</v>
      </c>
      <c r="AT322" s="281">
        <v>0.5</v>
      </c>
      <c r="AU322" s="281">
        <v>0.5</v>
      </c>
      <c r="AV322" s="281">
        <v>0.5</v>
      </c>
      <c r="AW322" s="281">
        <v>0.5</v>
      </c>
      <c r="AX322" s="281">
        <v>0.5</v>
      </c>
      <c r="AY322" s="281">
        <v>0.5</v>
      </c>
      <c r="AZ322" s="281">
        <v>0.5</v>
      </c>
      <c r="BA322" s="281">
        <v>0.5</v>
      </c>
      <c r="BB322" s="281">
        <v>0.5</v>
      </c>
      <c r="BC322" s="281">
        <v>0.5</v>
      </c>
      <c r="BD322" s="281">
        <v>0.5</v>
      </c>
      <c r="BE322" s="281">
        <v>0.5</v>
      </c>
      <c r="BF322" s="281">
        <v>0.5</v>
      </c>
      <c r="BG322" s="281">
        <v>0.3</v>
      </c>
      <c r="BH322" s="281">
        <v>0.3</v>
      </c>
      <c r="BI322" s="281">
        <v>0.3</v>
      </c>
      <c r="BJ322" s="281">
        <v>0.3</v>
      </c>
      <c r="BK322" s="281">
        <v>0.3</v>
      </c>
      <c r="BL322" s="281">
        <v>0.3</v>
      </c>
      <c r="BM322" s="281">
        <v>0.3</v>
      </c>
      <c r="BN322" s="281">
        <v>0.3</v>
      </c>
      <c r="BO322" s="281">
        <v>0.3</v>
      </c>
      <c r="BP322" s="281">
        <v>0.3</v>
      </c>
      <c r="BQ322" s="281">
        <v>0.3</v>
      </c>
      <c r="BR322" s="286">
        <v>0</v>
      </c>
    </row>
    <row r="323" spans="1:70" ht="14.25" customHeight="1" x14ac:dyDescent="0.35">
      <c r="A323" s="4" t="s">
        <v>457</v>
      </c>
      <c r="B323" s="384">
        <v>952.0038333333332</v>
      </c>
      <c r="C323" s="385"/>
      <c r="D323" s="41" t="s">
        <v>118</v>
      </c>
      <c r="E323" s="93">
        <f t="shared" si="2"/>
        <v>0</v>
      </c>
      <c r="F323" s="93">
        <v>2025</v>
      </c>
      <c r="G323" s="93">
        <v>2050</v>
      </c>
      <c r="I323" s="41" t="s">
        <v>118</v>
      </c>
      <c r="J323" s="286">
        <v>0</v>
      </c>
      <c r="K323" s="286">
        <v>0</v>
      </c>
      <c r="L323" s="286">
        <v>0</v>
      </c>
      <c r="M323" s="286">
        <v>0</v>
      </c>
      <c r="N323" s="286">
        <v>0</v>
      </c>
      <c r="O323" s="286">
        <v>0</v>
      </c>
      <c r="P323" s="286">
        <v>0</v>
      </c>
      <c r="Q323" s="286">
        <v>0</v>
      </c>
      <c r="R323" s="286">
        <v>0</v>
      </c>
      <c r="S323" s="286">
        <v>0</v>
      </c>
      <c r="T323" s="286">
        <v>0</v>
      </c>
      <c r="U323" s="286">
        <v>0</v>
      </c>
      <c r="V323" s="286">
        <v>0</v>
      </c>
      <c r="W323" s="286">
        <v>0</v>
      </c>
      <c r="X323" s="286">
        <v>0</v>
      </c>
      <c r="Y323" s="286">
        <v>0</v>
      </c>
      <c r="Z323" s="286">
        <v>0</v>
      </c>
      <c r="AA323" s="286">
        <v>0</v>
      </c>
      <c r="AB323" s="286">
        <v>0</v>
      </c>
      <c r="AC323" s="286">
        <v>0</v>
      </c>
      <c r="AD323" s="286">
        <v>0</v>
      </c>
      <c r="AE323" s="286">
        <v>0</v>
      </c>
      <c r="AF323" s="286">
        <v>0</v>
      </c>
      <c r="AG323" s="286">
        <v>0</v>
      </c>
      <c r="AH323" s="286">
        <v>0</v>
      </c>
      <c r="AI323" s="286">
        <v>0</v>
      </c>
      <c r="AJ323" s="286">
        <v>0</v>
      </c>
      <c r="AK323" s="286">
        <v>0</v>
      </c>
      <c r="AL323" s="286">
        <v>0</v>
      </c>
      <c r="AM323" s="286">
        <v>0</v>
      </c>
      <c r="AN323" s="286">
        <v>0</v>
      </c>
      <c r="AO323" s="286">
        <v>0</v>
      </c>
      <c r="AP323" s="286">
        <v>0</v>
      </c>
      <c r="AQ323" s="286">
        <v>0</v>
      </c>
      <c r="AR323" s="286">
        <v>0</v>
      </c>
      <c r="AS323" s="286">
        <v>0</v>
      </c>
      <c r="AT323" s="286">
        <v>0</v>
      </c>
      <c r="AU323" s="286">
        <v>0</v>
      </c>
      <c r="AV323" s="286">
        <v>0</v>
      </c>
      <c r="AW323" s="286">
        <v>0</v>
      </c>
      <c r="AX323" s="286">
        <v>0</v>
      </c>
      <c r="AY323" s="286">
        <v>0</v>
      </c>
      <c r="AZ323" s="286">
        <v>0</v>
      </c>
      <c r="BA323" s="286">
        <v>0</v>
      </c>
      <c r="BB323" s="286">
        <v>0</v>
      </c>
      <c r="BC323" s="286">
        <v>0</v>
      </c>
      <c r="BD323" s="286">
        <v>0</v>
      </c>
      <c r="BE323" s="286">
        <v>0</v>
      </c>
      <c r="BF323" s="286">
        <v>0</v>
      </c>
      <c r="BG323" s="286">
        <v>0</v>
      </c>
      <c r="BH323" s="286">
        <v>0</v>
      </c>
      <c r="BI323" s="286">
        <v>0</v>
      </c>
      <c r="BJ323" s="286">
        <v>0</v>
      </c>
      <c r="BK323" s="286">
        <v>0</v>
      </c>
      <c r="BL323" s="286">
        <v>0</v>
      </c>
      <c r="BM323" s="286">
        <v>0</v>
      </c>
      <c r="BN323" s="286">
        <v>0</v>
      </c>
      <c r="BO323" s="286">
        <v>0</v>
      </c>
      <c r="BP323" s="286">
        <v>0</v>
      </c>
      <c r="BQ323" s="286">
        <v>0</v>
      </c>
      <c r="BR323" s="281">
        <v>0.65</v>
      </c>
    </row>
    <row r="324" spans="1:70" ht="14.25" customHeight="1" x14ac:dyDescent="0.35">
      <c r="A324" s="4" t="s">
        <v>458</v>
      </c>
      <c r="B324" s="384">
        <v>952.0038333333332</v>
      </c>
      <c r="C324" s="385"/>
      <c r="D324" s="41" t="s">
        <v>119</v>
      </c>
      <c r="E324" s="93">
        <f t="shared" si="2"/>
        <v>0</v>
      </c>
      <c r="F324" s="93">
        <v>2025</v>
      </c>
      <c r="G324" s="93">
        <v>2050</v>
      </c>
      <c r="I324" s="41" t="s">
        <v>119</v>
      </c>
      <c r="J324" s="281">
        <v>0.85</v>
      </c>
      <c r="K324" s="281">
        <v>0.85</v>
      </c>
      <c r="L324" s="281">
        <v>0.85</v>
      </c>
      <c r="M324" s="281">
        <v>0.85</v>
      </c>
      <c r="N324" s="281">
        <v>0.85</v>
      </c>
      <c r="O324" s="281">
        <v>0.85</v>
      </c>
      <c r="P324" s="281">
        <v>0.85</v>
      </c>
      <c r="Q324" s="281">
        <v>0.85</v>
      </c>
      <c r="R324" s="281">
        <v>0.85</v>
      </c>
      <c r="S324" s="281">
        <v>0.85</v>
      </c>
      <c r="T324" s="281">
        <v>0.85</v>
      </c>
      <c r="U324" s="281">
        <v>0.85</v>
      </c>
      <c r="V324" s="281">
        <v>0.85</v>
      </c>
      <c r="W324" s="281">
        <v>0.85</v>
      </c>
      <c r="X324" s="281">
        <v>0.85</v>
      </c>
      <c r="Y324" s="281">
        <v>0.85</v>
      </c>
      <c r="Z324" s="281">
        <v>0.85</v>
      </c>
      <c r="AA324" s="281">
        <v>0.85</v>
      </c>
      <c r="AB324" s="281">
        <v>0.85</v>
      </c>
      <c r="AC324" s="281">
        <v>0.85</v>
      </c>
      <c r="AD324" s="281">
        <v>0.85</v>
      </c>
      <c r="AE324" s="281">
        <v>0.85</v>
      </c>
      <c r="AF324" s="281">
        <v>0.85</v>
      </c>
      <c r="AG324" s="281">
        <v>0.85</v>
      </c>
      <c r="AH324" s="281">
        <v>0.65</v>
      </c>
      <c r="AI324" s="281">
        <v>0.65</v>
      </c>
      <c r="AJ324" s="281">
        <v>0.65</v>
      </c>
      <c r="AK324" s="281">
        <v>0.65</v>
      </c>
      <c r="AL324" s="281">
        <v>0.65</v>
      </c>
      <c r="AM324" s="281">
        <v>0.65</v>
      </c>
      <c r="AN324" s="281">
        <v>0.65</v>
      </c>
      <c r="AO324" s="281">
        <v>0.65</v>
      </c>
      <c r="AP324" s="281">
        <v>0.65</v>
      </c>
      <c r="AQ324" s="281">
        <v>0.65</v>
      </c>
      <c r="AR324" s="281">
        <v>0.65</v>
      </c>
      <c r="AS324" s="281">
        <v>0.65</v>
      </c>
      <c r="AT324" s="281">
        <v>0.5</v>
      </c>
      <c r="AU324" s="281">
        <v>0.5</v>
      </c>
      <c r="AV324" s="281">
        <v>0.5</v>
      </c>
      <c r="AW324" s="281">
        <v>0.5</v>
      </c>
      <c r="AX324" s="281">
        <v>0.5</v>
      </c>
      <c r="AY324" s="281">
        <v>0.5</v>
      </c>
      <c r="AZ324" s="281">
        <v>0.5</v>
      </c>
      <c r="BA324" s="281">
        <v>0.5</v>
      </c>
      <c r="BB324" s="281">
        <v>0.5</v>
      </c>
      <c r="BC324" s="281">
        <v>0.5</v>
      </c>
      <c r="BD324" s="281">
        <v>0.5</v>
      </c>
      <c r="BE324" s="281">
        <v>0.5</v>
      </c>
      <c r="BF324" s="281">
        <v>0.5</v>
      </c>
      <c r="BG324" s="281">
        <v>0.3</v>
      </c>
      <c r="BH324" s="281">
        <v>0.3</v>
      </c>
      <c r="BI324" s="281">
        <v>0.3</v>
      </c>
      <c r="BJ324" s="281">
        <v>0.3</v>
      </c>
      <c r="BK324" s="281">
        <v>0.3</v>
      </c>
      <c r="BL324" s="281">
        <v>0.3</v>
      </c>
      <c r="BM324" s="281">
        <v>0.3</v>
      </c>
      <c r="BN324" s="281">
        <v>0.3</v>
      </c>
      <c r="BO324" s="281">
        <v>0.3</v>
      </c>
      <c r="BP324" s="281">
        <v>0.3</v>
      </c>
      <c r="BQ324" s="281">
        <v>0.3</v>
      </c>
      <c r="BR324" s="286">
        <v>0</v>
      </c>
    </row>
    <row r="325" spans="1:70" ht="14.25" customHeight="1" x14ac:dyDescent="0.35">
      <c r="A325" s="4" t="s">
        <v>459</v>
      </c>
      <c r="B325" s="384">
        <v>952.0038333333332</v>
      </c>
      <c r="C325" s="385"/>
      <c r="D325" s="41" t="s">
        <v>120</v>
      </c>
      <c r="E325" s="93">
        <f t="shared" si="2"/>
        <v>0</v>
      </c>
      <c r="F325" s="93">
        <v>2025</v>
      </c>
      <c r="G325" s="93">
        <v>2050</v>
      </c>
      <c r="I325" s="41" t="s">
        <v>120</v>
      </c>
      <c r="J325" s="281">
        <v>0.85</v>
      </c>
      <c r="K325" s="281">
        <v>0.85</v>
      </c>
      <c r="L325" s="281">
        <v>0.85</v>
      </c>
      <c r="M325" s="281">
        <v>0.85</v>
      </c>
      <c r="N325" s="281">
        <v>0.85</v>
      </c>
      <c r="O325" s="281">
        <v>0.85</v>
      </c>
      <c r="P325" s="281">
        <v>0.85</v>
      </c>
      <c r="Q325" s="281">
        <v>0.85</v>
      </c>
      <c r="R325" s="281">
        <v>0.85</v>
      </c>
      <c r="S325" s="281">
        <v>0.85</v>
      </c>
      <c r="T325" s="281">
        <v>0.85</v>
      </c>
      <c r="U325" s="281">
        <v>0.85</v>
      </c>
      <c r="V325" s="281">
        <v>0.85</v>
      </c>
      <c r="W325" s="281">
        <v>0.85</v>
      </c>
      <c r="X325" s="281">
        <v>0.85</v>
      </c>
      <c r="Y325" s="281">
        <v>0.85</v>
      </c>
      <c r="Z325" s="281">
        <v>0.85</v>
      </c>
      <c r="AA325" s="281">
        <v>0.85</v>
      </c>
      <c r="AB325" s="281">
        <v>0.85</v>
      </c>
      <c r="AC325" s="281">
        <v>0.85</v>
      </c>
      <c r="AD325" s="281">
        <v>0.85</v>
      </c>
      <c r="AE325" s="281">
        <v>0.85</v>
      </c>
      <c r="AF325" s="281">
        <v>0.85</v>
      </c>
      <c r="AG325" s="281">
        <v>0.85</v>
      </c>
      <c r="AH325" s="281">
        <v>0.65</v>
      </c>
      <c r="AI325" s="281">
        <v>0.65</v>
      </c>
      <c r="AJ325" s="281">
        <v>0.65</v>
      </c>
      <c r="AK325" s="281">
        <v>0.65</v>
      </c>
      <c r="AL325" s="281">
        <v>0.65</v>
      </c>
      <c r="AM325" s="281">
        <v>0.65</v>
      </c>
      <c r="AN325" s="281">
        <v>0.65</v>
      </c>
      <c r="AO325" s="281">
        <v>0.65</v>
      </c>
      <c r="AP325" s="281">
        <v>0.65</v>
      </c>
      <c r="AQ325" s="281">
        <v>0.65</v>
      </c>
      <c r="AR325" s="281">
        <v>0.65</v>
      </c>
      <c r="AS325" s="281">
        <v>0.65</v>
      </c>
      <c r="AT325" s="281">
        <v>0.5</v>
      </c>
      <c r="AU325" s="281">
        <v>0.5</v>
      </c>
      <c r="AV325" s="281">
        <v>0.5</v>
      </c>
      <c r="AW325" s="281">
        <v>0.5</v>
      </c>
      <c r="AX325" s="281">
        <v>0.5</v>
      </c>
      <c r="AY325" s="281">
        <v>0.5</v>
      </c>
      <c r="AZ325" s="281">
        <v>0.5</v>
      </c>
      <c r="BA325" s="281">
        <v>0.5</v>
      </c>
      <c r="BB325" s="281">
        <v>0.5</v>
      </c>
      <c r="BC325" s="281">
        <v>0.5</v>
      </c>
      <c r="BD325" s="281">
        <v>0.5</v>
      </c>
      <c r="BE325" s="281">
        <v>0.5</v>
      </c>
      <c r="BF325" s="281">
        <v>0.5</v>
      </c>
      <c r="BG325" s="281">
        <v>0.3</v>
      </c>
      <c r="BH325" s="281">
        <v>0.3</v>
      </c>
      <c r="BI325" s="281">
        <v>0.3</v>
      </c>
      <c r="BJ325" s="281">
        <v>0.3</v>
      </c>
      <c r="BK325" s="281">
        <v>0.3</v>
      </c>
      <c r="BL325" s="281">
        <v>0.3</v>
      </c>
      <c r="BM325" s="281">
        <v>0.3</v>
      </c>
      <c r="BN325" s="281">
        <v>0.3</v>
      </c>
      <c r="BO325" s="281">
        <v>0.3</v>
      </c>
      <c r="BP325" s="281">
        <v>0.3</v>
      </c>
      <c r="BQ325" s="281">
        <v>0.3</v>
      </c>
      <c r="BR325" s="286">
        <v>0</v>
      </c>
    </row>
    <row r="326" spans="1:70" ht="14.25" customHeight="1" x14ac:dyDescent="0.35">
      <c r="A326" s="4" t="s">
        <v>83</v>
      </c>
      <c r="B326" s="384">
        <v>952.0038333333332</v>
      </c>
      <c r="C326" s="385"/>
      <c r="D326" s="42" t="s">
        <v>83</v>
      </c>
      <c r="E326" s="93">
        <f t="shared" si="2"/>
        <v>0</v>
      </c>
      <c r="F326" s="93">
        <v>2025</v>
      </c>
      <c r="G326" s="93">
        <v>2050</v>
      </c>
      <c r="I326" s="42" t="s">
        <v>83</v>
      </c>
      <c r="J326" s="286">
        <v>0</v>
      </c>
      <c r="K326" s="286">
        <v>0</v>
      </c>
      <c r="L326" s="286">
        <v>0</v>
      </c>
      <c r="M326" s="286">
        <v>0</v>
      </c>
      <c r="N326" s="286">
        <v>0</v>
      </c>
      <c r="O326" s="286">
        <v>0</v>
      </c>
      <c r="P326" s="286">
        <v>0</v>
      </c>
      <c r="Q326" s="286">
        <v>0</v>
      </c>
      <c r="R326" s="286">
        <v>0</v>
      </c>
      <c r="S326" s="286">
        <v>0</v>
      </c>
      <c r="T326" s="286">
        <v>0</v>
      </c>
      <c r="U326" s="286">
        <v>0</v>
      </c>
      <c r="V326" s="286">
        <v>0</v>
      </c>
      <c r="W326" s="286">
        <v>0</v>
      </c>
      <c r="X326" s="286">
        <v>0</v>
      </c>
      <c r="Y326" s="286">
        <v>0</v>
      </c>
      <c r="Z326" s="286">
        <v>0</v>
      </c>
      <c r="AA326" s="286">
        <v>0</v>
      </c>
      <c r="AB326" s="286">
        <v>0</v>
      </c>
      <c r="AC326" s="286">
        <v>0</v>
      </c>
      <c r="AD326" s="286">
        <v>0</v>
      </c>
      <c r="AE326" s="286">
        <v>0</v>
      </c>
      <c r="AF326" s="286">
        <v>0</v>
      </c>
      <c r="AG326" s="286">
        <v>0</v>
      </c>
      <c r="AH326" s="286">
        <v>0</v>
      </c>
      <c r="AI326" s="286">
        <v>0</v>
      </c>
      <c r="AJ326" s="286">
        <v>0</v>
      </c>
      <c r="AK326" s="286">
        <v>0</v>
      </c>
      <c r="AL326" s="286">
        <v>0</v>
      </c>
      <c r="AM326" s="286">
        <v>0</v>
      </c>
      <c r="AN326" s="286">
        <v>0</v>
      </c>
      <c r="AO326" s="286">
        <v>0</v>
      </c>
      <c r="AP326" s="286">
        <v>0</v>
      </c>
      <c r="AQ326" s="286">
        <v>0</v>
      </c>
      <c r="AR326" s="286">
        <v>0</v>
      </c>
      <c r="AS326" s="286">
        <v>0</v>
      </c>
      <c r="AT326" s="286">
        <v>0</v>
      </c>
      <c r="AU326" s="286">
        <v>0</v>
      </c>
      <c r="AV326" s="286">
        <v>0</v>
      </c>
      <c r="AW326" s="286">
        <v>0</v>
      </c>
      <c r="AX326" s="286">
        <v>0</v>
      </c>
      <c r="AY326" s="286">
        <v>0</v>
      </c>
      <c r="AZ326" s="286">
        <v>0</v>
      </c>
      <c r="BA326" s="286">
        <v>0</v>
      </c>
      <c r="BB326" s="286">
        <v>0</v>
      </c>
      <c r="BC326" s="286">
        <v>0</v>
      </c>
      <c r="BD326" s="286">
        <v>0</v>
      </c>
      <c r="BE326" s="286">
        <v>0</v>
      </c>
      <c r="BF326" s="286">
        <v>0</v>
      </c>
      <c r="BG326" s="286">
        <v>0</v>
      </c>
      <c r="BH326" s="286">
        <v>0</v>
      </c>
      <c r="BI326" s="286">
        <v>0</v>
      </c>
      <c r="BJ326" s="286">
        <v>0</v>
      </c>
      <c r="BK326" s="286">
        <v>0</v>
      </c>
      <c r="BL326" s="286">
        <v>0</v>
      </c>
      <c r="BM326" s="286">
        <v>0</v>
      </c>
      <c r="BN326" s="286">
        <v>0</v>
      </c>
      <c r="BO326" s="286">
        <v>0</v>
      </c>
      <c r="BP326" s="286">
        <v>0</v>
      </c>
      <c r="BQ326" s="286">
        <v>0</v>
      </c>
      <c r="BR326" s="281">
        <v>0.65</v>
      </c>
    </row>
    <row r="327" spans="1:70" ht="14.25" customHeight="1" x14ac:dyDescent="0.35">
      <c r="A327" s="4" t="s">
        <v>758</v>
      </c>
      <c r="B327" s="384">
        <v>0</v>
      </c>
      <c r="C327" s="385"/>
      <c r="D327" s="42" t="s">
        <v>144</v>
      </c>
      <c r="E327" s="386">
        <v>0</v>
      </c>
      <c r="F327" s="386">
        <v>0</v>
      </c>
      <c r="G327" s="386">
        <v>0</v>
      </c>
      <c r="I327" s="42" t="s">
        <v>144</v>
      </c>
      <c r="J327" s="286">
        <v>0</v>
      </c>
      <c r="K327" s="286">
        <v>0</v>
      </c>
      <c r="L327" s="286">
        <v>0</v>
      </c>
      <c r="M327" s="286">
        <v>0</v>
      </c>
      <c r="N327" s="286">
        <v>0</v>
      </c>
      <c r="O327" s="286">
        <v>0</v>
      </c>
      <c r="P327" s="286">
        <v>0</v>
      </c>
      <c r="Q327" s="286">
        <v>0</v>
      </c>
      <c r="R327" s="286">
        <v>0</v>
      </c>
      <c r="S327" s="286">
        <v>0</v>
      </c>
      <c r="T327" s="286">
        <v>0</v>
      </c>
      <c r="U327" s="286">
        <v>0</v>
      </c>
      <c r="V327" s="286">
        <v>0</v>
      </c>
      <c r="W327" s="286">
        <v>0</v>
      </c>
      <c r="X327" s="286">
        <v>0</v>
      </c>
      <c r="Y327" s="286">
        <v>0</v>
      </c>
      <c r="Z327" s="286">
        <v>0</v>
      </c>
      <c r="AA327" s="286">
        <v>0</v>
      </c>
      <c r="AB327" s="286">
        <v>0</v>
      </c>
      <c r="AC327" s="286">
        <v>0</v>
      </c>
      <c r="AD327" s="286">
        <v>0</v>
      </c>
      <c r="AE327" s="286">
        <v>0</v>
      </c>
      <c r="AF327" s="286">
        <v>0</v>
      </c>
      <c r="AG327" s="286">
        <v>0</v>
      </c>
      <c r="AH327" s="286">
        <v>0</v>
      </c>
      <c r="AI327" s="286">
        <v>0</v>
      </c>
      <c r="AJ327" s="286">
        <v>0</v>
      </c>
      <c r="AK327" s="286">
        <v>0</v>
      </c>
      <c r="AL327" s="286">
        <v>0</v>
      </c>
      <c r="AM327" s="286">
        <v>0</v>
      </c>
      <c r="AN327" s="286">
        <v>0</v>
      </c>
      <c r="AO327" s="286">
        <v>0</v>
      </c>
      <c r="AP327" s="286">
        <v>0</v>
      </c>
      <c r="AQ327" s="286">
        <v>0</v>
      </c>
      <c r="AR327" s="286">
        <v>0</v>
      </c>
      <c r="AS327" s="286">
        <v>0</v>
      </c>
      <c r="AT327" s="286">
        <v>0</v>
      </c>
      <c r="AU327" s="286">
        <v>0</v>
      </c>
      <c r="AV327" s="286">
        <v>0</v>
      </c>
      <c r="AW327" s="286">
        <v>0</v>
      </c>
      <c r="AX327" s="286">
        <v>0</v>
      </c>
      <c r="AY327" s="286">
        <v>0</v>
      </c>
      <c r="AZ327" s="286">
        <v>0</v>
      </c>
      <c r="BA327" s="286">
        <v>0</v>
      </c>
      <c r="BB327" s="286">
        <v>0</v>
      </c>
      <c r="BC327" s="286">
        <v>0</v>
      </c>
      <c r="BD327" s="286">
        <v>0</v>
      </c>
      <c r="BE327" s="286">
        <v>0</v>
      </c>
      <c r="BF327" s="286">
        <v>0</v>
      </c>
      <c r="BG327" s="286">
        <v>0</v>
      </c>
      <c r="BH327" s="286">
        <v>0</v>
      </c>
      <c r="BI327" s="286">
        <v>0</v>
      </c>
      <c r="BJ327" s="286">
        <v>0</v>
      </c>
      <c r="BK327" s="286">
        <v>0</v>
      </c>
      <c r="BL327" s="286">
        <v>0</v>
      </c>
      <c r="BM327" s="286">
        <v>0</v>
      </c>
      <c r="BN327" s="286">
        <v>0</v>
      </c>
      <c r="BO327" s="286">
        <v>0</v>
      </c>
      <c r="BP327" s="286">
        <v>0</v>
      </c>
      <c r="BQ327" s="286">
        <v>0</v>
      </c>
      <c r="BR327" s="286">
        <v>0</v>
      </c>
    </row>
    <row r="328" spans="1:70" ht="14.25" customHeight="1" x14ac:dyDescent="0.35">
      <c r="A328" s="4" t="s">
        <v>164</v>
      </c>
      <c r="B328" s="384">
        <v>0</v>
      </c>
      <c r="C328" s="385"/>
      <c r="D328" s="42" t="s">
        <v>164</v>
      </c>
      <c r="E328" s="386">
        <v>0</v>
      </c>
      <c r="F328" s="386">
        <v>0</v>
      </c>
      <c r="G328" s="386">
        <v>0</v>
      </c>
      <c r="I328" s="42" t="s">
        <v>164</v>
      </c>
      <c r="J328" s="286">
        <v>0</v>
      </c>
      <c r="K328" s="286">
        <v>0</v>
      </c>
      <c r="L328" s="286">
        <v>0</v>
      </c>
      <c r="M328" s="286">
        <v>0</v>
      </c>
      <c r="N328" s="286">
        <v>0</v>
      </c>
      <c r="O328" s="286">
        <v>0</v>
      </c>
      <c r="P328" s="286">
        <v>0</v>
      </c>
      <c r="Q328" s="286">
        <v>0</v>
      </c>
      <c r="R328" s="286">
        <v>0</v>
      </c>
      <c r="S328" s="286">
        <v>0</v>
      </c>
      <c r="T328" s="286">
        <v>0</v>
      </c>
      <c r="U328" s="286">
        <v>0</v>
      </c>
      <c r="V328" s="286">
        <v>0</v>
      </c>
      <c r="W328" s="286">
        <v>0</v>
      </c>
      <c r="X328" s="286">
        <v>0</v>
      </c>
      <c r="Y328" s="286">
        <v>0</v>
      </c>
      <c r="Z328" s="286">
        <v>0</v>
      </c>
      <c r="AA328" s="286">
        <v>0</v>
      </c>
      <c r="AB328" s="286">
        <v>0</v>
      </c>
      <c r="AC328" s="286">
        <v>0</v>
      </c>
      <c r="AD328" s="286">
        <v>0</v>
      </c>
      <c r="AE328" s="286">
        <v>0</v>
      </c>
      <c r="AF328" s="286">
        <v>0</v>
      </c>
      <c r="AG328" s="286">
        <v>0</v>
      </c>
      <c r="AH328" s="286">
        <v>0</v>
      </c>
      <c r="AI328" s="286">
        <v>0</v>
      </c>
      <c r="AJ328" s="286">
        <v>0</v>
      </c>
      <c r="AK328" s="286">
        <v>0</v>
      </c>
      <c r="AL328" s="286">
        <v>0</v>
      </c>
      <c r="AM328" s="286">
        <v>0</v>
      </c>
      <c r="AN328" s="286">
        <v>0</v>
      </c>
      <c r="AO328" s="286">
        <v>0</v>
      </c>
      <c r="AP328" s="286">
        <v>0</v>
      </c>
      <c r="AQ328" s="286">
        <v>0</v>
      </c>
      <c r="AR328" s="286">
        <v>0</v>
      </c>
      <c r="AS328" s="286">
        <v>0</v>
      </c>
      <c r="AT328" s="286">
        <v>0</v>
      </c>
      <c r="AU328" s="286">
        <v>0</v>
      </c>
      <c r="AV328" s="286">
        <v>0</v>
      </c>
      <c r="AW328" s="286">
        <v>0</v>
      </c>
      <c r="AX328" s="286">
        <v>0</v>
      </c>
      <c r="AY328" s="286">
        <v>0</v>
      </c>
      <c r="AZ328" s="286">
        <v>0</v>
      </c>
      <c r="BA328" s="286">
        <v>0</v>
      </c>
      <c r="BB328" s="286">
        <v>0</v>
      </c>
      <c r="BC328" s="286">
        <v>0</v>
      </c>
      <c r="BD328" s="286">
        <v>0</v>
      </c>
      <c r="BE328" s="286">
        <v>0</v>
      </c>
      <c r="BF328" s="286">
        <v>0</v>
      </c>
      <c r="BG328" s="286">
        <v>0</v>
      </c>
      <c r="BH328" s="286">
        <v>0</v>
      </c>
      <c r="BI328" s="286">
        <v>0</v>
      </c>
      <c r="BJ328" s="286">
        <v>0</v>
      </c>
      <c r="BK328" s="286">
        <v>0</v>
      </c>
      <c r="BL328" s="286">
        <v>0</v>
      </c>
      <c r="BM328" s="286">
        <v>0</v>
      </c>
      <c r="BN328" s="286">
        <v>0</v>
      </c>
      <c r="BO328" s="286">
        <v>0</v>
      </c>
      <c r="BP328" s="286">
        <v>0</v>
      </c>
      <c r="BQ328" s="286">
        <v>0</v>
      </c>
      <c r="BR328" s="286">
        <v>0</v>
      </c>
    </row>
    <row r="329" spans="1:70" ht="14.25" customHeight="1" x14ac:dyDescent="0.35">
      <c r="A329" s="4" t="s">
        <v>759</v>
      </c>
      <c r="B329" s="384">
        <v>0</v>
      </c>
      <c r="C329" s="385"/>
      <c r="D329" s="42" t="s">
        <v>145</v>
      </c>
      <c r="E329" s="386">
        <v>0</v>
      </c>
      <c r="F329" s="386">
        <v>0</v>
      </c>
      <c r="G329" s="386">
        <v>0</v>
      </c>
      <c r="I329" s="42" t="s">
        <v>145</v>
      </c>
      <c r="J329" s="286">
        <v>0</v>
      </c>
      <c r="K329" s="286">
        <v>0</v>
      </c>
      <c r="L329" s="286">
        <v>0</v>
      </c>
      <c r="M329" s="286">
        <v>0</v>
      </c>
      <c r="N329" s="286">
        <v>0</v>
      </c>
      <c r="O329" s="286">
        <v>0</v>
      </c>
      <c r="P329" s="286">
        <v>0</v>
      </c>
      <c r="Q329" s="286">
        <v>0</v>
      </c>
      <c r="R329" s="286">
        <v>0</v>
      </c>
      <c r="S329" s="286">
        <v>0</v>
      </c>
      <c r="T329" s="286">
        <v>0</v>
      </c>
      <c r="U329" s="286">
        <v>0</v>
      </c>
      <c r="V329" s="286">
        <v>0</v>
      </c>
      <c r="W329" s="286">
        <v>0</v>
      </c>
      <c r="X329" s="286">
        <v>0</v>
      </c>
      <c r="Y329" s="286">
        <v>0</v>
      </c>
      <c r="Z329" s="286">
        <v>0</v>
      </c>
      <c r="AA329" s="286">
        <v>0</v>
      </c>
      <c r="AB329" s="286">
        <v>0</v>
      </c>
      <c r="AC329" s="286">
        <v>0</v>
      </c>
      <c r="AD329" s="286">
        <v>0</v>
      </c>
      <c r="AE329" s="286">
        <v>0</v>
      </c>
      <c r="AF329" s="286">
        <v>0</v>
      </c>
      <c r="AG329" s="286">
        <v>0</v>
      </c>
      <c r="AH329" s="286">
        <v>0</v>
      </c>
      <c r="AI329" s="286">
        <v>0</v>
      </c>
      <c r="AJ329" s="286">
        <v>0</v>
      </c>
      <c r="AK329" s="286">
        <v>0</v>
      </c>
      <c r="AL329" s="286">
        <v>0</v>
      </c>
      <c r="AM329" s="286">
        <v>0</v>
      </c>
      <c r="AN329" s="286">
        <v>0</v>
      </c>
      <c r="AO329" s="286">
        <v>0</v>
      </c>
      <c r="AP329" s="286">
        <v>0</v>
      </c>
      <c r="AQ329" s="286">
        <v>0</v>
      </c>
      <c r="AR329" s="286">
        <v>0</v>
      </c>
      <c r="AS329" s="286">
        <v>0</v>
      </c>
      <c r="AT329" s="286">
        <v>0</v>
      </c>
      <c r="AU329" s="286">
        <v>0</v>
      </c>
      <c r="AV329" s="286">
        <v>0</v>
      </c>
      <c r="AW329" s="286">
        <v>0</v>
      </c>
      <c r="AX329" s="286">
        <v>0</v>
      </c>
      <c r="AY329" s="286">
        <v>0</v>
      </c>
      <c r="AZ329" s="286">
        <v>0</v>
      </c>
      <c r="BA329" s="286">
        <v>0</v>
      </c>
      <c r="BB329" s="286">
        <v>0</v>
      </c>
      <c r="BC329" s="286">
        <v>0</v>
      </c>
      <c r="BD329" s="286">
        <v>0</v>
      </c>
      <c r="BE329" s="286">
        <v>0</v>
      </c>
      <c r="BF329" s="286">
        <v>0</v>
      </c>
      <c r="BG329" s="286">
        <v>0</v>
      </c>
      <c r="BH329" s="286">
        <v>0</v>
      </c>
      <c r="BI329" s="286">
        <v>0</v>
      </c>
      <c r="BJ329" s="286">
        <v>0</v>
      </c>
      <c r="BK329" s="286">
        <v>0</v>
      </c>
      <c r="BL329" s="286">
        <v>0</v>
      </c>
      <c r="BM329" s="286">
        <v>0</v>
      </c>
      <c r="BN329" s="286">
        <v>0</v>
      </c>
      <c r="BO329" s="286">
        <v>0</v>
      </c>
      <c r="BP329" s="286">
        <v>0</v>
      </c>
      <c r="BQ329" s="286">
        <v>0</v>
      </c>
      <c r="BR329" s="286">
        <v>0</v>
      </c>
    </row>
    <row r="330" spans="1:70" ht="14.25" customHeight="1" x14ac:dyDescent="0.35">
      <c r="A330" s="4" t="s">
        <v>87</v>
      </c>
      <c r="B330" s="384">
        <v>0</v>
      </c>
      <c r="C330" s="385"/>
      <c r="D330" s="42" t="s">
        <v>87</v>
      </c>
      <c r="E330" s="386">
        <v>0</v>
      </c>
      <c r="F330" s="386">
        <v>0</v>
      </c>
      <c r="G330" s="386">
        <v>0</v>
      </c>
      <c r="I330" s="42" t="s">
        <v>87</v>
      </c>
      <c r="J330" s="286">
        <v>0</v>
      </c>
      <c r="K330" s="286">
        <v>0</v>
      </c>
      <c r="L330" s="286">
        <v>0</v>
      </c>
      <c r="M330" s="286">
        <v>0</v>
      </c>
      <c r="N330" s="286">
        <v>0</v>
      </c>
      <c r="O330" s="286">
        <v>0</v>
      </c>
      <c r="P330" s="286">
        <v>0</v>
      </c>
      <c r="Q330" s="286">
        <v>0</v>
      </c>
      <c r="R330" s="286">
        <v>0</v>
      </c>
      <c r="S330" s="286">
        <v>0</v>
      </c>
      <c r="T330" s="286">
        <v>0</v>
      </c>
      <c r="U330" s="286">
        <v>0</v>
      </c>
      <c r="V330" s="286">
        <v>0</v>
      </c>
      <c r="W330" s="286">
        <v>0</v>
      </c>
      <c r="X330" s="286">
        <v>0</v>
      </c>
      <c r="Y330" s="286">
        <v>0</v>
      </c>
      <c r="Z330" s="286">
        <v>0</v>
      </c>
      <c r="AA330" s="286">
        <v>0</v>
      </c>
      <c r="AB330" s="286">
        <v>0</v>
      </c>
      <c r="AC330" s="286">
        <v>0</v>
      </c>
      <c r="AD330" s="286">
        <v>0</v>
      </c>
      <c r="AE330" s="286">
        <v>0</v>
      </c>
      <c r="AF330" s="286">
        <v>0</v>
      </c>
      <c r="AG330" s="286">
        <v>0</v>
      </c>
      <c r="AH330" s="286">
        <v>0</v>
      </c>
      <c r="AI330" s="286">
        <v>0</v>
      </c>
      <c r="AJ330" s="286">
        <v>0</v>
      </c>
      <c r="AK330" s="286">
        <v>0</v>
      </c>
      <c r="AL330" s="286">
        <v>0</v>
      </c>
      <c r="AM330" s="286">
        <v>0</v>
      </c>
      <c r="AN330" s="286">
        <v>0</v>
      </c>
      <c r="AO330" s="286">
        <v>0</v>
      </c>
      <c r="AP330" s="286">
        <v>0</v>
      </c>
      <c r="AQ330" s="286">
        <v>0</v>
      </c>
      <c r="AR330" s="286">
        <v>0</v>
      </c>
      <c r="AS330" s="286">
        <v>0</v>
      </c>
      <c r="AT330" s="286">
        <v>0</v>
      </c>
      <c r="AU330" s="286">
        <v>0</v>
      </c>
      <c r="AV330" s="286">
        <v>0</v>
      </c>
      <c r="AW330" s="286">
        <v>0</v>
      </c>
      <c r="AX330" s="286">
        <v>0</v>
      </c>
      <c r="AY330" s="286">
        <v>0</v>
      </c>
      <c r="AZ330" s="286">
        <v>0</v>
      </c>
      <c r="BA330" s="286">
        <v>0</v>
      </c>
      <c r="BB330" s="286">
        <v>0</v>
      </c>
      <c r="BC330" s="286">
        <v>0</v>
      </c>
      <c r="BD330" s="286">
        <v>0</v>
      </c>
      <c r="BE330" s="286">
        <v>0</v>
      </c>
      <c r="BF330" s="286">
        <v>0</v>
      </c>
      <c r="BG330" s="286">
        <v>0</v>
      </c>
      <c r="BH330" s="286">
        <v>0</v>
      </c>
      <c r="BI330" s="286">
        <v>0</v>
      </c>
      <c r="BJ330" s="286">
        <v>0</v>
      </c>
      <c r="BK330" s="286">
        <v>0</v>
      </c>
      <c r="BL330" s="286">
        <v>0</v>
      </c>
      <c r="BM330" s="286">
        <v>0</v>
      </c>
      <c r="BN330" s="286">
        <v>0</v>
      </c>
      <c r="BO330" s="286">
        <v>0</v>
      </c>
      <c r="BP330" s="286">
        <v>0</v>
      </c>
      <c r="BQ330" s="286">
        <v>0</v>
      </c>
      <c r="BR330" s="286">
        <v>0</v>
      </c>
    </row>
    <row r="331" spans="1:70" ht="14.25" customHeight="1" x14ac:dyDescent="0.35">
      <c r="A331" s="4" t="s">
        <v>760</v>
      </c>
      <c r="B331" s="384">
        <v>0</v>
      </c>
      <c r="C331" s="385"/>
      <c r="D331" s="42" t="s">
        <v>146</v>
      </c>
      <c r="E331" s="386">
        <v>0</v>
      </c>
      <c r="F331" s="386">
        <v>0</v>
      </c>
      <c r="G331" s="386">
        <v>0</v>
      </c>
      <c r="I331" s="42" t="s">
        <v>146</v>
      </c>
      <c r="J331" s="286">
        <v>0</v>
      </c>
      <c r="K331" s="286">
        <v>0</v>
      </c>
      <c r="L331" s="286">
        <v>0</v>
      </c>
      <c r="M331" s="286">
        <v>0</v>
      </c>
      <c r="N331" s="286">
        <v>0</v>
      </c>
      <c r="O331" s="286">
        <v>0</v>
      </c>
      <c r="P331" s="286">
        <v>0</v>
      </c>
      <c r="Q331" s="286">
        <v>0</v>
      </c>
      <c r="R331" s="286">
        <v>0</v>
      </c>
      <c r="S331" s="286">
        <v>0</v>
      </c>
      <c r="T331" s="286">
        <v>0</v>
      </c>
      <c r="U331" s="286">
        <v>0</v>
      </c>
      <c r="V331" s="286">
        <v>0</v>
      </c>
      <c r="W331" s="286">
        <v>0</v>
      </c>
      <c r="X331" s="286">
        <v>0</v>
      </c>
      <c r="Y331" s="286">
        <v>0</v>
      </c>
      <c r="Z331" s="286">
        <v>0</v>
      </c>
      <c r="AA331" s="286">
        <v>0</v>
      </c>
      <c r="AB331" s="286">
        <v>0</v>
      </c>
      <c r="AC331" s="286">
        <v>0</v>
      </c>
      <c r="AD331" s="286">
        <v>0</v>
      </c>
      <c r="AE331" s="286">
        <v>0</v>
      </c>
      <c r="AF331" s="286">
        <v>0</v>
      </c>
      <c r="AG331" s="286">
        <v>0</v>
      </c>
      <c r="AH331" s="286">
        <v>0</v>
      </c>
      <c r="AI331" s="286">
        <v>0</v>
      </c>
      <c r="AJ331" s="286">
        <v>0</v>
      </c>
      <c r="AK331" s="286">
        <v>0</v>
      </c>
      <c r="AL331" s="286">
        <v>0</v>
      </c>
      <c r="AM331" s="286">
        <v>0</v>
      </c>
      <c r="AN331" s="286">
        <v>0</v>
      </c>
      <c r="AO331" s="286">
        <v>0</v>
      </c>
      <c r="AP331" s="286">
        <v>0</v>
      </c>
      <c r="AQ331" s="286">
        <v>0</v>
      </c>
      <c r="AR331" s="286">
        <v>0</v>
      </c>
      <c r="AS331" s="286">
        <v>0</v>
      </c>
      <c r="AT331" s="286">
        <v>0</v>
      </c>
      <c r="AU331" s="286">
        <v>0</v>
      </c>
      <c r="AV331" s="286">
        <v>0</v>
      </c>
      <c r="AW331" s="286">
        <v>0</v>
      </c>
      <c r="AX331" s="286">
        <v>0</v>
      </c>
      <c r="AY331" s="286">
        <v>0</v>
      </c>
      <c r="AZ331" s="286">
        <v>0</v>
      </c>
      <c r="BA331" s="286">
        <v>0</v>
      </c>
      <c r="BB331" s="286">
        <v>0</v>
      </c>
      <c r="BC331" s="286">
        <v>0</v>
      </c>
      <c r="BD331" s="286">
        <v>0</v>
      </c>
      <c r="BE331" s="286">
        <v>0</v>
      </c>
      <c r="BF331" s="286">
        <v>0</v>
      </c>
      <c r="BG331" s="286">
        <v>0</v>
      </c>
      <c r="BH331" s="286">
        <v>0</v>
      </c>
      <c r="BI331" s="286">
        <v>0</v>
      </c>
      <c r="BJ331" s="286">
        <v>0</v>
      </c>
      <c r="BK331" s="286">
        <v>0</v>
      </c>
      <c r="BL331" s="286">
        <v>0</v>
      </c>
      <c r="BM331" s="286">
        <v>0</v>
      </c>
      <c r="BN331" s="286">
        <v>0</v>
      </c>
      <c r="BO331" s="286">
        <v>0</v>
      </c>
      <c r="BP331" s="286">
        <v>0</v>
      </c>
      <c r="BQ331" s="286">
        <v>0</v>
      </c>
      <c r="BR331" s="286">
        <v>0</v>
      </c>
    </row>
    <row r="332" spans="1:70" ht="14.25" customHeight="1" x14ac:dyDescent="0.35">
      <c r="A332" s="4" t="s">
        <v>89</v>
      </c>
      <c r="B332" s="384">
        <v>0</v>
      </c>
      <c r="C332" s="385"/>
      <c r="D332" s="42" t="s">
        <v>89</v>
      </c>
      <c r="E332" s="386">
        <v>0</v>
      </c>
      <c r="F332" s="386">
        <v>0</v>
      </c>
      <c r="G332" s="386">
        <v>0</v>
      </c>
      <c r="I332" s="42" t="s">
        <v>89</v>
      </c>
      <c r="J332" s="286">
        <v>0</v>
      </c>
      <c r="K332" s="286">
        <v>0</v>
      </c>
      <c r="L332" s="286">
        <v>0</v>
      </c>
      <c r="M332" s="286">
        <v>0</v>
      </c>
      <c r="N332" s="286">
        <v>0</v>
      </c>
      <c r="O332" s="286">
        <v>0</v>
      </c>
      <c r="P332" s="286">
        <v>0</v>
      </c>
      <c r="Q332" s="286">
        <v>0</v>
      </c>
      <c r="R332" s="286">
        <v>0</v>
      </c>
      <c r="S332" s="286">
        <v>0</v>
      </c>
      <c r="T332" s="286">
        <v>0</v>
      </c>
      <c r="U332" s="286">
        <v>0</v>
      </c>
      <c r="V332" s="286">
        <v>0</v>
      </c>
      <c r="W332" s="286">
        <v>0</v>
      </c>
      <c r="X332" s="286">
        <v>0</v>
      </c>
      <c r="Y332" s="286">
        <v>0</v>
      </c>
      <c r="Z332" s="286">
        <v>0</v>
      </c>
      <c r="AA332" s="286">
        <v>0</v>
      </c>
      <c r="AB332" s="286">
        <v>0</v>
      </c>
      <c r="AC332" s="286">
        <v>0</v>
      </c>
      <c r="AD332" s="286">
        <v>0</v>
      </c>
      <c r="AE332" s="286">
        <v>0</v>
      </c>
      <c r="AF332" s="286">
        <v>0</v>
      </c>
      <c r="AG332" s="286">
        <v>0</v>
      </c>
      <c r="AH332" s="286">
        <v>0</v>
      </c>
      <c r="AI332" s="286">
        <v>0</v>
      </c>
      <c r="AJ332" s="286">
        <v>0</v>
      </c>
      <c r="AK332" s="286">
        <v>0</v>
      </c>
      <c r="AL332" s="286">
        <v>0</v>
      </c>
      <c r="AM332" s="286">
        <v>0</v>
      </c>
      <c r="AN332" s="286">
        <v>0</v>
      </c>
      <c r="AO332" s="286">
        <v>0</v>
      </c>
      <c r="AP332" s="286">
        <v>0</v>
      </c>
      <c r="AQ332" s="286">
        <v>0</v>
      </c>
      <c r="AR332" s="286">
        <v>0</v>
      </c>
      <c r="AS332" s="286">
        <v>0</v>
      </c>
      <c r="AT332" s="286">
        <v>0</v>
      </c>
      <c r="AU332" s="286">
        <v>0</v>
      </c>
      <c r="AV332" s="286">
        <v>0</v>
      </c>
      <c r="AW332" s="286">
        <v>0</v>
      </c>
      <c r="AX332" s="286">
        <v>0</v>
      </c>
      <c r="AY332" s="286">
        <v>0</v>
      </c>
      <c r="AZ332" s="286">
        <v>0</v>
      </c>
      <c r="BA332" s="286">
        <v>0</v>
      </c>
      <c r="BB332" s="286">
        <v>0</v>
      </c>
      <c r="BC332" s="286">
        <v>0</v>
      </c>
      <c r="BD332" s="286">
        <v>0</v>
      </c>
      <c r="BE332" s="286">
        <v>0</v>
      </c>
      <c r="BF332" s="286">
        <v>0</v>
      </c>
      <c r="BG332" s="286">
        <v>0</v>
      </c>
      <c r="BH332" s="286">
        <v>0</v>
      </c>
      <c r="BI332" s="286">
        <v>0</v>
      </c>
      <c r="BJ332" s="286">
        <v>0</v>
      </c>
      <c r="BK332" s="286">
        <v>0</v>
      </c>
      <c r="BL332" s="286">
        <v>0</v>
      </c>
      <c r="BM332" s="286">
        <v>0</v>
      </c>
      <c r="BN332" s="286">
        <v>0</v>
      </c>
      <c r="BO332" s="286">
        <v>0</v>
      </c>
      <c r="BP332" s="286">
        <v>0</v>
      </c>
      <c r="BQ332" s="286">
        <v>0</v>
      </c>
      <c r="BR332" s="286">
        <v>0</v>
      </c>
    </row>
    <row r="333" spans="1:70" ht="14.25" customHeight="1" x14ac:dyDescent="0.35">
      <c r="A333" s="4" t="s">
        <v>90</v>
      </c>
      <c r="B333" s="384">
        <v>0</v>
      </c>
      <c r="C333" s="385"/>
      <c r="D333" s="42" t="s">
        <v>90</v>
      </c>
      <c r="E333" s="386">
        <v>0</v>
      </c>
      <c r="F333" s="386">
        <v>0</v>
      </c>
      <c r="G333" s="386">
        <v>0</v>
      </c>
      <c r="I333" s="42" t="s">
        <v>90</v>
      </c>
      <c r="J333" s="286">
        <v>0</v>
      </c>
      <c r="K333" s="286">
        <v>0</v>
      </c>
      <c r="L333" s="286">
        <v>0</v>
      </c>
      <c r="M333" s="286">
        <v>0</v>
      </c>
      <c r="N333" s="286">
        <v>0</v>
      </c>
      <c r="O333" s="286">
        <v>0</v>
      </c>
      <c r="P333" s="286">
        <v>0</v>
      </c>
      <c r="Q333" s="286">
        <v>0</v>
      </c>
      <c r="R333" s="286">
        <v>0</v>
      </c>
      <c r="S333" s="286">
        <v>0</v>
      </c>
      <c r="T333" s="286">
        <v>0</v>
      </c>
      <c r="U333" s="286">
        <v>0</v>
      </c>
      <c r="V333" s="286">
        <v>0</v>
      </c>
      <c r="W333" s="286">
        <v>0</v>
      </c>
      <c r="X333" s="286">
        <v>0</v>
      </c>
      <c r="Y333" s="286">
        <v>0</v>
      </c>
      <c r="Z333" s="286">
        <v>0</v>
      </c>
      <c r="AA333" s="286">
        <v>0</v>
      </c>
      <c r="AB333" s="286">
        <v>0</v>
      </c>
      <c r="AC333" s="286">
        <v>0</v>
      </c>
      <c r="AD333" s="286">
        <v>0</v>
      </c>
      <c r="AE333" s="286">
        <v>0</v>
      </c>
      <c r="AF333" s="286">
        <v>0</v>
      </c>
      <c r="AG333" s="286">
        <v>0</v>
      </c>
      <c r="AH333" s="286">
        <v>0</v>
      </c>
      <c r="AI333" s="286">
        <v>0</v>
      </c>
      <c r="AJ333" s="286">
        <v>0</v>
      </c>
      <c r="AK333" s="286">
        <v>0</v>
      </c>
      <c r="AL333" s="286">
        <v>0</v>
      </c>
      <c r="AM333" s="286">
        <v>0</v>
      </c>
      <c r="AN333" s="286">
        <v>0</v>
      </c>
      <c r="AO333" s="286">
        <v>0</v>
      </c>
      <c r="AP333" s="286">
        <v>0</v>
      </c>
      <c r="AQ333" s="286">
        <v>0</v>
      </c>
      <c r="AR333" s="286">
        <v>0</v>
      </c>
      <c r="AS333" s="286">
        <v>0</v>
      </c>
      <c r="AT333" s="286">
        <v>0</v>
      </c>
      <c r="AU333" s="286">
        <v>0</v>
      </c>
      <c r="AV333" s="286">
        <v>0</v>
      </c>
      <c r="AW333" s="286">
        <v>0</v>
      </c>
      <c r="AX333" s="286">
        <v>0</v>
      </c>
      <c r="AY333" s="286">
        <v>0</v>
      </c>
      <c r="AZ333" s="286">
        <v>0</v>
      </c>
      <c r="BA333" s="286">
        <v>0</v>
      </c>
      <c r="BB333" s="286">
        <v>0</v>
      </c>
      <c r="BC333" s="286">
        <v>0</v>
      </c>
      <c r="BD333" s="286">
        <v>0</v>
      </c>
      <c r="BE333" s="286">
        <v>0</v>
      </c>
      <c r="BF333" s="286">
        <v>0</v>
      </c>
      <c r="BG333" s="286">
        <v>0</v>
      </c>
      <c r="BH333" s="286">
        <v>0</v>
      </c>
      <c r="BI333" s="286">
        <v>0</v>
      </c>
      <c r="BJ333" s="286">
        <v>0</v>
      </c>
      <c r="BK333" s="286">
        <v>0</v>
      </c>
      <c r="BL333" s="286">
        <v>0</v>
      </c>
      <c r="BM333" s="286">
        <v>0</v>
      </c>
      <c r="BN333" s="286">
        <v>0</v>
      </c>
      <c r="BO333" s="286">
        <v>0</v>
      </c>
      <c r="BP333" s="286">
        <v>0</v>
      </c>
      <c r="BQ333" s="286">
        <v>0</v>
      </c>
      <c r="BR333" s="286">
        <v>0</v>
      </c>
    </row>
    <row r="335" spans="1:70" ht="14.25" customHeight="1" x14ac:dyDescent="0.35">
      <c r="A335" s="383" t="s">
        <v>1744</v>
      </c>
      <c r="D335" s="25" t="s">
        <v>1776</v>
      </c>
      <c r="E335" s="25" t="s">
        <v>1777</v>
      </c>
      <c r="I335" s="94" t="s">
        <v>1778</v>
      </c>
    </row>
    <row r="336" spans="1:70" ht="14.25" customHeight="1" x14ac:dyDescent="0.35">
      <c r="A336" s="39" t="s">
        <v>1748</v>
      </c>
      <c r="B336" s="4"/>
      <c r="D336" s="39" t="s">
        <v>1232</v>
      </c>
      <c r="E336" s="279" t="s">
        <v>1779</v>
      </c>
      <c r="F336" s="279" t="s">
        <v>1780</v>
      </c>
      <c r="G336" s="279" t="s">
        <v>1781</v>
      </c>
      <c r="I336" s="39" t="s">
        <v>1232</v>
      </c>
      <c r="J336" s="387" t="s">
        <v>927</v>
      </c>
      <c r="K336" s="387" t="s">
        <v>928</v>
      </c>
      <c r="L336" s="387" t="s">
        <v>929</v>
      </c>
      <c r="M336" s="387" t="s">
        <v>930</v>
      </c>
      <c r="N336" s="387" t="s">
        <v>931</v>
      </c>
      <c r="O336" s="387" t="s">
        <v>932</v>
      </c>
      <c r="P336" s="387" t="s">
        <v>933</v>
      </c>
      <c r="Q336" s="387" t="s">
        <v>934</v>
      </c>
      <c r="R336" s="387" t="s">
        <v>935</v>
      </c>
      <c r="S336" s="387" t="s">
        <v>936</v>
      </c>
      <c r="T336" s="387" t="s">
        <v>937</v>
      </c>
      <c r="U336" s="387" t="s">
        <v>938</v>
      </c>
      <c r="V336" s="387" t="s">
        <v>939</v>
      </c>
      <c r="W336" s="387" t="s">
        <v>940</v>
      </c>
      <c r="X336" s="387" t="s">
        <v>941</v>
      </c>
      <c r="Y336" s="387" t="s">
        <v>942</v>
      </c>
      <c r="Z336" s="387" t="s">
        <v>943</v>
      </c>
      <c r="AA336" s="387" t="s">
        <v>944</v>
      </c>
      <c r="AB336" s="387" t="s">
        <v>945</v>
      </c>
      <c r="AC336" s="387" t="s">
        <v>946</v>
      </c>
      <c r="AD336" s="387" t="s">
        <v>947</v>
      </c>
      <c r="AE336" s="387" t="s">
        <v>948</v>
      </c>
      <c r="AF336" s="387" t="s">
        <v>949</v>
      </c>
      <c r="AG336" s="387" t="s">
        <v>950</v>
      </c>
      <c r="AH336" s="387" t="s">
        <v>951</v>
      </c>
      <c r="AI336" s="387" t="s">
        <v>952</v>
      </c>
      <c r="AJ336" s="387" t="s">
        <v>953</v>
      </c>
      <c r="AK336" s="387" t="s">
        <v>954</v>
      </c>
      <c r="AL336" s="387" t="s">
        <v>955</v>
      </c>
      <c r="AM336" s="387" t="s">
        <v>956</v>
      </c>
      <c r="AN336" s="387" t="s">
        <v>957</v>
      </c>
      <c r="AO336" s="387" t="s">
        <v>958</v>
      </c>
      <c r="AP336" s="387" t="s">
        <v>959</v>
      </c>
      <c r="AQ336" s="387" t="s">
        <v>960</v>
      </c>
      <c r="AR336" s="387" t="s">
        <v>961</v>
      </c>
      <c r="AS336" s="387" t="s">
        <v>962</v>
      </c>
      <c r="AT336" s="387" t="s">
        <v>963</v>
      </c>
      <c r="AU336" s="387" t="s">
        <v>964</v>
      </c>
      <c r="AV336" s="387" t="s">
        <v>965</v>
      </c>
      <c r="AW336" s="387" t="s">
        <v>966</v>
      </c>
      <c r="AX336" s="387" t="s">
        <v>967</v>
      </c>
      <c r="AY336" s="387" t="s">
        <v>968</v>
      </c>
      <c r="AZ336" s="387" t="s">
        <v>969</v>
      </c>
      <c r="BA336" s="387" t="s">
        <v>970</v>
      </c>
      <c r="BB336" s="387" t="s">
        <v>971</v>
      </c>
      <c r="BC336" s="387" t="s">
        <v>972</v>
      </c>
      <c r="BD336" s="387" t="s">
        <v>973</v>
      </c>
      <c r="BE336" s="387" t="s">
        <v>974</v>
      </c>
      <c r="BF336" s="387" t="s">
        <v>975</v>
      </c>
      <c r="BG336" s="387" t="s">
        <v>976</v>
      </c>
      <c r="BH336" s="387" t="s">
        <v>977</v>
      </c>
      <c r="BI336" s="387" t="s">
        <v>978</v>
      </c>
      <c r="BJ336" s="387" t="s">
        <v>979</v>
      </c>
      <c r="BK336" s="387" t="s">
        <v>980</v>
      </c>
      <c r="BL336" s="387" t="s">
        <v>981</v>
      </c>
      <c r="BM336" s="387" t="s">
        <v>982</v>
      </c>
      <c r="BN336" s="387" t="s">
        <v>983</v>
      </c>
      <c r="BO336" s="387" t="s">
        <v>984</v>
      </c>
      <c r="BP336" s="387" t="s">
        <v>985</v>
      </c>
      <c r="BQ336" s="387" t="s">
        <v>986</v>
      </c>
      <c r="BR336" s="387" t="s">
        <v>987</v>
      </c>
    </row>
    <row r="337" spans="1:70" ht="14.25" customHeight="1" x14ac:dyDescent="0.35">
      <c r="A337" s="4" t="s">
        <v>433</v>
      </c>
      <c r="B337" s="384">
        <v>314.45166731366464</v>
      </c>
      <c r="C337" s="385"/>
      <c r="D337" s="45" t="s">
        <v>228</v>
      </c>
      <c r="E337" s="93">
        <f>+$E$144</f>
        <v>0</v>
      </c>
      <c r="F337" s="93">
        <v>2025</v>
      </c>
      <c r="G337" s="93">
        <v>2050</v>
      </c>
      <c r="I337" s="45" t="s">
        <v>228</v>
      </c>
      <c r="J337" s="286">
        <v>0</v>
      </c>
      <c r="K337" s="286">
        <v>0</v>
      </c>
      <c r="L337" s="286">
        <v>0</v>
      </c>
      <c r="M337" s="286">
        <v>0</v>
      </c>
      <c r="N337" s="286">
        <v>0</v>
      </c>
      <c r="O337" s="286">
        <v>0</v>
      </c>
      <c r="P337" s="286">
        <v>0</v>
      </c>
      <c r="Q337" s="286">
        <v>0</v>
      </c>
      <c r="R337" s="286">
        <v>0</v>
      </c>
      <c r="S337" s="286">
        <v>0</v>
      </c>
      <c r="T337" s="286">
        <v>0</v>
      </c>
      <c r="U337" s="286">
        <v>0</v>
      </c>
      <c r="V337" s="286">
        <v>0</v>
      </c>
      <c r="W337" s="286">
        <v>0</v>
      </c>
      <c r="X337" s="286">
        <v>0</v>
      </c>
      <c r="Y337" s="286">
        <v>0</v>
      </c>
      <c r="Z337" s="286">
        <v>0</v>
      </c>
      <c r="AA337" s="286">
        <v>0</v>
      </c>
      <c r="AB337" s="286">
        <v>0</v>
      </c>
      <c r="AC337" s="286">
        <v>0</v>
      </c>
      <c r="AD337" s="286">
        <v>0</v>
      </c>
      <c r="AE337" s="286">
        <v>0</v>
      </c>
      <c r="AF337" s="286">
        <v>0</v>
      </c>
      <c r="AG337" s="286">
        <v>0</v>
      </c>
      <c r="AH337" s="286">
        <v>0</v>
      </c>
      <c r="AI337" s="286">
        <v>0</v>
      </c>
      <c r="AJ337" s="286">
        <v>0</v>
      </c>
      <c r="AK337" s="286">
        <v>0</v>
      </c>
      <c r="AL337" s="286">
        <v>0</v>
      </c>
      <c r="AM337" s="286">
        <v>0</v>
      </c>
      <c r="AN337" s="286">
        <v>0</v>
      </c>
      <c r="AO337" s="286">
        <v>0</v>
      </c>
      <c r="AP337" s="286">
        <v>0</v>
      </c>
      <c r="AQ337" s="286">
        <v>0</v>
      </c>
      <c r="AR337" s="286">
        <v>0</v>
      </c>
      <c r="AS337" s="286">
        <v>0</v>
      </c>
      <c r="AT337" s="286">
        <v>0</v>
      </c>
      <c r="AU337" s="286">
        <v>0</v>
      </c>
      <c r="AV337" s="286">
        <v>0</v>
      </c>
      <c r="AW337" s="286">
        <v>0</v>
      </c>
      <c r="AX337" s="286">
        <v>0</v>
      </c>
      <c r="AY337" s="286">
        <v>0</v>
      </c>
      <c r="AZ337" s="286">
        <v>0</v>
      </c>
      <c r="BA337" s="286">
        <v>0</v>
      </c>
      <c r="BB337" s="286">
        <v>0</v>
      </c>
      <c r="BC337" s="286">
        <v>0</v>
      </c>
      <c r="BD337" s="286">
        <v>0</v>
      </c>
      <c r="BE337" s="286">
        <v>0</v>
      </c>
      <c r="BF337" s="286">
        <v>0</v>
      </c>
      <c r="BG337" s="286">
        <v>0</v>
      </c>
      <c r="BH337" s="286">
        <v>0</v>
      </c>
      <c r="BI337" s="286">
        <v>0</v>
      </c>
      <c r="BJ337" s="286">
        <v>0</v>
      </c>
      <c r="BK337" s="286">
        <v>0</v>
      </c>
      <c r="BL337" s="286">
        <v>0</v>
      </c>
      <c r="BM337" s="286">
        <v>0</v>
      </c>
      <c r="BN337" s="286">
        <v>0</v>
      </c>
      <c r="BO337" s="286">
        <v>0</v>
      </c>
      <c r="BP337" s="286">
        <v>0</v>
      </c>
      <c r="BQ337" s="286">
        <v>0</v>
      </c>
      <c r="BR337" s="281">
        <v>0.4</v>
      </c>
    </row>
    <row r="338" spans="1:70" ht="14.25" customHeight="1" x14ac:dyDescent="0.35">
      <c r="A338" s="4" t="s">
        <v>434</v>
      </c>
      <c r="B338" s="384">
        <v>314.45166731366464</v>
      </c>
      <c r="C338" s="385"/>
      <c r="D338" s="41" t="s">
        <v>95</v>
      </c>
      <c r="E338" s="93">
        <f t="shared" ref="E338:E364" si="3">+$E$144</f>
        <v>0</v>
      </c>
      <c r="F338" s="93">
        <v>2025</v>
      </c>
      <c r="G338" s="93">
        <v>2050</v>
      </c>
      <c r="I338" s="41" t="s">
        <v>95</v>
      </c>
      <c r="J338" s="281">
        <v>0.5</v>
      </c>
      <c r="K338" s="281">
        <v>0.5</v>
      </c>
      <c r="L338" s="281">
        <v>0.5</v>
      </c>
      <c r="M338" s="281">
        <v>0.5</v>
      </c>
      <c r="N338" s="281">
        <v>0.5</v>
      </c>
      <c r="O338" s="281">
        <v>0.5</v>
      </c>
      <c r="P338" s="281">
        <v>0.5</v>
      </c>
      <c r="Q338" s="281">
        <v>0.5</v>
      </c>
      <c r="R338" s="281">
        <v>0.5</v>
      </c>
      <c r="S338" s="281">
        <v>0.5</v>
      </c>
      <c r="T338" s="281">
        <v>0.5</v>
      </c>
      <c r="U338" s="281">
        <v>0.45</v>
      </c>
      <c r="V338" s="281">
        <v>0.45</v>
      </c>
      <c r="W338" s="281">
        <v>0.45</v>
      </c>
      <c r="X338" s="281">
        <v>0.45</v>
      </c>
      <c r="Y338" s="281">
        <v>0.45</v>
      </c>
      <c r="Z338" s="281">
        <v>0.45</v>
      </c>
      <c r="AA338" s="281">
        <v>0.45</v>
      </c>
      <c r="AB338" s="281">
        <v>0.45</v>
      </c>
      <c r="AC338" s="281">
        <v>0.45</v>
      </c>
      <c r="AD338" s="281">
        <v>0.45</v>
      </c>
      <c r="AE338" s="281">
        <v>0.45</v>
      </c>
      <c r="AF338" s="281">
        <v>0.45</v>
      </c>
      <c r="AG338" s="281">
        <v>0.45</v>
      </c>
      <c r="AH338" s="281">
        <v>0.4</v>
      </c>
      <c r="AI338" s="281">
        <v>0.4</v>
      </c>
      <c r="AJ338" s="281">
        <v>0.4</v>
      </c>
      <c r="AK338" s="281">
        <v>0.4</v>
      </c>
      <c r="AL338" s="281">
        <v>0.4</v>
      </c>
      <c r="AM338" s="281">
        <v>0.4</v>
      </c>
      <c r="AN338" s="281">
        <v>0.4</v>
      </c>
      <c r="AO338" s="281">
        <v>0.4</v>
      </c>
      <c r="AP338" s="281">
        <v>0.4</v>
      </c>
      <c r="AQ338" s="281">
        <v>0.4</v>
      </c>
      <c r="AR338" s="281">
        <v>0.4</v>
      </c>
      <c r="AS338" s="281">
        <v>0.4</v>
      </c>
      <c r="AT338" s="281">
        <v>0.3</v>
      </c>
      <c r="AU338" s="281">
        <v>0.3</v>
      </c>
      <c r="AV338" s="281">
        <v>0.3</v>
      </c>
      <c r="AW338" s="281">
        <v>0.3</v>
      </c>
      <c r="AX338" s="281">
        <v>0.3</v>
      </c>
      <c r="AY338" s="281">
        <v>0.3</v>
      </c>
      <c r="AZ338" s="281">
        <v>0.3</v>
      </c>
      <c r="BA338" s="281">
        <v>0.3</v>
      </c>
      <c r="BB338" s="281">
        <v>0.3</v>
      </c>
      <c r="BC338" s="281">
        <v>0.3</v>
      </c>
      <c r="BD338" s="281">
        <v>0.3</v>
      </c>
      <c r="BE338" s="281">
        <v>0.3</v>
      </c>
      <c r="BF338" s="281">
        <v>0.3</v>
      </c>
      <c r="BG338" s="281">
        <v>0.15</v>
      </c>
      <c r="BH338" s="281">
        <v>0.15</v>
      </c>
      <c r="BI338" s="281">
        <v>0.15</v>
      </c>
      <c r="BJ338" s="281">
        <v>0.15</v>
      </c>
      <c r="BK338" s="281">
        <v>0.15</v>
      </c>
      <c r="BL338" s="281">
        <v>0.15</v>
      </c>
      <c r="BM338" s="281">
        <v>0.15</v>
      </c>
      <c r="BN338" s="281">
        <v>0.15</v>
      </c>
      <c r="BO338" s="281">
        <v>0.15</v>
      </c>
      <c r="BP338" s="281">
        <v>0.15</v>
      </c>
      <c r="BQ338" s="281">
        <v>0.15</v>
      </c>
      <c r="BR338" s="286">
        <v>0</v>
      </c>
    </row>
    <row r="339" spans="1:70" ht="14.25" customHeight="1" x14ac:dyDescent="0.35">
      <c r="A339" s="4" t="s">
        <v>435</v>
      </c>
      <c r="B339" s="384">
        <v>314.45166731366464</v>
      </c>
      <c r="C339" s="385"/>
      <c r="D339" s="41" t="s">
        <v>96</v>
      </c>
      <c r="E339" s="93">
        <f t="shared" si="3"/>
        <v>0</v>
      </c>
      <c r="F339" s="93">
        <v>2025</v>
      </c>
      <c r="G339" s="93">
        <v>2050</v>
      </c>
      <c r="I339" s="41" t="s">
        <v>96</v>
      </c>
      <c r="J339" s="281">
        <v>0.5</v>
      </c>
      <c r="K339" s="281">
        <v>0.5</v>
      </c>
      <c r="L339" s="281">
        <v>0.5</v>
      </c>
      <c r="M339" s="281">
        <v>0.5</v>
      </c>
      <c r="N339" s="281">
        <v>0.5</v>
      </c>
      <c r="O339" s="281">
        <v>0.5</v>
      </c>
      <c r="P339" s="281">
        <v>0.5</v>
      </c>
      <c r="Q339" s="281">
        <v>0.5</v>
      </c>
      <c r="R339" s="281">
        <v>0.5</v>
      </c>
      <c r="S339" s="281">
        <v>0.5</v>
      </c>
      <c r="T339" s="281">
        <v>0.5</v>
      </c>
      <c r="U339" s="281">
        <v>0.45</v>
      </c>
      <c r="V339" s="281">
        <v>0.45</v>
      </c>
      <c r="W339" s="281">
        <v>0.45</v>
      </c>
      <c r="X339" s="281">
        <v>0.45</v>
      </c>
      <c r="Y339" s="281">
        <v>0.45</v>
      </c>
      <c r="Z339" s="281">
        <v>0.45</v>
      </c>
      <c r="AA339" s="281">
        <v>0.45</v>
      </c>
      <c r="AB339" s="281">
        <v>0.45</v>
      </c>
      <c r="AC339" s="281">
        <v>0.45</v>
      </c>
      <c r="AD339" s="281">
        <v>0.45</v>
      </c>
      <c r="AE339" s="281">
        <v>0.45</v>
      </c>
      <c r="AF339" s="281">
        <v>0.45</v>
      </c>
      <c r="AG339" s="281">
        <v>0.45</v>
      </c>
      <c r="AH339" s="281">
        <v>0.4</v>
      </c>
      <c r="AI339" s="281">
        <v>0.4</v>
      </c>
      <c r="AJ339" s="281">
        <v>0.4</v>
      </c>
      <c r="AK339" s="281">
        <v>0.4</v>
      </c>
      <c r="AL339" s="281">
        <v>0.4</v>
      </c>
      <c r="AM339" s="281">
        <v>0.4</v>
      </c>
      <c r="AN339" s="281">
        <v>0.4</v>
      </c>
      <c r="AO339" s="281">
        <v>0.4</v>
      </c>
      <c r="AP339" s="281">
        <v>0.4</v>
      </c>
      <c r="AQ339" s="281">
        <v>0.4</v>
      </c>
      <c r="AR339" s="281">
        <v>0.4</v>
      </c>
      <c r="AS339" s="281">
        <v>0.4</v>
      </c>
      <c r="AT339" s="281">
        <v>0.3</v>
      </c>
      <c r="AU339" s="281">
        <v>0.3</v>
      </c>
      <c r="AV339" s="281">
        <v>0.3</v>
      </c>
      <c r="AW339" s="281">
        <v>0.3</v>
      </c>
      <c r="AX339" s="281">
        <v>0.3</v>
      </c>
      <c r="AY339" s="281">
        <v>0.3</v>
      </c>
      <c r="AZ339" s="281">
        <v>0.3</v>
      </c>
      <c r="BA339" s="281">
        <v>0.3</v>
      </c>
      <c r="BB339" s="281">
        <v>0.3</v>
      </c>
      <c r="BC339" s="281">
        <v>0.3</v>
      </c>
      <c r="BD339" s="281">
        <v>0.3</v>
      </c>
      <c r="BE339" s="281">
        <v>0.3</v>
      </c>
      <c r="BF339" s="281">
        <v>0.3</v>
      </c>
      <c r="BG339" s="281">
        <v>0.15</v>
      </c>
      <c r="BH339" s="281">
        <v>0.15</v>
      </c>
      <c r="BI339" s="281">
        <v>0.15</v>
      </c>
      <c r="BJ339" s="281">
        <v>0.15</v>
      </c>
      <c r="BK339" s="281">
        <v>0.15</v>
      </c>
      <c r="BL339" s="281">
        <v>0.15</v>
      </c>
      <c r="BM339" s="281">
        <v>0.15</v>
      </c>
      <c r="BN339" s="281">
        <v>0.15</v>
      </c>
      <c r="BO339" s="281">
        <v>0.15</v>
      </c>
      <c r="BP339" s="281">
        <v>0.15</v>
      </c>
      <c r="BQ339" s="281">
        <v>0.15</v>
      </c>
      <c r="BR339" s="286">
        <v>0</v>
      </c>
    </row>
    <row r="340" spans="1:70" ht="14.25" customHeight="1" x14ac:dyDescent="0.35">
      <c r="A340" s="4" t="s">
        <v>436</v>
      </c>
      <c r="B340" s="384">
        <v>314.45166731366464</v>
      </c>
      <c r="C340" s="385"/>
      <c r="D340" s="41" t="s">
        <v>97</v>
      </c>
      <c r="E340" s="93">
        <f t="shared" si="3"/>
        <v>0</v>
      </c>
      <c r="F340" s="93">
        <v>2025</v>
      </c>
      <c r="G340" s="93">
        <v>2050</v>
      </c>
      <c r="I340" s="41" t="s">
        <v>97</v>
      </c>
      <c r="J340" s="281">
        <v>0.5</v>
      </c>
      <c r="K340" s="281">
        <v>0.5</v>
      </c>
      <c r="L340" s="281">
        <v>0.5</v>
      </c>
      <c r="M340" s="281">
        <v>0.5</v>
      </c>
      <c r="N340" s="281">
        <v>0.5</v>
      </c>
      <c r="O340" s="281">
        <v>0.5</v>
      </c>
      <c r="P340" s="281">
        <v>0.5</v>
      </c>
      <c r="Q340" s="281">
        <v>0.5</v>
      </c>
      <c r="R340" s="281">
        <v>0.5</v>
      </c>
      <c r="S340" s="281">
        <v>0.5</v>
      </c>
      <c r="T340" s="281">
        <v>0.5</v>
      </c>
      <c r="U340" s="281">
        <v>0.45</v>
      </c>
      <c r="V340" s="281">
        <v>0.45</v>
      </c>
      <c r="W340" s="281">
        <v>0.45</v>
      </c>
      <c r="X340" s="281">
        <v>0.45</v>
      </c>
      <c r="Y340" s="281">
        <v>0.45</v>
      </c>
      <c r="Z340" s="281">
        <v>0.45</v>
      </c>
      <c r="AA340" s="281">
        <v>0.45</v>
      </c>
      <c r="AB340" s="281">
        <v>0.45</v>
      </c>
      <c r="AC340" s="281">
        <v>0.45</v>
      </c>
      <c r="AD340" s="281">
        <v>0.45</v>
      </c>
      <c r="AE340" s="281">
        <v>0.45</v>
      </c>
      <c r="AF340" s="281">
        <v>0.45</v>
      </c>
      <c r="AG340" s="281">
        <v>0.45</v>
      </c>
      <c r="AH340" s="281">
        <v>0.4</v>
      </c>
      <c r="AI340" s="281">
        <v>0.4</v>
      </c>
      <c r="AJ340" s="281">
        <v>0.4</v>
      </c>
      <c r="AK340" s="281">
        <v>0.4</v>
      </c>
      <c r="AL340" s="281">
        <v>0.4</v>
      </c>
      <c r="AM340" s="281">
        <v>0.4</v>
      </c>
      <c r="AN340" s="281">
        <v>0.4</v>
      </c>
      <c r="AO340" s="281">
        <v>0.4</v>
      </c>
      <c r="AP340" s="281">
        <v>0.4</v>
      </c>
      <c r="AQ340" s="281">
        <v>0.4</v>
      </c>
      <c r="AR340" s="281">
        <v>0.4</v>
      </c>
      <c r="AS340" s="281">
        <v>0.4</v>
      </c>
      <c r="AT340" s="281">
        <v>0.3</v>
      </c>
      <c r="AU340" s="281">
        <v>0.3</v>
      </c>
      <c r="AV340" s="281">
        <v>0.3</v>
      </c>
      <c r="AW340" s="281">
        <v>0.3</v>
      </c>
      <c r="AX340" s="281">
        <v>0.3</v>
      </c>
      <c r="AY340" s="281">
        <v>0.3</v>
      </c>
      <c r="AZ340" s="281">
        <v>0.3</v>
      </c>
      <c r="BA340" s="281">
        <v>0.3</v>
      </c>
      <c r="BB340" s="281">
        <v>0.3</v>
      </c>
      <c r="BC340" s="281">
        <v>0.3</v>
      </c>
      <c r="BD340" s="281">
        <v>0.3</v>
      </c>
      <c r="BE340" s="281">
        <v>0.3</v>
      </c>
      <c r="BF340" s="281">
        <v>0.3</v>
      </c>
      <c r="BG340" s="281">
        <v>0.15</v>
      </c>
      <c r="BH340" s="281">
        <v>0.15</v>
      </c>
      <c r="BI340" s="281">
        <v>0.15</v>
      </c>
      <c r="BJ340" s="281">
        <v>0.15</v>
      </c>
      <c r="BK340" s="281">
        <v>0.15</v>
      </c>
      <c r="BL340" s="281">
        <v>0.15</v>
      </c>
      <c r="BM340" s="281">
        <v>0.15</v>
      </c>
      <c r="BN340" s="281">
        <v>0.15</v>
      </c>
      <c r="BO340" s="281">
        <v>0.15</v>
      </c>
      <c r="BP340" s="281">
        <v>0.15</v>
      </c>
      <c r="BQ340" s="281">
        <v>0.15</v>
      </c>
      <c r="BR340" s="286">
        <v>0</v>
      </c>
    </row>
    <row r="341" spans="1:70" ht="14.25" customHeight="1" x14ac:dyDescent="0.35">
      <c r="A341" s="4" t="s">
        <v>437</v>
      </c>
      <c r="B341" s="384">
        <v>314.45166731366464</v>
      </c>
      <c r="C341" s="385"/>
      <c r="D341" s="41" t="s">
        <v>98</v>
      </c>
      <c r="E341" s="93">
        <f t="shared" si="3"/>
        <v>0</v>
      </c>
      <c r="F341" s="93">
        <v>2025</v>
      </c>
      <c r="G341" s="93">
        <v>2050</v>
      </c>
      <c r="I341" s="41" t="s">
        <v>98</v>
      </c>
      <c r="J341" s="281">
        <v>0.5</v>
      </c>
      <c r="K341" s="281">
        <v>0.5</v>
      </c>
      <c r="L341" s="281">
        <v>0.5</v>
      </c>
      <c r="M341" s="281">
        <v>0.5</v>
      </c>
      <c r="N341" s="281">
        <v>0.5</v>
      </c>
      <c r="O341" s="281">
        <v>0.5</v>
      </c>
      <c r="P341" s="281">
        <v>0.5</v>
      </c>
      <c r="Q341" s="281">
        <v>0.5</v>
      </c>
      <c r="R341" s="281">
        <v>0.5</v>
      </c>
      <c r="S341" s="281">
        <v>0.5</v>
      </c>
      <c r="T341" s="281">
        <v>0.5</v>
      </c>
      <c r="U341" s="281">
        <v>0.45</v>
      </c>
      <c r="V341" s="281">
        <v>0.45</v>
      </c>
      <c r="W341" s="281">
        <v>0.45</v>
      </c>
      <c r="X341" s="281">
        <v>0.45</v>
      </c>
      <c r="Y341" s="281">
        <v>0.45</v>
      </c>
      <c r="Z341" s="281">
        <v>0.45</v>
      </c>
      <c r="AA341" s="281">
        <v>0.45</v>
      </c>
      <c r="AB341" s="281">
        <v>0.45</v>
      </c>
      <c r="AC341" s="281">
        <v>0.45</v>
      </c>
      <c r="AD341" s="281">
        <v>0.45</v>
      </c>
      <c r="AE341" s="281">
        <v>0.45</v>
      </c>
      <c r="AF341" s="281">
        <v>0.45</v>
      </c>
      <c r="AG341" s="281">
        <v>0.45</v>
      </c>
      <c r="AH341" s="281">
        <v>0.4</v>
      </c>
      <c r="AI341" s="281">
        <v>0.4</v>
      </c>
      <c r="AJ341" s="281">
        <v>0.4</v>
      </c>
      <c r="AK341" s="281">
        <v>0.4</v>
      </c>
      <c r="AL341" s="281">
        <v>0.4</v>
      </c>
      <c r="AM341" s="281">
        <v>0.4</v>
      </c>
      <c r="AN341" s="281">
        <v>0.4</v>
      </c>
      <c r="AO341" s="281">
        <v>0.4</v>
      </c>
      <c r="AP341" s="281">
        <v>0.4</v>
      </c>
      <c r="AQ341" s="281">
        <v>0.4</v>
      </c>
      <c r="AR341" s="281">
        <v>0.4</v>
      </c>
      <c r="AS341" s="281">
        <v>0.4</v>
      </c>
      <c r="AT341" s="281">
        <v>0.3</v>
      </c>
      <c r="AU341" s="281">
        <v>0.3</v>
      </c>
      <c r="AV341" s="281">
        <v>0.3</v>
      </c>
      <c r="AW341" s="281">
        <v>0.3</v>
      </c>
      <c r="AX341" s="281">
        <v>0.3</v>
      </c>
      <c r="AY341" s="281">
        <v>0.3</v>
      </c>
      <c r="AZ341" s="281">
        <v>0.3</v>
      </c>
      <c r="BA341" s="281">
        <v>0.3</v>
      </c>
      <c r="BB341" s="281">
        <v>0.3</v>
      </c>
      <c r="BC341" s="281">
        <v>0.3</v>
      </c>
      <c r="BD341" s="281">
        <v>0.3</v>
      </c>
      <c r="BE341" s="281">
        <v>0.3</v>
      </c>
      <c r="BF341" s="281">
        <v>0.3</v>
      </c>
      <c r="BG341" s="281">
        <v>0.15</v>
      </c>
      <c r="BH341" s="281">
        <v>0.15</v>
      </c>
      <c r="BI341" s="281">
        <v>0.15</v>
      </c>
      <c r="BJ341" s="281">
        <v>0.15</v>
      </c>
      <c r="BK341" s="281">
        <v>0.15</v>
      </c>
      <c r="BL341" s="281">
        <v>0.15</v>
      </c>
      <c r="BM341" s="281">
        <v>0.15</v>
      </c>
      <c r="BN341" s="281">
        <v>0.15</v>
      </c>
      <c r="BO341" s="281">
        <v>0.15</v>
      </c>
      <c r="BP341" s="281">
        <v>0.15</v>
      </c>
      <c r="BQ341" s="281">
        <v>0.15</v>
      </c>
      <c r="BR341" s="286">
        <v>0</v>
      </c>
    </row>
    <row r="342" spans="1:70" ht="14.25" customHeight="1" x14ac:dyDescent="0.35">
      <c r="A342" s="4" t="s">
        <v>438</v>
      </c>
      <c r="B342" s="384">
        <v>314.45166731366464</v>
      </c>
      <c r="C342" s="385"/>
      <c r="D342" s="41" t="s">
        <v>163</v>
      </c>
      <c r="E342" s="93">
        <f t="shared" si="3"/>
        <v>0</v>
      </c>
      <c r="F342" s="93">
        <v>2025</v>
      </c>
      <c r="G342" s="93">
        <v>2050</v>
      </c>
      <c r="I342" s="41" t="s">
        <v>163</v>
      </c>
      <c r="J342" s="281">
        <v>0.5</v>
      </c>
      <c r="K342" s="281">
        <v>0.5</v>
      </c>
      <c r="L342" s="281">
        <v>0.5</v>
      </c>
      <c r="M342" s="281">
        <v>0.5</v>
      </c>
      <c r="N342" s="281">
        <v>0.5</v>
      </c>
      <c r="O342" s="281">
        <v>0.5</v>
      </c>
      <c r="P342" s="281">
        <v>0.5</v>
      </c>
      <c r="Q342" s="281">
        <v>0.5</v>
      </c>
      <c r="R342" s="281">
        <v>0.5</v>
      </c>
      <c r="S342" s="281">
        <v>0.5</v>
      </c>
      <c r="T342" s="281">
        <v>0.5</v>
      </c>
      <c r="U342" s="281">
        <v>0.45</v>
      </c>
      <c r="V342" s="281">
        <v>0.45</v>
      </c>
      <c r="W342" s="281">
        <v>0.45</v>
      </c>
      <c r="X342" s="281">
        <v>0.45</v>
      </c>
      <c r="Y342" s="281">
        <v>0.45</v>
      </c>
      <c r="Z342" s="281">
        <v>0.45</v>
      </c>
      <c r="AA342" s="281">
        <v>0.45</v>
      </c>
      <c r="AB342" s="281">
        <v>0.45</v>
      </c>
      <c r="AC342" s="281">
        <v>0.45</v>
      </c>
      <c r="AD342" s="281">
        <v>0.45</v>
      </c>
      <c r="AE342" s="281">
        <v>0.45</v>
      </c>
      <c r="AF342" s="281">
        <v>0.45</v>
      </c>
      <c r="AG342" s="281">
        <v>0.45</v>
      </c>
      <c r="AH342" s="281">
        <v>0.4</v>
      </c>
      <c r="AI342" s="281">
        <v>0.4</v>
      </c>
      <c r="AJ342" s="281">
        <v>0.4</v>
      </c>
      <c r="AK342" s="281">
        <v>0.4</v>
      </c>
      <c r="AL342" s="281">
        <v>0.4</v>
      </c>
      <c r="AM342" s="281">
        <v>0.4</v>
      </c>
      <c r="AN342" s="281">
        <v>0.4</v>
      </c>
      <c r="AO342" s="281">
        <v>0.4</v>
      </c>
      <c r="AP342" s="281">
        <v>0.4</v>
      </c>
      <c r="AQ342" s="281">
        <v>0.4</v>
      </c>
      <c r="AR342" s="281">
        <v>0.4</v>
      </c>
      <c r="AS342" s="281">
        <v>0.4</v>
      </c>
      <c r="AT342" s="281">
        <v>0.3</v>
      </c>
      <c r="AU342" s="281">
        <v>0.3</v>
      </c>
      <c r="AV342" s="281">
        <v>0.3</v>
      </c>
      <c r="AW342" s="281">
        <v>0.3</v>
      </c>
      <c r="AX342" s="281">
        <v>0.3</v>
      </c>
      <c r="AY342" s="281">
        <v>0.3</v>
      </c>
      <c r="AZ342" s="281">
        <v>0.3</v>
      </c>
      <c r="BA342" s="281">
        <v>0.3</v>
      </c>
      <c r="BB342" s="281">
        <v>0.3</v>
      </c>
      <c r="BC342" s="281">
        <v>0.3</v>
      </c>
      <c r="BD342" s="281">
        <v>0.3</v>
      </c>
      <c r="BE342" s="281">
        <v>0.3</v>
      </c>
      <c r="BF342" s="281">
        <v>0.3</v>
      </c>
      <c r="BG342" s="281">
        <v>0.15</v>
      </c>
      <c r="BH342" s="281">
        <v>0.15</v>
      </c>
      <c r="BI342" s="281">
        <v>0.15</v>
      </c>
      <c r="BJ342" s="281">
        <v>0.15</v>
      </c>
      <c r="BK342" s="281">
        <v>0.15</v>
      </c>
      <c r="BL342" s="281">
        <v>0.15</v>
      </c>
      <c r="BM342" s="281">
        <v>0.15</v>
      </c>
      <c r="BN342" s="281">
        <v>0.15</v>
      </c>
      <c r="BO342" s="281">
        <v>0.15</v>
      </c>
      <c r="BP342" s="281">
        <v>0.15</v>
      </c>
      <c r="BQ342" s="281">
        <v>0.15</v>
      </c>
      <c r="BR342" s="286">
        <v>0</v>
      </c>
    </row>
    <row r="343" spans="1:70" ht="14.25" customHeight="1" x14ac:dyDescent="0.35">
      <c r="A343" s="4" t="s">
        <v>439</v>
      </c>
      <c r="B343" s="384">
        <v>314.45166731366464</v>
      </c>
      <c r="C343" s="385"/>
      <c r="D343" s="41" t="s">
        <v>100</v>
      </c>
      <c r="E343" s="93">
        <f t="shared" si="3"/>
        <v>0</v>
      </c>
      <c r="F343" s="93">
        <v>2025</v>
      </c>
      <c r="G343" s="93">
        <v>2050</v>
      </c>
      <c r="I343" s="41" t="s">
        <v>100</v>
      </c>
      <c r="J343" s="281">
        <v>0.5</v>
      </c>
      <c r="K343" s="281">
        <v>0.5</v>
      </c>
      <c r="L343" s="281">
        <v>0.5</v>
      </c>
      <c r="M343" s="281">
        <v>0.5</v>
      </c>
      <c r="N343" s="281">
        <v>0.5</v>
      </c>
      <c r="O343" s="281">
        <v>0.5</v>
      </c>
      <c r="P343" s="281">
        <v>0.5</v>
      </c>
      <c r="Q343" s="281">
        <v>0.5</v>
      </c>
      <c r="R343" s="281">
        <v>0.5</v>
      </c>
      <c r="S343" s="281">
        <v>0.5</v>
      </c>
      <c r="T343" s="281">
        <v>0.5</v>
      </c>
      <c r="U343" s="281">
        <v>0.45</v>
      </c>
      <c r="V343" s="281">
        <v>0.45</v>
      </c>
      <c r="W343" s="281">
        <v>0.45</v>
      </c>
      <c r="X343" s="281">
        <v>0.45</v>
      </c>
      <c r="Y343" s="281">
        <v>0.45</v>
      </c>
      <c r="Z343" s="281">
        <v>0.45</v>
      </c>
      <c r="AA343" s="281">
        <v>0.45</v>
      </c>
      <c r="AB343" s="281">
        <v>0.45</v>
      </c>
      <c r="AC343" s="281">
        <v>0.45</v>
      </c>
      <c r="AD343" s="281">
        <v>0.45</v>
      </c>
      <c r="AE343" s="281">
        <v>0.45</v>
      </c>
      <c r="AF343" s="281">
        <v>0.45</v>
      </c>
      <c r="AG343" s="281">
        <v>0.45</v>
      </c>
      <c r="AH343" s="281">
        <v>0.4</v>
      </c>
      <c r="AI343" s="281">
        <v>0.4</v>
      </c>
      <c r="AJ343" s="281">
        <v>0.4</v>
      </c>
      <c r="AK343" s="281">
        <v>0.4</v>
      </c>
      <c r="AL343" s="281">
        <v>0.4</v>
      </c>
      <c r="AM343" s="281">
        <v>0.4</v>
      </c>
      <c r="AN343" s="281">
        <v>0.4</v>
      </c>
      <c r="AO343" s="281">
        <v>0.4</v>
      </c>
      <c r="AP343" s="281">
        <v>0.4</v>
      </c>
      <c r="AQ343" s="281">
        <v>0.4</v>
      </c>
      <c r="AR343" s="281">
        <v>0.4</v>
      </c>
      <c r="AS343" s="281">
        <v>0.4</v>
      </c>
      <c r="AT343" s="281">
        <v>0.3</v>
      </c>
      <c r="AU343" s="281">
        <v>0.3</v>
      </c>
      <c r="AV343" s="281">
        <v>0.3</v>
      </c>
      <c r="AW343" s="281">
        <v>0.3</v>
      </c>
      <c r="AX343" s="281">
        <v>0.3</v>
      </c>
      <c r="AY343" s="281">
        <v>0.3</v>
      </c>
      <c r="AZ343" s="281">
        <v>0.3</v>
      </c>
      <c r="BA343" s="281">
        <v>0.3</v>
      </c>
      <c r="BB343" s="281">
        <v>0.3</v>
      </c>
      <c r="BC343" s="281">
        <v>0.3</v>
      </c>
      <c r="BD343" s="281">
        <v>0.3</v>
      </c>
      <c r="BE343" s="281">
        <v>0.3</v>
      </c>
      <c r="BF343" s="281">
        <v>0.3</v>
      </c>
      <c r="BG343" s="281">
        <v>0.15</v>
      </c>
      <c r="BH343" s="281">
        <v>0.15</v>
      </c>
      <c r="BI343" s="281">
        <v>0.15</v>
      </c>
      <c r="BJ343" s="281">
        <v>0.15</v>
      </c>
      <c r="BK343" s="281">
        <v>0.15</v>
      </c>
      <c r="BL343" s="281">
        <v>0.15</v>
      </c>
      <c r="BM343" s="281">
        <v>0.15</v>
      </c>
      <c r="BN343" s="281">
        <v>0.15</v>
      </c>
      <c r="BO343" s="281">
        <v>0.15</v>
      </c>
      <c r="BP343" s="281">
        <v>0.15</v>
      </c>
      <c r="BQ343" s="281">
        <v>0.15</v>
      </c>
      <c r="BR343" s="286">
        <v>0</v>
      </c>
    </row>
    <row r="344" spans="1:70" ht="14.25" customHeight="1" x14ac:dyDescent="0.35">
      <c r="A344" s="4" t="s">
        <v>440</v>
      </c>
      <c r="B344" s="384">
        <v>314.45166731366464</v>
      </c>
      <c r="C344" s="385"/>
      <c r="D344" s="41" t="s">
        <v>101</v>
      </c>
      <c r="E344" s="93">
        <f t="shared" si="3"/>
        <v>0</v>
      </c>
      <c r="F344" s="93">
        <v>2025</v>
      </c>
      <c r="G344" s="93">
        <v>2050</v>
      </c>
      <c r="I344" s="41" t="s">
        <v>101</v>
      </c>
      <c r="J344" s="281">
        <v>0.5</v>
      </c>
      <c r="K344" s="281">
        <v>0.5</v>
      </c>
      <c r="L344" s="281">
        <v>0.5</v>
      </c>
      <c r="M344" s="281">
        <v>0.5</v>
      </c>
      <c r="N344" s="281">
        <v>0.5</v>
      </c>
      <c r="O344" s="281">
        <v>0.5</v>
      </c>
      <c r="P344" s="281">
        <v>0.5</v>
      </c>
      <c r="Q344" s="281">
        <v>0.5</v>
      </c>
      <c r="R344" s="281">
        <v>0.5</v>
      </c>
      <c r="S344" s="281">
        <v>0.5</v>
      </c>
      <c r="T344" s="281">
        <v>0.5</v>
      </c>
      <c r="U344" s="281">
        <v>0.45</v>
      </c>
      <c r="V344" s="281">
        <v>0.45</v>
      </c>
      <c r="W344" s="281">
        <v>0.45</v>
      </c>
      <c r="X344" s="281">
        <v>0.45</v>
      </c>
      <c r="Y344" s="281">
        <v>0.45</v>
      </c>
      <c r="Z344" s="281">
        <v>0.45</v>
      </c>
      <c r="AA344" s="281">
        <v>0.45</v>
      </c>
      <c r="AB344" s="281">
        <v>0.45</v>
      </c>
      <c r="AC344" s="281">
        <v>0.45</v>
      </c>
      <c r="AD344" s="281">
        <v>0.45</v>
      </c>
      <c r="AE344" s="281">
        <v>0.45</v>
      </c>
      <c r="AF344" s="281">
        <v>0.45</v>
      </c>
      <c r="AG344" s="281">
        <v>0.45</v>
      </c>
      <c r="AH344" s="281">
        <v>0.4</v>
      </c>
      <c r="AI344" s="281">
        <v>0.4</v>
      </c>
      <c r="AJ344" s="281">
        <v>0.4</v>
      </c>
      <c r="AK344" s="281">
        <v>0.4</v>
      </c>
      <c r="AL344" s="281">
        <v>0.4</v>
      </c>
      <c r="AM344" s="281">
        <v>0.4</v>
      </c>
      <c r="AN344" s="281">
        <v>0.4</v>
      </c>
      <c r="AO344" s="281">
        <v>0.4</v>
      </c>
      <c r="AP344" s="281">
        <v>0.4</v>
      </c>
      <c r="AQ344" s="281">
        <v>0.4</v>
      </c>
      <c r="AR344" s="281">
        <v>0.4</v>
      </c>
      <c r="AS344" s="281">
        <v>0.4</v>
      </c>
      <c r="AT344" s="281">
        <v>0.3</v>
      </c>
      <c r="AU344" s="281">
        <v>0.3</v>
      </c>
      <c r="AV344" s="281">
        <v>0.3</v>
      </c>
      <c r="AW344" s="281">
        <v>0.3</v>
      </c>
      <c r="AX344" s="281">
        <v>0.3</v>
      </c>
      <c r="AY344" s="281">
        <v>0.3</v>
      </c>
      <c r="AZ344" s="281">
        <v>0.3</v>
      </c>
      <c r="BA344" s="281">
        <v>0.3</v>
      </c>
      <c r="BB344" s="281">
        <v>0.3</v>
      </c>
      <c r="BC344" s="281">
        <v>0.3</v>
      </c>
      <c r="BD344" s="281">
        <v>0.3</v>
      </c>
      <c r="BE344" s="281">
        <v>0.3</v>
      </c>
      <c r="BF344" s="281">
        <v>0.3</v>
      </c>
      <c r="BG344" s="281">
        <v>0.15</v>
      </c>
      <c r="BH344" s="281">
        <v>0.15</v>
      </c>
      <c r="BI344" s="281">
        <v>0.15</v>
      </c>
      <c r="BJ344" s="281">
        <v>0.15</v>
      </c>
      <c r="BK344" s="281">
        <v>0.15</v>
      </c>
      <c r="BL344" s="281">
        <v>0.15</v>
      </c>
      <c r="BM344" s="281">
        <v>0.15</v>
      </c>
      <c r="BN344" s="281">
        <v>0.15</v>
      </c>
      <c r="BO344" s="281">
        <v>0.15</v>
      </c>
      <c r="BP344" s="281">
        <v>0.15</v>
      </c>
      <c r="BQ344" s="281">
        <v>0.15</v>
      </c>
      <c r="BR344" s="286">
        <v>0</v>
      </c>
    </row>
    <row r="345" spans="1:70" ht="14.25" customHeight="1" x14ac:dyDescent="0.35">
      <c r="A345" s="4" t="s">
        <v>441</v>
      </c>
      <c r="B345" s="384">
        <v>314.45166731366464</v>
      </c>
      <c r="C345" s="385"/>
      <c r="D345" s="41" t="s">
        <v>102</v>
      </c>
      <c r="E345" s="93">
        <f t="shared" si="3"/>
        <v>0</v>
      </c>
      <c r="F345" s="93">
        <v>2025</v>
      </c>
      <c r="G345" s="93">
        <v>2050</v>
      </c>
      <c r="I345" s="41" t="s">
        <v>102</v>
      </c>
      <c r="J345" s="281">
        <v>0.5</v>
      </c>
      <c r="K345" s="281">
        <v>0.5</v>
      </c>
      <c r="L345" s="281">
        <v>0.5</v>
      </c>
      <c r="M345" s="281">
        <v>0.5</v>
      </c>
      <c r="N345" s="281">
        <v>0.5</v>
      </c>
      <c r="O345" s="281">
        <v>0.5</v>
      </c>
      <c r="P345" s="281">
        <v>0.5</v>
      </c>
      <c r="Q345" s="281">
        <v>0.5</v>
      </c>
      <c r="R345" s="281">
        <v>0.5</v>
      </c>
      <c r="S345" s="281">
        <v>0.5</v>
      </c>
      <c r="T345" s="281">
        <v>0.5</v>
      </c>
      <c r="U345" s="281">
        <v>0.45</v>
      </c>
      <c r="V345" s="281">
        <v>0.45</v>
      </c>
      <c r="W345" s="281">
        <v>0.45</v>
      </c>
      <c r="X345" s="281">
        <v>0.45</v>
      </c>
      <c r="Y345" s="281">
        <v>0.45</v>
      </c>
      <c r="Z345" s="281">
        <v>0.45</v>
      </c>
      <c r="AA345" s="281">
        <v>0.45</v>
      </c>
      <c r="AB345" s="281">
        <v>0.45</v>
      </c>
      <c r="AC345" s="281">
        <v>0.45</v>
      </c>
      <c r="AD345" s="281">
        <v>0.45</v>
      </c>
      <c r="AE345" s="281">
        <v>0.45</v>
      </c>
      <c r="AF345" s="281">
        <v>0.45</v>
      </c>
      <c r="AG345" s="281">
        <v>0.45</v>
      </c>
      <c r="AH345" s="281">
        <v>0.4</v>
      </c>
      <c r="AI345" s="281">
        <v>0.4</v>
      </c>
      <c r="AJ345" s="281">
        <v>0.4</v>
      </c>
      <c r="AK345" s="281">
        <v>0.4</v>
      </c>
      <c r="AL345" s="281">
        <v>0.4</v>
      </c>
      <c r="AM345" s="281">
        <v>0.4</v>
      </c>
      <c r="AN345" s="281">
        <v>0.4</v>
      </c>
      <c r="AO345" s="281">
        <v>0.4</v>
      </c>
      <c r="AP345" s="281">
        <v>0.4</v>
      </c>
      <c r="AQ345" s="281">
        <v>0.4</v>
      </c>
      <c r="AR345" s="281">
        <v>0.4</v>
      </c>
      <c r="AS345" s="281">
        <v>0.4</v>
      </c>
      <c r="AT345" s="281">
        <v>0.3</v>
      </c>
      <c r="AU345" s="281">
        <v>0.3</v>
      </c>
      <c r="AV345" s="281">
        <v>0.3</v>
      </c>
      <c r="AW345" s="281">
        <v>0.3</v>
      </c>
      <c r="AX345" s="281">
        <v>0.3</v>
      </c>
      <c r="AY345" s="281">
        <v>0.3</v>
      </c>
      <c r="AZ345" s="281">
        <v>0.3</v>
      </c>
      <c r="BA345" s="281">
        <v>0.3</v>
      </c>
      <c r="BB345" s="281">
        <v>0.3</v>
      </c>
      <c r="BC345" s="281">
        <v>0.3</v>
      </c>
      <c r="BD345" s="281">
        <v>0.3</v>
      </c>
      <c r="BE345" s="281">
        <v>0.3</v>
      </c>
      <c r="BF345" s="281">
        <v>0.3</v>
      </c>
      <c r="BG345" s="281">
        <v>0.15</v>
      </c>
      <c r="BH345" s="281">
        <v>0.15</v>
      </c>
      <c r="BI345" s="281">
        <v>0.15</v>
      </c>
      <c r="BJ345" s="281">
        <v>0.15</v>
      </c>
      <c r="BK345" s="281">
        <v>0.15</v>
      </c>
      <c r="BL345" s="281">
        <v>0.15</v>
      </c>
      <c r="BM345" s="281">
        <v>0.15</v>
      </c>
      <c r="BN345" s="281">
        <v>0.15</v>
      </c>
      <c r="BO345" s="281">
        <v>0.15</v>
      </c>
      <c r="BP345" s="281">
        <v>0.15</v>
      </c>
      <c r="BQ345" s="281">
        <v>0.15</v>
      </c>
      <c r="BR345" s="286">
        <v>0</v>
      </c>
    </row>
    <row r="346" spans="1:70" ht="14.25" customHeight="1" x14ac:dyDescent="0.35">
      <c r="A346" s="4" t="s">
        <v>442</v>
      </c>
      <c r="B346" s="384">
        <v>314.45166731366464</v>
      </c>
      <c r="C346" s="385"/>
      <c r="D346" s="41" t="s">
        <v>103</v>
      </c>
      <c r="E346" s="93">
        <f t="shared" si="3"/>
        <v>0</v>
      </c>
      <c r="F346" s="93">
        <v>2025</v>
      </c>
      <c r="G346" s="93">
        <v>2050</v>
      </c>
      <c r="I346" s="41" t="s">
        <v>103</v>
      </c>
      <c r="J346" s="281">
        <v>0.5</v>
      </c>
      <c r="K346" s="281">
        <v>0.5</v>
      </c>
      <c r="L346" s="281">
        <v>0.5</v>
      </c>
      <c r="M346" s="281">
        <v>0.5</v>
      </c>
      <c r="N346" s="281">
        <v>0.5</v>
      </c>
      <c r="O346" s="281">
        <v>0.5</v>
      </c>
      <c r="P346" s="281">
        <v>0.5</v>
      </c>
      <c r="Q346" s="281">
        <v>0.5</v>
      </c>
      <c r="R346" s="281">
        <v>0.5</v>
      </c>
      <c r="S346" s="281">
        <v>0.5</v>
      </c>
      <c r="T346" s="281">
        <v>0.5</v>
      </c>
      <c r="U346" s="281">
        <v>0.45</v>
      </c>
      <c r="V346" s="281">
        <v>0.45</v>
      </c>
      <c r="W346" s="281">
        <v>0.45</v>
      </c>
      <c r="X346" s="281">
        <v>0.45</v>
      </c>
      <c r="Y346" s="281">
        <v>0.45</v>
      </c>
      <c r="Z346" s="281">
        <v>0.45</v>
      </c>
      <c r="AA346" s="281">
        <v>0.45</v>
      </c>
      <c r="AB346" s="281">
        <v>0.45</v>
      </c>
      <c r="AC346" s="281">
        <v>0.45</v>
      </c>
      <c r="AD346" s="281">
        <v>0.45</v>
      </c>
      <c r="AE346" s="281">
        <v>0.45</v>
      </c>
      <c r="AF346" s="281">
        <v>0.45</v>
      </c>
      <c r="AG346" s="281">
        <v>0.45</v>
      </c>
      <c r="AH346" s="281">
        <v>0.4</v>
      </c>
      <c r="AI346" s="281">
        <v>0.4</v>
      </c>
      <c r="AJ346" s="281">
        <v>0.4</v>
      </c>
      <c r="AK346" s="281">
        <v>0.4</v>
      </c>
      <c r="AL346" s="281">
        <v>0.4</v>
      </c>
      <c r="AM346" s="281">
        <v>0.4</v>
      </c>
      <c r="AN346" s="281">
        <v>0.4</v>
      </c>
      <c r="AO346" s="281">
        <v>0.4</v>
      </c>
      <c r="AP346" s="281">
        <v>0.4</v>
      </c>
      <c r="AQ346" s="281">
        <v>0.4</v>
      </c>
      <c r="AR346" s="281">
        <v>0.4</v>
      </c>
      <c r="AS346" s="281">
        <v>0.4</v>
      </c>
      <c r="AT346" s="281">
        <v>0.3</v>
      </c>
      <c r="AU346" s="281">
        <v>0.3</v>
      </c>
      <c r="AV346" s="281">
        <v>0.3</v>
      </c>
      <c r="AW346" s="281">
        <v>0.3</v>
      </c>
      <c r="AX346" s="281">
        <v>0.3</v>
      </c>
      <c r="AY346" s="281">
        <v>0.3</v>
      </c>
      <c r="AZ346" s="281">
        <v>0.3</v>
      </c>
      <c r="BA346" s="281">
        <v>0.3</v>
      </c>
      <c r="BB346" s="281">
        <v>0.3</v>
      </c>
      <c r="BC346" s="281">
        <v>0.3</v>
      </c>
      <c r="BD346" s="281">
        <v>0.3</v>
      </c>
      <c r="BE346" s="281">
        <v>0.3</v>
      </c>
      <c r="BF346" s="281">
        <v>0.3</v>
      </c>
      <c r="BG346" s="281">
        <v>0.15</v>
      </c>
      <c r="BH346" s="281">
        <v>0.15</v>
      </c>
      <c r="BI346" s="281">
        <v>0.15</v>
      </c>
      <c r="BJ346" s="281">
        <v>0.15</v>
      </c>
      <c r="BK346" s="281">
        <v>0.15</v>
      </c>
      <c r="BL346" s="281">
        <v>0.15</v>
      </c>
      <c r="BM346" s="281">
        <v>0.15</v>
      </c>
      <c r="BN346" s="281">
        <v>0.15</v>
      </c>
      <c r="BO346" s="281">
        <v>0.15</v>
      </c>
      <c r="BP346" s="281">
        <v>0.15</v>
      </c>
      <c r="BQ346" s="281">
        <v>0.15</v>
      </c>
      <c r="BR346" s="286">
        <v>0</v>
      </c>
    </row>
    <row r="347" spans="1:70" ht="14.25" customHeight="1" x14ac:dyDescent="0.35">
      <c r="A347" s="4" t="s">
        <v>443</v>
      </c>
      <c r="B347" s="384">
        <v>314.45166731366464</v>
      </c>
      <c r="C347" s="385"/>
      <c r="D347" s="41" t="s">
        <v>104</v>
      </c>
      <c r="E347" s="93">
        <f t="shared" si="3"/>
        <v>0</v>
      </c>
      <c r="F347" s="93">
        <v>2025</v>
      </c>
      <c r="G347" s="93">
        <v>2050</v>
      </c>
      <c r="I347" s="41" t="s">
        <v>104</v>
      </c>
      <c r="J347" s="281">
        <v>0.5</v>
      </c>
      <c r="K347" s="281">
        <v>0.5</v>
      </c>
      <c r="L347" s="281">
        <v>0.5</v>
      </c>
      <c r="M347" s="281">
        <v>0.5</v>
      </c>
      <c r="N347" s="281">
        <v>0.5</v>
      </c>
      <c r="O347" s="281">
        <v>0.5</v>
      </c>
      <c r="P347" s="281">
        <v>0.5</v>
      </c>
      <c r="Q347" s="281">
        <v>0.5</v>
      </c>
      <c r="R347" s="281">
        <v>0.5</v>
      </c>
      <c r="S347" s="281">
        <v>0.5</v>
      </c>
      <c r="T347" s="281">
        <v>0.5</v>
      </c>
      <c r="U347" s="281">
        <v>0.45</v>
      </c>
      <c r="V347" s="281">
        <v>0.45</v>
      </c>
      <c r="W347" s="281">
        <v>0.45</v>
      </c>
      <c r="X347" s="281">
        <v>0.45</v>
      </c>
      <c r="Y347" s="281">
        <v>0.45</v>
      </c>
      <c r="Z347" s="281">
        <v>0.45</v>
      </c>
      <c r="AA347" s="281">
        <v>0.45</v>
      </c>
      <c r="AB347" s="281">
        <v>0.45</v>
      </c>
      <c r="AC347" s="281">
        <v>0.45</v>
      </c>
      <c r="AD347" s="281">
        <v>0.45</v>
      </c>
      <c r="AE347" s="281">
        <v>0.45</v>
      </c>
      <c r="AF347" s="281">
        <v>0.45</v>
      </c>
      <c r="AG347" s="281">
        <v>0.45</v>
      </c>
      <c r="AH347" s="281">
        <v>0.4</v>
      </c>
      <c r="AI347" s="281">
        <v>0.4</v>
      </c>
      <c r="AJ347" s="281">
        <v>0.4</v>
      </c>
      <c r="AK347" s="281">
        <v>0.4</v>
      </c>
      <c r="AL347" s="281">
        <v>0.4</v>
      </c>
      <c r="AM347" s="281">
        <v>0.4</v>
      </c>
      <c r="AN347" s="281">
        <v>0.4</v>
      </c>
      <c r="AO347" s="281">
        <v>0.4</v>
      </c>
      <c r="AP347" s="281">
        <v>0.4</v>
      </c>
      <c r="AQ347" s="281">
        <v>0.4</v>
      </c>
      <c r="AR347" s="281">
        <v>0.4</v>
      </c>
      <c r="AS347" s="281">
        <v>0.4</v>
      </c>
      <c r="AT347" s="281">
        <v>0.3</v>
      </c>
      <c r="AU347" s="281">
        <v>0.3</v>
      </c>
      <c r="AV347" s="281">
        <v>0.3</v>
      </c>
      <c r="AW347" s="281">
        <v>0.3</v>
      </c>
      <c r="AX347" s="281">
        <v>0.3</v>
      </c>
      <c r="AY347" s="281">
        <v>0.3</v>
      </c>
      <c r="AZ347" s="281">
        <v>0.3</v>
      </c>
      <c r="BA347" s="281">
        <v>0.3</v>
      </c>
      <c r="BB347" s="281">
        <v>0.3</v>
      </c>
      <c r="BC347" s="281">
        <v>0.3</v>
      </c>
      <c r="BD347" s="281">
        <v>0.3</v>
      </c>
      <c r="BE347" s="281">
        <v>0.3</v>
      </c>
      <c r="BF347" s="281">
        <v>0.3</v>
      </c>
      <c r="BG347" s="281">
        <v>0.15</v>
      </c>
      <c r="BH347" s="281">
        <v>0.15</v>
      </c>
      <c r="BI347" s="281">
        <v>0.15</v>
      </c>
      <c r="BJ347" s="281">
        <v>0.15</v>
      </c>
      <c r="BK347" s="281">
        <v>0.15</v>
      </c>
      <c r="BL347" s="281">
        <v>0.15</v>
      </c>
      <c r="BM347" s="281">
        <v>0.15</v>
      </c>
      <c r="BN347" s="281">
        <v>0.15</v>
      </c>
      <c r="BO347" s="281">
        <v>0.15</v>
      </c>
      <c r="BP347" s="281">
        <v>0.15</v>
      </c>
      <c r="BQ347" s="281">
        <v>0.15</v>
      </c>
      <c r="BR347" s="286">
        <v>0</v>
      </c>
    </row>
    <row r="348" spans="1:70" ht="14.25" customHeight="1" x14ac:dyDescent="0.35">
      <c r="A348" s="4" t="s">
        <v>444</v>
      </c>
      <c r="B348" s="384">
        <v>314.45166731366464</v>
      </c>
      <c r="C348" s="385"/>
      <c r="D348" s="41" t="s">
        <v>105</v>
      </c>
      <c r="E348" s="93">
        <f t="shared" si="3"/>
        <v>0</v>
      </c>
      <c r="F348" s="93">
        <v>2025</v>
      </c>
      <c r="G348" s="93">
        <v>2050</v>
      </c>
      <c r="I348" s="41" t="s">
        <v>105</v>
      </c>
      <c r="J348" s="281">
        <v>0.5</v>
      </c>
      <c r="K348" s="281">
        <v>0.5</v>
      </c>
      <c r="L348" s="281">
        <v>0.5</v>
      </c>
      <c r="M348" s="281">
        <v>0.5</v>
      </c>
      <c r="N348" s="281">
        <v>0.5</v>
      </c>
      <c r="O348" s="281">
        <v>0.5</v>
      </c>
      <c r="P348" s="281">
        <v>0.5</v>
      </c>
      <c r="Q348" s="281">
        <v>0.5</v>
      </c>
      <c r="R348" s="281">
        <v>0.5</v>
      </c>
      <c r="S348" s="281">
        <v>0.5</v>
      </c>
      <c r="T348" s="281">
        <v>0.5</v>
      </c>
      <c r="U348" s="281">
        <v>0.45</v>
      </c>
      <c r="V348" s="281">
        <v>0.45</v>
      </c>
      <c r="W348" s="281">
        <v>0.45</v>
      </c>
      <c r="X348" s="281">
        <v>0.45</v>
      </c>
      <c r="Y348" s="281">
        <v>0.45</v>
      </c>
      <c r="Z348" s="281">
        <v>0.45</v>
      </c>
      <c r="AA348" s="281">
        <v>0.45</v>
      </c>
      <c r="AB348" s="281">
        <v>0.45</v>
      </c>
      <c r="AC348" s="281">
        <v>0.45</v>
      </c>
      <c r="AD348" s="281">
        <v>0.45</v>
      </c>
      <c r="AE348" s="281">
        <v>0.45</v>
      </c>
      <c r="AF348" s="281">
        <v>0.45</v>
      </c>
      <c r="AG348" s="281">
        <v>0.45</v>
      </c>
      <c r="AH348" s="281">
        <v>0.4</v>
      </c>
      <c r="AI348" s="281">
        <v>0.4</v>
      </c>
      <c r="AJ348" s="281">
        <v>0.4</v>
      </c>
      <c r="AK348" s="281">
        <v>0.4</v>
      </c>
      <c r="AL348" s="281">
        <v>0.4</v>
      </c>
      <c r="AM348" s="281">
        <v>0.4</v>
      </c>
      <c r="AN348" s="281">
        <v>0.4</v>
      </c>
      <c r="AO348" s="281">
        <v>0.4</v>
      </c>
      <c r="AP348" s="281">
        <v>0.4</v>
      </c>
      <c r="AQ348" s="281">
        <v>0.4</v>
      </c>
      <c r="AR348" s="281">
        <v>0.4</v>
      </c>
      <c r="AS348" s="281">
        <v>0.4</v>
      </c>
      <c r="AT348" s="281">
        <v>0.3</v>
      </c>
      <c r="AU348" s="281">
        <v>0.3</v>
      </c>
      <c r="AV348" s="281">
        <v>0.3</v>
      </c>
      <c r="AW348" s="281">
        <v>0.3</v>
      </c>
      <c r="AX348" s="281">
        <v>0.3</v>
      </c>
      <c r="AY348" s="281">
        <v>0.3</v>
      </c>
      <c r="AZ348" s="281">
        <v>0.3</v>
      </c>
      <c r="BA348" s="281">
        <v>0.3</v>
      </c>
      <c r="BB348" s="281">
        <v>0.3</v>
      </c>
      <c r="BC348" s="281">
        <v>0.3</v>
      </c>
      <c r="BD348" s="281">
        <v>0.3</v>
      </c>
      <c r="BE348" s="281">
        <v>0.3</v>
      </c>
      <c r="BF348" s="281">
        <v>0.3</v>
      </c>
      <c r="BG348" s="281">
        <v>0.15</v>
      </c>
      <c r="BH348" s="281">
        <v>0.15</v>
      </c>
      <c r="BI348" s="281">
        <v>0.15</v>
      </c>
      <c r="BJ348" s="281">
        <v>0.15</v>
      </c>
      <c r="BK348" s="281">
        <v>0.15</v>
      </c>
      <c r="BL348" s="281">
        <v>0.15</v>
      </c>
      <c r="BM348" s="281">
        <v>0.15</v>
      </c>
      <c r="BN348" s="281">
        <v>0.15</v>
      </c>
      <c r="BO348" s="281">
        <v>0.15</v>
      </c>
      <c r="BP348" s="281">
        <v>0.15</v>
      </c>
      <c r="BQ348" s="281">
        <v>0.15</v>
      </c>
      <c r="BR348" s="286">
        <v>0</v>
      </c>
    </row>
    <row r="349" spans="1:70" ht="14.25" customHeight="1" x14ac:dyDescent="0.35">
      <c r="A349" s="4" t="s">
        <v>445</v>
      </c>
      <c r="B349" s="384">
        <v>314.45166731366464</v>
      </c>
      <c r="C349" s="385"/>
      <c r="D349" s="41" t="s">
        <v>106</v>
      </c>
      <c r="E349" s="93">
        <f t="shared" si="3"/>
        <v>0</v>
      </c>
      <c r="F349" s="93">
        <v>2025</v>
      </c>
      <c r="G349" s="93">
        <v>2050</v>
      </c>
      <c r="I349" s="41" t="s">
        <v>106</v>
      </c>
      <c r="J349" s="281">
        <v>0.5</v>
      </c>
      <c r="K349" s="281">
        <v>0.5</v>
      </c>
      <c r="L349" s="281">
        <v>0.5</v>
      </c>
      <c r="M349" s="281">
        <v>0.5</v>
      </c>
      <c r="N349" s="281">
        <v>0.5</v>
      </c>
      <c r="O349" s="281">
        <v>0.5</v>
      </c>
      <c r="P349" s="281">
        <v>0.5</v>
      </c>
      <c r="Q349" s="281">
        <v>0.5</v>
      </c>
      <c r="R349" s="281">
        <v>0.5</v>
      </c>
      <c r="S349" s="281">
        <v>0.5</v>
      </c>
      <c r="T349" s="281">
        <v>0.5</v>
      </c>
      <c r="U349" s="281">
        <v>0.45</v>
      </c>
      <c r="V349" s="281">
        <v>0.45</v>
      </c>
      <c r="W349" s="281">
        <v>0.45</v>
      </c>
      <c r="X349" s="281">
        <v>0.45</v>
      </c>
      <c r="Y349" s="281">
        <v>0.45</v>
      </c>
      <c r="Z349" s="281">
        <v>0.45</v>
      </c>
      <c r="AA349" s="281">
        <v>0.45</v>
      </c>
      <c r="AB349" s="281">
        <v>0.45</v>
      </c>
      <c r="AC349" s="281">
        <v>0.45</v>
      </c>
      <c r="AD349" s="281">
        <v>0.45</v>
      </c>
      <c r="AE349" s="281">
        <v>0.45</v>
      </c>
      <c r="AF349" s="281">
        <v>0.45</v>
      </c>
      <c r="AG349" s="281">
        <v>0.45</v>
      </c>
      <c r="AH349" s="281">
        <v>0.4</v>
      </c>
      <c r="AI349" s="281">
        <v>0.4</v>
      </c>
      <c r="AJ349" s="281">
        <v>0.4</v>
      </c>
      <c r="AK349" s="281">
        <v>0.4</v>
      </c>
      <c r="AL349" s="281">
        <v>0.4</v>
      </c>
      <c r="AM349" s="281">
        <v>0.4</v>
      </c>
      <c r="AN349" s="281">
        <v>0.4</v>
      </c>
      <c r="AO349" s="281">
        <v>0.4</v>
      </c>
      <c r="AP349" s="281">
        <v>0.4</v>
      </c>
      <c r="AQ349" s="281">
        <v>0.4</v>
      </c>
      <c r="AR349" s="281">
        <v>0.4</v>
      </c>
      <c r="AS349" s="281">
        <v>0.4</v>
      </c>
      <c r="AT349" s="281">
        <v>0.3</v>
      </c>
      <c r="AU349" s="281">
        <v>0.3</v>
      </c>
      <c r="AV349" s="281">
        <v>0.3</v>
      </c>
      <c r="AW349" s="281">
        <v>0.3</v>
      </c>
      <c r="AX349" s="281">
        <v>0.3</v>
      </c>
      <c r="AY349" s="281">
        <v>0.3</v>
      </c>
      <c r="AZ349" s="281">
        <v>0.3</v>
      </c>
      <c r="BA349" s="281">
        <v>0.3</v>
      </c>
      <c r="BB349" s="281">
        <v>0.3</v>
      </c>
      <c r="BC349" s="281">
        <v>0.3</v>
      </c>
      <c r="BD349" s="281">
        <v>0.3</v>
      </c>
      <c r="BE349" s="281">
        <v>0.3</v>
      </c>
      <c r="BF349" s="281">
        <v>0.3</v>
      </c>
      <c r="BG349" s="281">
        <v>0.15</v>
      </c>
      <c r="BH349" s="281">
        <v>0.15</v>
      </c>
      <c r="BI349" s="281">
        <v>0.15</v>
      </c>
      <c r="BJ349" s="281">
        <v>0.15</v>
      </c>
      <c r="BK349" s="281">
        <v>0.15</v>
      </c>
      <c r="BL349" s="281">
        <v>0.15</v>
      </c>
      <c r="BM349" s="281">
        <v>0.15</v>
      </c>
      <c r="BN349" s="281">
        <v>0.15</v>
      </c>
      <c r="BO349" s="281">
        <v>0.15</v>
      </c>
      <c r="BP349" s="281">
        <v>0.15</v>
      </c>
      <c r="BQ349" s="281">
        <v>0.15</v>
      </c>
      <c r="BR349" s="286">
        <v>0</v>
      </c>
    </row>
    <row r="350" spans="1:70" ht="14.25" customHeight="1" x14ac:dyDescent="0.35">
      <c r="A350" s="4" t="s">
        <v>446</v>
      </c>
      <c r="B350" s="384">
        <v>314.45166731366464</v>
      </c>
      <c r="C350" s="385"/>
      <c r="D350" s="41" t="s">
        <v>107</v>
      </c>
      <c r="E350" s="93">
        <f t="shared" si="3"/>
        <v>0</v>
      </c>
      <c r="F350" s="93">
        <v>2025</v>
      </c>
      <c r="G350" s="93">
        <v>2050</v>
      </c>
      <c r="I350" s="41" t="s">
        <v>107</v>
      </c>
      <c r="J350" s="281">
        <v>0.5</v>
      </c>
      <c r="K350" s="281">
        <v>0.5</v>
      </c>
      <c r="L350" s="281">
        <v>0.5</v>
      </c>
      <c r="M350" s="281">
        <v>0.5</v>
      </c>
      <c r="N350" s="281">
        <v>0.5</v>
      </c>
      <c r="O350" s="281">
        <v>0.5</v>
      </c>
      <c r="P350" s="281">
        <v>0.5</v>
      </c>
      <c r="Q350" s="281">
        <v>0.5</v>
      </c>
      <c r="R350" s="281">
        <v>0.5</v>
      </c>
      <c r="S350" s="281">
        <v>0.5</v>
      </c>
      <c r="T350" s="281">
        <v>0.5</v>
      </c>
      <c r="U350" s="281">
        <v>0.45</v>
      </c>
      <c r="V350" s="281">
        <v>0.45</v>
      </c>
      <c r="W350" s="281">
        <v>0.45</v>
      </c>
      <c r="X350" s="281">
        <v>0.45</v>
      </c>
      <c r="Y350" s="281">
        <v>0.45</v>
      </c>
      <c r="Z350" s="281">
        <v>0.45</v>
      </c>
      <c r="AA350" s="281">
        <v>0.45</v>
      </c>
      <c r="AB350" s="281">
        <v>0.45</v>
      </c>
      <c r="AC350" s="281">
        <v>0.45</v>
      </c>
      <c r="AD350" s="281">
        <v>0.45</v>
      </c>
      <c r="AE350" s="281">
        <v>0.45</v>
      </c>
      <c r="AF350" s="281">
        <v>0.45</v>
      </c>
      <c r="AG350" s="281">
        <v>0.45</v>
      </c>
      <c r="AH350" s="281">
        <v>0.4</v>
      </c>
      <c r="AI350" s="281">
        <v>0.4</v>
      </c>
      <c r="AJ350" s="281">
        <v>0.4</v>
      </c>
      <c r="AK350" s="281">
        <v>0.4</v>
      </c>
      <c r="AL350" s="281">
        <v>0.4</v>
      </c>
      <c r="AM350" s="281">
        <v>0.4</v>
      </c>
      <c r="AN350" s="281">
        <v>0.4</v>
      </c>
      <c r="AO350" s="281">
        <v>0.4</v>
      </c>
      <c r="AP350" s="281">
        <v>0.4</v>
      </c>
      <c r="AQ350" s="281">
        <v>0.4</v>
      </c>
      <c r="AR350" s="281">
        <v>0.4</v>
      </c>
      <c r="AS350" s="281">
        <v>0.4</v>
      </c>
      <c r="AT350" s="281">
        <v>0.3</v>
      </c>
      <c r="AU350" s="281">
        <v>0.3</v>
      </c>
      <c r="AV350" s="281">
        <v>0.3</v>
      </c>
      <c r="AW350" s="281">
        <v>0.3</v>
      </c>
      <c r="AX350" s="281">
        <v>0.3</v>
      </c>
      <c r="AY350" s="281">
        <v>0.3</v>
      </c>
      <c r="AZ350" s="281">
        <v>0.3</v>
      </c>
      <c r="BA350" s="281">
        <v>0.3</v>
      </c>
      <c r="BB350" s="281">
        <v>0.3</v>
      </c>
      <c r="BC350" s="281">
        <v>0.3</v>
      </c>
      <c r="BD350" s="281">
        <v>0.3</v>
      </c>
      <c r="BE350" s="281">
        <v>0.3</v>
      </c>
      <c r="BF350" s="281">
        <v>0.3</v>
      </c>
      <c r="BG350" s="281">
        <v>0.15</v>
      </c>
      <c r="BH350" s="281">
        <v>0.15</v>
      </c>
      <c r="BI350" s="281">
        <v>0.15</v>
      </c>
      <c r="BJ350" s="281">
        <v>0.15</v>
      </c>
      <c r="BK350" s="281">
        <v>0.15</v>
      </c>
      <c r="BL350" s="281">
        <v>0.15</v>
      </c>
      <c r="BM350" s="281">
        <v>0.15</v>
      </c>
      <c r="BN350" s="281">
        <v>0.15</v>
      </c>
      <c r="BO350" s="281">
        <v>0.15</v>
      </c>
      <c r="BP350" s="281">
        <v>0.15</v>
      </c>
      <c r="BQ350" s="281">
        <v>0.15</v>
      </c>
      <c r="BR350" s="286">
        <v>0</v>
      </c>
    </row>
    <row r="351" spans="1:70" ht="14.25" customHeight="1" x14ac:dyDescent="0.35">
      <c r="A351" s="4" t="s">
        <v>447</v>
      </c>
      <c r="B351" s="384">
        <v>314.45166731366464</v>
      </c>
      <c r="C351" s="385"/>
      <c r="D351" s="41" t="s">
        <v>108</v>
      </c>
      <c r="E351" s="93">
        <f t="shared" si="3"/>
        <v>0</v>
      </c>
      <c r="F351" s="93">
        <v>2025</v>
      </c>
      <c r="G351" s="93">
        <v>2050</v>
      </c>
      <c r="I351" s="41" t="s">
        <v>108</v>
      </c>
      <c r="J351" s="286">
        <v>0</v>
      </c>
      <c r="K351" s="286">
        <v>0</v>
      </c>
      <c r="L351" s="286">
        <v>0</v>
      </c>
      <c r="M351" s="286">
        <v>0</v>
      </c>
      <c r="N351" s="286">
        <v>0</v>
      </c>
      <c r="O351" s="286">
        <v>0</v>
      </c>
      <c r="P351" s="286">
        <v>0</v>
      </c>
      <c r="Q351" s="286">
        <v>0</v>
      </c>
      <c r="R351" s="286">
        <v>0</v>
      </c>
      <c r="S351" s="286">
        <v>0</v>
      </c>
      <c r="T351" s="286">
        <v>0</v>
      </c>
      <c r="U351" s="286">
        <v>0</v>
      </c>
      <c r="V351" s="286">
        <v>0</v>
      </c>
      <c r="W351" s="286">
        <v>0</v>
      </c>
      <c r="X351" s="286">
        <v>0</v>
      </c>
      <c r="Y351" s="286">
        <v>0</v>
      </c>
      <c r="Z351" s="286">
        <v>0</v>
      </c>
      <c r="AA351" s="286">
        <v>0</v>
      </c>
      <c r="AB351" s="286">
        <v>0</v>
      </c>
      <c r="AC351" s="286">
        <v>0</v>
      </c>
      <c r="AD351" s="286">
        <v>0</v>
      </c>
      <c r="AE351" s="286">
        <v>0</v>
      </c>
      <c r="AF351" s="286">
        <v>0</v>
      </c>
      <c r="AG351" s="286">
        <v>0</v>
      </c>
      <c r="AH351" s="286">
        <v>0</v>
      </c>
      <c r="AI351" s="286">
        <v>0</v>
      </c>
      <c r="AJ351" s="286">
        <v>0</v>
      </c>
      <c r="AK351" s="286">
        <v>0</v>
      </c>
      <c r="AL351" s="286">
        <v>0</v>
      </c>
      <c r="AM351" s="286">
        <v>0</v>
      </c>
      <c r="AN351" s="286">
        <v>0</v>
      </c>
      <c r="AO351" s="286">
        <v>0</v>
      </c>
      <c r="AP351" s="286">
        <v>0</v>
      </c>
      <c r="AQ351" s="286">
        <v>0</v>
      </c>
      <c r="AR351" s="286">
        <v>0</v>
      </c>
      <c r="AS351" s="286">
        <v>0</v>
      </c>
      <c r="AT351" s="286">
        <v>0</v>
      </c>
      <c r="AU351" s="286">
        <v>0</v>
      </c>
      <c r="AV351" s="286">
        <v>0</v>
      </c>
      <c r="AW351" s="286">
        <v>0</v>
      </c>
      <c r="AX351" s="286">
        <v>0</v>
      </c>
      <c r="AY351" s="286">
        <v>0</v>
      </c>
      <c r="AZ351" s="286">
        <v>0</v>
      </c>
      <c r="BA351" s="286">
        <v>0</v>
      </c>
      <c r="BB351" s="286">
        <v>0</v>
      </c>
      <c r="BC351" s="286">
        <v>0</v>
      </c>
      <c r="BD351" s="286">
        <v>0</v>
      </c>
      <c r="BE351" s="286">
        <v>0</v>
      </c>
      <c r="BF351" s="286">
        <v>0</v>
      </c>
      <c r="BG351" s="286">
        <v>0</v>
      </c>
      <c r="BH351" s="286">
        <v>0</v>
      </c>
      <c r="BI351" s="286">
        <v>0</v>
      </c>
      <c r="BJ351" s="286">
        <v>0</v>
      </c>
      <c r="BK351" s="286">
        <v>0</v>
      </c>
      <c r="BL351" s="286">
        <v>0</v>
      </c>
      <c r="BM351" s="286">
        <v>0</v>
      </c>
      <c r="BN351" s="286">
        <v>0</v>
      </c>
      <c r="BO351" s="286">
        <v>0</v>
      </c>
      <c r="BP351" s="286">
        <v>0</v>
      </c>
      <c r="BQ351" s="286">
        <v>0</v>
      </c>
      <c r="BR351" s="281">
        <v>0.4</v>
      </c>
    </row>
    <row r="352" spans="1:70" ht="14.25" customHeight="1" x14ac:dyDescent="0.35">
      <c r="A352" s="4" t="s">
        <v>448</v>
      </c>
      <c r="B352" s="384">
        <v>314.45166731366464</v>
      </c>
      <c r="C352" s="385"/>
      <c r="D352" s="41" t="s">
        <v>109</v>
      </c>
      <c r="E352" s="93">
        <f t="shared" si="3"/>
        <v>0</v>
      </c>
      <c r="F352" s="93">
        <v>2025</v>
      </c>
      <c r="G352" s="93">
        <v>2050</v>
      </c>
      <c r="I352" s="41" t="s">
        <v>109</v>
      </c>
      <c r="J352" s="281">
        <v>0.5</v>
      </c>
      <c r="K352" s="281">
        <v>0.5</v>
      </c>
      <c r="L352" s="281">
        <v>0.5</v>
      </c>
      <c r="M352" s="281">
        <v>0.5</v>
      </c>
      <c r="N352" s="281">
        <v>0.5</v>
      </c>
      <c r="O352" s="281">
        <v>0.5</v>
      </c>
      <c r="P352" s="281">
        <v>0.5</v>
      </c>
      <c r="Q352" s="281">
        <v>0.5</v>
      </c>
      <c r="R352" s="281">
        <v>0.5</v>
      </c>
      <c r="S352" s="281">
        <v>0.5</v>
      </c>
      <c r="T352" s="281">
        <v>0.5</v>
      </c>
      <c r="U352" s="281">
        <v>0.45</v>
      </c>
      <c r="V352" s="281">
        <v>0.45</v>
      </c>
      <c r="W352" s="281">
        <v>0.45</v>
      </c>
      <c r="X352" s="281">
        <v>0.45</v>
      </c>
      <c r="Y352" s="281">
        <v>0.45</v>
      </c>
      <c r="Z352" s="281">
        <v>0.45</v>
      </c>
      <c r="AA352" s="281">
        <v>0.45</v>
      </c>
      <c r="AB352" s="281">
        <v>0.45</v>
      </c>
      <c r="AC352" s="281">
        <v>0.45</v>
      </c>
      <c r="AD352" s="281">
        <v>0.45</v>
      </c>
      <c r="AE352" s="281">
        <v>0.45</v>
      </c>
      <c r="AF352" s="281">
        <v>0.45</v>
      </c>
      <c r="AG352" s="281">
        <v>0.45</v>
      </c>
      <c r="AH352" s="281">
        <v>0.4</v>
      </c>
      <c r="AI352" s="281">
        <v>0.4</v>
      </c>
      <c r="AJ352" s="281">
        <v>0.4</v>
      </c>
      <c r="AK352" s="281">
        <v>0.4</v>
      </c>
      <c r="AL352" s="281">
        <v>0.4</v>
      </c>
      <c r="AM352" s="281">
        <v>0.4</v>
      </c>
      <c r="AN352" s="281">
        <v>0.4</v>
      </c>
      <c r="AO352" s="281">
        <v>0.4</v>
      </c>
      <c r="AP352" s="281">
        <v>0.4</v>
      </c>
      <c r="AQ352" s="281">
        <v>0.4</v>
      </c>
      <c r="AR352" s="281">
        <v>0.4</v>
      </c>
      <c r="AS352" s="281">
        <v>0.4</v>
      </c>
      <c r="AT352" s="281">
        <v>0.3</v>
      </c>
      <c r="AU352" s="281">
        <v>0.3</v>
      </c>
      <c r="AV352" s="281">
        <v>0.3</v>
      </c>
      <c r="AW352" s="281">
        <v>0.3</v>
      </c>
      <c r="AX352" s="281">
        <v>0.3</v>
      </c>
      <c r="AY352" s="281">
        <v>0.3</v>
      </c>
      <c r="AZ352" s="281">
        <v>0.3</v>
      </c>
      <c r="BA352" s="281">
        <v>0.3</v>
      </c>
      <c r="BB352" s="281">
        <v>0.3</v>
      </c>
      <c r="BC352" s="281">
        <v>0.3</v>
      </c>
      <c r="BD352" s="281">
        <v>0.3</v>
      </c>
      <c r="BE352" s="281">
        <v>0.3</v>
      </c>
      <c r="BF352" s="281">
        <v>0.3</v>
      </c>
      <c r="BG352" s="281">
        <v>0.15</v>
      </c>
      <c r="BH352" s="281">
        <v>0.15</v>
      </c>
      <c r="BI352" s="281">
        <v>0.15</v>
      </c>
      <c r="BJ352" s="281">
        <v>0.15</v>
      </c>
      <c r="BK352" s="281">
        <v>0.15</v>
      </c>
      <c r="BL352" s="281">
        <v>0.15</v>
      </c>
      <c r="BM352" s="281">
        <v>0.15</v>
      </c>
      <c r="BN352" s="281">
        <v>0.15</v>
      </c>
      <c r="BO352" s="281">
        <v>0.15</v>
      </c>
      <c r="BP352" s="281">
        <v>0.15</v>
      </c>
      <c r="BQ352" s="281">
        <v>0.15</v>
      </c>
      <c r="BR352" s="286">
        <v>0</v>
      </c>
    </row>
    <row r="353" spans="1:70" ht="14.25" customHeight="1" x14ac:dyDescent="0.35">
      <c r="A353" s="4" t="s">
        <v>449</v>
      </c>
      <c r="B353" s="384">
        <v>314.45166731366464</v>
      </c>
      <c r="C353" s="385"/>
      <c r="D353" s="41" t="s">
        <v>229</v>
      </c>
      <c r="E353" s="93">
        <f t="shared" si="3"/>
        <v>0</v>
      </c>
      <c r="F353" s="93">
        <v>2025</v>
      </c>
      <c r="G353" s="93">
        <v>2050</v>
      </c>
      <c r="I353" s="41" t="s">
        <v>229</v>
      </c>
      <c r="J353" s="281">
        <v>0.5</v>
      </c>
      <c r="K353" s="281">
        <v>0.5</v>
      </c>
      <c r="L353" s="281">
        <v>0.5</v>
      </c>
      <c r="M353" s="281">
        <v>0.5</v>
      </c>
      <c r="N353" s="281">
        <v>0.5</v>
      </c>
      <c r="O353" s="281">
        <v>0.5</v>
      </c>
      <c r="P353" s="281">
        <v>0.5</v>
      </c>
      <c r="Q353" s="281">
        <v>0.5</v>
      </c>
      <c r="R353" s="281">
        <v>0.5</v>
      </c>
      <c r="S353" s="281">
        <v>0.5</v>
      </c>
      <c r="T353" s="281">
        <v>0.5</v>
      </c>
      <c r="U353" s="281">
        <v>0.45</v>
      </c>
      <c r="V353" s="281">
        <v>0.45</v>
      </c>
      <c r="W353" s="281">
        <v>0.45</v>
      </c>
      <c r="X353" s="281">
        <v>0.45</v>
      </c>
      <c r="Y353" s="281">
        <v>0.45</v>
      </c>
      <c r="Z353" s="281">
        <v>0.45</v>
      </c>
      <c r="AA353" s="281">
        <v>0.45</v>
      </c>
      <c r="AB353" s="281">
        <v>0.45</v>
      </c>
      <c r="AC353" s="281">
        <v>0.45</v>
      </c>
      <c r="AD353" s="281">
        <v>0.45</v>
      </c>
      <c r="AE353" s="281">
        <v>0.45</v>
      </c>
      <c r="AF353" s="281">
        <v>0.45</v>
      </c>
      <c r="AG353" s="281">
        <v>0.45</v>
      </c>
      <c r="AH353" s="281">
        <v>0.4</v>
      </c>
      <c r="AI353" s="281">
        <v>0.4</v>
      </c>
      <c r="AJ353" s="281">
        <v>0.4</v>
      </c>
      <c r="AK353" s="281">
        <v>0.4</v>
      </c>
      <c r="AL353" s="281">
        <v>0.4</v>
      </c>
      <c r="AM353" s="281">
        <v>0.4</v>
      </c>
      <c r="AN353" s="281">
        <v>0.4</v>
      </c>
      <c r="AO353" s="281">
        <v>0.4</v>
      </c>
      <c r="AP353" s="281">
        <v>0.4</v>
      </c>
      <c r="AQ353" s="281">
        <v>0.4</v>
      </c>
      <c r="AR353" s="281">
        <v>0.4</v>
      </c>
      <c r="AS353" s="281">
        <v>0.4</v>
      </c>
      <c r="AT353" s="281">
        <v>0.3</v>
      </c>
      <c r="AU353" s="281">
        <v>0.3</v>
      </c>
      <c r="AV353" s="281">
        <v>0.3</v>
      </c>
      <c r="AW353" s="281">
        <v>0.3</v>
      </c>
      <c r="AX353" s="281">
        <v>0.3</v>
      </c>
      <c r="AY353" s="281">
        <v>0.3</v>
      </c>
      <c r="AZ353" s="281">
        <v>0.3</v>
      </c>
      <c r="BA353" s="281">
        <v>0.3</v>
      </c>
      <c r="BB353" s="281">
        <v>0.3</v>
      </c>
      <c r="BC353" s="281">
        <v>0.3</v>
      </c>
      <c r="BD353" s="281">
        <v>0.3</v>
      </c>
      <c r="BE353" s="281">
        <v>0.3</v>
      </c>
      <c r="BF353" s="281">
        <v>0.3</v>
      </c>
      <c r="BG353" s="281">
        <v>0.15</v>
      </c>
      <c r="BH353" s="281">
        <v>0.15</v>
      </c>
      <c r="BI353" s="281">
        <v>0.15</v>
      </c>
      <c r="BJ353" s="281">
        <v>0.15</v>
      </c>
      <c r="BK353" s="281">
        <v>0.15</v>
      </c>
      <c r="BL353" s="281">
        <v>0.15</v>
      </c>
      <c r="BM353" s="281">
        <v>0.15</v>
      </c>
      <c r="BN353" s="281">
        <v>0.15</v>
      </c>
      <c r="BO353" s="281">
        <v>0.15</v>
      </c>
      <c r="BP353" s="281">
        <v>0.15</v>
      </c>
      <c r="BQ353" s="281">
        <v>0.15</v>
      </c>
      <c r="BR353" s="286">
        <v>0</v>
      </c>
    </row>
    <row r="354" spans="1:70" ht="14.25" customHeight="1" x14ac:dyDescent="0.35">
      <c r="A354" s="4" t="s">
        <v>450</v>
      </c>
      <c r="B354" s="384">
        <v>314.45166731366464</v>
      </c>
      <c r="C354" s="385"/>
      <c r="D354" s="41" t="s">
        <v>111</v>
      </c>
      <c r="E354" s="93">
        <f t="shared" si="3"/>
        <v>0</v>
      </c>
      <c r="F354" s="93">
        <v>2025</v>
      </c>
      <c r="G354" s="93">
        <v>2050</v>
      </c>
      <c r="I354" s="41" t="s">
        <v>111</v>
      </c>
      <c r="J354" s="281">
        <v>0.5</v>
      </c>
      <c r="K354" s="281">
        <v>0.5</v>
      </c>
      <c r="L354" s="281">
        <v>0.5</v>
      </c>
      <c r="M354" s="281">
        <v>0.5</v>
      </c>
      <c r="N354" s="281">
        <v>0.5</v>
      </c>
      <c r="O354" s="281">
        <v>0.5</v>
      </c>
      <c r="P354" s="281">
        <v>0.5</v>
      </c>
      <c r="Q354" s="281">
        <v>0.5</v>
      </c>
      <c r="R354" s="281">
        <v>0.5</v>
      </c>
      <c r="S354" s="281">
        <v>0.5</v>
      </c>
      <c r="T354" s="281">
        <v>0.5</v>
      </c>
      <c r="U354" s="281">
        <v>0.45</v>
      </c>
      <c r="V354" s="281">
        <v>0.45</v>
      </c>
      <c r="W354" s="281">
        <v>0.45</v>
      </c>
      <c r="X354" s="281">
        <v>0.45</v>
      </c>
      <c r="Y354" s="281">
        <v>0.45</v>
      </c>
      <c r="Z354" s="281">
        <v>0.45</v>
      </c>
      <c r="AA354" s="281">
        <v>0.45</v>
      </c>
      <c r="AB354" s="281">
        <v>0.45</v>
      </c>
      <c r="AC354" s="281">
        <v>0.45</v>
      </c>
      <c r="AD354" s="281">
        <v>0.45</v>
      </c>
      <c r="AE354" s="281">
        <v>0.45</v>
      </c>
      <c r="AF354" s="281">
        <v>0.45</v>
      </c>
      <c r="AG354" s="281">
        <v>0.45</v>
      </c>
      <c r="AH354" s="281">
        <v>0.4</v>
      </c>
      <c r="AI354" s="281">
        <v>0.4</v>
      </c>
      <c r="AJ354" s="281">
        <v>0.4</v>
      </c>
      <c r="AK354" s="281">
        <v>0.4</v>
      </c>
      <c r="AL354" s="281">
        <v>0.4</v>
      </c>
      <c r="AM354" s="281">
        <v>0.4</v>
      </c>
      <c r="AN354" s="281">
        <v>0.4</v>
      </c>
      <c r="AO354" s="281">
        <v>0.4</v>
      </c>
      <c r="AP354" s="281">
        <v>0.4</v>
      </c>
      <c r="AQ354" s="281">
        <v>0.4</v>
      </c>
      <c r="AR354" s="281">
        <v>0.4</v>
      </c>
      <c r="AS354" s="281">
        <v>0.4</v>
      </c>
      <c r="AT354" s="281">
        <v>0.3</v>
      </c>
      <c r="AU354" s="281">
        <v>0.3</v>
      </c>
      <c r="AV354" s="281">
        <v>0.3</v>
      </c>
      <c r="AW354" s="281">
        <v>0.3</v>
      </c>
      <c r="AX354" s="281">
        <v>0.3</v>
      </c>
      <c r="AY354" s="281">
        <v>0.3</v>
      </c>
      <c r="AZ354" s="281">
        <v>0.3</v>
      </c>
      <c r="BA354" s="281">
        <v>0.3</v>
      </c>
      <c r="BB354" s="281">
        <v>0.3</v>
      </c>
      <c r="BC354" s="281">
        <v>0.3</v>
      </c>
      <c r="BD354" s="281">
        <v>0.3</v>
      </c>
      <c r="BE354" s="281">
        <v>0.3</v>
      </c>
      <c r="BF354" s="281">
        <v>0.3</v>
      </c>
      <c r="BG354" s="281">
        <v>0.15</v>
      </c>
      <c r="BH354" s="281">
        <v>0.15</v>
      </c>
      <c r="BI354" s="281">
        <v>0.15</v>
      </c>
      <c r="BJ354" s="281">
        <v>0.15</v>
      </c>
      <c r="BK354" s="281">
        <v>0.15</v>
      </c>
      <c r="BL354" s="281">
        <v>0.15</v>
      </c>
      <c r="BM354" s="281">
        <v>0.15</v>
      </c>
      <c r="BN354" s="281">
        <v>0.15</v>
      </c>
      <c r="BO354" s="281">
        <v>0.15</v>
      </c>
      <c r="BP354" s="281">
        <v>0.15</v>
      </c>
      <c r="BQ354" s="281">
        <v>0.15</v>
      </c>
      <c r="BR354" s="286">
        <v>0</v>
      </c>
    </row>
    <row r="355" spans="1:70" ht="14.25" customHeight="1" x14ac:dyDescent="0.35">
      <c r="A355" s="4" t="s">
        <v>451</v>
      </c>
      <c r="B355" s="384">
        <v>314.45166731366464</v>
      </c>
      <c r="C355" s="385"/>
      <c r="D355" s="41" t="s">
        <v>112</v>
      </c>
      <c r="E355" s="93">
        <f t="shared" si="3"/>
        <v>0</v>
      </c>
      <c r="F355" s="93">
        <v>2025</v>
      </c>
      <c r="G355" s="93">
        <v>2050</v>
      </c>
      <c r="I355" s="41" t="s">
        <v>112</v>
      </c>
      <c r="J355" s="286">
        <v>0</v>
      </c>
      <c r="K355" s="286">
        <v>0</v>
      </c>
      <c r="L355" s="286">
        <v>0</v>
      </c>
      <c r="M355" s="286">
        <v>0</v>
      </c>
      <c r="N355" s="286">
        <v>0</v>
      </c>
      <c r="O355" s="286">
        <v>0</v>
      </c>
      <c r="P355" s="286">
        <v>0</v>
      </c>
      <c r="Q355" s="286">
        <v>0</v>
      </c>
      <c r="R355" s="286">
        <v>0</v>
      </c>
      <c r="S355" s="286">
        <v>0</v>
      </c>
      <c r="T355" s="286">
        <v>0</v>
      </c>
      <c r="U355" s="286">
        <v>0</v>
      </c>
      <c r="V355" s="286">
        <v>0</v>
      </c>
      <c r="W355" s="286">
        <v>0</v>
      </c>
      <c r="X355" s="286">
        <v>0</v>
      </c>
      <c r="Y355" s="286">
        <v>0</v>
      </c>
      <c r="Z355" s="286">
        <v>0</v>
      </c>
      <c r="AA355" s="286">
        <v>0</v>
      </c>
      <c r="AB355" s="286">
        <v>0</v>
      </c>
      <c r="AC355" s="286">
        <v>0</v>
      </c>
      <c r="AD355" s="286">
        <v>0</v>
      </c>
      <c r="AE355" s="286">
        <v>0</v>
      </c>
      <c r="AF355" s="286">
        <v>0</v>
      </c>
      <c r="AG355" s="286">
        <v>0</v>
      </c>
      <c r="AH355" s="286">
        <v>0</v>
      </c>
      <c r="AI355" s="286">
        <v>0</v>
      </c>
      <c r="AJ355" s="286">
        <v>0</v>
      </c>
      <c r="AK355" s="286">
        <v>0</v>
      </c>
      <c r="AL355" s="286">
        <v>0</v>
      </c>
      <c r="AM355" s="286">
        <v>0</v>
      </c>
      <c r="AN355" s="286">
        <v>0</v>
      </c>
      <c r="AO355" s="286">
        <v>0</v>
      </c>
      <c r="AP355" s="286">
        <v>0</v>
      </c>
      <c r="AQ355" s="286">
        <v>0</v>
      </c>
      <c r="AR355" s="286">
        <v>0</v>
      </c>
      <c r="AS355" s="286">
        <v>0</v>
      </c>
      <c r="AT355" s="286">
        <v>0</v>
      </c>
      <c r="AU355" s="286">
        <v>0</v>
      </c>
      <c r="AV355" s="286">
        <v>0</v>
      </c>
      <c r="AW355" s="286">
        <v>0</v>
      </c>
      <c r="AX355" s="286">
        <v>0</v>
      </c>
      <c r="AY355" s="286">
        <v>0</v>
      </c>
      <c r="AZ355" s="286">
        <v>0</v>
      </c>
      <c r="BA355" s="286">
        <v>0</v>
      </c>
      <c r="BB355" s="286">
        <v>0</v>
      </c>
      <c r="BC355" s="286">
        <v>0</v>
      </c>
      <c r="BD355" s="286">
        <v>0</v>
      </c>
      <c r="BE355" s="286">
        <v>0</v>
      </c>
      <c r="BF355" s="286">
        <v>0</v>
      </c>
      <c r="BG355" s="286">
        <v>0</v>
      </c>
      <c r="BH355" s="286">
        <v>0</v>
      </c>
      <c r="BI355" s="286">
        <v>0</v>
      </c>
      <c r="BJ355" s="286">
        <v>0</v>
      </c>
      <c r="BK355" s="286">
        <v>0</v>
      </c>
      <c r="BL355" s="286">
        <v>0</v>
      </c>
      <c r="BM355" s="286">
        <v>0</v>
      </c>
      <c r="BN355" s="286">
        <v>0</v>
      </c>
      <c r="BO355" s="286">
        <v>0</v>
      </c>
      <c r="BP355" s="286">
        <v>0</v>
      </c>
      <c r="BQ355" s="286">
        <v>0</v>
      </c>
      <c r="BR355" s="281">
        <v>0.4</v>
      </c>
    </row>
    <row r="356" spans="1:70" ht="14.25" customHeight="1" x14ac:dyDescent="0.35">
      <c r="A356" s="4" t="s">
        <v>452</v>
      </c>
      <c r="B356" s="384">
        <v>314.45166731366464</v>
      </c>
      <c r="C356" s="385"/>
      <c r="D356" s="41" t="s">
        <v>113</v>
      </c>
      <c r="E356" s="93">
        <f t="shared" si="3"/>
        <v>0</v>
      </c>
      <c r="F356" s="93">
        <v>2025</v>
      </c>
      <c r="G356" s="93">
        <v>2050</v>
      </c>
      <c r="I356" s="41" t="s">
        <v>113</v>
      </c>
      <c r="J356" s="286">
        <v>0</v>
      </c>
      <c r="K356" s="286">
        <v>0</v>
      </c>
      <c r="L356" s="286">
        <v>0</v>
      </c>
      <c r="M356" s="286">
        <v>0</v>
      </c>
      <c r="N356" s="286">
        <v>0</v>
      </c>
      <c r="O356" s="286">
        <v>0</v>
      </c>
      <c r="P356" s="286">
        <v>0</v>
      </c>
      <c r="Q356" s="286">
        <v>0</v>
      </c>
      <c r="R356" s="286">
        <v>0</v>
      </c>
      <c r="S356" s="286">
        <v>0</v>
      </c>
      <c r="T356" s="286">
        <v>0</v>
      </c>
      <c r="U356" s="286">
        <v>0</v>
      </c>
      <c r="V356" s="286">
        <v>0</v>
      </c>
      <c r="W356" s="286">
        <v>0</v>
      </c>
      <c r="X356" s="286">
        <v>0</v>
      </c>
      <c r="Y356" s="286">
        <v>0</v>
      </c>
      <c r="Z356" s="286">
        <v>0</v>
      </c>
      <c r="AA356" s="286">
        <v>0</v>
      </c>
      <c r="AB356" s="286">
        <v>0</v>
      </c>
      <c r="AC356" s="286">
        <v>0</v>
      </c>
      <c r="AD356" s="286">
        <v>0</v>
      </c>
      <c r="AE356" s="286">
        <v>0</v>
      </c>
      <c r="AF356" s="286">
        <v>0</v>
      </c>
      <c r="AG356" s="286">
        <v>0</v>
      </c>
      <c r="AH356" s="286">
        <v>0</v>
      </c>
      <c r="AI356" s="286">
        <v>0</v>
      </c>
      <c r="AJ356" s="286">
        <v>0</v>
      </c>
      <c r="AK356" s="286">
        <v>0</v>
      </c>
      <c r="AL356" s="286">
        <v>0</v>
      </c>
      <c r="AM356" s="286">
        <v>0</v>
      </c>
      <c r="AN356" s="286">
        <v>0</v>
      </c>
      <c r="AO356" s="286">
        <v>0</v>
      </c>
      <c r="AP356" s="286">
        <v>0</v>
      </c>
      <c r="AQ356" s="286">
        <v>0</v>
      </c>
      <c r="AR356" s="286">
        <v>0</v>
      </c>
      <c r="AS356" s="286">
        <v>0</v>
      </c>
      <c r="AT356" s="286">
        <v>0</v>
      </c>
      <c r="AU356" s="286">
        <v>0</v>
      </c>
      <c r="AV356" s="286">
        <v>0</v>
      </c>
      <c r="AW356" s="286">
        <v>0</v>
      </c>
      <c r="AX356" s="286">
        <v>0</v>
      </c>
      <c r="AY356" s="286">
        <v>0</v>
      </c>
      <c r="AZ356" s="286">
        <v>0</v>
      </c>
      <c r="BA356" s="286">
        <v>0</v>
      </c>
      <c r="BB356" s="286">
        <v>0</v>
      </c>
      <c r="BC356" s="286">
        <v>0</v>
      </c>
      <c r="BD356" s="286">
        <v>0</v>
      </c>
      <c r="BE356" s="286">
        <v>0</v>
      </c>
      <c r="BF356" s="286">
        <v>0</v>
      </c>
      <c r="BG356" s="286">
        <v>0</v>
      </c>
      <c r="BH356" s="286">
        <v>0</v>
      </c>
      <c r="BI356" s="286">
        <v>0</v>
      </c>
      <c r="BJ356" s="286">
        <v>0</v>
      </c>
      <c r="BK356" s="286">
        <v>0</v>
      </c>
      <c r="BL356" s="286">
        <v>0</v>
      </c>
      <c r="BM356" s="286">
        <v>0</v>
      </c>
      <c r="BN356" s="286">
        <v>0</v>
      </c>
      <c r="BO356" s="286">
        <v>0</v>
      </c>
      <c r="BP356" s="286">
        <v>0</v>
      </c>
      <c r="BQ356" s="286">
        <v>0</v>
      </c>
      <c r="BR356" s="281">
        <v>0.4</v>
      </c>
    </row>
    <row r="357" spans="1:70" ht="14.25" customHeight="1" x14ac:dyDescent="0.35">
      <c r="A357" s="4" t="s">
        <v>453</v>
      </c>
      <c r="B357" s="384">
        <v>314.45166731366464</v>
      </c>
      <c r="C357" s="385"/>
      <c r="D357" s="41" t="s">
        <v>114</v>
      </c>
      <c r="E357" s="93">
        <f t="shared" si="3"/>
        <v>0</v>
      </c>
      <c r="F357" s="93">
        <v>2025</v>
      </c>
      <c r="G357" s="93">
        <v>2050</v>
      </c>
      <c r="I357" s="41" t="s">
        <v>114</v>
      </c>
      <c r="J357" s="281">
        <v>0.5</v>
      </c>
      <c r="K357" s="281">
        <v>0.5</v>
      </c>
      <c r="L357" s="281">
        <v>0.5</v>
      </c>
      <c r="M357" s="281">
        <v>0.5</v>
      </c>
      <c r="N357" s="281">
        <v>0.5</v>
      </c>
      <c r="O357" s="281">
        <v>0.5</v>
      </c>
      <c r="P357" s="281">
        <v>0.5</v>
      </c>
      <c r="Q357" s="281">
        <v>0.5</v>
      </c>
      <c r="R357" s="281">
        <v>0.5</v>
      </c>
      <c r="S357" s="281">
        <v>0.5</v>
      </c>
      <c r="T357" s="281">
        <v>0.5</v>
      </c>
      <c r="U357" s="281">
        <v>0.45</v>
      </c>
      <c r="V357" s="281">
        <v>0.45</v>
      </c>
      <c r="W357" s="281">
        <v>0.45</v>
      </c>
      <c r="X357" s="281">
        <v>0.45</v>
      </c>
      <c r="Y357" s="281">
        <v>0.45</v>
      </c>
      <c r="Z357" s="281">
        <v>0.45</v>
      </c>
      <c r="AA357" s="281">
        <v>0.45</v>
      </c>
      <c r="AB357" s="281">
        <v>0.45</v>
      </c>
      <c r="AC357" s="281">
        <v>0.45</v>
      </c>
      <c r="AD357" s="281">
        <v>0.45</v>
      </c>
      <c r="AE357" s="281">
        <v>0.45</v>
      </c>
      <c r="AF357" s="281">
        <v>0.45</v>
      </c>
      <c r="AG357" s="281">
        <v>0.45</v>
      </c>
      <c r="AH357" s="281">
        <v>0.4</v>
      </c>
      <c r="AI357" s="281">
        <v>0.4</v>
      </c>
      <c r="AJ357" s="281">
        <v>0.4</v>
      </c>
      <c r="AK357" s="281">
        <v>0.4</v>
      </c>
      <c r="AL357" s="281">
        <v>0.4</v>
      </c>
      <c r="AM357" s="281">
        <v>0.4</v>
      </c>
      <c r="AN357" s="281">
        <v>0.4</v>
      </c>
      <c r="AO357" s="281">
        <v>0.4</v>
      </c>
      <c r="AP357" s="281">
        <v>0.4</v>
      </c>
      <c r="AQ357" s="281">
        <v>0.4</v>
      </c>
      <c r="AR357" s="281">
        <v>0.4</v>
      </c>
      <c r="AS357" s="281">
        <v>0.4</v>
      </c>
      <c r="AT357" s="281">
        <v>0.3</v>
      </c>
      <c r="AU357" s="281">
        <v>0.3</v>
      </c>
      <c r="AV357" s="281">
        <v>0.3</v>
      </c>
      <c r="AW357" s="281">
        <v>0.3</v>
      </c>
      <c r="AX357" s="281">
        <v>0.3</v>
      </c>
      <c r="AY357" s="281">
        <v>0.3</v>
      </c>
      <c r="AZ357" s="281">
        <v>0.3</v>
      </c>
      <c r="BA357" s="281">
        <v>0.3</v>
      </c>
      <c r="BB357" s="281">
        <v>0.3</v>
      </c>
      <c r="BC357" s="281">
        <v>0.3</v>
      </c>
      <c r="BD357" s="281">
        <v>0.3</v>
      </c>
      <c r="BE357" s="281">
        <v>0.3</v>
      </c>
      <c r="BF357" s="281">
        <v>0.3</v>
      </c>
      <c r="BG357" s="281">
        <v>0.15</v>
      </c>
      <c r="BH357" s="281">
        <v>0.15</v>
      </c>
      <c r="BI357" s="281">
        <v>0.15</v>
      </c>
      <c r="BJ357" s="281">
        <v>0.15</v>
      </c>
      <c r="BK357" s="281">
        <v>0.15</v>
      </c>
      <c r="BL357" s="281">
        <v>0.15</v>
      </c>
      <c r="BM357" s="281">
        <v>0.15</v>
      </c>
      <c r="BN357" s="281">
        <v>0.15</v>
      </c>
      <c r="BO357" s="281">
        <v>0.15</v>
      </c>
      <c r="BP357" s="281">
        <v>0.15</v>
      </c>
      <c r="BQ357" s="281">
        <v>0.15</v>
      </c>
      <c r="BR357" s="286">
        <v>0</v>
      </c>
    </row>
    <row r="358" spans="1:70" ht="14.25" customHeight="1" x14ac:dyDescent="0.35">
      <c r="A358" s="4" t="s">
        <v>454</v>
      </c>
      <c r="B358" s="384">
        <v>314.45166731366464</v>
      </c>
      <c r="C358" s="385"/>
      <c r="D358" s="41" t="s">
        <v>115</v>
      </c>
      <c r="E358" s="93">
        <f t="shared" si="3"/>
        <v>0</v>
      </c>
      <c r="F358" s="93">
        <v>2025</v>
      </c>
      <c r="G358" s="93">
        <v>2050</v>
      </c>
      <c r="I358" s="41" t="s">
        <v>115</v>
      </c>
      <c r="J358" s="281">
        <v>0.5</v>
      </c>
      <c r="K358" s="281">
        <v>0.5</v>
      </c>
      <c r="L358" s="281">
        <v>0.5</v>
      </c>
      <c r="M358" s="281">
        <v>0.5</v>
      </c>
      <c r="N358" s="281">
        <v>0.5</v>
      </c>
      <c r="O358" s="281">
        <v>0.5</v>
      </c>
      <c r="P358" s="281">
        <v>0.5</v>
      </c>
      <c r="Q358" s="281">
        <v>0.5</v>
      </c>
      <c r="R358" s="281">
        <v>0.5</v>
      </c>
      <c r="S358" s="281">
        <v>0.5</v>
      </c>
      <c r="T358" s="281">
        <v>0.5</v>
      </c>
      <c r="U358" s="281">
        <v>0.45</v>
      </c>
      <c r="V358" s="281">
        <v>0.45</v>
      </c>
      <c r="W358" s="281">
        <v>0.45</v>
      </c>
      <c r="X358" s="281">
        <v>0.45</v>
      </c>
      <c r="Y358" s="281">
        <v>0.45</v>
      </c>
      <c r="Z358" s="281">
        <v>0.45</v>
      </c>
      <c r="AA358" s="281">
        <v>0.45</v>
      </c>
      <c r="AB358" s="281">
        <v>0.45</v>
      </c>
      <c r="AC358" s="281">
        <v>0.45</v>
      </c>
      <c r="AD358" s="281">
        <v>0.45</v>
      </c>
      <c r="AE358" s="281">
        <v>0.45</v>
      </c>
      <c r="AF358" s="281">
        <v>0.45</v>
      </c>
      <c r="AG358" s="281">
        <v>0.45</v>
      </c>
      <c r="AH358" s="281">
        <v>0.4</v>
      </c>
      <c r="AI358" s="281">
        <v>0.4</v>
      </c>
      <c r="AJ358" s="281">
        <v>0.4</v>
      </c>
      <c r="AK358" s="281">
        <v>0.4</v>
      </c>
      <c r="AL358" s="281">
        <v>0.4</v>
      </c>
      <c r="AM358" s="281">
        <v>0.4</v>
      </c>
      <c r="AN358" s="281">
        <v>0.4</v>
      </c>
      <c r="AO358" s="281">
        <v>0.4</v>
      </c>
      <c r="AP358" s="281">
        <v>0.4</v>
      </c>
      <c r="AQ358" s="281">
        <v>0.4</v>
      </c>
      <c r="AR358" s="281">
        <v>0.4</v>
      </c>
      <c r="AS358" s="281">
        <v>0.4</v>
      </c>
      <c r="AT358" s="281">
        <v>0.3</v>
      </c>
      <c r="AU358" s="281">
        <v>0.3</v>
      </c>
      <c r="AV358" s="281">
        <v>0.3</v>
      </c>
      <c r="AW358" s="281">
        <v>0.3</v>
      </c>
      <c r="AX358" s="281">
        <v>0.3</v>
      </c>
      <c r="AY358" s="281">
        <v>0.3</v>
      </c>
      <c r="AZ358" s="281">
        <v>0.3</v>
      </c>
      <c r="BA358" s="281">
        <v>0.3</v>
      </c>
      <c r="BB358" s="281">
        <v>0.3</v>
      </c>
      <c r="BC358" s="281">
        <v>0.3</v>
      </c>
      <c r="BD358" s="281">
        <v>0.3</v>
      </c>
      <c r="BE358" s="281">
        <v>0.3</v>
      </c>
      <c r="BF358" s="281">
        <v>0.3</v>
      </c>
      <c r="BG358" s="281">
        <v>0.15</v>
      </c>
      <c r="BH358" s="281">
        <v>0.15</v>
      </c>
      <c r="BI358" s="281">
        <v>0.15</v>
      </c>
      <c r="BJ358" s="281">
        <v>0.15</v>
      </c>
      <c r="BK358" s="281">
        <v>0.15</v>
      </c>
      <c r="BL358" s="281">
        <v>0.15</v>
      </c>
      <c r="BM358" s="281">
        <v>0.15</v>
      </c>
      <c r="BN358" s="281">
        <v>0.15</v>
      </c>
      <c r="BO358" s="281">
        <v>0.15</v>
      </c>
      <c r="BP358" s="281">
        <v>0.15</v>
      </c>
      <c r="BQ358" s="281">
        <v>0.15</v>
      </c>
      <c r="BR358" s="286">
        <v>0</v>
      </c>
    </row>
    <row r="359" spans="1:70" ht="14.25" customHeight="1" x14ac:dyDescent="0.35">
      <c r="A359" s="4" t="s">
        <v>455</v>
      </c>
      <c r="B359" s="384">
        <v>314.45166731366464</v>
      </c>
      <c r="C359" s="385"/>
      <c r="D359" s="41" t="s">
        <v>116</v>
      </c>
      <c r="E359" s="93">
        <f t="shared" si="3"/>
        <v>0</v>
      </c>
      <c r="F359" s="93">
        <v>2025</v>
      </c>
      <c r="G359" s="93">
        <v>2050</v>
      </c>
      <c r="I359" s="41" t="s">
        <v>116</v>
      </c>
      <c r="J359" s="286">
        <v>0</v>
      </c>
      <c r="K359" s="286">
        <v>0</v>
      </c>
      <c r="L359" s="286">
        <v>0</v>
      </c>
      <c r="M359" s="286">
        <v>0</v>
      </c>
      <c r="N359" s="286">
        <v>0</v>
      </c>
      <c r="O359" s="286">
        <v>0</v>
      </c>
      <c r="P359" s="286">
        <v>0</v>
      </c>
      <c r="Q359" s="286">
        <v>0</v>
      </c>
      <c r="R359" s="286">
        <v>0</v>
      </c>
      <c r="S359" s="286">
        <v>0</v>
      </c>
      <c r="T359" s="286">
        <v>0</v>
      </c>
      <c r="U359" s="286">
        <v>0</v>
      </c>
      <c r="V359" s="286">
        <v>0</v>
      </c>
      <c r="W359" s="286">
        <v>0</v>
      </c>
      <c r="X359" s="286">
        <v>0</v>
      </c>
      <c r="Y359" s="286">
        <v>0</v>
      </c>
      <c r="Z359" s="286">
        <v>0</v>
      </c>
      <c r="AA359" s="286">
        <v>0</v>
      </c>
      <c r="AB359" s="286">
        <v>0</v>
      </c>
      <c r="AC359" s="286">
        <v>0</v>
      </c>
      <c r="AD359" s="286">
        <v>0</v>
      </c>
      <c r="AE359" s="286">
        <v>0</v>
      </c>
      <c r="AF359" s="286">
        <v>0</v>
      </c>
      <c r="AG359" s="286">
        <v>0</v>
      </c>
      <c r="AH359" s="286">
        <v>0</v>
      </c>
      <c r="AI359" s="286">
        <v>0</v>
      </c>
      <c r="AJ359" s="286">
        <v>0</v>
      </c>
      <c r="AK359" s="286">
        <v>0</v>
      </c>
      <c r="AL359" s="286">
        <v>0</v>
      </c>
      <c r="AM359" s="286">
        <v>0</v>
      </c>
      <c r="AN359" s="286">
        <v>0</v>
      </c>
      <c r="AO359" s="286">
        <v>0</v>
      </c>
      <c r="AP359" s="286">
        <v>0</v>
      </c>
      <c r="AQ359" s="286">
        <v>0</v>
      </c>
      <c r="AR359" s="286">
        <v>0</v>
      </c>
      <c r="AS359" s="286">
        <v>0</v>
      </c>
      <c r="AT359" s="286">
        <v>0</v>
      </c>
      <c r="AU359" s="286">
        <v>0</v>
      </c>
      <c r="AV359" s="286">
        <v>0</v>
      </c>
      <c r="AW359" s="286">
        <v>0</v>
      </c>
      <c r="AX359" s="286">
        <v>0</v>
      </c>
      <c r="AY359" s="286">
        <v>0</v>
      </c>
      <c r="AZ359" s="286">
        <v>0</v>
      </c>
      <c r="BA359" s="286">
        <v>0</v>
      </c>
      <c r="BB359" s="286">
        <v>0</v>
      </c>
      <c r="BC359" s="286">
        <v>0</v>
      </c>
      <c r="BD359" s="286">
        <v>0</v>
      </c>
      <c r="BE359" s="286">
        <v>0</v>
      </c>
      <c r="BF359" s="286">
        <v>0</v>
      </c>
      <c r="BG359" s="286">
        <v>0</v>
      </c>
      <c r="BH359" s="286">
        <v>0</v>
      </c>
      <c r="BI359" s="286">
        <v>0</v>
      </c>
      <c r="BJ359" s="286">
        <v>0</v>
      </c>
      <c r="BK359" s="286">
        <v>0</v>
      </c>
      <c r="BL359" s="286">
        <v>0</v>
      </c>
      <c r="BM359" s="286">
        <v>0</v>
      </c>
      <c r="BN359" s="286">
        <v>0</v>
      </c>
      <c r="BO359" s="286">
        <v>0</v>
      </c>
      <c r="BP359" s="286">
        <v>0</v>
      </c>
      <c r="BQ359" s="286">
        <v>0</v>
      </c>
      <c r="BR359" s="281">
        <v>0.4</v>
      </c>
    </row>
    <row r="360" spans="1:70" ht="14.25" customHeight="1" x14ac:dyDescent="0.35">
      <c r="A360" s="4" t="s">
        <v>456</v>
      </c>
      <c r="B360" s="384">
        <v>314.45166731366464</v>
      </c>
      <c r="C360" s="385"/>
      <c r="D360" s="41" t="s">
        <v>117</v>
      </c>
      <c r="E360" s="93">
        <f t="shared" si="3"/>
        <v>0</v>
      </c>
      <c r="F360" s="93">
        <v>2025</v>
      </c>
      <c r="G360" s="93">
        <v>2050</v>
      </c>
      <c r="I360" s="41" t="s">
        <v>117</v>
      </c>
      <c r="J360" s="281">
        <v>0.5</v>
      </c>
      <c r="K360" s="281">
        <v>0.5</v>
      </c>
      <c r="L360" s="281">
        <v>0.5</v>
      </c>
      <c r="M360" s="281">
        <v>0.5</v>
      </c>
      <c r="N360" s="281">
        <v>0.5</v>
      </c>
      <c r="O360" s="281">
        <v>0.5</v>
      </c>
      <c r="P360" s="281">
        <v>0.5</v>
      </c>
      <c r="Q360" s="281">
        <v>0.5</v>
      </c>
      <c r="R360" s="281">
        <v>0.5</v>
      </c>
      <c r="S360" s="281">
        <v>0.5</v>
      </c>
      <c r="T360" s="281">
        <v>0.5</v>
      </c>
      <c r="U360" s="281">
        <v>0.45</v>
      </c>
      <c r="V360" s="281">
        <v>0.45</v>
      </c>
      <c r="W360" s="281">
        <v>0.45</v>
      </c>
      <c r="X360" s="281">
        <v>0.45</v>
      </c>
      <c r="Y360" s="281">
        <v>0.45</v>
      </c>
      <c r="Z360" s="281">
        <v>0.45</v>
      </c>
      <c r="AA360" s="281">
        <v>0.45</v>
      </c>
      <c r="AB360" s="281">
        <v>0.45</v>
      </c>
      <c r="AC360" s="281">
        <v>0.45</v>
      </c>
      <c r="AD360" s="281">
        <v>0.45</v>
      </c>
      <c r="AE360" s="281">
        <v>0.45</v>
      </c>
      <c r="AF360" s="281">
        <v>0.45</v>
      </c>
      <c r="AG360" s="281">
        <v>0.45</v>
      </c>
      <c r="AH360" s="281">
        <v>0.4</v>
      </c>
      <c r="AI360" s="281">
        <v>0.4</v>
      </c>
      <c r="AJ360" s="281">
        <v>0.4</v>
      </c>
      <c r="AK360" s="281">
        <v>0.4</v>
      </c>
      <c r="AL360" s="281">
        <v>0.4</v>
      </c>
      <c r="AM360" s="281">
        <v>0.4</v>
      </c>
      <c r="AN360" s="281">
        <v>0.4</v>
      </c>
      <c r="AO360" s="281">
        <v>0.4</v>
      </c>
      <c r="AP360" s="281">
        <v>0.4</v>
      </c>
      <c r="AQ360" s="281">
        <v>0.4</v>
      </c>
      <c r="AR360" s="281">
        <v>0.4</v>
      </c>
      <c r="AS360" s="281">
        <v>0.4</v>
      </c>
      <c r="AT360" s="281">
        <v>0.3</v>
      </c>
      <c r="AU360" s="281">
        <v>0.3</v>
      </c>
      <c r="AV360" s="281">
        <v>0.3</v>
      </c>
      <c r="AW360" s="281">
        <v>0.3</v>
      </c>
      <c r="AX360" s="281">
        <v>0.3</v>
      </c>
      <c r="AY360" s="281">
        <v>0.3</v>
      </c>
      <c r="AZ360" s="281">
        <v>0.3</v>
      </c>
      <c r="BA360" s="281">
        <v>0.3</v>
      </c>
      <c r="BB360" s="281">
        <v>0.3</v>
      </c>
      <c r="BC360" s="281">
        <v>0.3</v>
      </c>
      <c r="BD360" s="281">
        <v>0.3</v>
      </c>
      <c r="BE360" s="281">
        <v>0.3</v>
      </c>
      <c r="BF360" s="281">
        <v>0.3</v>
      </c>
      <c r="BG360" s="281">
        <v>0.15</v>
      </c>
      <c r="BH360" s="281">
        <v>0.15</v>
      </c>
      <c r="BI360" s="281">
        <v>0.15</v>
      </c>
      <c r="BJ360" s="281">
        <v>0.15</v>
      </c>
      <c r="BK360" s="281">
        <v>0.15</v>
      </c>
      <c r="BL360" s="281">
        <v>0.15</v>
      </c>
      <c r="BM360" s="281">
        <v>0.15</v>
      </c>
      <c r="BN360" s="281">
        <v>0.15</v>
      </c>
      <c r="BO360" s="281">
        <v>0.15</v>
      </c>
      <c r="BP360" s="281">
        <v>0.15</v>
      </c>
      <c r="BQ360" s="281">
        <v>0.15</v>
      </c>
      <c r="BR360" s="286">
        <v>0</v>
      </c>
    </row>
    <row r="361" spans="1:70" ht="14.25" customHeight="1" x14ac:dyDescent="0.35">
      <c r="A361" s="4" t="s">
        <v>457</v>
      </c>
      <c r="B361" s="384">
        <v>314.45166731366464</v>
      </c>
      <c r="C361" s="385"/>
      <c r="D361" s="41" t="s">
        <v>118</v>
      </c>
      <c r="E361" s="93">
        <f t="shared" si="3"/>
        <v>0</v>
      </c>
      <c r="F361" s="93">
        <v>2025</v>
      </c>
      <c r="G361" s="93">
        <v>2050</v>
      </c>
      <c r="I361" s="41" t="s">
        <v>118</v>
      </c>
      <c r="J361" s="286">
        <v>0</v>
      </c>
      <c r="K361" s="286">
        <v>0</v>
      </c>
      <c r="L361" s="286">
        <v>0</v>
      </c>
      <c r="M361" s="286">
        <v>0</v>
      </c>
      <c r="N361" s="286">
        <v>0</v>
      </c>
      <c r="O361" s="286">
        <v>0</v>
      </c>
      <c r="P361" s="286">
        <v>0</v>
      </c>
      <c r="Q361" s="286">
        <v>0</v>
      </c>
      <c r="R361" s="286">
        <v>0</v>
      </c>
      <c r="S361" s="286">
        <v>0</v>
      </c>
      <c r="T361" s="286">
        <v>0</v>
      </c>
      <c r="U361" s="286">
        <v>0</v>
      </c>
      <c r="V361" s="286">
        <v>0</v>
      </c>
      <c r="W361" s="286">
        <v>0</v>
      </c>
      <c r="X361" s="286">
        <v>0</v>
      </c>
      <c r="Y361" s="286">
        <v>0</v>
      </c>
      <c r="Z361" s="286">
        <v>0</v>
      </c>
      <c r="AA361" s="286">
        <v>0</v>
      </c>
      <c r="AB361" s="286">
        <v>0</v>
      </c>
      <c r="AC361" s="286">
        <v>0</v>
      </c>
      <c r="AD361" s="286">
        <v>0</v>
      </c>
      <c r="AE361" s="286">
        <v>0</v>
      </c>
      <c r="AF361" s="286">
        <v>0</v>
      </c>
      <c r="AG361" s="286">
        <v>0</v>
      </c>
      <c r="AH361" s="286">
        <v>0</v>
      </c>
      <c r="AI361" s="286">
        <v>0</v>
      </c>
      <c r="AJ361" s="286">
        <v>0</v>
      </c>
      <c r="AK361" s="286">
        <v>0</v>
      </c>
      <c r="AL361" s="286">
        <v>0</v>
      </c>
      <c r="AM361" s="286">
        <v>0</v>
      </c>
      <c r="AN361" s="286">
        <v>0</v>
      </c>
      <c r="AO361" s="286">
        <v>0</v>
      </c>
      <c r="AP361" s="286">
        <v>0</v>
      </c>
      <c r="AQ361" s="286">
        <v>0</v>
      </c>
      <c r="AR361" s="286">
        <v>0</v>
      </c>
      <c r="AS361" s="286">
        <v>0</v>
      </c>
      <c r="AT361" s="286">
        <v>0</v>
      </c>
      <c r="AU361" s="286">
        <v>0</v>
      </c>
      <c r="AV361" s="286">
        <v>0</v>
      </c>
      <c r="AW361" s="286">
        <v>0</v>
      </c>
      <c r="AX361" s="286">
        <v>0</v>
      </c>
      <c r="AY361" s="286">
        <v>0</v>
      </c>
      <c r="AZ361" s="286">
        <v>0</v>
      </c>
      <c r="BA361" s="286">
        <v>0</v>
      </c>
      <c r="BB361" s="286">
        <v>0</v>
      </c>
      <c r="BC361" s="286">
        <v>0</v>
      </c>
      <c r="BD361" s="286">
        <v>0</v>
      </c>
      <c r="BE361" s="286">
        <v>0</v>
      </c>
      <c r="BF361" s="286">
        <v>0</v>
      </c>
      <c r="BG361" s="286">
        <v>0</v>
      </c>
      <c r="BH361" s="286">
        <v>0</v>
      </c>
      <c r="BI361" s="286">
        <v>0</v>
      </c>
      <c r="BJ361" s="286">
        <v>0</v>
      </c>
      <c r="BK361" s="286">
        <v>0</v>
      </c>
      <c r="BL361" s="286">
        <v>0</v>
      </c>
      <c r="BM361" s="286">
        <v>0</v>
      </c>
      <c r="BN361" s="286">
        <v>0</v>
      </c>
      <c r="BO361" s="286">
        <v>0</v>
      </c>
      <c r="BP361" s="286">
        <v>0</v>
      </c>
      <c r="BQ361" s="286">
        <v>0</v>
      </c>
      <c r="BR361" s="281">
        <v>0.4</v>
      </c>
    </row>
    <row r="362" spans="1:70" ht="14.25" customHeight="1" x14ac:dyDescent="0.35">
      <c r="A362" s="4" t="s">
        <v>458</v>
      </c>
      <c r="B362" s="384">
        <v>314.45166731366464</v>
      </c>
      <c r="C362" s="385"/>
      <c r="D362" s="41" t="s">
        <v>119</v>
      </c>
      <c r="E362" s="93">
        <f t="shared" si="3"/>
        <v>0</v>
      </c>
      <c r="F362" s="93">
        <v>2025</v>
      </c>
      <c r="G362" s="93">
        <v>2050</v>
      </c>
      <c r="I362" s="41" t="s">
        <v>119</v>
      </c>
      <c r="J362" s="281">
        <v>0.5</v>
      </c>
      <c r="K362" s="281">
        <v>0.5</v>
      </c>
      <c r="L362" s="281">
        <v>0.5</v>
      </c>
      <c r="M362" s="281">
        <v>0.5</v>
      </c>
      <c r="N362" s="281">
        <v>0.5</v>
      </c>
      <c r="O362" s="281">
        <v>0.5</v>
      </c>
      <c r="P362" s="281">
        <v>0.5</v>
      </c>
      <c r="Q362" s="281">
        <v>0.5</v>
      </c>
      <c r="R362" s="281">
        <v>0.5</v>
      </c>
      <c r="S362" s="281">
        <v>0.5</v>
      </c>
      <c r="T362" s="281">
        <v>0.5</v>
      </c>
      <c r="U362" s="281">
        <v>0.45</v>
      </c>
      <c r="V362" s="281">
        <v>0.45</v>
      </c>
      <c r="W362" s="281">
        <v>0.45</v>
      </c>
      <c r="X362" s="281">
        <v>0.45</v>
      </c>
      <c r="Y362" s="281">
        <v>0.45</v>
      </c>
      <c r="Z362" s="281">
        <v>0.45</v>
      </c>
      <c r="AA362" s="281">
        <v>0.45</v>
      </c>
      <c r="AB362" s="281">
        <v>0.45</v>
      </c>
      <c r="AC362" s="281">
        <v>0.45</v>
      </c>
      <c r="AD362" s="281">
        <v>0.45</v>
      </c>
      <c r="AE362" s="281">
        <v>0.45</v>
      </c>
      <c r="AF362" s="281">
        <v>0.45</v>
      </c>
      <c r="AG362" s="281">
        <v>0.45</v>
      </c>
      <c r="AH362" s="281">
        <v>0.4</v>
      </c>
      <c r="AI362" s="281">
        <v>0.4</v>
      </c>
      <c r="AJ362" s="281">
        <v>0.4</v>
      </c>
      <c r="AK362" s="281">
        <v>0.4</v>
      </c>
      <c r="AL362" s="281">
        <v>0.4</v>
      </c>
      <c r="AM362" s="281">
        <v>0.4</v>
      </c>
      <c r="AN362" s="281">
        <v>0.4</v>
      </c>
      <c r="AO362" s="281">
        <v>0.4</v>
      </c>
      <c r="AP362" s="281">
        <v>0.4</v>
      </c>
      <c r="AQ362" s="281">
        <v>0.4</v>
      </c>
      <c r="AR362" s="281">
        <v>0.4</v>
      </c>
      <c r="AS362" s="281">
        <v>0.4</v>
      </c>
      <c r="AT362" s="281">
        <v>0.3</v>
      </c>
      <c r="AU362" s="281">
        <v>0.3</v>
      </c>
      <c r="AV362" s="281">
        <v>0.3</v>
      </c>
      <c r="AW362" s="281">
        <v>0.3</v>
      </c>
      <c r="AX362" s="281">
        <v>0.3</v>
      </c>
      <c r="AY362" s="281">
        <v>0.3</v>
      </c>
      <c r="AZ362" s="281">
        <v>0.3</v>
      </c>
      <c r="BA362" s="281">
        <v>0.3</v>
      </c>
      <c r="BB362" s="281">
        <v>0.3</v>
      </c>
      <c r="BC362" s="281">
        <v>0.3</v>
      </c>
      <c r="BD362" s="281">
        <v>0.3</v>
      </c>
      <c r="BE362" s="281">
        <v>0.3</v>
      </c>
      <c r="BF362" s="281">
        <v>0.3</v>
      </c>
      <c r="BG362" s="281">
        <v>0.15</v>
      </c>
      <c r="BH362" s="281">
        <v>0.15</v>
      </c>
      <c r="BI362" s="281">
        <v>0.15</v>
      </c>
      <c r="BJ362" s="281">
        <v>0.15</v>
      </c>
      <c r="BK362" s="281">
        <v>0.15</v>
      </c>
      <c r="BL362" s="281">
        <v>0.15</v>
      </c>
      <c r="BM362" s="281">
        <v>0.15</v>
      </c>
      <c r="BN362" s="281">
        <v>0.15</v>
      </c>
      <c r="BO362" s="281">
        <v>0.15</v>
      </c>
      <c r="BP362" s="281">
        <v>0.15</v>
      </c>
      <c r="BQ362" s="281">
        <v>0.15</v>
      </c>
      <c r="BR362" s="286">
        <v>0</v>
      </c>
    </row>
    <row r="363" spans="1:70" ht="14.25" customHeight="1" x14ac:dyDescent="0.35">
      <c r="A363" s="4" t="s">
        <v>459</v>
      </c>
      <c r="B363" s="384">
        <v>314.45166731366464</v>
      </c>
      <c r="C363" s="385"/>
      <c r="D363" s="41" t="s">
        <v>120</v>
      </c>
      <c r="E363" s="93">
        <f t="shared" si="3"/>
        <v>0</v>
      </c>
      <c r="F363" s="93">
        <v>2025</v>
      </c>
      <c r="G363" s="93">
        <v>2050</v>
      </c>
      <c r="I363" s="41" t="s">
        <v>120</v>
      </c>
      <c r="J363" s="281">
        <v>0.5</v>
      </c>
      <c r="K363" s="281">
        <v>0.5</v>
      </c>
      <c r="L363" s="281">
        <v>0.5</v>
      </c>
      <c r="M363" s="281">
        <v>0.5</v>
      </c>
      <c r="N363" s="281">
        <v>0.5</v>
      </c>
      <c r="O363" s="281">
        <v>0.5</v>
      </c>
      <c r="P363" s="281">
        <v>0.5</v>
      </c>
      <c r="Q363" s="281">
        <v>0.5</v>
      </c>
      <c r="R363" s="281">
        <v>0.5</v>
      </c>
      <c r="S363" s="281">
        <v>0.5</v>
      </c>
      <c r="T363" s="281">
        <v>0.5</v>
      </c>
      <c r="U363" s="281">
        <v>0.45</v>
      </c>
      <c r="V363" s="281">
        <v>0.45</v>
      </c>
      <c r="W363" s="281">
        <v>0.45</v>
      </c>
      <c r="X363" s="281">
        <v>0.45</v>
      </c>
      <c r="Y363" s="281">
        <v>0.45</v>
      </c>
      <c r="Z363" s="281">
        <v>0.45</v>
      </c>
      <c r="AA363" s="281">
        <v>0.45</v>
      </c>
      <c r="AB363" s="281">
        <v>0.45</v>
      </c>
      <c r="AC363" s="281">
        <v>0.45</v>
      </c>
      <c r="AD363" s="281">
        <v>0.45</v>
      </c>
      <c r="AE363" s="281">
        <v>0.45</v>
      </c>
      <c r="AF363" s="281">
        <v>0.45</v>
      </c>
      <c r="AG363" s="281">
        <v>0.45</v>
      </c>
      <c r="AH363" s="281">
        <v>0.4</v>
      </c>
      <c r="AI363" s="281">
        <v>0.4</v>
      </c>
      <c r="AJ363" s="281">
        <v>0.4</v>
      </c>
      <c r="AK363" s="281">
        <v>0.4</v>
      </c>
      <c r="AL363" s="281">
        <v>0.4</v>
      </c>
      <c r="AM363" s="281">
        <v>0.4</v>
      </c>
      <c r="AN363" s="281">
        <v>0.4</v>
      </c>
      <c r="AO363" s="281">
        <v>0.4</v>
      </c>
      <c r="AP363" s="281">
        <v>0.4</v>
      </c>
      <c r="AQ363" s="281">
        <v>0.4</v>
      </c>
      <c r="AR363" s="281">
        <v>0.4</v>
      </c>
      <c r="AS363" s="281">
        <v>0.4</v>
      </c>
      <c r="AT363" s="281">
        <v>0.3</v>
      </c>
      <c r="AU363" s="281">
        <v>0.3</v>
      </c>
      <c r="AV363" s="281">
        <v>0.3</v>
      </c>
      <c r="AW363" s="281">
        <v>0.3</v>
      </c>
      <c r="AX363" s="281">
        <v>0.3</v>
      </c>
      <c r="AY363" s="281">
        <v>0.3</v>
      </c>
      <c r="AZ363" s="281">
        <v>0.3</v>
      </c>
      <c r="BA363" s="281">
        <v>0.3</v>
      </c>
      <c r="BB363" s="281">
        <v>0.3</v>
      </c>
      <c r="BC363" s="281">
        <v>0.3</v>
      </c>
      <c r="BD363" s="281">
        <v>0.3</v>
      </c>
      <c r="BE363" s="281">
        <v>0.3</v>
      </c>
      <c r="BF363" s="281">
        <v>0.3</v>
      </c>
      <c r="BG363" s="281">
        <v>0.15</v>
      </c>
      <c r="BH363" s="281">
        <v>0.15</v>
      </c>
      <c r="BI363" s="281">
        <v>0.15</v>
      </c>
      <c r="BJ363" s="281">
        <v>0.15</v>
      </c>
      <c r="BK363" s="281">
        <v>0.15</v>
      </c>
      <c r="BL363" s="281">
        <v>0.15</v>
      </c>
      <c r="BM363" s="281">
        <v>0.15</v>
      </c>
      <c r="BN363" s="281">
        <v>0.15</v>
      </c>
      <c r="BO363" s="281">
        <v>0.15</v>
      </c>
      <c r="BP363" s="281">
        <v>0.15</v>
      </c>
      <c r="BQ363" s="281">
        <v>0.15</v>
      </c>
      <c r="BR363" s="286">
        <v>0</v>
      </c>
    </row>
    <row r="364" spans="1:70" ht="14.25" customHeight="1" x14ac:dyDescent="0.35">
      <c r="A364" s="4" t="s">
        <v>83</v>
      </c>
      <c r="B364" s="384">
        <v>314.45166731366464</v>
      </c>
      <c r="C364" s="385"/>
      <c r="D364" s="42" t="s">
        <v>83</v>
      </c>
      <c r="E364" s="93">
        <f t="shared" si="3"/>
        <v>0</v>
      </c>
      <c r="F364" s="93">
        <v>2025</v>
      </c>
      <c r="G364" s="93">
        <v>2050</v>
      </c>
      <c r="I364" s="42" t="s">
        <v>83</v>
      </c>
      <c r="J364" s="286">
        <v>0</v>
      </c>
      <c r="K364" s="286">
        <v>0</v>
      </c>
      <c r="L364" s="286">
        <v>0</v>
      </c>
      <c r="M364" s="286">
        <v>0</v>
      </c>
      <c r="N364" s="286">
        <v>0</v>
      </c>
      <c r="O364" s="286">
        <v>0</v>
      </c>
      <c r="P364" s="286">
        <v>0</v>
      </c>
      <c r="Q364" s="286">
        <v>0</v>
      </c>
      <c r="R364" s="286">
        <v>0</v>
      </c>
      <c r="S364" s="286">
        <v>0</v>
      </c>
      <c r="T364" s="286">
        <v>0</v>
      </c>
      <c r="U364" s="286">
        <v>0</v>
      </c>
      <c r="V364" s="286">
        <v>0</v>
      </c>
      <c r="W364" s="286">
        <v>0</v>
      </c>
      <c r="X364" s="286">
        <v>0</v>
      </c>
      <c r="Y364" s="286">
        <v>0</v>
      </c>
      <c r="Z364" s="286">
        <v>0</v>
      </c>
      <c r="AA364" s="286">
        <v>0</v>
      </c>
      <c r="AB364" s="286">
        <v>0</v>
      </c>
      <c r="AC364" s="286">
        <v>0</v>
      </c>
      <c r="AD364" s="286">
        <v>0</v>
      </c>
      <c r="AE364" s="286">
        <v>0</v>
      </c>
      <c r="AF364" s="286">
        <v>0</v>
      </c>
      <c r="AG364" s="286">
        <v>0</v>
      </c>
      <c r="AH364" s="286">
        <v>0</v>
      </c>
      <c r="AI364" s="286">
        <v>0</v>
      </c>
      <c r="AJ364" s="286">
        <v>0</v>
      </c>
      <c r="AK364" s="286">
        <v>0</v>
      </c>
      <c r="AL364" s="286">
        <v>0</v>
      </c>
      <c r="AM364" s="286">
        <v>0</v>
      </c>
      <c r="AN364" s="286">
        <v>0</v>
      </c>
      <c r="AO364" s="286">
        <v>0</v>
      </c>
      <c r="AP364" s="286">
        <v>0</v>
      </c>
      <c r="AQ364" s="286">
        <v>0</v>
      </c>
      <c r="AR364" s="286">
        <v>0</v>
      </c>
      <c r="AS364" s="286">
        <v>0</v>
      </c>
      <c r="AT364" s="286">
        <v>0</v>
      </c>
      <c r="AU364" s="286">
        <v>0</v>
      </c>
      <c r="AV364" s="286">
        <v>0</v>
      </c>
      <c r="AW364" s="286">
        <v>0</v>
      </c>
      <c r="AX364" s="286">
        <v>0</v>
      </c>
      <c r="AY364" s="286">
        <v>0</v>
      </c>
      <c r="AZ364" s="286">
        <v>0</v>
      </c>
      <c r="BA364" s="286">
        <v>0</v>
      </c>
      <c r="BB364" s="286">
        <v>0</v>
      </c>
      <c r="BC364" s="286">
        <v>0</v>
      </c>
      <c r="BD364" s="286">
        <v>0</v>
      </c>
      <c r="BE364" s="286">
        <v>0</v>
      </c>
      <c r="BF364" s="286">
        <v>0</v>
      </c>
      <c r="BG364" s="286">
        <v>0</v>
      </c>
      <c r="BH364" s="286">
        <v>0</v>
      </c>
      <c r="BI364" s="286">
        <v>0</v>
      </c>
      <c r="BJ364" s="286">
        <v>0</v>
      </c>
      <c r="BK364" s="286">
        <v>0</v>
      </c>
      <c r="BL364" s="286">
        <v>0</v>
      </c>
      <c r="BM364" s="286">
        <v>0</v>
      </c>
      <c r="BN364" s="286">
        <v>0</v>
      </c>
      <c r="BO364" s="286">
        <v>0</v>
      </c>
      <c r="BP364" s="286">
        <v>0</v>
      </c>
      <c r="BQ364" s="286">
        <v>0</v>
      </c>
      <c r="BR364" s="281">
        <v>0.4</v>
      </c>
    </row>
    <row r="365" spans="1:70" ht="14.25" customHeight="1" x14ac:dyDescent="0.35">
      <c r="A365" s="4" t="s">
        <v>758</v>
      </c>
      <c r="B365" s="384">
        <v>0</v>
      </c>
      <c r="C365" s="385"/>
      <c r="D365" s="42" t="s">
        <v>144</v>
      </c>
      <c r="E365" s="386">
        <v>0</v>
      </c>
      <c r="F365" s="386">
        <v>0</v>
      </c>
      <c r="G365" s="386">
        <v>0</v>
      </c>
      <c r="I365" s="42" t="s">
        <v>144</v>
      </c>
      <c r="J365" s="286">
        <v>0</v>
      </c>
      <c r="K365" s="286">
        <v>0</v>
      </c>
      <c r="L365" s="286">
        <v>0</v>
      </c>
      <c r="M365" s="286">
        <v>0</v>
      </c>
      <c r="N365" s="286">
        <v>0</v>
      </c>
      <c r="O365" s="286">
        <v>0</v>
      </c>
      <c r="P365" s="286">
        <v>0</v>
      </c>
      <c r="Q365" s="286">
        <v>0</v>
      </c>
      <c r="R365" s="286">
        <v>0</v>
      </c>
      <c r="S365" s="286">
        <v>0</v>
      </c>
      <c r="T365" s="286">
        <v>0</v>
      </c>
      <c r="U365" s="286">
        <v>0</v>
      </c>
      <c r="V365" s="286">
        <v>0</v>
      </c>
      <c r="W365" s="286">
        <v>0</v>
      </c>
      <c r="X365" s="286">
        <v>0</v>
      </c>
      <c r="Y365" s="286">
        <v>0</v>
      </c>
      <c r="Z365" s="286">
        <v>0</v>
      </c>
      <c r="AA365" s="286">
        <v>0</v>
      </c>
      <c r="AB365" s="286">
        <v>0</v>
      </c>
      <c r="AC365" s="286">
        <v>0</v>
      </c>
      <c r="AD365" s="286">
        <v>0</v>
      </c>
      <c r="AE365" s="286">
        <v>0</v>
      </c>
      <c r="AF365" s="286">
        <v>0</v>
      </c>
      <c r="AG365" s="286">
        <v>0</v>
      </c>
      <c r="AH365" s="286">
        <v>0</v>
      </c>
      <c r="AI365" s="286">
        <v>0</v>
      </c>
      <c r="AJ365" s="286">
        <v>0</v>
      </c>
      <c r="AK365" s="286">
        <v>0</v>
      </c>
      <c r="AL365" s="286">
        <v>0</v>
      </c>
      <c r="AM365" s="286">
        <v>0</v>
      </c>
      <c r="AN365" s="286">
        <v>0</v>
      </c>
      <c r="AO365" s="286">
        <v>0</v>
      </c>
      <c r="AP365" s="286">
        <v>0</v>
      </c>
      <c r="AQ365" s="286">
        <v>0</v>
      </c>
      <c r="AR365" s="286">
        <v>0</v>
      </c>
      <c r="AS365" s="286">
        <v>0</v>
      </c>
      <c r="AT365" s="286">
        <v>0</v>
      </c>
      <c r="AU365" s="286">
        <v>0</v>
      </c>
      <c r="AV365" s="286">
        <v>0</v>
      </c>
      <c r="AW365" s="286">
        <v>0</v>
      </c>
      <c r="AX365" s="286">
        <v>0</v>
      </c>
      <c r="AY365" s="286">
        <v>0</v>
      </c>
      <c r="AZ365" s="286">
        <v>0</v>
      </c>
      <c r="BA365" s="286">
        <v>0</v>
      </c>
      <c r="BB365" s="286">
        <v>0</v>
      </c>
      <c r="BC365" s="286">
        <v>0</v>
      </c>
      <c r="BD365" s="286">
        <v>0</v>
      </c>
      <c r="BE365" s="286">
        <v>0</v>
      </c>
      <c r="BF365" s="286">
        <v>0</v>
      </c>
      <c r="BG365" s="286">
        <v>0</v>
      </c>
      <c r="BH365" s="286">
        <v>0</v>
      </c>
      <c r="BI365" s="286">
        <v>0</v>
      </c>
      <c r="BJ365" s="286">
        <v>0</v>
      </c>
      <c r="BK365" s="286">
        <v>0</v>
      </c>
      <c r="BL365" s="286">
        <v>0</v>
      </c>
      <c r="BM365" s="286">
        <v>0</v>
      </c>
      <c r="BN365" s="286">
        <v>0</v>
      </c>
      <c r="BO365" s="286">
        <v>0</v>
      </c>
      <c r="BP365" s="286">
        <v>0</v>
      </c>
      <c r="BQ365" s="286">
        <v>0</v>
      </c>
      <c r="BR365" s="286">
        <v>0</v>
      </c>
    </row>
    <row r="366" spans="1:70" ht="14.25" customHeight="1" x14ac:dyDescent="0.35">
      <c r="A366" s="4" t="s">
        <v>164</v>
      </c>
      <c r="B366" s="384">
        <v>0</v>
      </c>
      <c r="C366" s="385"/>
      <c r="D366" s="42" t="s">
        <v>164</v>
      </c>
      <c r="E366" s="386">
        <v>0</v>
      </c>
      <c r="F366" s="386">
        <v>0</v>
      </c>
      <c r="G366" s="386">
        <v>0</v>
      </c>
      <c r="I366" s="42" t="s">
        <v>164</v>
      </c>
      <c r="J366" s="286">
        <v>0</v>
      </c>
      <c r="K366" s="286">
        <v>0</v>
      </c>
      <c r="L366" s="286">
        <v>0</v>
      </c>
      <c r="M366" s="286">
        <v>0</v>
      </c>
      <c r="N366" s="286">
        <v>0</v>
      </c>
      <c r="O366" s="286">
        <v>0</v>
      </c>
      <c r="P366" s="286">
        <v>0</v>
      </c>
      <c r="Q366" s="286">
        <v>0</v>
      </c>
      <c r="R366" s="286">
        <v>0</v>
      </c>
      <c r="S366" s="286">
        <v>0</v>
      </c>
      <c r="T366" s="286">
        <v>0</v>
      </c>
      <c r="U366" s="286">
        <v>0</v>
      </c>
      <c r="V366" s="286">
        <v>0</v>
      </c>
      <c r="W366" s="286">
        <v>0</v>
      </c>
      <c r="X366" s="286">
        <v>0</v>
      </c>
      <c r="Y366" s="286">
        <v>0</v>
      </c>
      <c r="Z366" s="286">
        <v>0</v>
      </c>
      <c r="AA366" s="286">
        <v>0</v>
      </c>
      <c r="AB366" s="286">
        <v>0</v>
      </c>
      <c r="AC366" s="286">
        <v>0</v>
      </c>
      <c r="AD366" s="286">
        <v>0</v>
      </c>
      <c r="AE366" s="286">
        <v>0</v>
      </c>
      <c r="AF366" s="286">
        <v>0</v>
      </c>
      <c r="AG366" s="286">
        <v>0</v>
      </c>
      <c r="AH366" s="286">
        <v>0</v>
      </c>
      <c r="AI366" s="286">
        <v>0</v>
      </c>
      <c r="AJ366" s="286">
        <v>0</v>
      </c>
      <c r="AK366" s="286">
        <v>0</v>
      </c>
      <c r="AL366" s="286">
        <v>0</v>
      </c>
      <c r="AM366" s="286">
        <v>0</v>
      </c>
      <c r="AN366" s="286">
        <v>0</v>
      </c>
      <c r="AO366" s="286">
        <v>0</v>
      </c>
      <c r="AP366" s="286">
        <v>0</v>
      </c>
      <c r="AQ366" s="286">
        <v>0</v>
      </c>
      <c r="AR366" s="286">
        <v>0</v>
      </c>
      <c r="AS366" s="286">
        <v>0</v>
      </c>
      <c r="AT366" s="286">
        <v>0</v>
      </c>
      <c r="AU366" s="286">
        <v>0</v>
      </c>
      <c r="AV366" s="286">
        <v>0</v>
      </c>
      <c r="AW366" s="286">
        <v>0</v>
      </c>
      <c r="AX366" s="286">
        <v>0</v>
      </c>
      <c r="AY366" s="286">
        <v>0</v>
      </c>
      <c r="AZ366" s="286">
        <v>0</v>
      </c>
      <c r="BA366" s="286">
        <v>0</v>
      </c>
      <c r="BB366" s="286">
        <v>0</v>
      </c>
      <c r="BC366" s="286">
        <v>0</v>
      </c>
      <c r="BD366" s="286">
        <v>0</v>
      </c>
      <c r="BE366" s="286">
        <v>0</v>
      </c>
      <c r="BF366" s="286">
        <v>0</v>
      </c>
      <c r="BG366" s="286">
        <v>0</v>
      </c>
      <c r="BH366" s="286">
        <v>0</v>
      </c>
      <c r="BI366" s="286">
        <v>0</v>
      </c>
      <c r="BJ366" s="286">
        <v>0</v>
      </c>
      <c r="BK366" s="286">
        <v>0</v>
      </c>
      <c r="BL366" s="286">
        <v>0</v>
      </c>
      <c r="BM366" s="286">
        <v>0</v>
      </c>
      <c r="BN366" s="286">
        <v>0</v>
      </c>
      <c r="BO366" s="286">
        <v>0</v>
      </c>
      <c r="BP366" s="286">
        <v>0</v>
      </c>
      <c r="BQ366" s="286">
        <v>0</v>
      </c>
      <c r="BR366" s="286">
        <v>0</v>
      </c>
    </row>
    <row r="367" spans="1:70" ht="14.25" customHeight="1" x14ac:dyDescent="0.35">
      <c r="A367" s="4" t="s">
        <v>759</v>
      </c>
      <c r="B367" s="384">
        <v>0</v>
      </c>
      <c r="C367" s="385"/>
      <c r="D367" s="42" t="s">
        <v>145</v>
      </c>
      <c r="E367" s="386">
        <v>0</v>
      </c>
      <c r="F367" s="386">
        <v>0</v>
      </c>
      <c r="G367" s="386">
        <v>0</v>
      </c>
      <c r="I367" s="42" t="s">
        <v>145</v>
      </c>
      <c r="J367" s="286">
        <v>0</v>
      </c>
      <c r="K367" s="286">
        <v>0</v>
      </c>
      <c r="L367" s="286">
        <v>0</v>
      </c>
      <c r="M367" s="286">
        <v>0</v>
      </c>
      <c r="N367" s="286">
        <v>0</v>
      </c>
      <c r="O367" s="286">
        <v>0</v>
      </c>
      <c r="P367" s="286">
        <v>0</v>
      </c>
      <c r="Q367" s="286">
        <v>0</v>
      </c>
      <c r="R367" s="286">
        <v>0</v>
      </c>
      <c r="S367" s="286">
        <v>0</v>
      </c>
      <c r="T367" s="286">
        <v>0</v>
      </c>
      <c r="U367" s="286">
        <v>0</v>
      </c>
      <c r="V367" s="286">
        <v>0</v>
      </c>
      <c r="W367" s="286">
        <v>0</v>
      </c>
      <c r="X367" s="286">
        <v>0</v>
      </c>
      <c r="Y367" s="286">
        <v>0</v>
      </c>
      <c r="Z367" s="286">
        <v>0</v>
      </c>
      <c r="AA367" s="286">
        <v>0</v>
      </c>
      <c r="AB367" s="286">
        <v>0</v>
      </c>
      <c r="AC367" s="286">
        <v>0</v>
      </c>
      <c r="AD367" s="286">
        <v>0</v>
      </c>
      <c r="AE367" s="286">
        <v>0</v>
      </c>
      <c r="AF367" s="286">
        <v>0</v>
      </c>
      <c r="AG367" s="286">
        <v>0</v>
      </c>
      <c r="AH367" s="286">
        <v>0</v>
      </c>
      <c r="AI367" s="286">
        <v>0</v>
      </c>
      <c r="AJ367" s="286">
        <v>0</v>
      </c>
      <c r="AK367" s="286">
        <v>0</v>
      </c>
      <c r="AL367" s="286">
        <v>0</v>
      </c>
      <c r="AM367" s="286">
        <v>0</v>
      </c>
      <c r="AN367" s="286">
        <v>0</v>
      </c>
      <c r="AO367" s="286">
        <v>0</v>
      </c>
      <c r="AP367" s="286">
        <v>0</v>
      </c>
      <c r="AQ367" s="286">
        <v>0</v>
      </c>
      <c r="AR367" s="286">
        <v>0</v>
      </c>
      <c r="AS367" s="286">
        <v>0</v>
      </c>
      <c r="AT367" s="286">
        <v>0</v>
      </c>
      <c r="AU367" s="286">
        <v>0</v>
      </c>
      <c r="AV367" s="286">
        <v>0</v>
      </c>
      <c r="AW367" s="286">
        <v>0</v>
      </c>
      <c r="AX367" s="286">
        <v>0</v>
      </c>
      <c r="AY367" s="286">
        <v>0</v>
      </c>
      <c r="AZ367" s="286">
        <v>0</v>
      </c>
      <c r="BA367" s="286">
        <v>0</v>
      </c>
      <c r="BB367" s="286">
        <v>0</v>
      </c>
      <c r="BC367" s="286">
        <v>0</v>
      </c>
      <c r="BD367" s="286">
        <v>0</v>
      </c>
      <c r="BE367" s="286">
        <v>0</v>
      </c>
      <c r="BF367" s="286">
        <v>0</v>
      </c>
      <c r="BG367" s="286">
        <v>0</v>
      </c>
      <c r="BH367" s="286">
        <v>0</v>
      </c>
      <c r="BI367" s="286">
        <v>0</v>
      </c>
      <c r="BJ367" s="286">
        <v>0</v>
      </c>
      <c r="BK367" s="286">
        <v>0</v>
      </c>
      <c r="BL367" s="286">
        <v>0</v>
      </c>
      <c r="BM367" s="286">
        <v>0</v>
      </c>
      <c r="BN367" s="286">
        <v>0</v>
      </c>
      <c r="BO367" s="286">
        <v>0</v>
      </c>
      <c r="BP367" s="286">
        <v>0</v>
      </c>
      <c r="BQ367" s="286">
        <v>0</v>
      </c>
      <c r="BR367" s="286">
        <v>0</v>
      </c>
    </row>
    <row r="368" spans="1:70" ht="14.25" customHeight="1" x14ac:dyDescent="0.35">
      <c r="A368" s="4" t="s">
        <v>87</v>
      </c>
      <c r="B368" s="384">
        <v>0</v>
      </c>
      <c r="C368" s="385"/>
      <c r="D368" s="42" t="s">
        <v>87</v>
      </c>
      <c r="E368" s="386">
        <v>0</v>
      </c>
      <c r="F368" s="386">
        <v>0</v>
      </c>
      <c r="G368" s="386">
        <v>0</v>
      </c>
      <c r="I368" s="42" t="s">
        <v>87</v>
      </c>
      <c r="J368" s="286">
        <v>0</v>
      </c>
      <c r="K368" s="286">
        <v>0</v>
      </c>
      <c r="L368" s="286">
        <v>0</v>
      </c>
      <c r="M368" s="286">
        <v>0</v>
      </c>
      <c r="N368" s="286">
        <v>0</v>
      </c>
      <c r="O368" s="286">
        <v>0</v>
      </c>
      <c r="P368" s="286">
        <v>0</v>
      </c>
      <c r="Q368" s="286">
        <v>0</v>
      </c>
      <c r="R368" s="286">
        <v>0</v>
      </c>
      <c r="S368" s="286">
        <v>0</v>
      </c>
      <c r="T368" s="286">
        <v>0</v>
      </c>
      <c r="U368" s="286">
        <v>0</v>
      </c>
      <c r="V368" s="286">
        <v>0</v>
      </c>
      <c r="W368" s="286">
        <v>0</v>
      </c>
      <c r="X368" s="286">
        <v>0</v>
      </c>
      <c r="Y368" s="286">
        <v>0</v>
      </c>
      <c r="Z368" s="286">
        <v>0</v>
      </c>
      <c r="AA368" s="286">
        <v>0</v>
      </c>
      <c r="AB368" s="286">
        <v>0</v>
      </c>
      <c r="AC368" s="286">
        <v>0</v>
      </c>
      <c r="AD368" s="286">
        <v>0</v>
      </c>
      <c r="AE368" s="286">
        <v>0</v>
      </c>
      <c r="AF368" s="286">
        <v>0</v>
      </c>
      <c r="AG368" s="286">
        <v>0</v>
      </c>
      <c r="AH368" s="286">
        <v>0</v>
      </c>
      <c r="AI368" s="286">
        <v>0</v>
      </c>
      <c r="AJ368" s="286">
        <v>0</v>
      </c>
      <c r="AK368" s="286">
        <v>0</v>
      </c>
      <c r="AL368" s="286">
        <v>0</v>
      </c>
      <c r="AM368" s="286">
        <v>0</v>
      </c>
      <c r="AN368" s="286">
        <v>0</v>
      </c>
      <c r="AO368" s="286">
        <v>0</v>
      </c>
      <c r="AP368" s="286">
        <v>0</v>
      </c>
      <c r="AQ368" s="286">
        <v>0</v>
      </c>
      <c r="AR368" s="286">
        <v>0</v>
      </c>
      <c r="AS368" s="286">
        <v>0</v>
      </c>
      <c r="AT368" s="286">
        <v>0</v>
      </c>
      <c r="AU368" s="286">
        <v>0</v>
      </c>
      <c r="AV368" s="286">
        <v>0</v>
      </c>
      <c r="AW368" s="286">
        <v>0</v>
      </c>
      <c r="AX368" s="286">
        <v>0</v>
      </c>
      <c r="AY368" s="286">
        <v>0</v>
      </c>
      <c r="AZ368" s="286">
        <v>0</v>
      </c>
      <c r="BA368" s="286">
        <v>0</v>
      </c>
      <c r="BB368" s="286">
        <v>0</v>
      </c>
      <c r="BC368" s="286">
        <v>0</v>
      </c>
      <c r="BD368" s="286">
        <v>0</v>
      </c>
      <c r="BE368" s="286">
        <v>0</v>
      </c>
      <c r="BF368" s="286">
        <v>0</v>
      </c>
      <c r="BG368" s="286">
        <v>0</v>
      </c>
      <c r="BH368" s="286">
        <v>0</v>
      </c>
      <c r="BI368" s="286">
        <v>0</v>
      </c>
      <c r="BJ368" s="286">
        <v>0</v>
      </c>
      <c r="BK368" s="286">
        <v>0</v>
      </c>
      <c r="BL368" s="286">
        <v>0</v>
      </c>
      <c r="BM368" s="286">
        <v>0</v>
      </c>
      <c r="BN368" s="286">
        <v>0</v>
      </c>
      <c r="BO368" s="286">
        <v>0</v>
      </c>
      <c r="BP368" s="286">
        <v>0</v>
      </c>
      <c r="BQ368" s="286">
        <v>0</v>
      </c>
      <c r="BR368" s="286">
        <v>0</v>
      </c>
    </row>
    <row r="369" spans="1:70" ht="14.25" customHeight="1" x14ac:dyDescent="0.35">
      <c r="A369" s="4" t="s">
        <v>760</v>
      </c>
      <c r="B369" s="384">
        <v>0</v>
      </c>
      <c r="C369" s="385"/>
      <c r="D369" s="42" t="s">
        <v>146</v>
      </c>
      <c r="E369" s="386">
        <v>0</v>
      </c>
      <c r="F369" s="386">
        <v>0</v>
      </c>
      <c r="G369" s="386">
        <v>0</v>
      </c>
      <c r="I369" s="42" t="s">
        <v>146</v>
      </c>
      <c r="J369" s="286">
        <v>0</v>
      </c>
      <c r="K369" s="286">
        <v>0</v>
      </c>
      <c r="L369" s="286">
        <v>0</v>
      </c>
      <c r="M369" s="286">
        <v>0</v>
      </c>
      <c r="N369" s="286">
        <v>0</v>
      </c>
      <c r="O369" s="286">
        <v>0</v>
      </c>
      <c r="P369" s="286">
        <v>0</v>
      </c>
      <c r="Q369" s="286">
        <v>0</v>
      </c>
      <c r="R369" s="286">
        <v>0</v>
      </c>
      <c r="S369" s="286">
        <v>0</v>
      </c>
      <c r="T369" s="286">
        <v>0</v>
      </c>
      <c r="U369" s="286">
        <v>0</v>
      </c>
      <c r="V369" s="286">
        <v>0</v>
      </c>
      <c r="W369" s="286">
        <v>0</v>
      </c>
      <c r="X369" s="286">
        <v>0</v>
      </c>
      <c r="Y369" s="286">
        <v>0</v>
      </c>
      <c r="Z369" s="286">
        <v>0</v>
      </c>
      <c r="AA369" s="286">
        <v>0</v>
      </c>
      <c r="AB369" s="286">
        <v>0</v>
      </c>
      <c r="AC369" s="286">
        <v>0</v>
      </c>
      <c r="AD369" s="286">
        <v>0</v>
      </c>
      <c r="AE369" s="286">
        <v>0</v>
      </c>
      <c r="AF369" s="286">
        <v>0</v>
      </c>
      <c r="AG369" s="286">
        <v>0</v>
      </c>
      <c r="AH369" s="286">
        <v>0</v>
      </c>
      <c r="AI369" s="286">
        <v>0</v>
      </c>
      <c r="AJ369" s="286">
        <v>0</v>
      </c>
      <c r="AK369" s="286">
        <v>0</v>
      </c>
      <c r="AL369" s="286">
        <v>0</v>
      </c>
      <c r="AM369" s="286">
        <v>0</v>
      </c>
      <c r="AN369" s="286">
        <v>0</v>
      </c>
      <c r="AO369" s="286">
        <v>0</v>
      </c>
      <c r="AP369" s="286">
        <v>0</v>
      </c>
      <c r="AQ369" s="286">
        <v>0</v>
      </c>
      <c r="AR369" s="286">
        <v>0</v>
      </c>
      <c r="AS369" s="286">
        <v>0</v>
      </c>
      <c r="AT369" s="286">
        <v>0</v>
      </c>
      <c r="AU369" s="286">
        <v>0</v>
      </c>
      <c r="AV369" s="286">
        <v>0</v>
      </c>
      <c r="AW369" s="286">
        <v>0</v>
      </c>
      <c r="AX369" s="286">
        <v>0</v>
      </c>
      <c r="AY369" s="286">
        <v>0</v>
      </c>
      <c r="AZ369" s="286">
        <v>0</v>
      </c>
      <c r="BA369" s="286">
        <v>0</v>
      </c>
      <c r="BB369" s="286">
        <v>0</v>
      </c>
      <c r="BC369" s="286">
        <v>0</v>
      </c>
      <c r="BD369" s="286">
        <v>0</v>
      </c>
      <c r="BE369" s="286">
        <v>0</v>
      </c>
      <c r="BF369" s="286">
        <v>0</v>
      </c>
      <c r="BG369" s="286">
        <v>0</v>
      </c>
      <c r="BH369" s="286">
        <v>0</v>
      </c>
      <c r="BI369" s="286">
        <v>0</v>
      </c>
      <c r="BJ369" s="286">
        <v>0</v>
      </c>
      <c r="BK369" s="286">
        <v>0</v>
      </c>
      <c r="BL369" s="286">
        <v>0</v>
      </c>
      <c r="BM369" s="286">
        <v>0</v>
      </c>
      <c r="BN369" s="286">
        <v>0</v>
      </c>
      <c r="BO369" s="286">
        <v>0</v>
      </c>
      <c r="BP369" s="286">
        <v>0</v>
      </c>
      <c r="BQ369" s="286">
        <v>0</v>
      </c>
      <c r="BR369" s="286">
        <v>0</v>
      </c>
    </row>
    <row r="370" spans="1:70" ht="14.25" customHeight="1" x14ac:dyDescent="0.35">
      <c r="A370" s="4" t="s">
        <v>89</v>
      </c>
      <c r="B370" s="384">
        <v>0</v>
      </c>
      <c r="C370" s="385"/>
      <c r="D370" s="42" t="s">
        <v>89</v>
      </c>
      <c r="E370" s="386">
        <v>0</v>
      </c>
      <c r="F370" s="386">
        <v>0</v>
      </c>
      <c r="G370" s="386">
        <v>0</v>
      </c>
      <c r="I370" s="42" t="s">
        <v>89</v>
      </c>
      <c r="J370" s="286">
        <v>0</v>
      </c>
      <c r="K370" s="286">
        <v>0</v>
      </c>
      <c r="L370" s="286">
        <v>0</v>
      </c>
      <c r="M370" s="286">
        <v>0</v>
      </c>
      <c r="N370" s="286">
        <v>0</v>
      </c>
      <c r="O370" s="286">
        <v>0</v>
      </c>
      <c r="P370" s="286">
        <v>0</v>
      </c>
      <c r="Q370" s="286">
        <v>0</v>
      </c>
      <c r="R370" s="286">
        <v>0</v>
      </c>
      <c r="S370" s="286">
        <v>0</v>
      </c>
      <c r="T370" s="286">
        <v>0</v>
      </c>
      <c r="U370" s="286">
        <v>0</v>
      </c>
      <c r="V370" s="286">
        <v>0</v>
      </c>
      <c r="W370" s="286">
        <v>0</v>
      </c>
      <c r="X370" s="286">
        <v>0</v>
      </c>
      <c r="Y370" s="286">
        <v>0</v>
      </c>
      <c r="Z370" s="286">
        <v>0</v>
      </c>
      <c r="AA370" s="286">
        <v>0</v>
      </c>
      <c r="AB370" s="286">
        <v>0</v>
      </c>
      <c r="AC370" s="286">
        <v>0</v>
      </c>
      <c r="AD370" s="286">
        <v>0</v>
      </c>
      <c r="AE370" s="286">
        <v>0</v>
      </c>
      <c r="AF370" s="286">
        <v>0</v>
      </c>
      <c r="AG370" s="286">
        <v>0</v>
      </c>
      <c r="AH370" s="286">
        <v>0</v>
      </c>
      <c r="AI370" s="286">
        <v>0</v>
      </c>
      <c r="AJ370" s="286">
        <v>0</v>
      </c>
      <c r="AK370" s="286">
        <v>0</v>
      </c>
      <c r="AL370" s="286">
        <v>0</v>
      </c>
      <c r="AM370" s="286">
        <v>0</v>
      </c>
      <c r="AN370" s="286">
        <v>0</v>
      </c>
      <c r="AO370" s="286">
        <v>0</v>
      </c>
      <c r="AP370" s="286">
        <v>0</v>
      </c>
      <c r="AQ370" s="286">
        <v>0</v>
      </c>
      <c r="AR370" s="286">
        <v>0</v>
      </c>
      <c r="AS370" s="286">
        <v>0</v>
      </c>
      <c r="AT370" s="286">
        <v>0</v>
      </c>
      <c r="AU370" s="286">
        <v>0</v>
      </c>
      <c r="AV370" s="286">
        <v>0</v>
      </c>
      <c r="AW370" s="286">
        <v>0</v>
      </c>
      <c r="AX370" s="286">
        <v>0</v>
      </c>
      <c r="AY370" s="286">
        <v>0</v>
      </c>
      <c r="AZ370" s="286">
        <v>0</v>
      </c>
      <c r="BA370" s="286">
        <v>0</v>
      </c>
      <c r="BB370" s="286">
        <v>0</v>
      </c>
      <c r="BC370" s="286">
        <v>0</v>
      </c>
      <c r="BD370" s="286">
        <v>0</v>
      </c>
      <c r="BE370" s="286">
        <v>0</v>
      </c>
      <c r="BF370" s="286">
        <v>0</v>
      </c>
      <c r="BG370" s="286">
        <v>0</v>
      </c>
      <c r="BH370" s="286">
        <v>0</v>
      </c>
      <c r="BI370" s="286">
        <v>0</v>
      </c>
      <c r="BJ370" s="286">
        <v>0</v>
      </c>
      <c r="BK370" s="286">
        <v>0</v>
      </c>
      <c r="BL370" s="286">
        <v>0</v>
      </c>
      <c r="BM370" s="286">
        <v>0</v>
      </c>
      <c r="BN370" s="286">
        <v>0</v>
      </c>
      <c r="BO370" s="286">
        <v>0</v>
      </c>
      <c r="BP370" s="286">
        <v>0</v>
      </c>
      <c r="BQ370" s="286">
        <v>0</v>
      </c>
      <c r="BR370" s="286">
        <v>0</v>
      </c>
    </row>
    <row r="371" spans="1:70" ht="14.25" customHeight="1" x14ac:dyDescent="0.35">
      <c r="A371" s="4" t="s">
        <v>90</v>
      </c>
      <c r="B371" s="384">
        <v>0</v>
      </c>
      <c r="C371" s="385"/>
      <c r="D371" s="42" t="s">
        <v>90</v>
      </c>
      <c r="E371" s="386">
        <v>0</v>
      </c>
      <c r="F371" s="386">
        <v>0</v>
      </c>
      <c r="G371" s="386">
        <v>0</v>
      </c>
      <c r="I371" s="42" t="s">
        <v>90</v>
      </c>
      <c r="J371" s="286">
        <v>0</v>
      </c>
      <c r="K371" s="286">
        <v>0</v>
      </c>
      <c r="L371" s="286">
        <v>0</v>
      </c>
      <c r="M371" s="286">
        <v>0</v>
      </c>
      <c r="N371" s="286">
        <v>0</v>
      </c>
      <c r="O371" s="286">
        <v>0</v>
      </c>
      <c r="P371" s="286">
        <v>0</v>
      </c>
      <c r="Q371" s="286">
        <v>0</v>
      </c>
      <c r="R371" s="286">
        <v>0</v>
      </c>
      <c r="S371" s="286">
        <v>0</v>
      </c>
      <c r="T371" s="286">
        <v>0</v>
      </c>
      <c r="U371" s="286">
        <v>0</v>
      </c>
      <c r="V371" s="286">
        <v>0</v>
      </c>
      <c r="W371" s="286">
        <v>0</v>
      </c>
      <c r="X371" s="286">
        <v>0</v>
      </c>
      <c r="Y371" s="286">
        <v>0</v>
      </c>
      <c r="Z371" s="286">
        <v>0</v>
      </c>
      <c r="AA371" s="286">
        <v>0</v>
      </c>
      <c r="AB371" s="286">
        <v>0</v>
      </c>
      <c r="AC371" s="286">
        <v>0</v>
      </c>
      <c r="AD371" s="286">
        <v>0</v>
      </c>
      <c r="AE371" s="286">
        <v>0</v>
      </c>
      <c r="AF371" s="286">
        <v>0</v>
      </c>
      <c r="AG371" s="286">
        <v>0</v>
      </c>
      <c r="AH371" s="286">
        <v>0</v>
      </c>
      <c r="AI371" s="286">
        <v>0</v>
      </c>
      <c r="AJ371" s="286">
        <v>0</v>
      </c>
      <c r="AK371" s="286">
        <v>0</v>
      </c>
      <c r="AL371" s="286">
        <v>0</v>
      </c>
      <c r="AM371" s="286">
        <v>0</v>
      </c>
      <c r="AN371" s="286">
        <v>0</v>
      </c>
      <c r="AO371" s="286">
        <v>0</v>
      </c>
      <c r="AP371" s="286">
        <v>0</v>
      </c>
      <c r="AQ371" s="286">
        <v>0</v>
      </c>
      <c r="AR371" s="286">
        <v>0</v>
      </c>
      <c r="AS371" s="286">
        <v>0</v>
      </c>
      <c r="AT371" s="286">
        <v>0</v>
      </c>
      <c r="AU371" s="286">
        <v>0</v>
      </c>
      <c r="AV371" s="286">
        <v>0</v>
      </c>
      <c r="AW371" s="286">
        <v>0</v>
      </c>
      <c r="AX371" s="286">
        <v>0</v>
      </c>
      <c r="AY371" s="286">
        <v>0</v>
      </c>
      <c r="AZ371" s="286">
        <v>0</v>
      </c>
      <c r="BA371" s="286">
        <v>0</v>
      </c>
      <c r="BB371" s="286">
        <v>0</v>
      </c>
      <c r="BC371" s="286">
        <v>0</v>
      </c>
      <c r="BD371" s="286">
        <v>0</v>
      </c>
      <c r="BE371" s="286">
        <v>0</v>
      </c>
      <c r="BF371" s="286">
        <v>0</v>
      </c>
      <c r="BG371" s="286">
        <v>0</v>
      </c>
      <c r="BH371" s="286">
        <v>0</v>
      </c>
      <c r="BI371" s="286">
        <v>0</v>
      </c>
      <c r="BJ371" s="286">
        <v>0</v>
      </c>
      <c r="BK371" s="286">
        <v>0</v>
      </c>
      <c r="BL371" s="286">
        <v>0</v>
      </c>
      <c r="BM371" s="286">
        <v>0</v>
      </c>
      <c r="BN371" s="286">
        <v>0</v>
      </c>
      <c r="BO371" s="286">
        <v>0</v>
      </c>
      <c r="BP371" s="286">
        <v>0</v>
      </c>
      <c r="BQ371" s="286">
        <v>0</v>
      </c>
      <c r="BR371" s="286">
        <v>0</v>
      </c>
    </row>
    <row r="374" spans="1:70" x14ac:dyDescent="0.35">
      <c r="A374" s="375" t="s">
        <v>1661</v>
      </c>
    </row>
    <row r="375" spans="1:70" x14ac:dyDescent="0.35">
      <c r="A375" s="376" t="s">
        <v>1782</v>
      </c>
      <c r="B375" t="s">
        <v>1783</v>
      </c>
      <c r="C375" t="s">
        <v>1746</v>
      </c>
      <c r="D375" t="s">
        <v>1784</v>
      </c>
      <c r="E375" t="s">
        <v>1785</v>
      </c>
      <c r="F375" t="s">
        <v>1786</v>
      </c>
      <c r="G375" t="s">
        <v>1787</v>
      </c>
      <c r="H375" t="s">
        <v>1788</v>
      </c>
      <c r="I375" t="s">
        <v>1753</v>
      </c>
      <c r="J375" t="s">
        <v>1759</v>
      </c>
      <c r="K375" t="s">
        <v>1789</v>
      </c>
      <c r="L375" t="s">
        <v>1790</v>
      </c>
      <c r="M375" t="s">
        <v>1791</v>
      </c>
      <c r="N375" t="s">
        <v>1765</v>
      </c>
      <c r="O375" t="s">
        <v>1792</v>
      </c>
      <c r="P375" t="s">
        <v>1793</v>
      </c>
      <c r="Q375" t="s">
        <v>1794</v>
      </c>
      <c r="R375" t="s">
        <v>1341</v>
      </c>
      <c r="S375" t="s">
        <v>1795</v>
      </c>
      <c r="T375" t="s">
        <v>1796</v>
      </c>
      <c r="U375" t="s">
        <v>1797</v>
      </c>
      <c r="V375" t="s">
        <v>1798</v>
      </c>
      <c r="W375" t="s">
        <v>1799</v>
      </c>
      <c r="X375" t="s">
        <v>1771</v>
      </c>
      <c r="Y375" t="s">
        <v>1777</v>
      </c>
    </row>
    <row r="376" spans="1:70" x14ac:dyDescent="0.35">
      <c r="A376" s="39" t="s">
        <v>1800</v>
      </c>
      <c r="B376" s="376" t="s">
        <v>1801</v>
      </c>
      <c r="C376" s="376" t="s">
        <v>1745</v>
      </c>
      <c r="D376" s="376" t="s">
        <v>1802</v>
      </c>
      <c r="E376" s="376" t="s">
        <v>1803</v>
      </c>
      <c r="F376" s="376" t="s">
        <v>1804</v>
      </c>
      <c r="G376" s="376" t="s">
        <v>1805</v>
      </c>
      <c r="H376" s="376" t="s">
        <v>1806</v>
      </c>
      <c r="I376" s="376" t="s">
        <v>1752</v>
      </c>
      <c r="J376" s="376" t="s">
        <v>1758</v>
      </c>
      <c r="K376" s="376" t="s">
        <v>1807</v>
      </c>
      <c r="L376" s="376" t="s">
        <v>1808</v>
      </c>
      <c r="M376" s="376" t="s">
        <v>1809</v>
      </c>
      <c r="N376" s="376" t="s">
        <v>1764</v>
      </c>
      <c r="O376" s="376" t="s">
        <v>1810</v>
      </c>
      <c r="P376" s="376" t="s">
        <v>1811</v>
      </c>
      <c r="Q376" s="376" t="s">
        <v>1794</v>
      </c>
      <c r="R376" s="376" t="s">
        <v>1812</v>
      </c>
      <c r="S376" s="376" t="s">
        <v>1813</v>
      </c>
      <c r="T376" s="376" t="s">
        <v>1814</v>
      </c>
      <c r="U376" s="376" t="s">
        <v>1815</v>
      </c>
      <c r="V376" s="376" t="s">
        <v>1816</v>
      </c>
      <c r="W376" s="376" t="s">
        <v>1817</v>
      </c>
      <c r="X376" s="376" t="s">
        <v>1770</v>
      </c>
      <c r="Y376" s="376" t="s">
        <v>1776</v>
      </c>
    </row>
    <row r="377" spans="1:70" x14ac:dyDescent="0.35">
      <c r="A377" s="275" t="s">
        <v>228</v>
      </c>
      <c r="B377" s="378">
        <v>0</v>
      </c>
      <c r="C377" s="378">
        <v>0</v>
      </c>
      <c r="D377" s="378">
        <v>0</v>
      </c>
      <c r="E377" s="378">
        <v>0</v>
      </c>
      <c r="F377" s="378">
        <v>0</v>
      </c>
      <c r="G377" s="378">
        <v>0</v>
      </c>
      <c r="H377" s="378">
        <v>0</v>
      </c>
      <c r="I377" s="378">
        <v>0</v>
      </c>
      <c r="J377" s="378">
        <v>0</v>
      </c>
      <c r="K377" s="378">
        <v>0</v>
      </c>
      <c r="L377" s="378">
        <v>0</v>
      </c>
      <c r="M377" s="378">
        <v>0</v>
      </c>
      <c r="N377" s="378">
        <v>0</v>
      </c>
      <c r="O377" s="103">
        <v>0</v>
      </c>
      <c r="P377" s="378">
        <v>0</v>
      </c>
      <c r="Q377" s="378">
        <v>0</v>
      </c>
      <c r="R377" s="103">
        <v>0</v>
      </c>
      <c r="S377" s="378">
        <v>0</v>
      </c>
      <c r="T377" s="378">
        <v>0</v>
      </c>
      <c r="U377" s="378">
        <v>0</v>
      </c>
      <c r="V377" s="378">
        <v>0</v>
      </c>
      <c r="W377" s="378">
        <v>0</v>
      </c>
      <c r="X377" s="378">
        <v>0</v>
      </c>
      <c r="Y377" s="378">
        <v>0</v>
      </c>
    </row>
    <row r="378" spans="1:70" x14ac:dyDescent="0.35">
      <c r="A378" s="277" t="s">
        <v>95</v>
      </c>
      <c r="B378" s="378">
        <v>0</v>
      </c>
      <c r="C378" s="378">
        <v>0</v>
      </c>
      <c r="D378" s="378">
        <v>0</v>
      </c>
      <c r="E378" s="378">
        <v>0</v>
      </c>
      <c r="F378" s="378">
        <v>0</v>
      </c>
      <c r="G378" s="378">
        <v>0</v>
      </c>
      <c r="H378" s="378">
        <v>0</v>
      </c>
      <c r="I378" s="378">
        <v>0</v>
      </c>
      <c r="J378" s="378">
        <v>0</v>
      </c>
      <c r="K378" s="378">
        <v>0</v>
      </c>
      <c r="L378" s="378">
        <v>0</v>
      </c>
      <c r="M378" s="378">
        <v>0</v>
      </c>
      <c r="N378" s="378">
        <v>0</v>
      </c>
      <c r="O378" s="103">
        <v>0</v>
      </c>
      <c r="P378" s="378">
        <v>0</v>
      </c>
      <c r="Q378" s="378">
        <v>0</v>
      </c>
      <c r="R378" s="103">
        <v>0</v>
      </c>
      <c r="S378" s="378">
        <v>0</v>
      </c>
      <c r="T378" s="378">
        <v>0</v>
      </c>
      <c r="U378" s="378">
        <v>0</v>
      </c>
      <c r="V378" s="378">
        <v>0</v>
      </c>
      <c r="W378" s="378">
        <v>0</v>
      </c>
      <c r="X378" s="378">
        <v>0</v>
      </c>
      <c r="Y378" s="378">
        <v>0</v>
      </c>
    </row>
    <row r="379" spans="1:70" x14ac:dyDescent="0.35">
      <c r="A379" s="277" t="s">
        <v>96</v>
      </c>
      <c r="B379" s="378">
        <v>0</v>
      </c>
      <c r="C379" s="378">
        <v>0</v>
      </c>
      <c r="D379" s="378">
        <v>0</v>
      </c>
      <c r="E379" s="378">
        <v>0</v>
      </c>
      <c r="F379" s="378">
        <v>0</v>
      </c>
      <c r="G379" s="378">
        <v>0</v>
      </c>
      <c r="H379" s="378">
        <v>0</v>
      </c>
      <c r="I379" s="378">
        <v>0</v>
      </c>
      <c r="J379" s="378">
        <v>0</v>
      </c>
      <c r="K379" s="378">
        <v>0</v>
      </c>
      <c r="L379" s="378">
        <v>0</v>
      </c>
      <c r="M379" s="378">
        <v>0</v>
      </c>
      <c r="N379" s="378">
        <v>0</v>
      </c>
      <c r="O379" s="103">
        <v>0</v>
      </c>
      <c r="P379" s="378">
        <v>0</v>
      </c>
      <c r="Q379" s="378">
        <v>0</v>
      </c>
      <c r="R379" s="103">
        <v>0</v>
      </c>
      <c r="S379" s="378">
        <v>0</v>
      </c>
      <c r="T379" s="378">
        <v>0</v>
      </c>
      <c r="U379" s="378">
        <v>0</v>
      </c>
      <c r="V379" s="378">
        <v>0</v>
      </c>
      <c r="W379" s="378">
        <v>0</v>
      </c>
      <c r="X379" s="378">
        <v>0</v>
      </c>
      <c r="Y379" s="378">
        <v>0</v>
      </c>
    </row>
    <row r="380" spans="1:70" x14ac:dyDescent="0.35">
      <c r="A380" s="277" t="s">
        <v>97</v>
      </c>
      <c r="B380" s="378">
        <v>0</v>
      </c>
      <c r="C380" s="378">
        <v>0</v>
      </c>
      <c r="D380" s="378">
        <v>0</v>
      </c>
      <c r="E380" s="378">
        <v>0</v>
      </c>
      <c r="F380" s="378">
        <v>0</v>
      </c>
      <c r="G380" s="378">
        <v>0</v>
      </c>
      <c r="H380" s="378">
        <v>0</v>
      </c>
      <c r="I380" s="378">
        <v>0</v>
      </c>
      <c r="J380" s="378">
        <v>0</v>
      </c>
      <c r="K380" s="378">
        <v>0</v>
      </c>
      <c r="L380" s="378">
        <v>0</v>
      </c>
      <c r="M380" s="378">
        <v>0</v>
      </c>
      <c r="N380" s="378">
        <v>0</v>
      </c>
      <c r="O380" s="103">
        <v>0</v>
      </c>
      <c r="P380" s="378">
        <v>0</v>
      </c>
      <c r="Q380" s="378">
        <v>0</v>
      </c>
      <c r="R380" s="103">
        <v>0</v>
      </c>
      <c r="S380" s="378">
        <v>0</v>
      </c>
      <c r="T380" s="378">
        <v>0</v>
      </c>
      <c r="U380" s="378">
        <v>0</v>
      </c>
      <c r="V380" s="378">
        <v>0</v>
      </c>
      <c r="W380" s="378">
        <v>0</v>
      </c>
      <c r="X380" s="378">
        <v>0</v>
      </c>
      <c r="Y380" s="378">
        <v>0</v>
      </c>
    </row>
    <row r="381" spans="1:70" x14ac:dyDescent="0.35">
      <c r="A381" s="277" t="s">
        <v>98</v>
      </c>
      <c r="B381" s="378">
        <v>0</v>
      </c>
      <c r="C381" s="378">
        <v>0</v>
      </c>
      <c r="D381" s="378">
        <v>0</v>
      </c>
      <c r="E381" s="378">
        <v>0</v>
      </c>
      <c r="F381" s="378">
        <v>0</v>
      </c>
      <c r="G381" s="378">
        <v>0</v>
      </c>
      <c r="H381" s="378">
        <v>0</v>
      </c>
      <c r="I381" s="378">
        <v>0</v>
      </c>
      <c r="J381" s="378">
        <v>0</v>
      </c>
      <c r="K381" s="378">
        <v>0</v>
      </c>
      <c r="L381" s="378">
        <v>0</v>
      </c>
      <c r="M381" s="378">
        <v>0</v>
      </c>
      <c r="N381" s="378">
        <v>0</v>
      </c>
      <c r="O381" s="103">
        <v>0</v>
      </c>
      <c r="P381" s="378">
        <v>0</v>
      </c>
      <c r="Q381" s="378">
        <v>0</v>
      </c>
      <c r="R381" s="103">
        <v>0</v>
      </c>
      <c r="S381" s="378">
        <v>0</v>
      </c>
      <c r="T381" s="378">
        <v>0</v>
      </c>
      <c r="U381" s="378">
        <v>0</v>
      </c>
      <c r="V381" s="378">
        <v>0</v>
      </c>
      <c r="W381" s="378">
        <v>0</v>
      </c>
      <c r="X381" s="378">
        <v>0</v>
      </c>
      <c r="Y381" s="378">
        <v>0</v>
      </c>
    </row>
    <row r="382" spans="1:70" x14ac:dyDescent="0.35">
      <c r="A382" s="277" t="s">
        <v>163</v>
      </c>
      <c r="B382" s="378">
        <v>0</v>
      </c>
      <c r="C382" s="378">
        <v>0</v>
      </c>
      <c r="D382" s="378">
        <v>0</v>
      </c>
      <c r="E382" s="378">
        <v>0</v>
      </c>
      <c r="F382" s="378">
        <v>0</v>
      </c>
      <c r="G382" s="378">
        <v>0</v>
      </c>
      <c r="H382" s="378">
        <v>0</v>
      </c>
      <c r="I382" s="378">
        <v>0</v>
      </c>
      <c r="J382" s="378">
        <v>0</v>
      </c>
      <c r="K382" s="378">
        <v>0</v>
      </c>
      <c r="L382" s="378">
        <v>0</v>
      </c>
      <c r="M382" s="378">
        <v>0</v>
      </c>
      <c r="N382" s="378">
        <v>0</v>
      </c>
      <c r="O382" s="103">
        <v>0</v>
      </c>
      <c r="P382" s="378">
        <v>0</v>
      </c>
      <c r="Q382" s="378">
        <v>0</v>
      </c>
      <c r="R382" s="103">
        <v>0</v>
      </c>
      <c r="S382" s="378">
        <v>0</v>
      </c>
      <c r="T382" s="378">
        <v>0</v>
      </c>
      <c r="U382" s="378">
        <v>0</v>
      </c>
      <c r="V382" s="378">
        <v>0</v>
      </c>
      <c r="W382" s="378">
        <v>0</v>
      </c>
      <c r="X382" s="378">
        <v>0</v>
      </c>
      <c r="Y382" s="378">
        <v>0</v>
      </c>
    </row>
    <row r="383" spans="1:70" x14ac:dyDescent="0.35">
      <c r="A383" s="277" t="s">
        <v>100</v>
      </c>
      <c r="B383" s="378">
        <v>0</v>
      </c>
      <c r="C383" s="378">
        <v>0</v>
      </c>
      <c r="D383" s="378">
        <v>0</v>
      </c>
      <c r="E383" s="378">
        <v>0</v>
      </c>
      <c r="F383" s="378">
        <v>0</v>
      </c>
      <c r="G383" s="378">
        <v>0</v>
      </c>
      <c r="H383" s="378">
        <v>0</v>
      </c>
      <c r="I383" s="378">
        <v>0</v>
      </c>
      <c r="J383" s="378">
        <v>0</v>
      </c>
      <c r="K383" s="378">
        <v>0</v>
      </c>
      <c r="L383" s="378">
        <v>0</v>
      </c>
      <c r="M383" s="378">
        <v>0</v>
      </c>
      <c r="N383" s="378">
        <v>0</v>
      </c>
      <c r="O383" s="103">
        <v>0</v>
      </c>
      <c r="P383" s="378">
        <v>0</v>
      </c>
      <c r="Q383" s="378">
        <v>0</v>
      </c>
      <c r="R383" s="103">
        <v>0</v>
      </c>
      <c r="S383" s="378">
        <v>0</v>
      </c>
      <c r="T383" s="378">
        <v>0</v>
      </c>
      <c r="U383" s="378">
        <v>0</v>
      </c>
      <c r="V383" s="378">
        <v>0</v>
      </c>
      <c r="W383" s="378">
        <v>0</v>
      </c>
      <c r="X383" s="378">
        <v>0</v>
      </c>
      <c r="Y383" s="378">
        <v>0</v>
      </c>
    </row>
    <row r="384" spans="1:70" x14ac:dyDescent="0.35">
      <c r="A384" s="277" t="s">
        <v>101</v>
      </c>
      <c r="B384" s="378">
        <v>0</v>
      </c>
      <c r="C384" s="378">
        <v>0</v>
      </c>
      <c r="D384" s="378">
        <v>0</v>
      </c>
      <c r="E384" s="378">
        <v>0</v>
      </c>
      <c r="F384" s="378">
        <v>0</v>
      </c>
      <c r="G384" s="378">
        <v>0</v>
      </c>
      <c r="H384" s="378">
        <v>0</v>
      </c>
      <c r="I384" s="378">
        <v>0</v>
      </c>
      <c r="J384" s="378">
        <v>0</v>
      </c>
      <c r="K384" s="378">
        <v>0</v>
      </c>
      <c r="L384" s="378">
        <v>0</v>
      </c>
      <c r="M384" s="378">
        <v>0</v>
      </c>
      <c r="N384" s="378">
        <v>0</v>
      </c>
      <c r="O384" s="103">
        <v>0</v>
      </c>
      <c r="P384" s="378">
        <v>0</v>
      </c>
      <c r="Q384" s="378">
        <v>0</v>
      </c>
      <c r="R384" s="103">
        <v>0</v>
      </c>
      <c r="S384" s="378">
        <v>0</v>
      </c>
      <c r="T384" s="378">
        <v>0</v>
      </c>
      <c r="U384" s="378">
        <v>0</v>
      </c>
      <c r="V384" s="378">
        <v>0</v>
      </c>
      <c r="W384" s="378">
        <v>0</v>
      </c>
      <c r="X384" s="378">
        <v>0</v>
      </c>
      <c r="Y384" s="378">
        <v>0</v>
      </c>
    </row>
    <row r="385" spans="1:25" x14ac:dyDescent="0.35">
      <c r="A385" s="277" t="s">
        <v>102</v>
      </c>
      <c r="B385" s="378">
        <v>0</v>
      </c>
      <c r="C385" s="378">
        <v>0</v>
      </c>
      <c r="D385" s="378">
        <v>0</v>
      </c>
      <c r="E385" s="378">
        <v>0</v>
      </c>
      <c r="F385" s="378">
        <v>0</v>
      </c>
      <c r="G385" s="378">
        <v>0</v>
      </c>
      <c r="H385" s="378">
        <v>0</v>
      </c>
      <c r="I385" s="378">
        <v>0</v>
      </c>
      <c r="J385" s="378">
        <v>0</v>
      </c>
      <c r="K385" s="378">
        <v>0</v>
      </c>
      <c r="L385" s="378">
        <v>0</v>
      </c>
      <c r="M385" s="378">
        <v>0</v>
      </c>
      <c r="N385" s="378">
        <v>0</v>
      </c>
      <c r="O385" s="103">
        <v>0</v>
      </c>
      <c r="P385" s="378">
        <v>0</v>
      </c>
      <c r="Q385" s="378">
        <v>0</v>
      </c>
      <c r="R385" s="103">
        <v>0</v>
      </c>
      <c r="S385" s="378">
        <v>0</v>
      </c>
      <c r="T385" s="378">
        <v>0</v>
      </c>
      <c r="U385" s="378">
        <v>0</v>
      </c>
      <c r="V385" s="378">
        <v>0</v>
      </c>
      <c r="W385" s="378">
        <v>0</v>
      </c>
      <c r="X385" s="378">
        <v>0</v>
      </c>
      <c r="Y385" s="378">
        <v>0</v>
      </c>
    </row>
    <row r="386" spans="1:25" x14ac:dyDescent="0.35">
      <c r="A386" s="277" t="s">
        <v>103</v>
      </c>
      <c r="B386" s="378">
        <v>0</v>
      </c>
      <c r="C386" s="378">
        <v>0</v>
      </c>
      <c r="D386" s="378">
        <v>0</v>
      </c>
      <c r="E386" s="378">
        <v>0</v>
      </c>
      <c r="F386" s="378">
        <v>0</v>
      </c>
      <c r="G386" s="378">
        <v>0</v>
      </c>
      <c r="H386" s="378">
        <v>0</v>
      </c>
      <c r="I386" s="378">
        <v>0</v>
      </c>
      <c r="J386" s="378">
        <v>0</v>
      </c>
      <c r="K386" s="378">
        <v>0</v>
      </c>
      <c r="L386" s="378">
        <v>0</v>
      </c>
      <c r="M386" s="378">
        <v>0</v>
      </c>
      <c r="N386" s="378">
        <v>0</v>
      </c>
      <c r="O386" s="103">
        <v>0</v>
      </c>
      <c r="P386" s="378">
        <v>0</v>
      </c>
      <c r="Q386" s="378">
        <v>0</v>
      </c>
      <c r="R386" s="103">
        <v>0</v>
      </c>
      <c r="S386" s="378">
        <v>0</v>
      </c>
      <c r="T386" s="378">
        <v>0</v>
      </c>
      <c r="U386" s="378">
        <v>0</v>
      </c>
      <c r="V386" s="378">
        <v>0</v>
      </c>
      <c r="W386" s="378">
        <v>0</v>
      </c>
      <c r="X386" s="378">
        <v>0</v>
      </c>
      <c r="Y386" s="378">
        <v>0</v>
      </c>
    </row>
    <row r="387" spans="1:25" x14ac:dyDescent="0.35">
      <c r="A387" s="277" t="s">
        <v>104</v>
      </c>
      <c r="B387" s="378">
        <v>0</v>
      </c>
      <c r="C387" s="378">
        <v>0</v>
      </c>
      <c r="D387" s="378">
        <v>0</v>
      </c>
      <c r="E387" s="378">
        <v>0</v>
      </c>
      <c r="F387" s="378">
        <v>0</v>
      </c>
      <c r="G387" s="378">
        <v>0</v>
      </c>
      <c r="H387" s="378">
        <v>0</v>
      </c>
      <c r="I387" s="378">
        <v>0</v>
      </c>
      <c r="J387" s="378">
        <v>0</v>
      </c>
      <c r="K387" s="378">
        <v>0</v>
      </c>
      <c r="L387" s="378">
        <v>0</v>
      </c>
      <c r="M387" s="378">
        <v>0</v>
      </c>
      <c r="N387" s="378">
        <v>0</v>
      </c>
      <c r="O387" s="103">
        <v>0</v>
      </c>
      <c r="P387" s="378">
        <v>0</v>
      </c>
      <c r="Q387" s="378">
        <v>0</v>
      </c>
      <c r="R387" s="103">
        <v>0</v>
      </c>
      <c r="S387" s="378">
        <v>0</v>
      </c>
      <c r="T387" s="378">
        <v>0</v>
      </c>
      <c r="U387" s="378">
        <v>0</v>
      </c>
      <c r="V387" s="378">
        <v>0</v>
      </c>
      <c r="W387" s="378">
        <v>0</v>
      </c>
      <c r="X387" s="378">
        <v>0</v>
      </c>
      <c r="Y387" s="378">
        <v>0</v>
      </c>
    </row>
    <row r="388" spans="1:25" x14ac:dyDescent="0.35">
      <c r="A388" s="277" t="s">
        <v>105</v>
      </c>
      <c r="B388" s="378">
        <v>0</v>
      </c>
      <c r="C388" s="378">
        <v>0</v>
      </c>
      <c r="D388" s="378">
        <v>0</v>
      </c>
      <c r="E388" s="378">
        <v>0</v>
      </c>
      <c r="F388" s="378">
        <v>0</v>
      </c>
      <c r="G388" s="378">
        <v>0</v>
      </c>
      <c r="H388" s="378">
        <v>0</v>
      </c>
      <c r="I388" s="378">
        <v>0</v>
      </c>
      <c r="J388" s="378">
        <v>0</v>
      </c>
      <c r="K388" s="378">
        <v>0</v>
      </c>
      <c r="L388" s="378">
        <v>0</v>
      </c>
      <c r="M388" s="378">
        <v>0</v>
      </c>
      <c r="N388" s="378">
        <v>0</v>
      </c>
      <c r="O388" s="103">
        <v>0</v>
      </c>
      <c r="P388" s="378">
        <v>0</v>
      </c>
      <c r="Q388" s="378">
        <v>0</v>
      </c>
      <c r="R388" s="103">
        <v>0</v>
      </c>
      <c r="S388" s="378">
        <v>0</v>
      </c>
      <c r="T388" s="378">
        <v>0</v>
      </c>
      <c r="U388" s="378">
        <v>0</v>
      </c>
      <c r="V388" s="378">
        <v>0</v>
      </c>
      <c r="W388" s="378">
        <v>0</v>
      </c>
      <c r="X388" s="378">
        <v>0</v>
      </c>
      <c r="Y388" s="378">
        <v>0</v>
      </c>
    </row>
    <row r="389" spans="1:25" x14ac:dyDescent="0.35">
      <c r="A389" s="277" t="s">
        <v>106</v>
      </c>
      <c r="B389" s="378">
        <v>0</v>
      </c>
      <c r="C389" s="378">
        <v>0</v>
      </c>
      <c r="D389" s="378">
        <v>0</v>
      </c>
      <c r="E389" s="378">
        <v>0</v>
      </c>
      <c r="F389" s="378">
        <v>0</v>
      </c>
      <c r="G389" s="378">
        <v>0</v>
      </c>
      <c r="H389" s="378">
        <v>0</v>
      </c>
      <c r="I389" s="378">
        <v>0</v>
      </c>
      <c r="J389" s="378">
        <v>0</v>
      </c>
      <c r="K389" s="378">
        <v>0</v>
      </c>
      <c r="L389" s="378">
        <v>0</v>
      </c>
      <c r="M389" s="378">
        <v>0</v>
      </c>
      <c r="N389" s="378">
        <v>0</v>
      </c>
      <c r="O389" s="103">
        <v>0</v>
      </c>
      <c r="P389" s="378">
        <v>0</v>
      </c>
      <c r="Q389" s="378">
        <v>0</v>
      </c>
      <c r="R389" s="103">
        <v>0</v>
      </c>
      <c r="S389" s="378">
        <v>0</v>
      </c>
      <c r="T389" s="378">
        <v>0</v>
      </c>
      <c r="U389" s="378">
        <v>0</v>
      </c>
      <c r="V389" s="378">
        <v>0</v>
      </c>
      <c r="W389" s="378">
        <v>0</v>
      </c>
      <c r="X389" s="378">
        <v>0</v>
      </c>
      <c r="Y389" s="378">
        <v>0</v>
      </c>
    </row>
    <row r="390" spans="1:25" x14ac:dyDescent="0.35">
      <c r="A390" s="277" t="s">
        <v>107</v>
      </c>
      <c r="B390" s="378">
        <v>0</v>
      </c>
      <c r="C390" s="378">
        <v>0</v>
      </c>
      <c r="D390" s="378">
        <v>0</v>
      </c>
      <c r="E390" s="378">
        <v>0</v>
      </c>
      <c r="F390" s="378">
        <v>0</v>
      </c>
      <c r="G390" s="378">
        <v>0</v>
      </c>
      <c r="H390" s="378">
        <v>0</v>
      </c>
      <c r="I390" s="378">
        <v>0</v>
      </c>
      <c r="J390" s="378">
        <v>0</v>
      </c>
      <c r="K390" s="378">
        <v>0</v>
      </c>
      <c r="L390" s="378">
        <v>0</v>
      </c>
      <c r="M390" s="378">
        <v>0</v>
      </c>
      <c r="N390" s="378">
        <v>0</v>
      </c>
      <c r="O390" s="103">
        <v>0</v>
      </c>
      <c r="P390" s="378">
        <v>0</v>
      </c>
      <c r="Q390" s="378">
        <v>0</v>
      </c>
      <c r="R390" s="103">
        <v>0</v>
      </c>
      <c r="S390" s="378">
        <v>0</v>
      </c>
      <c r="T390" s="378">
        <v>0</v>
      </c>
      <c r="U390" s="378">
        <v>0</v>
      </c>
      <c r="V390" s="378">
        <v>0</v>
      </c>
      <c r="W390" s="378">
        <v>0</v>
      </c>
      <c r="X390" s="378">
        <v>0</v>
      </c>
      <c r="Y390" s="378">
        <v>0</v>
      </c>
    </row>
    <row r="391" spans="1:25" x14ac:dyDescent="0.35">
      <c r="A391" s="277" t="s">
        <v>108</v>
      </c>
      <c r="B391" s="378">
        <v>0</v>
      </c>
      <c r="C391" s="378">
        <v>0</v>
      </c>
      <c r="D391" s="378">
        <v>0</v>
      </c>
      <c r="E391" s="378">
        <v>0</v>
      </c>
      <c r="F391" s="378">
        <v>0</v>
      </c>
      <c r="G391" s="378">
        <v>0</v>
      </c>
      <c r="H391" s="378">
        <v>0</v>
      </c>
      <c r="I391" s="378">
        <v>0</v>
      </c>
      <c r="J391" s="378">
        <v>0</v>
      </c>
      <c r="K391" s="378">
        <v>0</v>
      </c>
      <c r="L391" s="378">
        <v>0</v>
      </c>
      <c r="M391" s="378">
        <v>0</v>
      </c>
      <c r="N391" s="378">
        <v>0</v>
      </c>
      <c r="O391" s="103">
        <v>0</v>
      </c>
      <c r="P391" s="378">
        <v>0</v>
      </c>
      <c r="Q391" s="378">
        <v>0</v>
      </c>
      <c r="R391" s="103">
        <v>0</v>
      </c>
      <c r="S391" s="378">
        <v>0</v>
      </c>
      <c r="T391" s="378">
        <v>0</v>
      </c>
      <c r="U391" s="378">
        <v>0</v>
      </c>
      <c r="V391" s="378">
        <v>0</v>
      </c>
      <c r="W391" s="378">
        <v>0</v>
      </c>
      <c r="X391" s="378">
        <v>0</v>
      </c>
      <c r="Y391" s="378">
        <v>0</v>
      </c>
    </row>
    <row r="392" spans="1:25" x14ac:dyDescent="0.35">
      <c r="A392" s="277" t="s">
        <v>109</v>
      </c>
      <c r="B392" s="378">
        <v>0</v>
      </c>
      <c r="C392" s="378">
        <v>0</v>
      </c>
      <c r="D392" s="378">
        <v>0</v>
      </c>
      <c r="E392" s="378">
        <v>0</v>
      </c>
      <c r="F392" s="378">
        <v>0</v>
      </c>
      <c r="G392" s="378">
        <v>0</v>
      </c>
      <c r="H392" s="378">
        <v>0</v>
      </c>
      <c r="I392" s="378">
        <v>0</v>
      </c>
      <c r="J392" s="378">
        <v>0</v>
      </c>
      <c r="K392" s="378">
        <v>0</v>
      </c>
      <c r="L392" s="378">
        <v>0</v>
      </c>
      <c r="M392" s="378">
        <v>0</v>
      </c>
      <c r="N392" s="378">
        <v>0</v>
      </c>
      <c r="O392" s="103">
        <v>0</v>
      </c>
      <c r="P392" s="378">
        <v>0</v>
      </c>
      <c r="Q392" s="378">
        <v>0</v>
      </c>
      <c r="R392" s="103">
        <v>0</v>
      </c>
      <c r="S392" s="378">
        <v>0</v>
      </c>
      <c r="T392" s="378">
        <v>0</v>
      </c>
      <c r="U392" s="378">
        <v>0</v>
      </c>
      <c r="V392" s="378">
        <v>0</v>
      </c>
      <c r="W392" s="378">
        <v>0</v>
      </c>
      <c r="X392" s="378">
        <v>0</v>
      </c>
      <c r="Y392" s="378">
        <v>0</v>
      </c>
    </row>
    <row r="393" spans="1:25" x14ac:dyDescent="0.35">
      <c r="A393" s="277" t="s">
        <v>229</v>
      </c>
      <c r="B393" s="378">
        <v>0</v>
      </c>
      <c r="C393" s="378">
        <v>0</v>
      </c>
      <c r="D393" s="378">
        <v>0</v>
      </c>
      <c r="E393" s="378">
        <v>0</v>
      </c>
      <c r="F393" s="378">
        <v>0</v>
      </c>
      <c r="G393" s="378">
        <v>0</v>
      </c>
      <c r="H393" s="378">
        <v>0</v>
      </c>
      <c r="I393" s="378">
        <v>0</v>
      </c>
      <c r="J393" s="378">
        <v>0</v>
      </c>
      <c r="K393" s="378">
        <v>0</v>
      </c>
      <c r="L393" s="378">
        <v>0</v>
      </c>
      <c r="M393" s="378">
        <v>0</v>
      </c>
      <c r="N393" s="378">
        <v>0</v>
      </c>
      <c r="O393" s="103">
        <v>0</v>
      </c>
      <c r="P393" s="378">
        <v>0</v>
      </c>
      <c r="Q393" s="378">
        <v>0</v>
      </c>
      <c r="R393" s="103">
        <v>0</v>
      </c>
      <c r="S393" s="378">
        <v>0</v>
      </c>
      <c r="T393" s="378">
        <v>0</v>
      </c>
      <c r="U393" s="378">
        <v>0</v>
      </c>
      <c r="V393" s="378">
        <v>0</v>
      </c>
      <c r="W393" s="378">
        <v>0</v>
      </c>
      <c r="X393" s="378">
        <v>0</v>
      </c>
      <c r="Y393" s="378">
        <v>0</v>
      </c>
    </row>
    <row r="394" spans="1:25" x14ac:dyDescent="0.35">
      <c r="A394" s="277" t="s">
        <v>111</v>
      </c>
      <c r="B394" s="378">
        <v>0</v>
      </c>
      <c r="C394" s="378">
        <v>0</v>
      </c>
      <c r="D394" s="378">
        <v>0</v>
      </c>
      <c r="E394" s="378">
        <v>0</v>
      </c>
      <c r="F394" s="378">
        <v>0</v>
      </c>
      <c r="G394" s="378">
        <v>0</v>
      </c>
      <c r="H394" s="378">
        <v>0</v>
      </c>
      <c r="I394" s="378">
        <v>0</v>
      </c>
      <c r="J394" s="378">
        <v>0</v>
      </c>
      <c r="K394" s="378">
        <v>0</v>
      </c>
      <c r="L394" s="378">
        <v>0</v>
      </c>
      <c r="M394" s="378">
        <v>0</v>
      </c>
      <c r="N394" s="378">
        <v>0</v>
      </c>
      <c r="O394" s="103">
        <v>0</v>
      </c>
      <c r="P394" s="378">
        <v>0</v>
      </c>
      <c r="Q394" s="378">
        <v>0</v>
      </c>
      <c r="R394" s="103">
        <v>0</v>
      </c>
      <c r="S394" s="378">
        <v>0</v>
      </c>
      <c r="T394" s="378">
        <v>0</v>
      </c>
      <c r="U394" s="378">
        <v>0</v>
      </c>
      <c r="V394" s="378">
        <v>0</v>
      </c>
      <c r="W394" s="378">
        <v>0</v>
      </c>
      <c r="X394" s="378">
        <v>0</v>
      </c>
      <c r="Y394" s="378">
        <v>0</v>
      </c>
    </row>
    <row r="395" spans="1:25" x14ac:dyDescent="0.35">
      <c r="A395" s="277" t="s">
        <v>112</v>
      </c>
      <c r="B395" s="378">
        <v>0</v>
      </c>
      <c r="C395" s="378">
        <v>0</v>
      </c>
      <c r="D395" s="378">
        <v>0</v>
      </c>
      <c r="E395" s="378">
        <v>0</v>
      </c>
      <c r="F395" s="378">
        <v>0</v>
      </c>
      <c r="G395" s="378">
        <v>0</v>
      </c>
      <c r="H395" s="378">
        <v>0</v>
      </c>
      <c r="I395" s="378">
        <v>0</v>
      </c>
      <c r="J395" s="378">
        <v>0</v>
      </c>
      <c r="K395" s="378">
        <v>0</v>
      </c>
      <c r="L395" s="378">
        <v>0</v>
      </c>
      <c r="M395" s="378">
        <v>0</v>
      </c>
      <c r="N395" s="378">
        <v>0</v>
      </c>
      <c r="O395" s="103">
        <v>0</v>
      </c>
      <c r="P395" s="378">
        <v>0</v>
      </c>
      <c r="Q395" s="378">
        <v>0</v>
      </c>
      <c r="R395" s="103">
        <v>0</v>
      </c>
      <c r="S395" s="378">
        <v>0</v>
      </c>
      <c r="T395" s="378">
        <v>0</v>
      </c>
      <c r="U395" s="378">
        <v>0</v>
      </c>
      <c r="V395" s="378">
        <v>0</v>
      </c>
      <c r="W395" s="378">
        <v>0</v>
      </c>
      <c r="X395" s="378">
        <v>0</v>
      </c>
      <c r="Y395" s="378">
        <v>0</v>
      </c>
    </row>
    <row r="396" spans="1:25" x14ac:dyDescent="0.35">
      <c r="A396" s="277" t="s">
        <v>113</v>
      </c>
      <c r="B396" s="378">
        <v>0</v>
      </c>
      <c r="C396" s="378">
        <v>0</v>
      </c>
      <c r="D396" s="378">
        <v>0</v>
      </c>
      <c r="E396" s="378">
        <v>0</v>
      </c>
      <c r="F396" s="378">
        <v>0</v>
      </c>
      <c r="G396" s="378">
        <v>0</v>
      </c>
      <c r="H396" s="378">
        <v>0</v>
      </c>
      <c r="I396" s="378">
        <v>0</v>
      </c>
      <c r="J396" s="378">
        <v>0</v>
      </c>
      <c r="K396" s="378">
        <v>0</v>
      </c>
      <c r="L396" s="378">
        <v>0</v>
      </c>
      <c r="M396" s="378">
        <v>0</v>
      </c>
      <c r="N396" s="378">
        <v>0</v>
      </c>
      <c r="O396" s="103">
        <v>0</v>
      </c>
      <c r="P396" s="378">
        <v>0</v>
      </c>
      <c r="Q396" s="378">
        <v>0</v>
      </c>
      <c r="R396" s="103">
        <v>0</v>
      </c>
      <c r="S396" s="378">
        <v>0</v>
      </c>
      <c r="T396" s="378">
        <v>0</v>
      </c>
      <c r="U396" s="378">
        <v>0</v>
      </c>
      <c r="V396" s="378">
        <v>0</v>
      </c>
      <c r="W396" s="378">
        <v>0</v>
      </c>
      <c r="X396" s="378">
        <v>0</v>
      </c>
      <c r="Y396" s="378">
        <v>0</v>
      </c>
    </row>
    <row r="397" spans="1:25" x14ac:dyDescent="0.35">
      <c r="A397" s="277" t="s">
        <v>114</v>
      </c>
      <c r="B397" s="378">
        <v>0</v>
      </c>
      <c r="C397" s="378">
        <v>0</v>
      </c>
      <c r="D397" s="378">
        <v>0</v>
      </c>
      <c r="E397" s="378">
        <v>0</v>
      </c>
      <c r="F397" s="378">
        <v>0</v>
      </c>
      <c r="G397" s="378">
        <v>0</v>
      </c>
      <c r="H397" s="378">
        <v>0</v>
      </c>
      <c r="I397" s="378">
        <v>0</v>
      </c>
      <c r="J397" s="378">
        <v>0</v>
      </c>
      <c r="K397" s="378">
        <v>0</v>
      </c>
      <c r="L397" s="378">
        <v>0</v>
      </c>
      <c r="M397" s="378">
        <v>0</v>
      </c>
      <c r="N397" s="378">
        <v>0</v>
      </c>
      <c r="O397" s="103">
        <v>0</v>
      </c>
      <c r="P397" s="378">
        <v>0</v>
      </c>
      <c r="Q397" s="378">
        <v>0</v>
      </c>
      <c r="R397" s="103">
        <v>0</v>
      </c>
      <c r="S397" s="378">
        <v>0</v>
      </c>
      <c r="T397" s="378">
        <v>0</v>
      </c>
      <c r="U397" s="378">
        <v>0</v>
      </c>
      <c r="V397" s="378">
        <v>0</v>
      </c>
      <c r="W397" s="378">
        <v>0</v>
      </c>
      <c r="X397" s="378">
        <v>0</v>
      </c>
      <c r="Y397" s="378">
        <v>0</v>
      </c>
    </row>
    <row r="398" spans="1:25" x14ac:dyDescent="0.35">
      <c r="A398" s="277" t="s">
        <v>115</v>
      </c>
      <c r="B398" s="378">
        <v>0</v>
      </c>
      <c r="C398" s="378">
        <v>0</v>
      </c>
      <c r="D398" s="378">
        <v>0</v>
      </c>
      <c r="E398" s="378">
        <v>0</v>
      </c>
      <c r="F398" s="378">
        <v>0</v>
      </c>
      <c r="G398" s="378">
        <v>0</v>
      </c>
      <c r="H398" s="378">
        <v>0</v>
      </c>
      <c r="I398" s="378">
        <v>0</v>
      </c>
      <c r="J398" s="378">
        <v>0</v>
      </c>
      <c r="K398" s="378">
        <v>0</v>
      </c>
      <c r="L398" s="378">
        <v>0</v>
      </c>
      <c r="M398" s="378">
        <v>0</v>
      </c>
      <c r="N398" s="378">
        <v>0</v>
      </c>
      <c r="O398" s="103">
        <v>0</v>
      </c>
      <c r="P398" s="378">
        <v>0</v>
      </c>
      <c r="Q398" s="378">
        <v>0</v>
      </c>
      <c r="R398" s="103">
        <v>0</v>
      </c>
      <c r="S398" s="378">
        <v>0</v>
      </c>
      <c r="T398" s="378">
        <v>0</v>
      </c>
      <c r="U398" s="378">
        <v>0</v>
      </c>
      <c r="V398" s="378">
        <v>0</v>
      </c>
      <c r="W398" s="378">
        <v>0</v>
      </c>
      <c r="X398" s="378">
        <v>0</v>
      </c>
      <c r="Y398" s="378">
        <v>0</v>
      </c>
    </row>
    <row r="399" spans="1:25" x14ac:dyDescent="0.35">
      <c r="A399" s="277" t="s">
        <v>116</v>
      </c>
      <c r="B399" s="378">
        <v>0</v>
      </c>
      <c r="C399" s="378">
        <v>0</v>
      </c>
      <c r="D399" s="378">
        <v>0</v>
      </c>
      <c r="E399" s="378">
        <v>0</v>
      </c>
      <c r="F399" s="378">
        <v>0</v>
      </c>
      <c r="G399" s="378">
        <v>0</v>
      </c>
      <c r="H399" s="378">
        <v>0</v>
      </c>
      <c r="I399" s="378">
        <v>0</v>
      </c>
      <c r="J399" s="378">
        <v>0</v>
      </c>
      <c r="K399" s="378">
        <v>0</v>
      </c>
      <c r="L399" s="378">
        <v>0</v>
      </c>
      <c r="M399" s="378">
        <v>0</v>
      </c>
      <c r="N399" s="378">
        <v>0</v>
      </c>
      <c r="O399" s="103">
        <v>0</v>
      </c>
      <c r="P399" s="378">
        <v>0</v>
      </c>
      <c r="Q399" s="378">
        <v>0</v>
      </c>
      <c r="R399" s="103">
        <v>0</v>
      </c>
      <c r="S399" s="378">
        <v>0</v>
      </c>
      <c r="T399" s="378">
        <v>0</v>
      </c>
      <c r="U399" s="378">
        <v>0</v>
      </c>
      <c r="V399" s="378">
        <v>0</v>
      </c>
      <c r="W399" s="378">
        <v>0</v>
      </c>
      <c r="X399" s="378">
        <v>0</v>
      </c>
      <c r="Y399" s="378">
        <v>0</v>
      </c>
    </row>
    <row r="400" spans="1:25" x14ac:dyDescent="0.35">
      <c r="A400" s="277" t="s">
        <v>117</v>
      </c>
      <c r="B400" s="378">
        <v>0</v>
      </c>
      <c r="C400" s="378">
        <v>0</v>
      </c>
      <c r="D400" s="378">
        <v>0</v>
      </c>
      <c r="E400" s="378">
        <v>0</v>
      </c>
      <c r="F400" s="378">
        <v>0</v>
      </c>
      <c r="G400" s="378">
        <v>0</v>
      </c>
      <c r="H400" s="378">
        <v>0</v>
      </c>
      <c r="I400" s="378">
        <v>0</v>
      </c>
      <c r="J400" s="378">
        <v>0</v>
      </c>
      <c r="K400" s="378">
        <v>0</v>
      </c>
      <c r="L400" s="378">
        <v>0</v>
      </c>
      <c r="M400" s="378">
        <v>0</v>
      </c>
      <c r="N400" s="378">
        <v>0</v>
      </c>
      <c r="O400" s="103">
        <v>0</v>
      </c>
      <c r="P400" s="378">
        <v>0</v>
      </c>
      <c r="Q400" s="378">
        <v>0</v>
      </c>
      <c r="R400" s="103">
        <v>0</v>
      </c>
      <c r="S400" s="378">
        <v>0</v>
      </c>
      <c r="T400" s="378">
        <v>0</v>
      </c>
      <c r="U400" s="378">
        <v>0</v>
      </c>
      <c r="V400" s="378">
        <v>0</v>
      </c>
      <c r="W400" s="378">
        <v>0</v>
      </c>
      <c r="X400" s="378">
        <v>0</v>
      </c>
      <c r="Y400" s="378">
        <v>0</v>
      </c>
    </row>
    <row r="401" spans="1:25" x14ac:dyDescent="0.35">
      <c r="A401" s="277" t="s">
        <v>118</v>
      </c>
      <c r="B401" s="378">
        <v>0</v>
      </c>
      <c r="C401" s="378">
        <v>0</v>
      </c>
      <c r="D401" s="378">
        <v>0</v>
      </c>
      <c r="E401" s="378">
        <v>0</v>
      </c>
      <c r="F401" s="378">
        <v>0</v>
      </c>
      <c r="G401" s="378">
        <v>0</v>
      </c>
      <c r="H401" s="378">
        <v>0</v>
      </c>
      <c r="I401" s="378">
        <v>0</v>
      </c>
      <c r="J401" s="378">
        <v>0</v>
      </c>
      <c r="K401" s="378">
        <v>0</v>
      </c>
      <c r="L401" s="378">
        <v>0</v>
      </c>
      <c r="M401" s="378">
        <v>0</v>
      </c>
      <c r="N401" s="378">
        <v>0</v>
      </c>
      <c r="O401" s="103">
        <v>0</v>
      </c>
      <c r="P401" s="378">
        <v>0</v>
      </c>
      <c r="Q401" s="378">
        <v>0</v>
      </c>
      <c r="R401" s="103">
        <v>0</v>
      </c>
      <c r="S401" s="378">
        <v>0</v>
      </c>
      <c r="T401" s="378">
        <v>0</v>
      </c>
      <c r="U401" s="378">
        <v>0</v>
      </c>
      <c r="V401" s="378">
        <v>0</v>
      </c>
      <c r="W401" s="378">
        <v>0</v>
      </c>
      <c r="X401" s="378">
        <v>0</v>
      </c>
      <c r="Y401" s="378">
        <v>0</v>
      </c>
    </row>
    <row r="402" spans="1:25" x14ac:dyDescent="0.35">
      <c r="A402" s="277" t="s">
        <v>119</v>
      </c>
      <c r="B402" s="378">
        <v>0</v>
      </c>
      <c r="C402" s="378">
        <v>0</v>
      </c>
      <c r="D402" s="378">
        <v>0</v>
      </c>
      <c r="E402" s="378">
        <v>0</v>
      </c>
      <c r="F402" s="378">
        <v>0</v>
      </c>
      <c r="G402" s="378">
        <v>0</v>
      </c>
      <c r="H402" s="378">
        <v>0</v>
      </c>
      <c r="I402" s="378">
        <v>0</v>
      </c>
      <c r="J402" s="378">
        <v>0</v>
      </c>
      <c r="K402" s="378">
        <v>0</v>
      </c>
      <c r="L402" s="378">
        <v>0</v>
      </c>
      <c r="M402" s="378">
        <v>0</v>
      </c>
      <c r="N402" s="378">
        <v>0</v>
      </c>
      <c r="O402" s="103">
        <v>0</v>
      </c>
      <c r="P402" s="378">
        <v>0</v>
      </c>
      <c r="Q402" s="378">
        <v>0</v>
      </c>
      <c r="R402" s="103">
        <v>0</v>
      </c>
      <c r="S402" s="378">
        <v>0</v>
      </c>
      <c r="T402" s="378">
        <v>0</v>
      </c>
      <c r="U402" s="378">
        <v>0</v>
      </c>
      <c r="V402" s="378">
        <v>0</v>
      </c>
      <c r="W402" s="378">
        <v>0</v>
      </c>
      <c r="X402" s="378">
        <v>0</v>
      </c>
      <c r="Y402" s="378">
        <v>0</v>
      </c>
    </row>
    <row r="403" spans="1:25" x14ac:dyDescent="0.35">
      <c r="A403" s="277" t="s">
        <v>120</v>
      </c>
      <c r="B403" s="378">
        <v>0</v>
      </c>
      <c r="C403" s="378">
        <v>0</v>
      </c>
      <c r="D403" s="378">
        <v>0</v>
      </c>
      <c r="E403" s="378">
        <v>0</v>
      </c>
      <c r="F403" s="378">
        <v>0</v>
      </c>
      <c r="G403" s="378">
        <v>0</v>
      </c>
      <c r="H403" s="378">
        <v>0</v>
      </c>
      <c r="I403" s="378">
        <v>0</v>
      </c>
      <c r="J403" s="378">
        <v>0</v>
      </c>
      <c r="K403" s="378">
        <v>0</v>
      </c>
      <c r="L403" s="378">
        <v>0</v>
      </c>
      <c r="M403" s="378">
        <v>0</v>
      </c>
      <c r="N403" s="378">
        <v>0</v>
      </c>
      <c r="O403" s="103">
        <v>0</v>
      </c>
      <c r="P403" s="378">
        <v>0</v>
      </c>
      <c r="Q403" s="378">
        <v>0</v>
      </c>
      <c r="R403" s="103">
        <v>0</v>
      </c>
      <c r="S403" s="378">
        <v>0</v>
      </c>
      <c r="T403" s="378">
        <v>0</v>
      </c>
      <c r="U403" s="378">
        <v>0</v>
      </c>
      <c r="V403" s="378">
        <v>0</v>
      </c>
      <c r="W403" s="378">
        <v>0</v>
      </c>
      <c r="X403" s="378">
        <v>0</v>
      </c>
      <c r="Y403" s="378">
        <v>0</v>
      </c>
    </row>
    <row r="404" spans="1:25" x14ac:dyDescent="0.35">
      <c r="A404" s="278" t="s">
        <v>83</v>
      </c>
      <c r="B404" s="378">
        <v>0</v>
      </c>
      <c r="C404" s="378">
        <v>0</v>
      </c>
      <c r="D404" s="378">
        <v>0</v>
      </c>
      <c r="E404" s="378">
        <v>0</v>
      </c>
      <c r="F404" s="378">
        <v>0</v>
      </c>
      <c r="G404" s="378">
        <v>0</v>
      </c>
      <c r="H404" s="378">
        <v>0</v>
      </c>
      <c r="I404" s="378">
        <v>0</v>
      </c>
      <c r="J404" s="378">
        <v>0</v>
      </c>
      <c r="K404" s="378">
        <v>0</v>
      </c>
      <c r="L404" s="378">
        <v>0</v>
      </c>
      <c r="M404" s="378">
        <v>0</v>
      </c>
      <c r="N404" s="378">
        <v>0</v>
      </c>
      <c r="O404" s="103">
        <v>0</v>
      </c>
      <c r="P404" s="378">
        <v>0</v>
      </c>
      <c r="Q404" s="378">
        <v>0</v>
      </c>
      <c r="R404" s="103">
        <v>0</v>
      </c>
      <c r="S404" s="378">
        <v>0</v>
      </c>
      <c r="T404" s="378">
        <v>0</v>
      </c>
      <c r="U404" s="378">
        <v>0</v>
      </c>
      <c r="V404" s="378">
        <v>0</v>
      </c>
      <c r="W404" s="378">
        <v>0</v>
      </c>
      <c r="X404" s="378">
        <v>0</v>
      </c>
      <c r="Y404" s="378">
        <v>0</v>
      </c>
    </row>
    <row r="405" spans="1:25" x14ac:dyDescent="0.35">
      <c r="A405" s="278" t="s">
        <v>144</v>
      </c>
      <c r="B405" s="378">
        <v>0</v>
      </c>
      <c r="C405" s="378">
        <v>0</v>
      </c>
      <c r="D405" s="378">
        <v>0</v>
      </c>
      <c r="E405" s="378">
        <v>0</v>
      </c>
      <c r="F405" s="378">
        <v>0</v>
      </c>
      <c r="G405" s="378">
        <v>0</v>
      </c>
      <c r="H405" s="378">
        <v>0</v>
      </c>
      <c r="I405" s="378">
        <v>0</v>
      </c>
      <c r="J405" s="378">
        <v>0</v>
      </c>
      <c r="K405" s="378">
        <v>0</v>
      </c>
      <c r="L405" s="378">
        <v>0</v>
      </c>
      <c r="M405" s="378">
        <v>0</v>
      </c>
      <c r="N405" s="378">
        <v>0</v>
      </c>
      <c r="O405" s="103">
        <v>0</v>
      </c>
      <c r="P405" s="378">
        <v>0</v>
      </c>
      <c r="Q405" s="378">
        <v>0</v>
      </c>
      <c r="R405" s="103">
        <v>0</v>
      </c>
      <c r="S405" s="378">
        <v>0</v>
      </c>
      <c r="T405" s="378">
        <v>0</v>
      </c>
      <c r="U405" s="378">
        <v>0</v>
      </c>
      <c r="V405" s="378">
        <v>0</v>
      </c>
      <c r="W405" s="378">
        <v>0</v>
      </c>
      <c r="X405" s="378">
        <v>0</v>
      </c>
      <c r="Y405" s="378">
        <v>0</v>
      </c>
    </row>
    <row r="406" spans="1:25" x14ac:dyDescent="0.35">
      <c r="A406" s="278" t="s">
        <v>164</v>
      </c>
      <c r="B406" s="378">
        <v>0</v>
      </c>
      <c r="C406" s="378">
        <v>0</v>
      </c>
      <c r="D406" s="378">
        <v>0</v>
      </c>
      <c r="E406" s="378">
        <v>0</v>
      </c>
      <c r="F406" s="378">
        <v>0</v>
      </c>
      <c r="G406" s="378">
        <v>0</v>
      </c>
      <c r="H406" s="378">
        <v>0</v>
      </c>
      <c r="I406" s="378">
        <v>0</v>
      </c>
      <c r="J406" s="378">
        <v>0</v>
      </c>
      <c r="K406" s="378">
        <v>0</v>
      </c>
      <c r="L406" s="378">
        <v>0</v>
      </c>
      <c r="M406" s="378">
        <v>0</v>
      </c>
      <c r="N406" s="378">
        <v>0</v>
      </c>
      <c r="O406" s="103">
        <v>0</v>
      </c>
      <c r="P406" s="378">
        <v>0</v>
      </c>
      <c r="Q406" s="378">
        <v>0</v>
      </c>
      <c r="R406" s="103">
        <v>0</v>
      </c>
      <c r="S406" s="378">
        <v>0</v>
      </c>
      <c r="T406" s="378">
        <v>0</v>
      </c>
      <c r="U406" s="378">
        <v>0</v>
      </c>
      <c r="V406" s="378">
        <v>0</v>
      </c>
      <c r="W406" s="378">
        <v>0</v>
      </c>
      <c r="X406" s="378">
        <v>0</v>
      </c>
      <c r="Y406" s="378">
        <v>0</v>
      </c>
    </row>
    <row r="407" spans="1:25" x14ac:dyDescent="0.35">
      <c r="A407" s="278" t="s">
        <v>145</v>
      </c>
      <c r="B407" s="378">
        <v>0</v>
      </c>
      <c r="C407" s="378">
        <v>0</v>
      </c>
      <c r="D407" s="378">
        <v>0</v>
      </c>
      <c r="E407" s="378">
        <v>0</v>
      </c>
      <c r="F407" s="378">
        <v>0</v>
      </c>
      <c r="G407" s="378">
        <v>0</v>
      </c>
      <c r="H407" s="378">
        <v>0</v>
      </c>
      <c r="I407" s="378">
        <v>0</v>
      </c>
      <c r="J407" s="378">
        <v>0</v>
      </c>
      <c r="K407" s="378">
        <v>0</v>
      </c>
      <c r="L407" s="378">
        <v>0</v>
      </c>
      <c r="M407" s="378">
        <v>0</v>
      </c>
      <c r="N407" s="378">
        <v>0</v>
      </c>
      <c r="O407" s="103">
        <v>0</v>
      </c>
      <c r="P407" s="378">
        <v>0</v>
      </c>
      <c r="Q407" s="378">
        <v>0</v>
      </c>
      <c r="R407" s="103">
        <v>0</v>
      </c>
      <c r="S407" s="378">
        <v>0</v>
      </c>
      <c r="T407" s="378">
        <v>0</v>
      </c>
      <c r="U407" s="378">
        <v>0</v>
      </c>
      <c r="V407" s="378">
        <v>0</v>
      </c>
      <c r="W407" s="378">
        <v>0</v>
      </c>
      <c r="X407" s="378">
        <v>0</v>
      </c>
      <c r="Y407" s="378">
        <v>0</v>
      </c>
    </row>
    <row r="408" spans="1:25" x14ac:dyDescent="0.35">
      <c r="A408" s="278" t="s">
        <v>87</v>
      </c>
      <c r="B408" s="378">
        <v>0</v>
      </c>
      <c r="C408" s="378">
        <v>0</v>
      </c>
      <c r="D408" s="378">
        <v>0</v>
      </c>
      <c r="E408" s="378">
        <v>0</v>
      </c>
      <c r="F408" s="378">
        <v>0</v>
      </c>
      <c r="G408" s="378">
        <v>0</v>
      </c>
      <c r="H408" s="378">
        <v>0</v>
      </c>
      <c r="I408" s="378">
        <v>0</v>
      </c>
      <c r="J408" s="378">
        <v>0</v>
      </c>
      <c r="K408" s="378">
        <v>0</v>
      </c>
      <c r="L408" s="378">
        <v>0</v>
      </c>
      <c r="M408" s="378">
        <v>0</v>
      </c>
      <c r="N408" s="378">
        <v>0</v>
      </c>
      <c r="O408" s="103">
        <v>0</v>
      </c>
      <c r="P408" s="378">
        <v>0</v>
      </c>
      <c r="Q408" s="378">
        <v>0</v>
      </c>
      <c r="R408" s="103">
        <v>0</v>
      </c>
      <c r="S408" s="378">
        <v>0</v>
      </c>
      <c r="T408" s="378">
        <v>0</v>
      </c>
      <c r="U408" s="378">
        <v>0</v>
      </c>
      <c r="V408" s="378">
        <v>0</v>
      </c>
      <c r="W408" s="378">
        <v>0</v>
      </c>
      <c r="X408" s="378">
        <v>0</v>
      </c>
      <c r="Y408" s="378">
        <v>0</v>
      </c>
    </row>
    <row r="409" spans="1:25" x14ac:dyDescent="0.35">
      <c r="A409" s="278" t="s">
        <v>146</v>
      </c>
      <c r="B409" s="378">
        <v>0</v>
      </c>
      <c r="C409" s="378">
        <v>0</v>
      </c>
      <c r="D409" s="378">
        <v>0</v>
      </c>
      <c r="E409" s="378">
        <v>0</v>
      </c>
      <c r="F409" s="378">
        <v>0</v>
      </c>
      <c r="G409" s="378">
        <v>0</v>
      </c>
      <c r="H409" s="378">
        <v>0</v>
      </c>
      <c r="I409" s="378">
        <v>0</v>
      </c>
      <c r="J409" s="378">
        <v>0</v>
      </c>
      <c r="K409" s="378">
        <v>0</v>
      </c>
      <c r="L409" s="378">
        <v>0</v>
      </c>
      <c r="M409" s="378">
        <v>0</v>
      </c>
      <c r="N409" s="378">
        <v>0</v>
      </c>
      <c r="O409" s="103">
        <v>0</v>
      </c>
      <c r="P409" s="378">
        <v>0</v>
      </c>
      <c r="Q409" s="378">
        <v>0</v>
      </c>
      <c r="R409" s="103">
        <v>0</v>
      </c>
      <c r="S409" s="378">
        <v>0</v>
      </c>
      <c r="T409" s="378">
        <v>0</v>
      </c>
      <c r="U409" s="378">
        <v>0</v>
      </c>
      <c r="V409" s="378">
        <v>0</v>
      </c>
      <c r="W409" s="378">
        <v>0</v>
      </c>
      <c r="X409" s="378">
        <v>0</v>
      </c>
      <c r="Y409" s="378">
        <v>0</v>
      </c>
    </row>
    <row r="410" spans="1:25" x14ac:dyDescent="0.35">
      <c r="A410" s="278" t="s">
        <v>89</v>
      </c>
      <c r="B410" s="378">
        <v>0</v>
      </c>
      <c r="C410" s="378">
        <v>0</v>
      </c>
      <c r="D410" s="378">
        <v>0</v>
      </c>
      <c r="E410" s="378">
        <v>0</v>
      </c>
      <c r="F410" s="378">
        <v>0</v>
      </c>
      <c r="G410" s="378">
        <v>0</v>
      </c>
      <c r="H410" s="378">
        <v>0</v>
      </c>
      <c r="I410" s="378">
        <v>0</v>
      </c>
      <c r="J410" s="378">
        <v>0</v>
      </c>
      <c r="K410" s="378">
        <v>0</v>
      </c>
      <c r="L410" s="378">
        <v>0</v>
      </c>
      <c r="M410" s="378">
        <v>0</v>
      </c>
      <c r="N410" s="378">
        <v>0</v>
      </c>
      <c r="O410" s="103">
        <v>0</v>
      </c>
      <c r="P410" s="378">
        <v>0</v>
      </c>
      <c r="Q410" s="378">
        <v>0</v>
      </c>
      <c r="R410" s="103">
        <v>0</v>
      </c>
      <c r="S410" s="378">
        <v>0</v>
      </c>
      <c r="T410" s="378">
        <v>0</v>
      </c>
      <c r="U410" s="378">
        <v>0</v>
      </c>
      <c r="V410" s="378">
        <v>0</v>
      </c>
      <c r="W410" s="378">
        <v>0</v>
      </c>
      <c r="X410" s="378">
        <v>0</v>
      </c>
      <c r="Y410" s="378">
        <v>0</v>
      </c>
    </row>
    <row r="411" spans="1:25" x14ac:dyDescent="0.35">
      <c r="A411" s="278" t="s">
        <v>90</v>
      </c>
      <c r="B411" s="378">
        <v>0</v>
      </c>
      <c r="C411" s="378">
        <v>0</v>
      </c>
      <c r="D411" s="378">
        <v>0</v>
      </c>
      <c r="E411" s="378">
        <v>0</v>
      </c>
      <c r="F411" s="378">
        <v>0</v>
      </c>
      <c r="G411" s="378">
        <v>0</v>
      </c>
      <c r="H411" s="378">
        <v>0</v>
      </c>
      <c r="I411" s="378">
        <v>0</v>
      </c>
      <c r="J411" s="378">
        <v>0</v>
      </c>
      <c r="K411" s="378">
        <v>0</v>
      </c>
      <c r="L411" s="378">
        <v>0</v>
      </c>
      <c r="M411" s="378">
        <v>0</v>
      </c>
      <c r="N411" s="378">
        <v>0</v>
      </c>
      <c r="O411" s="103">
        <v>0</v>
      </c>
      <c r="P411" s="378">
        <v>0</v>
      </c>
      <c r="Q411" s="378">
        <v>0</v>
      </c>
      <c r="R411" s="103">
        <v>0</v>
      </c>
      <c r="S411" s="378">
        <v>0</v>
      </c>
      <c r="T411" s="378">
        <v>0</v>
      </c>
      <c r="U411" s="378">
        <v>0</v>
      </c>
      <c r="V411" s="378">
        <v>0</v>
      </c>
      <c r="W411" s="378">
        <v>0</v>
      </c>
      <c r="X411" s="378">
        <v>0</v>
      </c>
      <c r="Y411" s="378">
        <v>0</v>
      </c>
    </row>
    <row r="413" spans="1:25" x14ac:dyDescent="0.35">
      <c r="A413" s="376" t="s">
        <v>1818</v>
      </c>
      <c r="B413" t="s">
        <v>1783</v>
      </c>
      <c r="C413" t="s">
        <v>1746</v>
      </c>
      <c r="D413" t="s">
        <v>1784</v>
      </c>
      <c r="E413" t="s">
        <v>1785</v>
      </c>
      <c r="F413" t="s">
        <v>1786</v>
      </c>
      <c r="G413" t="s">
        <v>1787</v>
      </c>
      <c r="H413" t="s">
        <v>1788</v>
      </c>
      <c r="I413" t="s">
        <v>1753</v>
      </c>
      <c r="J413" t="s">
        <v>1759</v>
      </c>
      <c r="K413" t="s">
        <v>1789</v>
      </c>
      <c r="L413" t="s">
        <v>1790</v>
      </c>
      <c r="M413" t="s">
        <v>1791</v>
      </c>
      <c r="N413" t="s">
        <v>1765</v>
      </c>
      <c r="O413" t="s">
        <v>1792</v>
      </c>
      <c r="P413" t="s">
        <v>1793</v>
      </c>
      <c r="Q413" t="s">
        <v>1794</v>
      </c>
      <c r="R413" t="s">
        <v>1341</v>
      </c>
      <c r="S413" t="s">
        <v>1795</v>
      </c>
      <c r="T413" t="s">
        <v>1796</v>
      </c>
      <c r="U413" t="s">
        <v>1797</v>
      </c>
      <c r="V413" t="s">
        <v>1798</v>
      </c>
      <c r="W413" t="s">
        <v>1799</v>
      </c>
      <c r="X413" t="s">
        <v>1771</v>
      </c>
      <c r="Y413" t="s">
        <v>1777</v>
      </c>
    </row>
    <row r="414" spans="1:25" x14ac:dyDescent="0.35">
      <c r="A414" s="39" t="s">
        <v>1800</v>
      </c>
      <c r="B414" s="376" t="s">
        <v>1801</v>
      </c>
      <c r="C414" s="376" t="s">
        <v>1745</v>
      </c>
      <c r="D414" s="376" t="s">
        <v>1802</v>
      </c>
      <c r="E414" s="376" t="s">
        <v>1803</v>
      </c>
      <c r="F414" s="376" t="s">
        <v>1804</v>
      </c>
      <c r="G414" s="376" t="s">
        <v>1805</v>
      </c>
      <c r="H414" s="376" t="s">
        <v>1806</v>
      </c>
      <c r="I414" s="376" t="s">
        <v>1752</v>
      </c>
      <c r="J414" s="376" t="s">
        <v>1758</v>
      </c>
      <c r="K414" s="376" t="s">
        <v>1807</v>
      </c>
      <c r="L414" s="376" t="s">
        <v>1808</v>
      </c>
      <c r="M414" s="376" t="s">
        <v>1809</v>
      </c>
      <c r="N414" s="376" t="s">
        <v>1764</v>
      </c>
      <c r="O414" s="376" t="s">
        <v>1810</v>
      </c>
      <c r="P414" s="376" t="s">
        <v>1811</v>
      </c>
      <c r="Q414" s="376" t="s">
        <v>1794</v>
      </c>
      <c r="R414" s="376" t="s">
        <v>1812</v>
      </c>
      <c r="S414" s="376" t="s">
        <v>1813</v>
      </c>
      <c r="T414" s="376" t="s">
        <v>1814</v>
      </c>
      <c r="U414" s="376" t="s">
        <v>1815</v>
      </c>
      <c r="V414" s="376" t="s">
        <v>1816</v>
      </c>
      <c r="W414" s="376" t="s">
        <v>1817</v>
      </c>
      <c r="X414" s="376" t="s">
        <v>1770</v>
      </c>
      <c r="Y414" s="376" t="s">
        <v>1776</v>
      </c>
    </row>
    <row r="415" spans="1:25" x14ac:dyDescent="0.35">
      <c r="A415" s="275" t="s">
        <v>228</v>
      </c>
      <c r="B415" s="378">
        <v>2025</v>
      </c>
      <c r="C415" s="378">
        <v>2025</v>
      </c>
      <c r="D415" s="378">
        <v>2025</v>
      </c>
      <c r="E415" s="378">
        <v>2025</v>
      </c>
      <c r="F415" s="378">
        <v>2025</v>
      </c>
      <c r="G415" s="378">
        <v>2025</v>
      </c>
      <c r="H415" s="378">
        <v>2025</v>
      </c>
      <c r="I415" s="378">
        <v>2025</v>
      </c>
      <c r="J415" s="378">
        <v>2025</v>
      </c>
      <c r="K415" s="378">
        <v>2025</v>
      </c>
      <c r="L415" s="378">
        <v>2025</v>
      </c>
      <c r="M415" s="378">
        <v>2025</v>
      </c>
      <c r="N415" s="378">
        <v>2025</v>
      </c>
      <c r="O415" s="103">
        <v>2025</v>
      </c>
      <c r="P415" s="378">
        <v>2025</v>
      </c>
      <c r="Q415" s="378">
        <v>2025</v>
      </c>
      <c r="R415" s="103">
        <v>2025</v>
      </c>
      <c r="S415" s="378">
        <v>2025</v>
      </c>
      <c r="T415" s="378">
        <v>2025</v>
      </c>
      <c r="U415" s="378">
        <v>2025</v>
      </c>
      <c r="V415" s="378">
        <v>2025</v>
      </c>
      <c r="W415" s="378">
        <v>2025</v>
      </c>
      <c r="X415" s="378">
        <v>2025</v>
      </c>
      <c r="Y415" s="378">
        <v>2025</v>
      </c>
    </row>
    <row r="416" spans="1:25" x14ac:dyDescent="0.35">
      <c r="A416" s="277" t="s">
        <v>95</v>
      </c>
      <c r="B416" s="378">
        <v>2025</v>
      </c>
      <c r="C416" s="378">
        <v>2025</v>
      </c>
      <c r="D416" s="378">
        <v>2025</v>
      </c>
      <c r="E416" s="378">
        <v>2025</v>
      </c>
      <c r="F416" s="378">
        <v>2025</v>
      </c>
      <c r="G416" s="378">
        <v>2025</v>
      </c>
      <c r="H416" s="378">
        <v>2025</v>
      </c>
      <c r="I416" s="378">
        <v>2025</v>
      </c>
      <c r="J416" s="378">
        <v>2025</v>
      </c>
      <c r="K416" s="378">
        <v>2025</v>
      </c>
      <c r="L416" s="378">
        <v>2025</v>
      </c>
      <c r="M416" s="378">
        <v>2025</v>
      </c>
      <c r="N416" s="378">
        <v>2025</v>
      </c>
      <c r="O416" s="103">
        <v>2025</v>
      </c>
      <c r="P416" s="378">
        <v>2025</v>
      </c>
      <c r="Q416" s="378">
        <v>2025</v>
      </c>
      <c r="R416" s="103">
        <v>2025</v>
      </c>
      <c r="S416" s="378">
        <v>2025</v>
      </c>
      <c r="T416" s="378">
        <v>2025</v>
      </c>
      <c r="U416" s="378">
        <v>2025</v>
      </c>
      <c r="V416" s="378">
        <v>2025</v>
      </c>
      <c r="W416" s="378">
        <v>2025</v>
      </c>
      <c r="X416" s="378">
        <v>2025</v>
      </c>
      <c r="Y416" s="378">
        <v>2025</v>
      </c>
    </row>
    <row r="417" spans="1:25" x14ac:dyDescent="0.35">
      <c r="A417" s="277" t="s">
        <v>96</v>
      </c>
      <c r="B417" s="378">
        <v>2025</v>
      </c>
      <c r="C417" s="378">
        <v>2025</v>
      </c>
      <c r="D417" s="378">
        <v>2025</v>
      </c>
      <c r="E417" s="378">
        <v>2025</v>
      </c>
      <c r="F417" s="378">
        <v>2025</v>
      </c>
      <c r="G417" s="378">
        <v>2025</v>
      </c>
      <c r="H417" s="378">
        <v>2025</v>
      </c>
      <c r="I417" s="378">
        <v>2025</v>
      </c>
      <c r="J417" s="378">
        <v>2025</v>
      </c>
      <c r="K417" s="378">
        <v>2025</v>
      </c>
      <c r="L417" s="378">
        <v>2025</v>
      </c>
      <c r="M417" s="378">
        <v>2025</v>
      </c>
      <c r="N417" s="378">
        <v>2025</v>
      </c>
      <c r="O417" s="103">
        <v>2025</v>
      </c>
      <c r="P417" s="378">
        <v>2025</v>
      </c>
      <c r="Q417" s="378">
        <v>2025</v>
      </c>
      <c r="R417" s="103">
        <v>2025</v>
      </c>
      <c r="S417" s="378">
        <v>2025</v>
      </c>
      <c r="T417" s="378">
        <v>2025</v>
      </c>
      <c r="U417" s="378">
        <v>2025</v>
      </c>
      <c r="V417" s="378">
        <v>2025</v>
      </c>
      <c r="W417" s="378">
        <v>2025</v>
      </c>
      <c r="X417" s="378">
        <v>2025</v>
      </c>
      <c r="Y417" s="378">
        <v>2025</v>
      </c>
    </row>
    <row r="418" spans="1:25" x14ac:dyDescent="0.35">
      <c r="A418" s="277" t="s">
        <v>97</v>
      </c>
      <c r="B418" s="378">
        <v>2025</v>
      </c>
      <c r="C418" s="378">
        <v>2025</v>
      </c>
      <c r="D418" s="378">
        <v>2025</v>
      </c>
      <c r="E418" s="378">
        <v>2025</v>
      </c>
      <c r="F418" s="378">
        <v>2025</v>
      </c>
      <c r="G418" s="378">
        <v>2025</v>
      </c>
      <c r="H418" s="378">
        <v>2025</v>
      </c>
      <c r="I418" s="378">
        <v>2025</v>
      </c>
      <c r="J418" s="378">
        <v>2025</v>
      </c>
      <c r="K418" s="378">
        <v>2025</v>
      </c>
      <c r="L418" s="378">
        <v>2025</v>
      </c>
      <c r="M418" s="378">
        <v>2025</v>
      </c>
      <c r="N418" s="378">
        <v>2025</v>
      </c>
      <c r="O418" s="103">
        <v>2025</v>
      </c>
      <c r="P418" s="378">
        <v>2025</v>
      </c>
      <c r="Q418" s="378">
        <v>2025</v>
      </c>
      <c r="R418" s="103">
        <v>2025</v>
      </c>
      <c r="S418" s="378">
        <v>2025</v>
      </c>
      <c r="T418" s="378">
        <v>2025</v>
      </c>
      <c r="U418" s="378">
        <v>2025</v>
      </c>
      <c r="V418" s="378">
        <v>2025</v>
      </c>
      <c r="W418" s="378">
        <v>2025</v>
      </c>
      <c r="X418" s="378">
        <v>2025</v>
      </c>
      <c r="Y418" s="378">
        <v>2025</v>
      </c>
    </row>
    <row r="419" spans="1:25" x14ac:dyDescent="0.35">
      <c r="A419" s="277" t="s">
        <v>98</v>
      </c>
      <c r="B419" s="378">
        <v>2025</v>
      </c>
      <c r="C419" s="378">
        <v>2025</v>
      </c>
      <c r="D419" s="378">
        <v>2025</v>
      </c>
      <c r="E419" s="378">
        <v>2025</v>
      </c>
      <c r="F419" s="378">
        <v>2025</v>
      </c>
      <c r="G419" s="378">
        <v>2025</v>
      </c>
      <c r="H419" s="378">
        <v>2025</v>
      </c>
      <c r="I419" s="378">
        <v>2025</v>
      </c>
      <c r="J419" s="378">
        <v>2025</v>
      </c>
      <c r="K419" s="378">
        <v>2025</v>
      </c>
      <c r="L419" s="378">
        <v>2025</v>
      </c>
      <c r="M419" s="378">
        <v>2025</v>
      </c>
      <c r="N419" s="378">
        <v>2025</v>
      </c>
      <c r="O419" s="103">
        <v>2025</v>
      </c>
      <c r="P419" s="378">
        <v>2025</v>
      </c>
      <c r="Q419" s="378">
        <v>2025</v>
      </c>
      <c r="R419" s="103">
        <v>2025</v>
      </c>
      <c r="S419" s="378">
        <v>2025</v>
      </c>
      <c r="T419" s="378">
        <v>2025</v>
      </c>
      <c r="U419" s="378">
        <v>2025</v>
      </c>
      <c r="V419" s="378">
        <v>2025</v>
      </c>
      <c r="W419" s="378">
        <v>2025</v>
      </c>
      <c r="X419" s="378">
        <v>2025</v>
      </c>
      <c r="Y419" s="378">
        <v>2025</v>
      </c>
    </row>
    <row r="420" spans="1:25" x14ac:dyDescent="0.35">
      <c r="A420" s="277" t="s">
        <v>163</v>
      </c>
      <c r="B420" s="378">
        <v>2025</v>
      </c>
      <c r="C420" s="378">
        <v>2025</v>
      </c>
      <c r="D420" s="378">
        <v>2025</v>
      </c>
      <c r="E420" s="378">
        <v>2025</v>
      </c>
      <c r="F420" s="378">
        <v>2025</v>
      </c>
      <c r="G420" s="378">
        <v>2025</v>
      </c>
      <c r="H420" s="378">
        <v>2025</v>
      </c>
      <c r="I420" s="378">
        <v>2025</v>
      </c>
      <c r="J420" s="378">
        <v>2025</v>
      </c>
      <c r="K420" s="378">
        <v>2025</v>
      </c>
      <c r="L420" s="378">
        <v>2025</v>
      </c>
      <c r="M420" s="378">
        <v>2025</v>
      </c>
      <c r="N420" s="378">
        <v>2025</v>
      </c>
      <c r="O420" s="103">
        <v>2025</v>
      </c>
      <c r="P420" s="378">
        <v>2025</v>
      </c>
      <c r="Q420" s="378">
        <v>2025</v>
      </c>
      <c r="R420" s="103">
        <v>2025</v>
      </c>
      <c r="S420" s="378">
        <v>2025</v>
      </c>
      <c r="T420" s="378">
        <v>2025</v>
      </c>
      <c r="U420" s="378">
        <v>2025</v>
      </c>
      <c r="V420" s="378">
        <v>2025</v>
      </c>
      <c r="W420" s="378">
        <v>2025</v>
      </c>
      <c r="X420" s="378">
        <v>2025</v>
      </c>
      <c r="Y420" s="378">
        <v>2025</v>
      </c>
    </row>
    <row r="421" spans="1:25" x14ac:dyDescent="0.35">
      <c r="A421" s="277" t="s">
        <v>100</v>
      </c>
      <c r="B421" s="378">
        <v>2025</v>
      </c>
      <c r="C421" s="378">
        <v>2025</v>
      </c>
      <c r="D421" s="378">
        <v>2025</v>
      </c>
      <c r="E421" s="378">
        <v>2025</v>
      </c>
      <c r="F421" s="378">
        <v>2025</v>
      </c>
      <c r="G421" s="378">
        <v>2025</v>
      </c>
      <c r="H421" s="378">
        <v>2025</v>
      </c>
      <c r="I421" s="378">
        <v>2025</v>
      </c>
      <c r="J421" s="378">
        <v>2025</v>
      </c>
      <c r="K421" s="378">
        <v>2025</v>
      </c>
      <c r="L421" s="378">
        <v>2025</v>
      </c>
      <c r="M421" s="378">
        <v>2025</v>
      </c>
      <c r="N421" s="378">
        <v>2025</v>
      </c>
      <c r="O421" s="103">
        <v>2025</v>
      </c>
      <c r="P421" s="378">
        <v>2025</v>
      </c>
      <c r="Q421" s="378">
        <v>2025</v>
      </c>
      <c r="R421" s="103">
        <v>2025</v>
      </c>
      <c r="S421" s="378">
        <v>2025</v>
      </c>
      <c r="T421" s="378">
        <v>2025</v>
      </c>
      <c r="U421" s="378">
        <v>2025</v>
      </c>
      <c r="V421" s="378">
        <v>2025</v>
      </c>
      <c r="W421" s="378">
        <v>2025</v>
      </c>
      <c r="X421" s="378">
        <v>2025</v>
      </c>
      <c r="Y421" s="378">
        <v>2025</v>
      </c>
    </row>
    <row r="422" spans="1:25" x14ac:dyDescent="0.35">
      <c r="A422" s="277" t="s">
        <v>101</v>
      </c>
      <c r="B422" s="378">
        <v>2025</v>
      </c>
      <c r="C422" s="378">
        <v>2025</v>
      </c>
      <c r="D422" s="378">
        <v>2025</v>
      </c>
      <c r="E422" s="378">
        <v>2025</v>
      </c>
      <c r="F422" s="378">
        <v>2025</v>
      </c>
      <c r="G422" s="378">
        <v>2025</v>
      </c>
      <c r="H422" s="378">
        <v>2025</v>
      </c>
      <c r="I422" s="378">
        <v>2025</v>
      </c>
      <c r="J422" s="378">
        <v>2025</v>
      </c>
      <c r="K422" s="378">
        <v>2025</v>
      </c>
      <c r="L422" s="378">
        <v>2025</v>
      </c>
      <c r="M422" s="378">
        <v>2025</v>
      </c>
      <c r="N422" s="378">
        <v>2025</v>
      </c>
      <c r="O422" s="103">
        <v>2025</v>
      </c>
      <c r="P422" s="378">
        <v>2025</v>
      </c>
      <c r="Q422" s="378">
        <v>2025</v>
      </c>
      <c r="R422" s="103">
        <v>2025</v>
      </c>
      <c r="S422" s="378">
        <v>2025</v>
      </c>
      <c r="T422" s="378">
        <v>2025</v>
      </c>
      <c r="U422" s="378">
        <v>2025</v>
      </c>
      <c r="V422" s="378">
        <v>2025</v>
      </c>
      <c r="W422" s="378">
        <v>2025</v>
      </c>
      <c r="X422" s="378">
        <v>2025</v>
      </c>
      <c r="Y422" s="378">
        <v>2025</v>
      </c>
    </row>
    <row r="423" spans="1:25" x14ac:dyDescent="0.35">
      <c r="A423" s="277" t="s">
        <v>102</v>
      </c>
      <c r="B423" s="378">
        <v>2025</v>
      </c>
      <c r="C423" s="378">
        <v>2025</v>
      </c>
      <c r="D423" s="378">
        <v>2025</v>
      </c>
      <c r="E423" s="378">
        <v>2025</v>
      </c>
      <c r="F423" s="378">
        <v>2025</v>
      </c>
      <c r="G423" s="378">
        <v>2025</v>
      </c>
      <c r="H423" s="378">
        <v>2025</v>
      </c>
      <c r="I423" s="378">
        <v>2025</v>
      </c>
      <c r="J423" s="378">
        <v>2025</v>
      </c>
      <c r="K423" s="378">
        <v>2025</v>
      </c>
      <c r="L423" s="378">
        <v>2025</v>
      </c>
      <c r="M423" s="378">
        <v>2025</v>
      </c>
      <c r="N423" s="378">
        <v>2025</v>
      </c>
      <c r="O423" s="103">
        <v>2025</v>
      </c>
      <c r="P423" s="378">
        <v>2025</v>
      </c>
      <c r="Q423" s="378">
        <v>2025</v>
      </c>
      <c r="R423" s="103">
        <v>2025</v>
      </c>
      <c r="S423" s="378">
        <v>2025</v>
      </c>
      <c r="T423" s="378">
        <v>2025</v>
      </c>
      <c r="U423" s="378">
        <v>2025</v>
      </c>
      <c r="V423" s="378">
        <v>2025</v>
      </c>
      <c r="W423" s="378">
        <v>2025</v>
      </c>
      <c r="X423" s="378">
        <v>2025</v>
      </c>
      <c r="Y423" s="378">
        <v>2025</v>
      </c>
    </row>
    <row r="424" spans="1:25" x14ac:dyDescent="0.35">
      <c r="A424" s="277" t="s">
        <v>103</v>
      </c>
      <c r="B424" s="378">
        <v>2025</v>
      </c>
      <c r="C424" s="378">
        <v>2025</v>
      </c>
      <c r="D424" s="378">
        <v>2025</v>
      </c>
      <c r="E424" s="378">
        <v>2025</v>
      </c>
      <c r="F424" s="378">
        <v>2025</v>
      </c>
      <c r="G424" s="378">
        <v>2025</v>
      </c>
      <c r="H424" s="378">
        <v>2025</v>
      </c>
      <c r="I424" s="378">
        <v>2025</v>
      </c>
      <c r="J424" s="378">
        <v>2025</v>
      </c>
      <c r="K424" s="378">
        <v>2025</v>
      </c>
      <c r="L424" s="378">
        <v>2025</v>
      </c>
      <c r="M424" s="378">
        <v>2025</v>
      </c>
      <c r="N424" s="378">
        <v>2025</v>
      </c>
      <c r="O424" s="103">
        <v>2025</v>
      </c>
      <c r="P424" s="378">
        <v>2025</v>
      </c>
      <c r="Q424" s="378">
        <v>2025</v>
      </c>
      <c r="R424" s="103">
        <v>2025</v>
      </c>
      <c r="S424" s="378">
        <v>2025</v>
      </c>
      <c r="T424" s="378">
        <v>2025</v>
      </c>
      <c r="U424" s="378">
        <v>2025</v>
      </c>
      <c r="V424" s="378">
        <v>2025</v>
      </c>
      <c r="W424" s="378">
        <v>2025</v>
      </c>
      <c r="X424" s="378">
        <v>2025</v>
      </c>
      <c r="Y424" s="378">
        <v>2025</v>
      </c>
    </row>
    <row r="425" spans="1:25" x14ac:dyDescent="0.35">
      <c r="A425" s="277" t="s">
        <v>104</v>
      </c>
      <c r="B425" s="378">
        <v>2025</v>
      </c>
      <c r="C425" s="378">
        <v>2025</v>
      </c>
      <c r="D425" s="378">
        <v>2025</v>
      </c>
      <c r="E425" s="378">
        <v>2025</v>
      </c>
      <c r="F425" s="378">
        <v>2025</v>
      </c>
      <c r="G425" s="378">
        <v>2025</v>
      </c>
      <c r="H425" s="378">
        <v>2025</v>
      </c>
      <c r="I425" s="378">
        <v>2025</v>
      </c>
      <c r="J425" s="378">
        <v>2025</v>
      </c>
      <c r="K425" s="378">
        <v>2025</v>
      </c>
      <c r="L425" s="378">
        <v>2025</v>
      </c>
      <c r="M425" s="378">
        <v>2025</v>
      </c>
      <c r="N425" s="378">
        <v>2025</v>
      </c>
      <c r="O425" s="103">
        <v>2025</v>
      </c>
      <c r="P425" s="378">
        <v>2025</v>
      </c>
      <c r="Q425" s="378">
        <v>2025</v>
      </c>
      <c r="R425" s="103">
        <v>2025</v>
      </c>
      <c r="S425" s="378">
        <v>2025</v>
      </c>
      <c r="T425" s="378">
        <v>2025</v>
      </c>
      <c r="U425" s="378">
        <v>2025</v>
      </c>
      <c r="V425" s="378">
        <v>2025</v>
      </c>
      <c r="W425" s="378">
        <v>2025</v>
      </c>
      <c r="X425" s="378">
        <v>2025</v>
      </c>
      <c r="Y425" s="378">
        <v>2025</v>
      </c>
    </row>
    <row r="426" spans="1:25" x14ac:dyDescent="0.35">
      <c r="A426" s="277" t="s">
        <v>105</v>
      </c>
      <c r="B426" s="378">
        <v>2025</v>
      </c>
      <c r="C426" s="378">
        <v>2025</v>
      </c>
      <c r="D426" s="378">
        <v>2025</v>
      </c>
      <c r="E426" s="378">
        <v>2025</v>
      </c>
      <c r="F426" s="378">
        <v>2025</v>
      </c>
      <c r="G426" s="378">
        <v>2025</v>
      </c>
      <c r="H426" s="378">
        <v>2025</v>
      </c>
      <c r="I426" s="378">
        <v>2025</v>
      </c>
      <c r="J426" s="378">
        <v>2025</v>
      </c>
      <c r="K426" s="378">
        <v>2025</v>
      </c>
      <c r="L426" s="378">
        <v>2025</v>
      </c>
      <c r="M426" s="378">
        <v>2025</v>
      </c>
      <c r="N426" s="378">
        <v>2025</v>
      </c>
      <c r="O426" s="103">
        <v>2025</v>
      </c>
      <c r="P426" s="378">
        <v>2025</v>
      </c>
      <c r="Q426" s="378">
        <v>2025</v>
      </c>
      <c r="R426" s="103">
        <v>2025</v>
      </c>
      <c r="S426" s="378">
        <v>2025</v>
      </c>
      <c r="T426" s="378">
        <v>2025</v>
      </c>
      <c r="U426" s="378">
        <v>2025</v>
      </c>
      <c r="V426" s="378">
        <v>2025</v>
      </c>
      <c r="W426" s="378">
        <v>2025</v>
      </c>
      <c r="X426" s="378">
        <v>2025</v>
      </c>
      <c r="Y426" s="378">
        <v>2025</v>
      </c>
    </row>
    <row r="427" spans="1:25" x14ac:dyDescent="0.35">
      <c r="A427" s="277" t="s">
        <v>106</v>
      </c>
      <c r="B427" s="378">
        <v>2025</v>
      </c>
      <c r="C427" s="378">
        <v>2025</v>
      </c>
      <c r="D427" s="378">
        <v>2025</v>
      </c>
      <c r="E427" s="378">
        <v>2025</v>
      </c>
      <c r="F427" s="378">
        <v>2025</v>
      </c>
      <c r="G427" s="378">
        <v>2025</v>
      </c>
      <c r="H427" s="378">
        <v>2025</v>
      </c>
      <c r="I427" s="378">
        <v>2025</v>
      </c>
      <c r="J427" s="378">
        <v>2025</v>
      </c>
      <c r="K427" s="378">
        <v>2025</v>
      </c>
      <c r="L427" s="378">
        <v>2025</v>
      </c>
      <c r="M427" s="378">
        <v>2025</v>
      </c>
      <c r="N427" s="378">
        <v>2025</v>
      </c>
      <c r="O427" s="103">
        <v>2025</v>
      </c>
      <c r="P427" s="378">
        <v>2025</v>
      </c>
      <c r="Q427" s="378">
        <v>2025</v>
      </c>
      <c r="R427" s="103">
        <v>2025</v>
      </c>
      <c r="S427" s="378">
        <v>2025</v>
      </c>
      <c r="T427" s="378">
        <v>2025</v>
      </c>
      <c r="U427" s="378">
        <v>2025</v>
      </c>
      <c r="V427" s="378">
        <v>2025</v>
      </c>
      <c r="W427" s="378">
        <v>2025</v>
      </c>
      <c r="X427" s="378">
        <v>2025</v>
      </c>
      <c r="Y427" s="378">
        <v>2025</v>
      </c>
    </row>
    <row r="428" spans="1:25" x14ac:dyDescent="0.35">
      <c r="A428" s="277" t="s">
        <v>107</v>
      </c>
      <c r="B428" s="378">
        <v>2025</v>
      </c>
      <c r="C428" s="378">
        <v>2025</v>
      </c>
      <c r="D428" s="378">
        <v>2025</v>
      </c>
      <c r="E428" s="378">
        <v>2025</v>
      </c>
      <c r="F428" s="378">
        <v>2025</v>
      </c>
      <c r="G428" s="378">
        <v>2025</v>
      </c>
      <c r="H428" s="378">
        <v>2025</v>
      </c>
      <c r="I428" s="378">
        <v>2025</v>
      </c>
      <c r="J428" s="378">
        <v>2025</v>
      </c>
      <c r="K428" s="378">
        <v>2025</v>
      </c>
      <c r="L428" s="378">
        <v>2025</v>
      </c>
      <c r="M428" s="378">
        <v>2025</v>
      </c>
      <c r="N428" s="378">
        <v>2025</v>
      </c>
      <c r="O428" s="103">
        <v>2025</v>
      </c>
      <c r="P428" s="378">
        <v>2025</v>
      </c>
      <c r="Q428" s="378">
        <v>2025</v>
      </c>
      <c r="R428" s="103">
        <v>2025</v>
      </c>
      <c r="S428" s="378">
        <v>2025</v>
      </c>
      <c r="T428" s="378">
        <v>2025</v>
      </c>
      <c r="U428" s="378">
        <v>2025</v>
      </c>
      <c r="V428" s="378">
        <v>2025</v>
      </c>
      <c r="W428" s="378">
        <v>2025</v>
      </c>
      <c r="X428" s="378">
        <v>2025</v>
      </c>
      <c r="Y428" s="378">
        <v>2025</v>
      </c>
    </row>
    <row r="429" spans="1:25" x14ac:dyDescent="0.35">
      <c r="A429" s="277" t="s">
        <v>108</v>
      </c>
      <c r="B429" s="378">
        <v>2025</v>
      </c>
      <c r="C429" s="378">
        <v>2025</v>
      </c>
      <c r="D429" s="378">
        <v>2025</v>
      </c>
      <c r="E429" s="378">
        <v>2025</v>
      </c>
      <c r="F429" s="378">
        <v>2025</v>
      </c>
      <c r="G429" s="378">
        <v>2025</v>
      </c>
      <c r="H429" s="378">
        <v>2025</v>
      </c>
      <c r="I429" s="378">
        <v>2025</v>
      </c>
      <c r="J429" s="378">
        <v>2025</v>
      </c>
      <c r="K429" s="378">
        <v>2025</v>
      </c>
      <c r="L429" s="378">
        <v>2025</v>
      </c>
      <c r="M429" s="378">
        <v>2025</v>
      </c>
      <c r="N429" s="378">
        <v>2025</v>
      </c>
      <c r="O429" s="103">
        <v>2025</v>
      </c>
      <c r="P429" s="378">
        <v>2025</v>
      </c>
      <c r="Q429" s="378">
        <v>2025</v>
      </c>
      <c r="R429" s="103">
        <v>2025</v>
      </c>
      <c r="S429" s="378">
        <v>2025</v>
      </c>
      <c r="T429" s="378">
        <v>2025</v>
      </c>
      <c r="U429" s="378">
        <v>2025</v>
      </c>
      <c r="V429" s="378">
        <v>2025</v>
      </c>
      <c r="W429" s="378">
        <v>2025</v>
      </c>
      <c r="X429" s="378">
        <v>2025</v>
      </c>
      <c r="Y429" s="378">
        <v>2025</v>
      </c>
    </row>
    <row r="430" spans="1:25" x14ac:dyDescent="0.35">
      <c r="A430" s="277" t="s">
        <v>109</v>
      </c>
      <c r="B430" s="378">
        <v>2025</v>
      </c>
      <c r="C430" s="378">
        <v>2025</v>
      </c>
      <c r="D430" s="378">
        <v>2025</v>
      </c>
      <c r="E430" s="378">
        <v>2025</v>
      </c>
      <c r="F430" s="378">
        <v>2025</v>
      </c>
      <c r="G430" s="378">
        <v>2025</v>
      </c>
      <c r="H430" s="378">
        <v>2025</v>
      </c>
      <c r="I430" s="378">
        <v>2025</v>
      </c>
      <c r="J430" s="378">
        <v>2025</v>
      </c>
      <c r="K430" s="378">
        <v>2025</v>
      </c>
      <c r="L430" s="378">
        <v>2025</v>
      </c>
      <c r="M430" s="378">
        <v>2025</v>
      </c>
      <c r="N430" s="378">
        <v>2025</v>
      </c>
      <c r="O430" s="103">
        <v>2025</v>
      </c>
      <c r="P430" s="378">
        <v>2025</v>
      </c>
      <c r="Q430" s="378">
        <v>2025</v>
      </c>
      <c r="R430" s="103">
        <v>2025</v>
      </c>
      <c r="S430" s="378">
        <v>2025</v>
      </c>
      <c r="T430" s="378">
        <v>2025</v>
      </c>
      <c r="U430" s="378">
        <v>2025</v>
      </c>
      <c r="V430" s="378">
        <v>2025</v>
      </c>
      <c r="W430" s="378">
        <v>2025</v>
      </c>
      <c r="X430" s="378">
        <v>2025</v>
      </c>
      <c r="Y430" s="378">
        <v>2025</v>
      </c>
    </row>
    <row r="431" spans="1:25" x14ac:dyDescent="0.35">
      <c r="A431" s="277" t="s">
        <v>229</v>
      </c>
      <c r="B431" s="378">
        <v>2025</v>
      </c>
      <c r="C431" s="378">
        <v>2025</v>
      </c>
      <c r="D431" s="378">
        <v>2025</v>
      </c>
      <c r="E431" s="378">
        <v>2025</v>
      </c>
      <c r="F431" s="378">
        <v>2025</v>
      </c>
      <c r="G431" s="378">
        <v>2025</v>
      </c>
      <c r="H431" s="378">
        <v>2025</v>
      </c>
      <c r="I431" s="378">
        <v>2025</v>
      </c>
      <c r="J431" s="378">
        <v>2025</v>
      </c>
      <c r="K431" s="378">
        <v>2025</v>
      </c>
      <c r="L431" s="378">
        <v>2025</v>
      </c>
      <c r="M431" s="378">
        <v>2025</v>
      </c>
      <c r="N431" s="378">
        <v>2025</v>
      </c>
      <c r="O431" s="103">
        <v>2025</v>
      </c>
      <c r="P431" s="378">
        <v>2025</v>
      </c>
      <c r="Q431" s="378">
        <v>2025</v>
      </c>
      <c r="R431" s="103">
        <v>2025</v>
      </c>
      <c r="S431" s="378">
        <v>2025</v>
      </c>
      <c r="T431" s="378">
        <v>2025</v>
      </c>
      <c r="U431" s="378">
        <v>2025</v>
      </c>
      <c r="V431" s="378">
        <v>2025</v>
      </c>
      <c r="W431" s="378">
        <v>2025</v>
      </c>
      <c r="X431" s="378">
        <v>2025</v>
      </c>
      <c r="Y431" s="378">
        <v>2025</v>
      </c>
    </row>
    <row r="432" spans="1:25" x14ac:dyDescent="0.35">
      <c r="A432" s="277" t="s">
        <v>111</v>
      </c>
      <c r="B432" s="378">
        <v>2025</v>
      </c>
      <c r="C432" s="378">
        <v>2025</v>
      </c>
      <c r="D432" s="378">
        <v>2025</v>
      </c>
      <c r="E432" s="378">
        <v>2025</v>
      </c>
      <c r="F432" s="378">
        <v>2025</v>
      </c>
      <c r="G432" s="378">
        <v>2025</v>
      </c>
      <c r="H432" s="378">
        <v>2025</v>
      </c>
      <c r="I432" s="378">
        <v>2025</v>
      </c>
      <c r="J432" s="378">
        <v>2025</v>
      </c>
      <c r="K432" s="378">
        <v>2025</v>
      </c>
      <c r="L432" s="378">
        <v>2025</v>
      </c>
      <c r="M432" s="378">
        <v>2025</v>
      </c>
      <c r="N432" s="378">
        <v>2025</v>
      </c>
      <c r="O432" s="103">
        <v>2025</v>
      </c>
      <c r="P432" s="378">
        <v>2025</v>
      </c>
      <c r="Q432" s="378">
        <v>2025</v>
      </c>
      <c r="R432" s="103">
        <v>2025</v>
      </c>
      <c r="S432" s="378">
        <v>2025</v>
      </c>
      <c r="T432" s="378">
        <v>2025</v>
      </c>
      <c r="U432" s="378">
        <v>2025</v>
      </c>
      <c r="V432" s="378">
        <v>2025</v>
      </c>
      <c r="W432" s="378">
        <v>2025</v>
      </c>
      <c r="X432" s="378">
        <v>2025</v>
      </c>
      <c r="Y432" s="378">
        <v>2025</v>
      </c>
    </row>
    <row r="433" spans="1:25" x14ac:dyDescent="0.35">
      <c r="A433" s="277" t="s">
        <v>112</v>
      </c>
      <c r="B433" s="378">
        <v>2025</v>
      </c>
      <c r="C433" s="378">
        <v>2025</v>
      </c>
      <c r="D433" s="378">
        <v>2025</v>
      </c>
      <c r="E433" s="378">
        <v>2025</v>
      </c>
      <c r="F433" s="378">
        <v>2025</v>
      </c>
      <c r="G433" s="378">
        <v>2025</v>
      </c>
      <c r="H433" s="378">
        <v>2025</v>
      </c>
      <c r="I433" s="378">
        <v>2025</v>
      </c>
      <c r="J433" s="378">
        <v>2025</v>
      </c>
      <c r="K433" s="378">
        <v>2025</v>
      </c>
      <c r="L433" s="378">
        <v>2025</v>
      </c>
      <c r="M433" s="378">
        <v>2025</v>
      </c>
      <c r="N433" s="378">
        <v>2025</v>
      </c>
      <c r="O433" s="103">
        <v>2025</v>
      </c>
      <c r="P433" s="378">
        <v>2025</v>
      </c>
      <c r="Q433" s="378">
        <v>2025</v>
      </c>
      <c r="R433" s="103">
        <v>2025</v>
      </c>
      <c r="S433" s="378">
        <v>2025</v>
      </c>
      <c r="T433" s="378">
        <v>2025</v>
      </c>
      <c r="U433" s="378">
        <v>2025</v>
      </c>
      <c r="V433" s="378">
        <v>2025</v>
      </c>
      <c r="W433" s="378">
        <v>2025</v>
      </c>
      <c r="X433" s="378">
        <v>2025</v>
      </c>
      <c r="Y433" s="378">
        <v>2025</v>
      </c>
    </row>
    <row r="434" spans="1:25" x14ac:dyDescent="0.35">
      <c r="A434" s="277" t="s">
        <v>113</v>
      </c>
      <c r="B434" s="378">
        <v>2025</v>
      </c>
      <c r="C434" s="378">
        <v>2025</v>
      </c>
      <c r="D434" s="378">
        <v>2025</v>
      </c>
      <c r="E434" s="378">
        <v>2025</v>
      </c>
      <c r="F434" s="378">
        <v>2025</v>
      </c>
      <c r="G434" s="378">
        <v>2025</v>
      </c>
      <c r="H434" s="378">
        <v>2025</v>
      </c>
      <c r="I434" s="378">
        <v>2025</v>
      </c>
      <c r="J434" s="378">
        <v>2025</v>
      </c>
      <c r="K434" s="378">
        <v>2025</v>
      </c>
      <c r="L434" s="378">
        <v>2025</v>
      </c>
      <c r="M434" s="378">
        <v>2025</v>
      </c>
      <c r="N434" s="378">
        <v>2025</v>
      </c>
      <c r="O434" s="103">
        <v>2025</v>
      </c>
      <c r="P434" s="378">
        <v>2025</v>
      </c>
      <c r="Q434" s="378">
        <v>2025</v>
      </c>
      <c r="R434" s="103">
        <v>2025</v>
      </c>
      <c r="S434" s="378">
        <v>2025</v>
      </c>
      <c r="T434" s="378">
        <v>2025</v>
      </c>
      <c r="U434" s="378">
        <v>2025</v>
      </c>
      <c r="V434" s="378">
        <v>2025</v>
      </c>
      <c r="W434" s="378">
        <v>2025</v>
      </c>
      <c r="X434" s="378">
        <v>2025</v>
      </c>
      <c r="Y434" s="378">
        <v>2025</v>
      </c>
    </row>
    <row r="435" spans="1:25" x14ac:dyDescent="0.35">
      <c r="A435" s="277" t="s">
        <v>114</v>
      </c>
      <c r="B435" s="378">
        <v>2025</v>
      </c>
      <c r="C435" s="378">
        <v>2025</v>
      </c>
      <c r="D435" s="378">
        <v>2025</v>
      </c>
      <c r="E435" s="378">
        <v>2025</v>
      </c>
      <c r="F435" s="378">
        <v>2025</v>
      </c>
      <c r="G435" s="378">
        <v>2025</v>
      </c>
      <c r="H435" s="378">
        <v>2025</v>
      </c>
      <c r="I435" s="378">
        <v>2025</v>
      </c>
      <c r="J435" s="378">
        <v>2025</v>
      </c>
      <c r="K435" s="378">
        <v>2025</v>
      </c>
      <c r="L435" s="378">
        <v>2025</v>
      </c>
      <c r="M435" s="378">
        <v>2025</v>
      </c>
      <c r="N435" s="378">
        <v>2025</v>
      </c>
      <c r="O435" s="103">
        <v>2025</v>
      </c>
      <c r="P435" s="378">
        <v>2025</v>
      </c>
      <c r="Q435" s="378">
        <v>2025</v>
      </c>
      <c r="R435" s="103">
        <v>2025</v>
      </c>
      <c r="S435" s="378">
        <v>2025</v>
      </c>
      <c r="T435" s="378">
        <v>2025</v>
      </c>
      <c r="U435" s="378">
        <v>2025</v>
      </c>
      <c r="V435" s="378">
        <v>2025</v>
      </c>
      <c r="W435" s="378">
        <v>2025</v>
      </c>
      <c r="X435" s="378">
        <v>2025</v>
      </c>
      <c r="Y435" s="378">
        <v>2025</v>
      </c>
    </row>
    <row r="436" spans="1:25" x14ac:dyDescent="0.35">
      <c r="A436" s="277" t="s">
        <v>115</v>
      </c>
      <c r="B436" s="378">
        <v>2025</v>
      </c>
      <c r="C436" s="378">
        <v>2025</v>
      </c>
      <c r="D436" s="378">
        <v>2025</v>
      </c>
      <c r="E436" s="378">
        <v>2025</v>
      </c>
      <c r="F436" s="378">
        <v>2025</v>
      </c>
      <c r="G436" s="378">
        <v>2025</v>
      </c>
      <c r="H436" s="378">
        <v>2025</v>
      </c>
      <c r="I436" s="378">
        <v>2025</v>
      </c>
      <c r="J436" s="378">
        <v>2025</v>
      </c>
      <c r="K436" s="378">
        <v>2025</v>
      </c>
      <c r="L436" s="378">
        <v>2025</v>
      </c>
      <c r="M436" s="378">
        <v>2025</v>
      </c>
      <c r="N436" s="378">
        <v>2025</v>
      </c>
      <c r="O436" s="103">
        <v>2025</v>
      </c>
      <c r="P436" s="378">
        <v>2025</v>
      </c>
      <c r="Q436" s="378">
        <v>2025</v>
      </c>
      <c r="R436" s="103">
        <v>2025</v>
      </c>
      <c r="S436" s="378">
        <v>2025</v>
      </c>
      <c r="T436" s="378">
        <v>2025</v>
      </c>
      <c r="U436" s="378">
        <v>2025</v>
      </c>
      <c r="V436" s="378">
        <v>2025</v>
      </c>
      <c r="W436" s="378">
        <v>2025</v>
      </c>
      <c r="X436" s="378">
        <v>2025</v>
      </c>
      <c r="Y436" s="378">
        <v>2025</v>
      </c>
    </row>
    <row r="437" spans="1:25" x14ac:dyDescent="0.35">
      <c r="A437" s="277" t="s">
        <v>116</v>
      </c>
      <c r="B437" s="378">
        <v>2025</v>
      </c>
      <c r="C437" s="378">
        <v>2025</v>
      </c>
      <c r="D437" s="378">
        <v>2025</v>
      </c>
      <c r="E437" s="378">
        <v>2025</v>
      </c>
      <c r="F437" s="378">
        <v>2025</v>
      </c>
      <c r="G437" s="378">
        <v>2025</v>
      </c>
      <c r="H437" s="378">
        <v>2025</v>
      </c>
      <c r="I437" s="378">
        <v>2025</v>
      </c>
      <c r="J437" s="378">
        <v>2025</v>
      </c>
      <c r="K437" s="378">
        <v>2025</v>
      </c>
      <c r="L437" s="378">
        <v>2025</v>
      </c>
      <c r="M437" s="378">
        <v>2025</v>
      </c>
      <c r="N437" s="378">
        <v>2025</v>
      </c>
      <c r="O437" s="103">
        <v>2025</v>
      </c>
      <c r="P437" s="378">
        <v>2025</v>
      </c>
      <c r="Q437" s="378">
        <v>2025</v>
      </c>
      <c r="R437" s="103">
        <v>2025</v>
      </c>
      <c r="S437" s="378">
        <v>2025</v>
      </c>
      <c r="T437" s="378">
        <v>2025</v>
      </c>
      <c r="U437" s="378">
        <v>2025</v>
      </c>
      <c r="V437" s="378">
        <v>2025</v>
      </c>
      <c r="W437" s="378">
        <v>2025</v>
      </c>
      <c r="X437" s="378">
        <v>2025</v>
      </c>
      <c r="Y437" s="378">
        <v>2025</v>
      </c>
    </row>
    <row r="438" spans="1:25" x14ac:dyDescent="0.35">
      <c r="A438" s="277" t="s">
        <v>117</v>
      </c>
      <c r="B438" s="378">
        <v>2025</v>
      </c>
      <c r="C438" s="378">
        <v>2025</v>
      </c>
      <c r="D438" s="378">
        <v>2025</v>
      </c>
      <c r="E438" s="378">
        <v>2025</v>
      </c>
      <c r="F438" s="378">
        <v>2025</v>
      </c>
      <c r="G438" s="378">
        <v>2025</v>
      </c>
      <c r="H438" s="378">
        <v>2025</v>
      </c>
      <c r="I438" s="378">
        <v>2025</v>
      </c>
      <c r="J438" s="378">
        <v>2025</v>
      </c>
      <c r="K438" s="378">
        <v>2025</v>
      </c>
      <c r="L438" s="378">
        <v>2025</v>
      </c>
      <c r="M438" s="378">
        <v>2025</v>
      </c>
      <c r="N438" s="378">
        <v>2025</v>
      </c>
      <c r="O438" s="103">
        <v>2025</v>
      </c>
      <c r="P438" s="378">
        <v>2025</v>
      </c>
      <c r="Q438" s="378">
        <v>2025</v>
      </c>
      <c r="R438" s="103">
        <v>2025</v>
      </c>
      <c r="S438" s="378">
        <v>2025</v>
      </c>
      <c r="T438" s="378">
        <v>2025</v>
      </c>
      <c r="U438" s="378">
        <v>2025</v>
      </c>
      <c r="V438" s="378">
        <v>2025</v>
      </c>
      <c r="W438" s="378">
        <v>2025</v>
      </c>
      <c r="X438" s="378">
        <v>2025</v>
      </c>
      <c r="Y438" s="378">
        <v>2025</v>
      </c>
    </row>
    <row r="439" spans="1:25" x14ac:dyDescent="0.35">
      <c r="A439" s="277" t="s">
        <v>118</v>
      </c>
      <c r="B439" s="378">
        <v>2025</v>
      </c>
      <c r="C439" s="378">
        <v>2025</v>
      </c>
      <c r="D439" s="378">
        <v>2025</v>
      </c>
      <c r="E439" s="378">
        <v>2025</v>
      </c>
      <c r="F439" s="378">
        <v>2025</v>
      </c>
      <c r="G439" s="378">
        <v>2025</v>
      </c>
      <c r="H439" s="378">
        <v>2025</v>
      </c>
      <c r="I439" s="378">
        <v>2025</v>
      </c>
      <c r="J439" s="378">
        <v>2025</v>
      </c>
      <c r="K439" s="378">
        <v>2025</v>
      </c>
      <c r="L439" s="378">
        <v>2025</v>
      </c>
      <c r="M439" s="378">
        <v>2025</v>
      </c>
      <c r="N439" s="378">
        <v>2025</v>
      </c>
      <c r="O439" s="103">
        <v>2025</v>
      </c>
      <c r="P439" s="378">
        <v>2025</v>
      </c>
      <c r="Q439" s="378">
        <v>2025</v>
      </c>
      <c r="R439" s="103">
        <v>2025</v>
      </c>
      <c r="S439" s="378">
        <v>2025</v>
      </c>
      <c r="T439" s="378">
        <v>2025</v>
      </c>
      <c r="U439" s="378">
        <v>2025</v>
      </c>
      <c r="V439" s="378">
        <v>2025</v>
      </c>
      <c r="W439" s="378">
        <v>2025</v>
      </c>
      <c r="X439" s="378">
        <v>2025</v>
      </c>
      <c r="Y439" s="378">
        <v>2025</v>
      </c>
    </row>
    <row r="440" spans="1:25" x14ac:dyDescent="0.35">
      <c r="A440" s="277" t="s">
        <v>119</v>
      </c>
      <c r="B440" s="378">
        <v>2025</v>
      </c>
      <c r="C440" s="378">
        <v>2025</v>
      </c>
      <c r="D440" s="378">
        <v>2025</v>
      </c>
      <c r="E440" s="378">
        <v>2025</v>
      </c>
      <c r="F440" s="378">
        <v>2025</v>
      </c>
      <c r="G440" s="378">
        <v>2025</v>
      </c>
      <c r="H440" s="378">
        <v>2025</v>
      </c>
      <c r="I440" s="378">
        <v>2025</v>
      </c>
      <c r="J440" s="378">
        <v>2025</v>
      </c>
      <c r="K440" s="378">
        <v>2025</v>
      </c>
      <c r="L440" s="378">
        <v>2025</v>
      </c>
      <c r="M440" s="378">
        <v>2025</v>
      </c>
      <c r="N440" s="378">
        <v>2025</v>
      </c>
      <c r="O440" s="103">
        <v>2025</v>
      </c>
      <c r="P440" s="378">
        <v>2025</v>
      </c>
      <c r="Q440" s="378">
        <v>2025</v>
      </c>
      <c r="R440" s="103">
        <v>2025</v>
      </c>
      <c r="S440" s="378">
        <v>2025</v>
      </c>
      <c r="T440" s="378">
        <v>2025</v>
      </c>
      <c r="U440" s="378">
        <v>2025</v>
      </c>
      <c r="V440" s="378">
        <v>2025</v>
      </c>
      <c r="W440" s="378">
        <v>2025</v>
      </c>
      <c r="X440" s="378">
        <v>2025</v>
      </c>
      <c r="Y440" s="378">
        <v>2025</v>
      </c>
    </row>
    <row r="441" spans="1:25" x14ac:dyDescent="0.35">
      <c r="A441" s="277" t="s">
        <v>120</v>
      </c>
      <c r="B441" s="378">
        <v>2025</v>
      </c>
      <c r="C441" s="378">
        <v>2025</v>
      </c>
      <c r="D441" s="378">
        <v>2025</v>
      </c>
      <c r="E441" s="378">
        <v>2025</v>
      </c>
      <c r="F441" s="378">
        <v>2025</v>
      </c>
      <c r="G441" s="378">
        <v>2025</v>
      </c>
      <c r="H441" s="378">
        <v>2025</v>
      </c>
      <c r="I441" s="378">
        <v>2025</v>
      </c>
      <c r="J441" s="378">
        <v>2025</v>
      </c>
      <c r="K441" s="378">
        <v>2025</v>
      </c>
      <c r="L441" s="378">
        <v>2025</v>
      </c>
      <c r="M441" s="378">
        <v>2025</v>
      </c>
      <c r="N441" s="378">
        <v>2025</v>
      </c>
      <c r="O441" s="103">
        <v>2025</v>
      </c>
      <c r="P441" s="378">
        <v>2025</v>
      </c>
      <c r="Q441" s="378">
        <v>2025</v>
      </c>
      <c r="R441" s="103">
        <v>2025</v>
      </c>
      <c r="S441" s="378">
        <v>2025</v>
      </c>
      <c r="T441" s="378">
        <v>2025</v>
      </c>
      <c r="U441" s="378">
        <v>2025</v>
      </c>
      <c r="V441" s="378">
        <v>2025</v>
      </c>
      <c r="W441" s="378">
        <v>2025</v>
      </c>
      <c r="X441" s="378">
        <v>2025</v>
      </c>
      <c r="Y441" s="378">
        <v>2025</v>
      </c>
    </row>
    <row r="442" spans="1:25" x14ac:dyDescent="0.35">
      <c r="A442" s="278" t="s">
        <v>83</v>
      </c>
      <c r="B442" s="378">
        <v>2025</v>
      </c>
      <c r="C442" s="378">
        <v>2025</v>
      </c>
      <c r="D442" s="378">
        <v>2025</v>
      </c>
      <c r="E442" s="378">
        <v>2025</v>
      </c>
      <c r="F442" s="378">
        <v>2025</v>
      </c>
      <c r="G442" s="378">
        <v>2025</v>
      </c>
      <c r="H442" s="378">
        <v>2025</v>
      </c>
      <c r="I442" s="378">
        <v>2025</v>
      </c>
      <c r="J442" s="378">
        <v>2025</v>
      </c>
      <c r="K442" s="378">
        <v>2025</v>
      </c>
      <c r="L442" s="378">
        <v>2025</v>
      </c>
      <c r="M442" s="378">
        <v>2025</v>
      </c>
      <c r="N442" s="378">
        <v>2025</v>
      </c>
      <c r="O442" s="103">
        <v>2025</v>
      </c>
      <c r="P442" s="378">
        <v>2025</v>
      </c>
      <c r="Q442" s="378">
        <v>2025</v>
      </c>
      <c r="R442" s="103">
        <v>2025</v>
      </c>
      <c r="S442" s="378">
        <v>2025</v>
      </c>
      <c r="T442" s="378">
        <v>2025</v>
      </c>
      <c r="U442" s="378">
        <v>2025</v>
      </c>
      <c r="V442" s="378">
        <v>2025</v>
      </c>
      <c r="W442" s="378">
        <v>2025</v>
      </c>
      <c r="X442" s="378">
        <v>2025</v>
      </c>
      <c r="Y442" s="378">
        <v>2025</v>
      </c>
    </row>
    <row r="443" spans="1:25" x14ac:dyDescent="0.35">
      <c r="A443" s="278" t="s">
        <v>144</v>
      </c>
      <c r="B443" s="378">
        <v>2025</v>
      </c>
      <c r="C443" s="378">
        <v>2025</v>
      </c>
      <c r="D443" s="378">
        <v>2025</v>
      </c>
      <c r="E443" s="378">
        <v>2025</v>
      </c>
      <c r="F443" s="378">
        <v>2025</v>
      </c>
      <c r="G443" s="378">
        <v>2025</v>
      </c>
      <c r="H443" s="378">
        <v>2025</v>
      </c>
      <c r="I443" s="378">
        <v>2025</v>
      </c>
      <c r="J443" s="378">
        <v>2025</v>
      </c>
      <c r="K443" s="378">
        <v>2025</v>
      </c>
      <c r="L443" s="378">
        <v>2025</v>
      </c>
      <c r="M443" s="378">
        <v>2025</v>
      </c>
      <c r="N443" s="378">
        <v>2025</v>
      </c>
      <c r="O443" s="103">
        <v>2025</v>
      </c>
      <c r="P443" s="378">
        <v>2025</v>
      </c>
      <c r="Q443" s="378">
        <v>2025</v>
      </c>
      <c r="R443" s="103">
        <v>2025</v>
      </c>
      <c r="S443" s="378">
        <v>2025</v>
      </c>
      <c r="T443" s="378">
        <v>2025</v>
      </c>
      <c r="U443" s="378">
        <v>2025</v>
      </c>
      <c r="V443" s="378">
        <v>2025</v>
      </c>
      <c r="W443" s="378">
        <v>2025</v>
      </c>
      <c r="X443" s="378">
        <v>2025</v>
      </c>
      <c r="Y443" s="378">
        <v>2025</v>
      </c>
    </row>
    <row r="444" spans="1:25" x14ac:dyDescent="0.35">
      <c r="A444" s="278" t="s">
        <v>164</v>
      </c>
      <c r="B444" s="378">
        <v>2025</v>
      </c>
      <c r="C444" s="378">
        <v>2025</v>
      </c>
      <c r="D444" s="378">
        <v>2025</v>
      </c>
      <c r="E444" s="378">
        <v>2025</v>
      </c>
      <c r="F444" s="378">
        <v>2025</v>
      </c>
      <c r="G444" s="378">
        <v>2025</v>
      </c>
      <c r="H444" s="378">
        <v>2025</v>
      </c>
      <c r="I444" s="378">
        <v>2025</v>
      </c>
      <c r="J444" s="378">
        <v>2025</v>
      </c>
      <c r="K444" s="378">
        <v>2025</v>
      </c>
      <c r="L444" s="378">
        <v>2025</v>
      </c>
      <c r="M444" s="378">
        <v>2025</v>
      </c>
      <c r="N444" s="378">
        <v>2025</v>
      </c>
      <c r="O444" s="103">
        <v>2025</v>
      </c>
      <c r="P444" s="378">
        <v>2025</v>
      </c>
      <c r="Q444" s="378">
        <v>2025</v>
      </c>
      <c r="R444" s="103">
        <v>2025</v>
      </c>
      <c r="S444" s="378">
        <v>2025</v>
      </c>
      <c r="T444" s="378">
        <v>2025</v>
      </c>
      <c r="U444" s="378">
        <v>2025</v>
      </c>
      <c r="V444" s="378">
        <v>2025</v>
      </c>
      <c r="W444" s="378">
        <v>2025</v>
      </c>
      <c r="X444" s="378">
        <v>2025</v>
      </c>
      <c r="Y444" s="378">
        <v>2025</v>
      </c>
    </row>
    <row r="445" spans="1:25" x14ac:dyDescent="0.35">
      <c r="A445" s="278" t="s">
        <v>145</v>
      </c>
      <c r="B445" s="378">
        <v>2025</v>
      </c>
      <c r="C445" s="378">
        <v>2025</v>
      </c>
      <c r="D445" s="378">
        <v>2025</v>
      </c>
      <c r="E445" s="378">
        <v>2025</v>
      </c>
      <c r="F445" s="378">
        <v>2025</v>
      </c>
      <c r="G445" s="378">
        <v>2025</v>
      </c>
      <c r="H445" s="378">
        <v>2025</v>
      </c>
      <c r="I445" s="378">
        <v>2025</v>
      </c>
      <c r="J445" s="378">
        <v>2025</v>
      </c>
      <c r="K445" s="378">
        <v>2025</v>
      </c>
      <c r="L445" s="378">
        <v>2025</v>
      </c>
      <c r="M445" s="378">
        <v>2025</v>
      </c>
      <c r="N445" s="378">
        <v>2025</v>
      </c>
      <c r="O445" s="103">
        <v>2025</v>
      </c>
      <c r="P445" s="378">
        <v>2025</v>
      </c>
      <c r="Q445" s="378">
        <v>2025</v>
      </c>
      <c r="R445" s="103">
        <v>2025</v>
      </c>
      <c r="S445" s="378">
        <v>2025</v>
      </c>
      <c r="T445" s="378">
        <v>2025</v>
      </c>
      <c r="U445" s="378">
        <v>2025</v>
      </c>
      <c r="V445" s="378">
        <v>2025</v>
      </c>
      <c r="W445" s="378">
        <v>2025</v>
      </c>
      <c r="X445" s="378">
        <v>2025</v>
      </c>
      <c r="Y445" s="378">
        <v>2025</v>
      </c>
    </row>
    <row r="446" spans="1:25" x14ac:dyDescent="0.35">
      <c r="A446" s="278" t="s">
        <v>87</v>
      </c>
      <c r="B446" s="378">
        <v>2025</v>
      </c>
      <c r="C446" s="378">
        <v>2025</v>
      </c>
      <c r="D446" s="378">
        <v>2025</v>
      </c>
      <c r="E446" s="378">
        <v>2025</v>
      </c>
      <c r="F446" s="378">
        <v>2025</v>
      </c>
      <c r="G446" s="378">
        <v>2025</v>
      </c>
      <c r="H446" s="378">
        <v>2025</v>
      </c>
      <c r="I446" s="378">
        <v>2025</v>
      </c>
      <c r="J446" s="378">
        <v>2025</v>
      </c>
      <c r="K446" s="378">
        <v>2025</v>
      </c>
      <c r="L446" s="378">
        <v>2025</v>
      </c>
      <c r="M446" s="378">
        <v>2025</v>
      </c>
      <c r="N446" s="378">
        <v>2025</v>
      </c>
      <c r="O446" s="103">
        <v>2025</v>
      </c>
      <c r="P446" s="378">
        <v>2025</v>
      </c>
      <c r="Q446" s="378">
        <v>2025</v>
      </c>
      <c r="R446" s="103">
        <v>2025</v>
      </c>
      <c r="S446" s="378">
        <v>2025</v>
      </c>
      <c r="T446" s="378">
        <v>2025</v>
      </c>
      <c r="U446" s="378">
        <v>2025</v>
      </c>
      <c r="V446" s="378">
        <v>2025</v>
      </c>
      <c r="W446" s="378">
        <v>2025</v>
      </c>
      <c r="X446" s="378">
        <v>2025</v>
      </c>
      <c r="Y446" s="378">
        <v>2025</v>
      </c>
    </row>
    <row r="447" spans="1:25" x14ac:dyDescent="0.35">
      <c r="A447" s="278" t="s">
        <v>146</v>
      </c>
      <c r="B447" s="378">
        <v>2025</v>
      </c>
      <c r="C447" s="378">
        <v>2025</v>
      </c>
      <c r="D447" s="378">
        <v>2025</v>
      </c>
      <c r="E447" s="378">
        <v>2025</v>
      </c>
      <c r="F447" s="378">
        <v>2025</v>
      </c>
      <c r="G447" s="378">
        <v>2025</v>
      </c>
      <c r="H447" s="378">
        <v>2025</v>
      </c>
      <c r="I447" s="378">
        <v>2025</v>
      </c>
      <c r="J447" s="378">
        <v>2025</v>
      </c>
      <c r="K447" s="378">
        <v>2025</v>
      </c>
      <c r="L447" s="378">
        <v>2025</v>
      </c>
      <c r="M447" s="378">
        <v>2025</v>
      </c>
      <c r="N447" s="378">
        <v>2025</v>
      </c>
      <c r="O447" s="103">
        <v>2025</v>
      </c>
      <c r="P447" s="378">
        <v>2025</v>
      </c>
      <c r="Q447" s="378">
        <v>2025</v>
      </c>
      <c r="R447" s="103">
        <v>2025</v>
      </c>
      <c r="S447" s="378">
        <v>2025</v>
      </c>
      <c r="T447" s="378">
        <v>2025</v>
      </c>
      <c r="U447" s="378">
        <v>2025</v>
      </c>
      <c r="V447" s="378">
        <v>2025</v>
      </c>
      <c r="W447" s="378">
        <v>2025</v>
      </c>
      <c r="X447" s="378">
        <v>2025</v>
      </c>
      <c r="Y447" s="378">
        <v>2025</v>
      </c>
    </row>
    <row r="448" spans="1:25" x14ac:dyDescent="0.35">
      <c r="A448" s="278" t="s">
        <v>89</v>
      </c>
      <c r="B448" s="378">
        <v>2025</v>
      </c>
      <c r="C448" s="378">
        <v>2025</v>
      </c>
      <c r="D448" s="378">
        <v>2025</v>
      </c>
      <c r="E448" s="378">
        <v>2025</v>
      </c>
      <c r="F448" s="378">
        <v>2025</v>
      </c>
      <c r="G448" s="378">
        <v>2025</v>
      </c>
      <c r="H448" s="378">
        <v>2025</v>
      </c>
      <c r="I448" s="378">
        <v>2025</v>
      </c>
      <c r="J448" s="378">
        <v>2025</v>
      </c>
      <c r="K448" s="378">
        <v>2025</v>
      </c>
      <c r="L448" s="378">
        <v>2025</v>
      </c>
      <c r="M448" s="378">
        <v>2025</v>
      </c>
      <c r="N448" s="378">
        <v>2025</v>
      </c>
      <c r="O448" s="103">
        <v>2025</v>
      </c>
      <c r="P448" s="378">
        <v>2025</v>
      </c>
      <c r="Q448" s="378">
        <v>2025</v>
      </c>
      <c r="R448" s="103">
        <v>2025</v>
      </c>
      <c r="S448" s="378">
        <v>2025</v>
      </c>
      <c r="T448" s="378">
        <v>2025</v>
      </c>
      <c r="U448" s="378">
        <v>2025</v>
      </c>
      <c r="V448" s="378">
        <v>2025</v>
      </c>
      <c r="W448" s="378">
        <v>2025</v>
      </c>
      <c r="X448" s="378">
        <v>2025</v>
      </c>
      <c r="Y448" s="378">
        <v>2025</v>
      </c>
    </row>
    <row r="449" spans="1:25" x14ac:dyDescent="0.35">
      <c r="A449" s="278" t="s">
        <v>90</v>
      </c>
      <c r="B449" s="378">
        <v>2025</v>
      </c>
      <c r="C449" s="378">
        <v>2025</v>
      </c>
      <c r="D449" s="378">
        <v>2025</v>
      </c>
      <c r="E449" s="378">
        <v>2025</v>
      </c>
      <c r="F449" s="378">
        <v>2025</v>
      </c>
      <c r="G449" s="378">
        <v>2025</v>
      </c>
      <c r="H449" s="378">
        <v>2025</v>
      </c>
      <c r="I449" s="378">
        <v>2025</v>
      </c>
      <c r="J449" s="378">
        <v>2025</v>
      </c>
      <c r="K449" s="378">
        <v>2025</v>
      </c>
      <c r="L449" s="378">
        <v>2025</v>
      </c>
      <c r="M449" s="378">
        <v>2025</v>
      </c>
      <c r="N449" s="378">
        <v>2025</v>
      </c>
      <c r="O449" s="103">
        <v>2025</v>
      </c>
      <c r="P449" s="378">
        <v>2025</v>
      </c>
      <c r="Q449" s="378">
        <v>2025</v>
      </c>
      <c r="R449" s="103">
        <v>2025</v>
      </c>
      <c r="S449" s="378">
        <v>2025</v>
      </c>
      <c r="T449" s="378">
        <v>2025</v>
      </c>
      <c r="U449" s="378">
        <v>2025</v>
      </c>
      <c r="V449" s="378">
        <v>2025</v>
      </c>
      <c r="W449" s="378">
        <v>2025</v>
      </c>
      <c r="X449" s="378">
        <v>2025</v>
      </c>
      <c r="Y449" s="378">
        <v>2025</v>
      </c>
    </row>
    <row r="451" spans="1:25" x14ac:dyDescent="0.35">
      <c r="A451" s="376" t="s">
        <v>1819</v>
      </c>
      <c r="B451" t="s">
        <v>1783</v>
      </c>
      <c r="C451" t="s">
        <v>1746</v>
      </c>
      <c r="D451" t="s">
        <v>1784</v>
      </c>
      <c r="E451" t="s">
        <v>1785</v>
      </c>
      <c r="F451" t="s">
        <v>1786</v>
      </c>
      <c r="G451" t="s">
        <v>1787</v>
      </c>
      <c r="H451" t="s">
        <v>1788</v>
      </c>
      <c r="I451" t="s">
        <v>1753</v>
      </c>
      <c r="J451" t="s">
        <v>1759</v>
      </c>
      <c r="K451" t="s">
        <v>1789</v>
      </c>
      <c r="L451" t="s">
        <v>1790</v>
      </c>
      <c r="M451" t="s">
        <v>1791</v>
      </c>
      <c r="N451" t="s">
        <v>1765</v>
      </c>
      <c r="O451" t="s">
        <v>1792</v>
      </c>
      <c r="P451" t="s">
        <v>1793</v>
      </c>
      <c r="Q451" t="s">
        <v>1794</v>
      </c>
      <c r="R451" t="s">
        <v>1341</v>
      </c>
      <c r="S451" t="s">
        <v>1795</v>
      </c>
      <c r="T451" t="s">
        <v>1796</v>
      </c>
      <c r="U451" t="s">
        <v>1797</v>
      </c>
      <c r="V451" t="s">
        <v>1798</v>
      </c>
      <c r="W451" t="s">
        <v>1799</v>
      </c>
      <c r="X451" t="s">
        <v>1771</v>
      </c>
      <c r="Y451" t="s">
        <v>1777</v>
      </c>
    </row>
    <row r="452" spans="1:25" x14ac:dyDescent="0.35">
      <c r="A452" s="39" t="s">
        <v>1800</v>
      </c>
      <c r="B452" s="376" t="s">
        <v>1801</v>
      </c>
      <c r="C452" s="376" t="s">
        <v>1745</v>
      </c>
      <c r="D452" s="376" t="s">
        <v>1802</v>
      </c>
      <c r="E452" s="376" t="s">
        <v>1803</v>
      </c>
      <c r="F452" s="376" t="s">
        <v>1804</v>
      </c>
      <c r="G452" s="376" t="s">
        <v>1805</v>
      </c>
      <c r="H452" s="376" t="s">
        <v>1806</v>
      </c>
      <c r="I452" s="376" t="s">
        <v>1752</v>
      </c>
      <c r="J452" s="376" t="s">
        <v>1758</v>
      </c>
      <c r="K452" s="376" t="s">
        <v>1807</v>
      </c>
      <c r="L452" s="376" t="s">
        <v>1808</v>
      </c>
      <c r="M452" s="376" t="s">
        <v>1809</v>
      </c>
      <c r="N452" s="376" t="s">
        <v>1764</v>
      </c>
      <c r="O452" s="376" t="s">
        <v>1810</v>
      </c>
      <c r="P452" s="376" t="s">
        <v>1811</v>
      </c>
      <c r="Q452" s="376" t="s">
        <v>1794</v>
      </c>
      <c r="R452" s="376" t="s">
        <v>1812</v>
      </c>
      <c r="S452" s="376" t="s">
        <v>1813</v>
      </c>
      <c r="T452" s="376" t="s">
        <v>1814</v>
      </c>
      <c r="U452" s="376" t="s">
        <v>1815</v>
      </c>
      <c r="V452" s="376" t="s">
        <v>1816</v>
      </c>
      <c r="W452" s="376" t="s">
        <v>1817</v>
      </c>
      <c r="X452" s="376" t="s">
        <v>1770</v>
      </c>
      <c r="Y452" s="376" t="s">
        <v>1776</v>
      </c>
    </row>
    <row r="453" spans="1:25" x14ac:dyDescent="0.35">
      <c r="A453" s="275" t="s">
        <v>228</v>
      </c>
      <c r="B453" s="378">
        <v>2050</v>
      </c>
      <c r="C453" s="378">
        <v>2050</v>
      </c>
      <c r="D453" s="378">
        <v>2050</v>
      </c>
      <c r="E453" s="378">
        <v>2050</v>
      </c>
      <c r="F453" s="378">
        <v>2050</v>
      </c>
      <c r="G453" s="378">
        <v>2050</v>
      </c>
      <c r="H453" s="378">
        <v>2050</v>
      </c>
      <c r="I453" s="378">
        <v>2050</v>
      </c>
      <c r="J453" s="378">
        <v>2050</v>
      </c>
      <c r="K453" s="378">
        <v>2050</v>
      </c>
      <c r="L453" s="378">
        <v>2050</v>
      </c>
      <c r="M453" s="378">
        <v>2050</v>
      </c>
      <c r="N453" s="378">
        <v>2050</v>
      </c>
      <c r="O453" s="103">
        <v>2050</v>
      </c>
      <c r="P453" s="378">
        <v>2050</v>
      </c>
      <c r="Q453" s="378">
        <v>2050</v>
      </c>
      <c r="R453" s="103">
        <v>2050</v>
      </c>
      <c r="S453" s="378">
        <v>2050</v>
      </c>
      <c r="T453" s="378">
        <v>2050</v>
      </c>
      <c r="U453" s="378">
        <v>2050</v>
      </c>
      <c r="V453" s="378">
        <v>2050</v>
      </c>
      <c r="W453" s="378">
        <v>2050</v>
      </c>
      <c r="X453" s="378">
        <v>2050</v>
      </c>
      <c r="Y453" s="378">
        <v>2050</v>
      </c>
    </row>
    <row r="454" spans="1:25" x14ac:dyDescent="0.35">
      <c r="A454" s="277" t="s">
        <v>95</v>
      </c>
      <c r="B454" s="378">
        <v>2050</v>
      </c>
      <c r="C454" s="378">
        <v>2050</v>
      </c>
      <c r="D454" s="378">
        <v>2050</v>
      </c>
      <c r="E454" s="378">
        <v>2050</v>
      </c>
      <c r="F454" s="378">
        <v>2050</v>
      </c>
      <c r="G454" s="378">
        <v>2050</v>
      </c>
      <c r="H454" s="378">
        <v>2050</v>
      </c>
      <c r="I454" s="378">
        <v>2050</v>
      </c>
      <c r="J454" s="378">
        <v>2050</v>
      </c>
      <c r="K454" s="378">
        <v>2050</v>
      </c>
      <c r="L454" s="378">
        <v>2050</v>
      </c>
      <c r="M454" s="378">
        <v>2050</v>
      </c>
      <c r="N454" s="378">
        <v>2050</v>
      </c>
      <c r="O454" s="103">
        <v>2050</v>
      </c>
      <c r="P454" s="378">
        <v>2050</v>
      </c>
      <c r="Q454" s="378">
        <v>2050</v>
      </c>
      <c r="R454" s="103">
        <v>2050</v>
      </c>
      <c r="S454" s="378">
        <v>2050</v>
      </c>
      <c r="T454" s="378">
        <v>2050</v>
      </c>
      <c r="U454" s="378">
        <v>2050</v>
      </c>
      <c r="V454" s="378">
        <v>2050</v>
      </c>
      <c r="W454" s="378">
        <v>2050</v>
      </c>
      <c r="X454" s="378">
        <v>2050</v>
      </c>
      <c r="Y454" s="378">
        <v>2050</v>
      </c>
    </row>
    <row r="455" spans="1:25" x14ac:dyDescent="0.35">
      <c r="A455" s="277" t="s">
        <v>96</v>
      </c>
      <c r="B455" s="378">
        <v>2050</v>
      </c>
      <c r="C455" s="378">
        <v>2050</v>
      </c>
      <c r="D455" s="378">
        <v>2050</v>
      </c>
      <c r="E455" s="378">
        <v>2050</v>
      </c>
      <c r="F455" s="378">
        <v>2050</v>
      </c>
      <c r="G455" s="378">
        <v>2050</v>
      </c>
      <c r="H455" s="378">
        <v>2050</v>
      </c>
      <c r="I455" s="378">
        <v>2050</v>
      </c>
      <c r="J455" s="378">
        <v>2050</v>
      </c>
      <c r="K455" s="378">
        <v>2050</v>
      </c>
      <c r="L455" s="378">
        <v>2050</v>
      </c>
      <c r="M455" s="378">
        <v>2050</v>
      </c>
      <c r="N455" s="378">
        <v>2050</v>
      </c>
      <c r="O455" s="103">
        <v>2050</v>
      </c>
      <c r="P455" s="378">
        <v>2050</v>
      </c>
      <c r="Q455" s="378">
        <v>2050</v>
      </c>
      <c r="R455" s="103">
        <v>2050</v>
      </c>
      <c r="S455" s="378">
        <v>2050</v>
      </c>
      <c r="T455" s="378">
        <v>2050</v>
      </c>
      <c r="U455" s="378">
        <v>2050</v>
      </c>
      <c r="V455" s="378">
        <v>2050</v>
      </c>
      <c r="W455" s="378">
        <v>2050</v>
      </c>
      <c r="X455" s="378">
        <v>2050</v>
      </c>
      <c r="Y455" s="378">
        <v>2050</v>
      </c>
    </row>
    <row r="456" spans="1:25" x14ac:dyDescent="0.35">
      <c r="A456" s="277" t="s">
        <v>97</v>
      </c>
      <c r="B456" s="378">
        <v>2050</v>
      </c>
      <c r="C456" s="378">
        <v>2050</v>
      </c>
      <c r="D456" s="378">
        <v>2050</v>
      </c>
      <c r="E456" s="378">
        <v>2050</v>
      </c>
      <c r="F456" s="378">
        <v>2050</v>
      </c>
      <c r="G456" s="378">
        <v>2050</v>
      </c>
      <c r="H456" s="378">
        <v>2050</v>
      </c>
      <c r="I456" s="378">
        <v>2050</v>
      </c>
      <c r="J456" s="378">
        <v>2050</v>
      </c>
      <c r="K456" s="378">
        <v>2050</v>
      </c>
      <c r="L456" s="378">
        <v>2050</v>
      </c>
      <c r="M456" s="378">
        <v>2050</v>
      </c>
      <c r="N456" s="378">
        <v>2050</v>
      </c>
      <c r="O456" s="103">
        <v>2050</v>
      </c>
      <c r="P456" s="378">
        <v>2050</v>
      </c>
      <c r="Q456" s="378">
        <v>2050</v>
      </c>
      <c r="R456" s="103">
        <v>2050</v>
      </c>
      <c r="S456" s="378">
        <v>2050</v>
      </c>
      <c r="T456" s="378">
        <v>2050</v>
      </c>
      <c r="U456" s="378">
        <v>2050</v>
      </c>
      <c r="V456" s="378">
        <v>2050</v>
      </c>
      <c r="W456" s="378">
        <v>2050</v>
      </c>
      <c r="X456" s="378">
        <v>2050</v>
      </c>
      <c r="Y456" s="378">
        <v>2050</v>
      </c>
    </row>
    <row r="457" spans="1:25" x14ac:dyDescent="0.35">
      <c r="A457" s="277" t="s">
        <v>98</v>
      </c>
      <c r="B457" s="378">
        <v>2050</v>
      </c>
      <c r="C457" s="378">
        <v>2050</v>
      </c>
      <c r="D457" s="378">
        <v>2050</v>
      </c>
      <c r="E457" s="378">
        <v>2050</v>
      </c>
      <c r="F457" s="378">
        <v>2050</v>
      </c>
      <c r="G457" s="378">
        <v>2050</v>
      </c>
      <c r="H457" s="378">
        <v>2050</v>
      </c>
      <c r="I457" s="378">
        <v>2050</v>
      </c>
      <c r="J457" s="378">
        <v>2050</v>
      </c>
      <c r="K457" s="378">
        <v>2050</v>
      </c>
      <c r="L457" s="378">
        <v>2050</v>
      </c>
      <c r="M457" s="378">
        <v>2050</v>
      </c>
      <c r="N457" s="378">
        <v>2050</v>
      </c>
      <c r="O457" s="103">
        <v>2050</v>
      </c>
      <c r="P457" s="378">
        <v>2050</v>
      </c>
      <c r="Q457" s="378">
        <v>2050</v>
      </c>
      <c r="R457" s="103">
        <v>2050</v>
      </c>
      <c r="S457" s="378">
        <v>2050</v>
      </c>
      <c r="T457" s="378">
        <v>2050</v>
      </c>
      <c r="U457" s="378">
        <v>2050</v>
      </c>
      <c r="V457" s="378">
        <v>2050</v>
      </c>
      <c r="W457" s="378">
        <v>2050</v>
      </c>
      <c r="X457" s="378">
        <v>2050</v>
      </c>
      <c r="Y457" s="378">
        <v>2050</v>
      </c>
    </row>
    <row r="458" spans="1:25" x14ac:dyDescent="0.35">
      <c r="A458" s="277" t="s">
        <v>163</v>
      </c>
      <c r="B458" s="378">
        <v>2050</v>
      </c>
      <c r="C458" s="378">
        <v>2050</v>
      </c>
      <c r="D458" s="378">
        <v>2050</v>
      </c>
      <c r="E458" s="378">
        <v>2050</v>
      </c>
      <c r="F458" s="378">
        <v>2050</v>
      </c>
      <c r="G458" s="378">
        <v>2050</v>
      </c>
      <c r="H458" s="378">
        <v>2050</v>
      </c>
      <c r="I458" s="378">
        <v>2050</v>
      </c>
      <c r="J458" s="378">
        <v>2050</v>
      </c>
      <c r="K458" s="378">
        <v>2050</v>
      </c>
      <c r="L458" s="378">
        <v>2050</v>
      </c>
      <c r="M458" s="378">
        <v>2050</v>
      </c>
      <c r="N458" s="378">
        <v>2050</v>
      </c>
      <c r="O458" s="103">
        <v>2050</v>
      </c>
      <c r="P458" s="378">
        <v>2050</v>
      </c>
      <c r="Q458" s="378">
        <v>2050</v>
      </c>
      <c r="R458" s="103">
        <v>2050</v>
      </c>
      <c r="S458" s="378">
        <v>2050</v>
      </c>
      <c r="T458" s="378">
        <v>2050</v>
      </c>
      <c r="U458" s="378">
        <v>2050</v>
      </c>
      <c r="V458" s="378">
        <v>2050</v>
      </c>
      <c r="W458" s="378">
        <v>2050</v>
      </c>
      <c r="X458" s="378">
        <v>2050</v>
      </c>
      <c r="Y458" s="378">
        <v>2050</v>
      </c>
    </row>
    <row r="459" spans="1:25" x14ac:dyDescent="0.35">
      <c r="A459" s="277" t="s">
        <v>100</v>
      </c>
      <c r="B459" s="378">
        <v>2050</v>
      </c>
      <c r="C459" s="378">
        <v>2050</v>
      </c>
      <c r="D459" s="378">
        <v>2050</v>
      </c>
      <c r="E459" s="378">
        <v>2050</v>
      </c>
      <c r="F459" s="378">
        <v>2050</v>
      </c>
      <c r="G459" s="378">
        <v>2050</v>
      </c>
      <c r="H459" s="378">
        <v>2050</v>
      </c>
      <c r="I459" s="378">
        <v>2050</v>
      </c>
      <c r="J459" s="378">
        <v>2050</v>
      </c>
      <c r="K459" s="378">
        <v>2050</v>
      </c>
      <c r="L459" s="378">
        <v>2050</v>
      </c>
      <c r="M459" s="378">
        <v>2050</v>
      </c>
      <c r="N459" s="378">
        <v>2050</v>
      </c>
      <c r="O459" s="103">
        <v>2050</v>
      </c>
      <c r="P459" s="378">
        <v>2050</v>
      </c>
      <c r="Q459" s="378">
        <v>2050</v>
      </c>
      <c r="R459" s="103">
        <v>2050</v>
      </c>
      <c r="S459" s="378">
        <v>2050</v>
      </c>
      <c r="T459" s="378">
        <v>2050</v>
      </c>
      <c r="U459" s="378">
        <v>2050</v>
      </c>
      <c r="V459" s="378">
        <v>2050</v>
      </c>
      <c r="W459" s="378">
        <v>2050</v>
      </c>
      <c r="X459" s="378">
        <v>2050</v>
      </c>
      <c r="Y459" s="378">
        <v>2050</v>
      </c>
    </row>
    <row r="460" spans="1:25" x14ac:dyDescent="0.35">
      <c r="A460" s="277" t="s">
        <v>101</v>
      </c>
      <c r="B460" s="378">
        <v>2050</v>
      </c>
      <c r="C460" s="378">
        <v>2050</v>
      </c>
      <c r="D460" s="378">
        <v>2050</v>
      </c>
      <c r="E460" s="378">
        <v>2050</v>
      </c>
      <c r="F460" s="378">
        <v>2050</v>
      </c>
      <c r="G460" s="378">
        <v>2050</v>
      </c>
      <c r="H460" s="378">
        <v>2050</v>
      </c>
      <c r="I460" s="378">
        <v>2050</v>
      </c>
      <c r="J460" s="378">
        <v>2050</v>
      </c>
      <c r="K460" s="378">
        <v>2050</v>
      </c>
      <c r="L460" s="378">
        <v>2050</v>
      </c>
      <c r="M460" s="378">
        <v>2050</v>
      </c>
      <c r="N460" s="378">
        <v>2050</v>
      </c>
      <c r="O460" s="103">
        <v>2050</v>
      </c>
      <c r="P460" s="378">
        <v>2050</v>
      </c>
      <c r="Q460" s="378">
        <v>2050</v>
      </c>
      <c r="R460" s="103">
        <v>2050</v>
      </c>
      <c r="S460" s="378">
        <v>2050</v>
      </c>
      <c r="T460" s="378">
        <v>2050</v>
      </c>
      <c r="U460" s="378">
        <v>2050</v>
      </c>
      <c r="V460" s="378">
        <v>2050</v>
      </c>
      <c r="W460" s="378">
        <v>2050</v>
      </c>
      <c r="X460" s="378">
        <v>2050</v>
      </c>
      <c r="Y460" s="378">
        <v>2050</v>
      </c>
    </row>
    <row r="461" spans="1:25" x14ac:dyDescent="0.35">
      <c r="A461" s="277" t="s">
        <v>102</v>
      </c>
      <c r="B461" s="378">
        <v>2050</v>
      </c>
      <c r="C461" s="378">
        <v>2050</v>
      </c>
      <c r="D461" s="378">
        <v>2050</v>
      </c>
      <c r="E461" s="378">
        <v>2050</v>
      </c>
      <c r="F461" s="378">
        <v>2050</v>
      </c>
      <c r="G461" s="378">
        <v>2050</v>
      </c>
      <c r="H461" s="378">
        <v>2050</v>
      </c>
      <c r="I461" s="378">
        <v>2050</v>
      </c>
      <c r="J461" s="378">
        <v>2050</v>
      </c>
      <c r="K461" s="378">
        <v>2050</v>
      </c>
      <c r="L461" s="378">
        <v>2050</v>
      </c>
      <c r="M461" s="378">
        <v>2050</v>
      </c>
      <c r="N461" s="378">
        <v>2050</v>
      </c>
      <c r="O461" s="103">
        <v>2050</v>
      </c>
      <c r="P461" s="378">
        <v>2050</v>
      </c>
      <c r="Q461" s="378">
        <v>2050</v>
      </c>
      <c r="R461" s="103">
        <v>2050</v>
      </c>
      <c r="S461" s="378">
        <v>2050</v>
      </c>
      <c r="T461" s="378">
        <v>2050</v>
      </c>
      <c r="U461" s="378">
        <v>2050</v>
      </c>
      <c r="V461" s="378">
        <v>2050</v>
      </c>
      <c r="W461" s="378">
        <v>2050</v>
      </c>
      <c r="X461" s="378">
        <v>2050</v>
      </c>
      <c r="Y461" s="378">
        <v>2050</v>
      </c>
    </row>
    <row r="462" spans="1:25" x14ac:dyDescent="0.35">
      <c r="A462" s="277" t="s">
        <v>103</v>
      </c>
      <c r="B462" s="378">
        <v>2050</v>
      </c>
      <c r="C462" s="378">
        <v>2050</v>
      </c>
      <c r="D462" s="378">
        <v>2050</v>
      </c>
      <c r="E462" s="378">
        <v>2050</v>
      </c>
      <c r="F462" s="378">
        <v>2050</v>
      </c>
      <c r="G462" s="378">
        <v>2050</v>
      </c>
      <c r="H462" s="378">
        <v>2050</v>
      </c>
      <c r="I462" s="378">
        <v>2050</v>
      </c>
      <c r="J462" s="378">
        <v>2050</v>
      </c>
      <c r="K462" s="378">
        <v>2050</v>
      </c>
      <c r="L462" s="378">
        <v>2050</v>
      </c>
      <c r="M462" s="378">
        <v>2050</v>
      </c>
      <c r="N462" s="378">
        <v>2050</v>
      </c>
      <c r="O462" s="103">
        <v>2050</v>
      </c>
      <c r="P462" s="378">
        <v>2050</v>
      </c>
      <c r="Q462" s="378">
        <v>2050</v>
      </c>
      <c r="R462" s="103">
        <v>2050</v>
      </c>
      <c r="S462" s="378">
        <v>2050</v>
      </c>
      <c r="T462" s="378">
        <v>2050</v>
      </c>
      <c r="U462" s="378">
        <v>2050</v>
      </c>
      <c r="V462" s="378">
        <v>2050</v>
      </c>
      <c r="W462" s="378">
        <v>2050</v>
      </c>
      <c r="X462" s="378">
        <v>2050</v>
      </c>
      <c r="Y462" s="378">
        <v>2050</v>
      </c>
    </row>
    <row r="463" spans="1:25" x14ac:dyDescent="0.35">
      <c r="A463" s="277" t="s">
        <v>104</v>
      </c>
      <c r="B463" s="378">
        <v>2050</v>
      </c>
      <c r="C463" s="378">
        <v>2050</v>
      </c>
      <c r="D463" s="378">
        <v>2050</v>
      </c>
      <c r="E463" s="378">
        <v>2050</v>
      </c>
      <c r="F463" s="378">
        <v>2050</v>
      </c>
      <c r="G463" s="378">
        <v>2050</v>
      </c>
      <c r="H463" s="378">
        <v>2050</v>
      </c>
      <c r="I463" s="378">
        <v>2050</v>
      </c>
      <c r="J463" s="378">
        <v>2050</v>
      </c>
      <c r="K463" s="378">
        <v>2050</v>
      </c>
      <c r="L463" s="378">
        <v>2050</v>
      </c>
      <c r="M463" s="378">
        <v>2050</v>
      </c>
      <c r="N463" s="378">
        <v>2050</v>
      </c>
      <c r="O463" s="103">
        <v>2050</v>
      </c>
      <c r="P463" s="378">
        <v>2050</v>
      </c>
      <c r="Q463" s="378">
        <v>2050</v>
      </c>
      <c r="R463" s="103">
        <v>2050</v>
      </c>
      <c r="S463" s="378">
        <v>2050</v>
      </c>
      <c r="T463" s="378">
        <v>2050</v>
      </c>
      <c r="U463" s="378">
        <v>2050</v>
      </c>
      <c r="V463" s="378">
        <v>2050</v>
      </c>
      <c r="W463" s="378">
        <v>2050</v>
      </c>
      <c r="X463" s="378">
        <v>2050</v>
      </c>
      <c r="Y463" s="378">
        <v>2050</v>
      </c>
    </row>
    <row r="464" spans="1:25" x14ac:dyDescent="0.35">
      <c r="A464" s="277" t="s">
        <v>105</v>
      </c>
      <c r="B464" s="378">
        <v>2050</v>
      </c>
      <c r="C464" s="378">
        <v>2050</v>
      </c>
      <c r="D464" s="378">
        <v>2050</v>
      </c>
      <c r="E464" s="378">
        <v>2050</v>
      </c>
      <c r="F464" s="378">
        <v>2050</v>
      </c>
      <c r="G464" s="378">
        <v>2050</v>
      </c>
      <c r="H464" s="378">
        <v>2050</v>
      </c>
      <c r="I464" s="378">
        <v>2050</v>
      </c>
      <c r="J464" s="378">
        <v>2050</v>
      </c>
      <c r="K464" s="378">
        <v>2050</v>
      </c>
      <c r="L464" s="378">
        <v>2050</v>
      </c>
      <c r="M464" s="378">
        <v>2050</v>
      </c>
      <c r="N464" s="378">
        <v>2050</v>
      </c>
      <c r="O464" s="103">
        <v>2050</v>
      </c>
      <c r="P464" s="378">
        <v>2050</v>
      </c>
      <c r="Q464" s="378">
        <v>2050</v>
      </c>
      <c r="R464" s="103">
        <v>2050</v>
      </c>
      <c r="S464" s="378">
        <v>2050</v>
      </c>
      <c r="T464" s="378">
        <v>2050</v>
      </c>
      <c r="U464" s="378">
        <v>2050</v>
      </c>
      <c r="V464" s="378">
        <v>2050</v>
      </c>
      <c r="W464" s="378">
        <v>2050</v>
      </c>
      <c r="X464" s="378">
        <v>2050</v>
      </c>
      <c r="Y464" s="378">
        <v>2050</v>
      </c>
    </row>
    <row r="465" spans="1:25" x14ac:dyDescent="0.35">
      <c r="A465" s="277" t="s">
        <v>106</v>
      </c>
      <c r="B465" s="378">
        <v>2050</v>
      </c>
      <c r="C465" s="378">
        <v>2050</v>
      </c>
      <c r="D465" s="378">
        <v>2050</v>
      </c>
      <c r="E465" s="378">
        <v>2050</v>
      </c>
      <c r="F465" s="378">
        <v>2050</v>
      </c>
      <c r="G465" s="378">
        <v>2050</v>
      </c>
      <c r="H465" s="378">
        <v>2050</v>
      </c>
      <c r="I465" s="378">
        <v>2050</v>
      </c>
      <c r="J465" s="378">
        <v>2050</v>
      </c>
      <c r="K465" s="378">
        <v>2050</v>
      </c>
      <c r="L465" s="378">
        <v>2050</v>
      </c>
      <c r="M465" s="378">
        <v>2050</v>
      </c>
      <c r="N465" s="378">
        <v>2050</v>
      </c>
      <c r="O465" s="103">
        <v>2050</v>
      </c>
      <c r="P465" s="378">
        <v>2050</v>
      </c>
      <c r="Q465" s="378">
        <v>2050</v>
      </c>
      <c r="R465" s="103">
        <v>2050</v>
      </c>
      <c r="S465" s="378">
        <v>2050</v>
      </c>
      <c r="T465" s="378">
        <v>2050</v>
      </c>
      <c r="U465" s="378">
        <v>2050</v>
      </c>
      <c r="V465" s="378">
        <v>2050</v>
      </c>
      <c r="W465" s="378">
        <v>2050</v>
      </c>
      <c r="X465" s="378">
        <v>2050</v>
      </c>
      <c r="Y465" s="378">
        <v>2050</v>
      </c>
    </row>
    <row r="466" spans="1:25" x14ac:dyDescent="0.35">
      <c r="A466" s="277" t="s">
        <v>107</v>
      </c>
      <c r="B466" s="378">
        <v>2050</v>
      </c>
      <c r="C466" s="378">
        <v>2050</v>
      </c>
      <c r="D466" s="378">
        <v>2050</v>
      </c>
      <c r="E466" s="378">
        <v>2050</v>
      </c>
      <c r="F466" s="378">
        <v>2050</v>
      </c>
      <c r="G466" s="378">
        <v>2050</v>
      </c>
      <c r="H466" s="378">
        <v>2050</v>
      </c>
      <c r="I466" s="378">
        <v>2050</v>
      </c>
      <c r="J466" s="378">
        <v>2050</v>
      </c>
      <c r="K466" s="378">
        <v>2050</v>
      </c>
      <c r="L466" s="378">
        <v>2050</v>
      </c>
      <c r="M466" s="378">
        <v>2050</v>
      </c>
      <c r="N466" s="378">
        <v>2050</v>
      </c>
      <c r="O466" s="103">
        <v>2050</v>
      </c>
      <c r="P466" s="378">
        <v>2050</v>
      </c>
      <c r="Q466" s="378">
        <v>2050</v>
      </c>
      <c r="R466" s="103">
        <v>2050</v>
      </c>
      <c r="S466" s="378">
        <v>2050</v>
      </c>
      <c r="T466" s="378">
        <v>2050</v>
      </c>
      <c r="U466" s="378">
        <v>2050</v>
      </c>
      <c r="V466" s="378">
        <v>2050</v>
      </c>
      <c r="W466" s="378">
        <v>2050</v>
      </c>
      <c r="X466" s="378">
        <v>2050</v>
      </c>
      <c r="Y466" s="378">
        <v>2050</v>
      </c>
    </row>
    <row r="467" spans="1:25" x14ac:dyDescent="0.35">
      <c r="A467" s="277" t="s">
        <v>108</v>
      </c>
      <c r="B467" s="378">
        <v>2050</v>
      </c>
      <c r="C467" s="378">
        <v>2050</v>
      </c>
      <c r="D467" s="378">
        <v>2050</v>
      </c>
      <c r="E467" s="378">
        <v>2050</v>
      </c>
      <c r="F467" s="378">
        <v>2050</v>
      </c>
      <c r="G467" s="378">
        <v>2050</v>
      </c>
      <c r="H467" s="378">
        <v>2050</v>
      </c>
      <c r="I467" s="378">
        <v>2050</v>
      </c>
      <c r="J467" s="378">
        <v>2050</v>
      </c>
      <c r="K467" s="378">
        <v>2050</v>
      </c>
      <c r="L467" s="378">
        <v>2050</v>
      </c>
      <c r="M467" s="378">
        <v>2050</v>
      </c>
      <c r="N467" s="378">
        <v>2050</v>
      </c>
      <c r="O467" s="103">
        <v>2050</v>
      </c>
      <c r="P467" s="378">
        <v>2050</v>
      </c>
      <c r="Q467" s="378">
        <v>2050</v>
      </c>
      <c r="R467" s="103">
        <v>2050</v>
      </c>
      <c r="S467" s="378">
        <v>2050</v>
      </c>
      <c r="T467" s="378">
        <v>2050</v>
      </c>
      <c r="U467" s="378">
        <v>2050</v>
      </c>
      <c r="V467" s="378">
        <v>2050</v>
      </c>
      <c r="W467" s="378">
        <v>2050</v>
      </c>
      <c r="X467" s="378">
        <v>2050</v>
      </c>
      <c r="Y467" s="378">
        <v>2050</v>
      </c>
    </row>
    <row r="468" spans="1:25" x14ac:dyDescent="0.35">
      <c r="A468" s="277" t="s">
        <v>109</v>
      </c>
      <c r="B468" s="378">
        <v>2050</v>
      </c>
      <c r="C468" s="378">
        <v>2050</v>
      </c>
      <c r="D468" s="378">
        <v>2050</v>
      </c>
      <c r="E468" s="378">
        <v>2050</v>
      </c>
      <c r="F468" s="378">
        <v>2050</v>
      </c>
      <c r="G468" s="378">
        <v>2050</v>
      </c>
      <c r="H468" s="378">
        <v>2050</v>
      </c>
      <c r="I468" s="378">
        <v>2050</v>
      </c>
      <c r="J468" s="378">
        <v>2050</v>
      </c>
      <c r="K468" s="378">
        <v>2050</v>
      </c>
      <c r="L468" s="378">
        <v>2050</v>
      </c>
      <c r="M468" s="378">
        <v>2050</v>
      </c>
      <c r="N468" s="378">
        <v>2050</v>
      </c>
      <c r="O468" s="103">
        <v>2050</v>
      </c>
      <c r="P468" s="378">
        <v>2050</v>
      </c>
      <c r="Q468" s="378">
        <v>2050</v>
      </c>
      <c r="R468" s="103">
        <v>2050</v>
      </c>
      <c r="S468" s="378">
        <v>2050</v>
      </c>
      <c r="T468" s="378">
        <v>2050</v>
      </c>
      <c r="U468" s="378">
        <v>2050</v>
      </c>
      <c r="V468" s="378">
        <v>2050</v>
      </c>
      <c r="W468" s="378">
        <v>2050</v>
      </c>
      <c r="X468" s="378">
        <v>2050</v>
      </c>
      <c r="Y468" s="378">
        <v>2050</v>
      </c>
    </row>
    <row r="469" spans="1:25" x14ac:dyDescent="0.35">
      <c r="A469" s="277" t="s">
        <v>229</v>
      </c>
      <c r="B469" s="378">
        <v>2050</v>
      </c>
      <c r="C469" s="378">
        <v>2050</v>
      </c>
      <c r="D469" s="378">
        <v>2050</v>
      </c>
      <c r="E469" s="378">
        <v>2050</v>
      </c>
      <c r="F469" s="378">
        <v>2050</v>
      </c>
      <c r="G469" s="378">
        <v>2050</v>
      </c>
      <c r="H469" s="378">
        <v>2050</v>
      </c>
      <c r="I469" s="378">
        <v>2050</v>
      </c>
      <c r="J469" s="378">
        <v>2050</v>
      </c>
      <c r="K469" s="378">
        <v>2050</v>
      </c>
      <c r="L469" s="378">
        <v>2050</v>
      </c>
      <c r="M469" s="378">
        <v>2050</v>
      </c>
      <c r="N469" s="378">
        <v>2050</v>
      </c>
      <c r="O469" s="103">
        <v>2050</v>
      </c>
      <c r="P469" s="378">
        <v>2050</v>
      </c>
      <c r="Q469" s="378">
        <v>2050</v>
      </c>
      <c r="R469" s="103">
        <v>2050</v>
      </c>
      <c r="S469" s="378">
        <v>2050</v>
      </c>
      <c r="T469" s="378">
        <v>2050</v>
      </c>
      <c r="U469" s="378">
        <v>2050</v>
      </c>
      <c r="V469" s="378">
        <v>2050</v>
      </c>
      <c r="W469" s="378">
        <v>2050</v>
      </c>
      <c r="X469" s="378">
        <v>2050</v>
      </c>
      <c r="Y469" s="378">
        <v>2050</v>
      </c>
    </row>
    <row r="470" spans="1:25" x14ac:dyDescent="0.35">
      <c r="A470" s="277" t="s">
        <v>111</v>
      </c>
      <c r="B470" s="378">
        <v>2050</v>
      </c>
      <c r="C470" s="378">
        <v>2050</v>
      </c>
      <c r="D470" s="378">
        <v>2050</v>
      </c>
      <c r="E470" s="378">
        <v>2050</v>
      </c>
      <c r="F470" s="378">
        <v>2050</v>
      </c>
      <c r="G470" s="378">
        <v>2050</v>
      </c>
      <c r="H470" s="378">
        <v>2050</v>
      </c>
      <c r="I470" s="378">
        <v>2050</v>
      </c>
      <c r="J470" s="378">
        <v>2050</v>
      </c>
      <c r="K470" s="378">
        <v>2050</v>
      </c>
      <c r="L470" s="378">
        <v>2050</v>
      </c>
      <c r="M470" s="378">
        <v>2050</v>
      </c>
      <c r="N470" s="378">
        <v>2050</v>
      </c>
      <c r="O470" s="103">
        <v>2050</v>
      </c>
      <c r="P470" s="378">
        <v>2050</v>
      </c>
      <c r="Q470" s="378">
        <v>2050</v>
      </c>
      <c r="R470" s="103">
        <v>2050</v>
      </c>
      <c r="S470" s="378">
        <v>2050</v>
      </c>
      <c r="T470" s="378">
        <v>2050</v>
      </c>
      <c r="U470" s="378">
        <v>2050</v>
      </c>
      <c r="V470" s="378">
        <v>2050</v>
      </c>
      <c r="W470" s="378">
        <v>2050</v>
      </c>
      <c r="X470" s="378">
        <v>2050</v>
      </c>
      <c r="Y470" s="378">
        <v>2050</v>
      </c>
    </row>
    <row r="471" spans="1:25" x14ac:dyDescent="0.35">
      <c r="A471" s="277" t="s">
        <v>112</v>
      </c>
      <c r="B471" s="378">
        <v>2050</v>
      </c>
      <c r="C471" s="378">
        <v>2050</v>
      </c>
      <c r="D471" s="378">
        <v>2050</v>
      </c>
      <c r="E471" s="378">
        <v>2050</v>
      </c>
      <c r="F471" s="378">
        <v>2050</v>
      </c>
      <c r="G471" s="378">
        <v>2050</v>
      </c>
      <c r="H471" s="378">
        <v>2050</v>
      </c>
      <c r="I471" s="378">
        <v>2050</v>
      </c>
      <c r="J471" s="378">
        <v>2050</v>
      </c>
      <c r="K471" s="378">
        <v>2050</v>
      </c>
      <c r="L471" s="378">
        <v>2050</v>
      </c>
      <c r="M471" s="378">
        <v>2050</v>
      </c>
      <c r="N471" s="378">
        <v>2050</v>
      </c>
      <c r="O471" s="103">
        <v>2050</v>
      </c>
      <c r="P471" s="378">
        <v>2050</v>
      </c>
      <c r="Q471" s="378">
        <v>2050</v>
      </c>
      <c r="R471" s="103">
        <v>2050</v>
      </c>
      <c r="S471" s="378">
        <v>2050</v>
      </c>
      <c r="T471" s="378">
        <v>2050</v>
      </c>
      <c r="U471" s="378">
        <v>2050</v>
      </c>
      <c r="V471" s="378">
        <v>2050</v>
      </c>
      <c r="W471" s="378">
        <v>2050</v>
      </c>
      <c r="X471" s="378">
        <v>2050</v>
      </c>
      <c r="Y471" s="378">
        <v>2050</v>
      </c>
    </row>
    <row r="472" spans="1:25" x14ac:dyDescent="0.35">
      <c r="A472" s="277" t="s">
        <v>113</v>
      </c>
      <c r="B472" s="378">
        <v>2050</v>
      </c>
      <c r="C472" s="378">
        <v>2050</v>
      </c>
      <c r="D472" s="378">
        <v>2050</v>
      </c>
      <c r="E472" s="378">
        <v>2050</v>
      </c>
      <c r="F472" s="378">
        <v>2050</v>
      </c>
      <c r="G472" s="378">
        <v>2050</v>
      </c>
      <c r="H472" s="378">
        <v>2050</v>
      </c>
      <c r="I472" s="378">
        <v>2050</v>
      </c>
      <c r="J472" s="378">
        <v>2050</v>
      </c>
      <c r="K472" s="378">
        <v>2050</v>
      </c>
      <c r="L472" s="378">
        <v>2050</v>
      </c>
      <c r="M472" s="378">
        <v>2050</v>
      </c>
      <c r="N472" s="378">
        <v>2050</v>
      </c>
      <c r="O472" s="103">
        <v>2050</v>
      </c>
      <c r="P472" s="378">
        <v>2050</v>
      </c>
      <c r="Q472" s="378">
        <v>2050</v>
      </c>
      <c r="R472" s="103">
        <v>2050</v>
      </c>
      <c r="S472" s="378">
        <v>2050</v>
      </c>
      <c r="T472" s="378">
        <v>2050</v>
      </c>
      <c r="U472" s="378">
        <v>2050</v>
      </c>
      <c r="V472" s="378">
        <v>2050</v>
      </c>
      <c r="W472" s="378">
        <v>2050</v>
      </c>
      <c r="X472" s="378">
        <v>2050</v>
      </c>
      <c r="Y472" s="378">
        <v>2050</v>
      </c>
    </row>
    <row r="473" spans="1:25" x14ac:dyDescent="0.35">
      <c r="A473" s="277" t="s">
        <v>114</v>
      </c>
      <c r="B473" s="378">
        <v>2050</v>
      </c>
      <c r="C473" s="378">
        <v>2050</v>
      </c>
      <c r="D473" s="378">
        <v>2050</v>
      </c>
      <c r="E473" s="378">
        <v>2050</v>
      </c>
      <c r="F473" s="378">
        <v>2050</v>
      </c>
      <c r="G473" s="378">
        <v>2050</v>
      </c>
      <c r="H473" s="378">
        <v>2050</v>
      </c>
      <c r="I473" s="378">
        <v>2050</v>
      </c>
      <c r="J473" s="378">
        <v>2050</v>
      </c>
      <c r="K473" s="378">
        <v>2050</v>
      </c>
      <c r="L473" s="378">
        <v>2050</v>
      </c>
      <c r="M473" s="378">
        <v>2050</v>
      </c>
      <c r="N473" s="378">
        <v>2050</v>
      </c>
      <c r="O473" s="103">
        <v>2050</v>
      </c>
      <c r="P473" s="378">
        <v>2050</v>
      </c>
      <c r="Q473" s="378">
        <v>2050</v>
      </c>
      <c r="R473" s="103">
        <v>2050</v>
      </c>
      <c r="S473" s="378">
        <v>2050</v>
      </c>
      <c r="T473" s="378">
        <v>2050</v>
      </c>
      <c r="U473" s="378">
        <v>2050</v>
      </c>
      <c r="V473" s="378">
        <v>2050</v>
      </c>
      <c r="W473" s="378">
        <v>2050</v>
      </c>
      <c r="X473" s="378">
        <v>2050</v>
      </c>
      <c r="Y473" s="378">
        <v>2050</v>
      </c>
    </row>
    <row r="474" spans="1:25" x14ac:dyDescent="0.35">
      <c r="A474" s="277" t="s">
        <v>115</v>
      </c>
      <c r="B474" s="378">
        <v>2050</v>
      </c>
      <c r="C474" s="378">
        <v>2050</v>
      </c>
      <c r="D474" s="378">
        <v>2050</v>
      </c>
      <c r="E474" s="378">
        <v>2050</v>
      </c>
      <c r="F474" s="378">
        <v>2050</v>
      </c>
      <c r="G474" s="378">
        <v>2050</v>
      </c>
      <c r="H474" s="378">
        <v>2050</v>
      </c>
      <c r="I474" s="378">
        <v>2050</v>
      </c>
      <c r="J474" s="378">
        <v>2050</v>
      </c>
      <c r="K474" s="378">
        <v>2050</v>
      </c>
      <c r="L474" s="378">
        <v>2050</v>
      </c>
      <c r="M474" s="378">
        <v>2050</v>
      </c>
      <c r="N474" s="378">
        <v>2050</v>
      </c>
      <c r="O474" s="103">
        <v>2050</v>
      </c>
      <c r="P474" s="378">
        <v>2050</v>
      </c>
      <c r="Q474" s="378">
        <v>2050</v>
      </c>
      <c r="R474" s="103">
        <v>2050</v>
      </c>
      <c r="S474" s="378">
        <v>2050</v>
      </c>
      <c r="T474" s="378">
        <v>2050</v>
      </c>
      <c r="U474" s="378">
        <v>2050</v>
      </c>
      <c r="V474" s="378">
        <v>2050</v>
      </c>
      <c r="W474" s="378">
        <v>2050</v>
      </c>
      <c r="X474" s="378">
        <v>2050</v>
      </c>
      <c r="Y474" s="378">
        <v>2050</v>
      </c>
    </row>
    <row r="475" spans="1:25" x14ac:dyDescent="0.35">
      <c r="A475" s="277" t="s">
        <v>116</v>
      </c>
      <c r="B475" s="378">
        <v>2050</v>
      </c>
      <c r="C475" s="378">
        <v>2050</v>
      </c>
      <c r="D475" s="378">
        <v>2050</v>
      </c>
      <c r="E475" s="378">
        <v>2050</v>
      </c>
      <c r="F475" s="378">
        <v>2050</v>
      </c>
      <c r="G475" s="378">
        <v>2050</v>
      </c>
      <c r="H475" s="378">
        <v>2050</v>
      </c>
      <c r="I475" s="378">
        <v>2050</v>
      </c>
      <c r="J475" s="378">
        <v>2050</v>
      </c>
      <c r="K475" s="378">
        <v>2050</v>
      </c>
      <c r="L475" s="378">
        <v>2050</v>
      </c>
      <c r="M475" s="378">
        <v>2050</v>
      </c>
      <c r="N475" s="378">
        <v>2050</v>
      </c>
      <c r="O475" s="103">
        <v>2050</v>
      </c>
      <c r="P475" s="378">
        <v>2050</v>
      </c>
      <c r="Q475" s="378">
        <v>2050</v>
      </c>
      <c r="R475" s="103">
        <v>2050</v>
      </c>
      <c r="S475" s="378">
        <v>2050</v>
      </c>
      <c r="T475" s="378">
        <v>2050</v>
      </c>
      <c r="U475" s="378">
        <v>2050</v>
      </c>
      <c r="V475" s="378">
        <v>2050</v>
      </c>
      <c r="W475" s="378">
        <v>2050</v>
      </c>
      <c r="X475" s="378">
        <v>2050</v>
      </c>
      <c r="Y475" s="378">
        <v>2050</v>
      </c>
    </row>
    <row r="476" spans="1:25" x14ac:dyDescent="0.35">
      <c r="A476" s="277" t="s">
        <v>117</v>
      </c>
      <c r="B476" s="378">
        <v>2050</v>
      </c>
      <c r="C476" s="378">
        <v>2050</v>
      </c>
      <c r="D476" s="378">
        <v>2050</v>
      </c>
      <c r="E476" s="378">
        <v>2050</v>
      </c>
      <c r="F476" s="378">
        <v>2050</v>
      </c>
      <c r="G476" s="378">
        <v>2050</v>
      </c>
      <c r="H476" s="378">
        <v>2050</v>
      </c>
      <c r="I476" s="378">
        <v>2050</v>
      </c>
      <c r="J476" s="378">
        <v>2050</v>
      </c>
      <c r="K476" s="378">
        <v>2050</v>
      </c>
      <c r="L476" s="378">
        <v>2050</v>
      </c>
      <c r="M476" s="378">
        <v>2050</v>
      </c>
      <c r="N476" s="378">
        <v>2050</v>
      </c>
      <c r="O476" s="103">
        <v>2050</v>
      </c>
      <c r="P476" s="378">
        <v>2050</v>
      </c>
      <c r="Q476" s="378">
        <v>2050</v>
      </c>
      <c r="R476" s="103">
        <v>2050</v>
      </c>
      <c r="S476" s="378">
        <v>2050</v>
      </c>
      <c r="T476" s="378">
        <v>2050</v>
      </c>
      <c r="U476" s="378">
        <v>2050</v>
      </c>
      <c r="V476" s="378">
        <v>2050</v>
      </c>
      <c r="W476" s="378">
        <v>2050</v>
      </c>
      <c r="X476" s="378">
        <v>2050</v>
      </c>
      <c r="Y476" s="378">
        <v>2050</v>
      </c>
    </row>
    <row r="477" spans="1:25" x14ac:dyDescent="0.35">
      <c r="A477" s="277" t="s">
        <v>118</v>
      </c>
      <c r="B477" s="378">
        <v>2050</v>
      </c>
      <c r="C477" s="378">
        <v>2050</v>
      </c>
      <c r="D477" s="378">
        <v>2050</v>
      </c>
      <c r="E477" s="378">
        <v>2050</v>
      </c>
      <c r="F477" s="378">
        <v>2050</v>
      </c>
      <c r="G477" s="378">
        <v>2050</v>
      </c>
      <c r="H477" s="378">
        <v>2050</v>
      </c>
      <c r="I477" s="378">
        <v>2050</v>
      </c>
      <c r="J477" s="378">
        <v>2050</v>
      </c>
      <c r="K477" s="378">
        <v>2050</v>
      </c>
      <c r="L477" s="378">
        <v>2050</v>
      </c>
      <c r="M477" s="378">
        <v>2050</v>
      </c>
      <c r="N477" s="378">
        <v>2050</v>
      </c>
      <c r="O477" s="103">
        <v>2050</v>
      </c>
      <c r="P477" s="378">
        <v>2050</v>
      </c>
      <c r="Q477" s="378">
        <v>2050</v>
      </c>
      <c r="R477" s="103">
        <v>2050</v>
      </c>
      <c r="S477" s="378">
        <v>2050</v>
      </c>
      <c r="T477" s="378">
        <v>2050</v>
      </c>
      <c r="U477" s="378">
        <v>2050</v>
      </c>
      <c r="V477" s="378">
        <v>2050</v>
      </c>
      <c r="W477" s="378">
        <v>2050</v>
      </c>
      <c r="X477" s="378">
        <v>2050</v>
      </c>
      <c r="Y477" s="378">
        <v>2050</v>
      </c>
    </row>
    <row r="478" spans="1:25" x14ac:dyDescent="0.35">
      <c r="A478" s="277" t="s">
        <v>119</v>
      </c>
      <c r="B478" s="378">
        <v>2050</v>
      </c>
      <c r="C478" s="378">
        <v>2050</v>
      </c>
      <c r="D478" s="378">
        <v>2050</v>
      </c>
      <c r="E478" s="378">
        <v>2050</v>
      </c>
      <c r="F478" s="378">
        <v>2050</v>
      </c>
      <c r="G478" s="378">
        <v>2050</v>
      </c>
      <c r="H478" s="378">
        <v>2050</v>
      </c>
      <c r="I478" s="378">
        <v>2050</v>
      </c>
      <c r="J478" s="378">
        <v>2050</v>
      </c>
      <c r="K478" s="378">
        <v>2050</v>
      </c>
      <c r="L478" s="378">
        <v>2050</v>
      </c>
      <c r="M478" s="378">
        <v>2050</v>
      </c>
      <c r="N478" s="378">
        <v>2050</v>
      </c>
      <c r="O478" s="103">
        <v>2050</v>
      </c>
      <c r="P478" s="378">
        <v>2050</v>
      </c>
      <c r="Q478" s="378">
        <v>2050</v>
      </c>
      <c r="R478" s="103">
        <v>2050</v>
      </c>
      <c r="S478" s="378">
        <v>2050</v>
      </c>
      <c r="T478" s="378">
        <v>2050</v>
      </c>
      <c r="U478" s="378">
        <v>2050</v>
      </c>
      <c r="V478" s="378">
        <v>2050</v>
      </c>
      <c r="W478" s="378">
        <v>2050</v>
      </c>
      <c r="X478" s="378">
        <v>2050</v>
      </c>
      <c r="Y478" s="378">
        <v>2050</v>
      </c>
    </row>
    <row r="479" spans="1:25" x14ac:dyDescent="0.35">
      <c r="A479" s="277" t="s">
        <v>120</v>
      </c>
      <c r="B479" s="378">
        <v>2050</v>
      </c>
      <c r="C479" s="378">
        <v>2050</v>
      </c>
      <c r="D479" s="378">
        <v>2050</v>
      </c>
      <c r="E479" s="378">
        <v>2050</v>
      </c>
      <c r="F479" s="378">
        <v>2050</v>
      </c>
      <c r="G479" s="378">
        <v>2050</v>
      </c>
      <c r="H479" s="378">
        <v>2050</v>
      </c>
      <c r="I479" s="378">
        <v>2050</v>
      </c>
      <c r="J479" s="378">
        <v>2050</v>
      </c>
      <c r="K479" s="378">
        <v>2050</v>
      </c>
      <c r="L479" s="378">
        <v>2050</v>
      </c>
      <c r="M479" s="378">
        <v>2050</v>
      </c>
      <c r="N479" s="378">
        <v>2050</v>
      </c>
      <c r="O479" s="103">
        <v>2050</v>
      </c>
      <c r="P479" s="378">
        <v>2050</v>
      </c>
      <c r="Q479" s="378">
        <v>2050</v>
      </c>
      <c r="R479" s="103">
        <v>2050</v>
      </c>
      <c r="S479" s="378">
        <v>2050</v>
      </c>
      <c r="T479" s="378">
        <v>2050</v>
      </c>
      <c r="U479" s="378">
        <v>2050</v>
      </c>
      <c r="V479" s="378">
        <v>2050</v>
      </c>
      <c r="W479" s="378">
        <v>2050</v>
      </c>
      <c r="X479" s="378">
        <v>2050</v>
      </c>
      <c r="Y479" s="378">
        <v>2050</v>
      </c>
    </row>
    <row r="480" spans="1:25" x14ac:dyDescent="0.35">
      <c r="A480" s="278" t="s">
        <v>83</v>
      </c>
      <c r="B480" s="378">
        <v>2050</v>
      </c>
      <c r="C480" s="378">
        <v>2050</v>
      </c>
      <c r="D480" s="378">
        <v>2050</v>
      </c>
      <c r="E480" s="378">
        <v>2050</v>
      </c>
      <c r="F480" s="378">
        <v>2050</v>
      </c>
      <c r="G480" s="378">
        <v>2050</v>
      </c>
      <c r="H480" s="378">
        <v>2050</v>
      </c>
      <c r="I480" s="378">
        <v>2050</v>
      </c>
      <c r="J480" s="378">
        <v>2050</v>
      </c>
      <c r="K480" s="378">
        <v>2050</v>
      </c>
      <c r="L480" s="378">
        <v>2050</v>
      </c>
      <c r="M480" s="378">
        <v>2050</v>
      </c>
      <c r="N480" s="378">
        <v>2050</v>
      </c>
      <c r="O480" s="103">
        <v>2050</v>
      </c>
      <c r="P480" s="378">
        <v>2050</v>
      </c>
      <c r="Q480" s="378">
        <v>2050</v>
      </c>
      <c r="R480" s="103">
        <v>2050</v>
      </c>
      <c r="S480" s="378">
        <v>2050</v>
      </c>
      <c r="T480" s="378">
        <v>2050</v>
      </c>
      <c r="U480" s="378">
        <v>2050</v>
      </c>
      <c r="V480" s="378">
        <v>2050</v>
      </c>
      <c r="W480" s="378">
        <v>2050</v>
      </c>
      <c r="X480" s="378">
        <v>2050</v>
      </c>
      <c r="Y480" s="378">
        <v>2050</v>
      </c>
    </row>
    <row r="481" spans="1:25" x14ac:dyDescent="0.35">
      <c r="A481" s="278" t="s">
        <v>144</v>
      </c>
      <c r="B481" s="378">
        <v>2050</v>
      </c>
      <c r="C481" s="378">
        <v>2050</v>
      </c>
      <c r="D481" s="378">
        <v>2050</v>
      </c>
      <c r="E481" s="378">
        <v>2050</v>
      </c>
      <c r="F481" s="378">
        <v>2050</v>
      </c>
      <c r="G481" s="378">
        <v>2050</v>
      </c>
      <c r="H481" s="378">
        <v>2050</v>
      </c>
      <c r="I481" s="378">
        <v>2050</v>
      </c>
      <c r="J481" s="378">
        <v>2050</v>
      </c>
      <c r="K481" s="378">
        <v>2050</v>
      </c>
      <c r="L481" s="378">
        <v>2050</v>
      </c>
      <c r="M481" s="378">
        <v>2050</v>
      </c>
      <c r="N481" s="378">
        <v>2050</v>
      </c>
      <c r="O481" s="103">
        <v>2050</v>
      </c>
      <c r="P481" s="378">
        <v>2050</v>
      </c>
      <c r="Q481" s="378">
        <v>2050</v>
      </c>
      <c r="R481" s="103">
        <v>2050</v>
      </c>
      <c r="S481" s="378">
        <v>2050</v>
      </c>
      <c r="T481" s="378">
        <v>2050</v>
      </c>
      <c r="U481" s="378">
        <v>2050</v>
      </c>
      <c r="V481" s="378">
        <v>2050</v>
      </c>
      <c r="W481" s="378">
        <v>2050</v>
      </c>
      <c r="X481" s="378">
        <v>2050</v>
      </c>
      <c r="Y481" s="378">
        <v>2050</v>
      </c>
    </row>
    <row r="482" spans="1:25" x14ac:dyDescent="0.35">
      <c r="A482" s="278" t="s">
        <v>164</v>
      </c>
      <c r="B482" s="378">
        <v>2050</v>
      </c>
      <c r="C482" s="378">
        <v>2050</v>
      </c>
      <c r="D482" s="378">
        <v>2050</v>
      </c>
      <c r="E482" s="378">
        <v>2050</v>
      </c>
      <c r="F482" s="378">
        <v>2050</v>
      </c>
      <c r="G482" s="378">
        <v>2050</v>
      </c>
      <c r="H482" s="378">
        <v>2050</v>
      </c>
      <c r="I482" s="378">
        <v>2050</v>
      </c>
      <c r="J482" s="378">
        <v>2050</v>
      </c>
      <c r="K482" s="378">
        <v>2050</v>
      </c>
      <c r="L482" s="378">
        <v>2050</v>
      </c>
      <c r="M482" s="378">
        <v>2050</v>
      </c>
      <c r="N482" s="378">
        <v>2050</v>
      </c>
      <c r="O482" s="103">
        <v>2050</v>
      </c>
      <c r="P482" s="378">
        <v>2050</v>
      </c>
      <c r="Q482" s="378">
        <v>2050</v>
      </c>
      <c r="R482" s="103">
        <v>2050</v>
      </c>
      <c r="S482" s="378">
        <v>2050</v>
      </c>
      <c r="T482" s="378">
        <v>2050</v>
      </c>
      <c r="U482" s="378">
        <v>2050</v>
      </c>
      <c r="V482" s="378">
        <v>2050</v>
      </c>
      <c r="W482" s="378">
        <v>2050</v>
      </c>
      <c r="X482" s="378">
        <v>2050</v>
      </c>
      <c r="Y482" s="378">
        <v>2050</v>
      </c>
    </row>
    <row r="483" spans="1:25" x14ac:dyDescent="0.35">
      <c r="A483" s="278" t="s">
        <v>145</v>
      </c>
      <c r="B483" s="378">
        <v>2050</v>
      </c>
      <c r="C483" s="378">
        <v>2050</v>
      </c>
      <c r="D483" s="378">
        <v>2050</v>
      </c>
      <c r="E483" s="378">
        <v>2050</v>
      </c>
      <c r="F483" s="378">
        <v>2050</v>
      </c>
      <c r="G483" s="378">
        <v>2050</v>
      </c>
      <c r="H483" s="378">
        <v>2050</v>
      </c>
      <c r="I483" s="378">
        <v>2050</v>
      </c>
      <c r="J483" s="378">
        <v>2050</v>
      </c>
      <c r="K483" s="378">
        <v>2050</v>
      </c>
      <c r="L483" s="378">
        <v>2050</v>
      </c>
      <c r="M483" s="378">
        <v>2050</v>
      </c>
      <c r="N483" s="378">
        <v>2050</v>
      </c>
      <c r="O483" s="103">
        <v>2050</v>
      </c>
      <c r="P483" s="378">
        <v>2050</v>
      </c>
      <c r="Q483" s="378">
        <v>2050</v>
      </c>
      <c r="R483" s="103">
        <v>2050</v>
      </c>
      <c r="S483" s="378">
        <v>2050</v>
      </c>
      <c r="T483" s="378">
        <v>2050</v>
      </c>
      <c r="U483" s="378">
        <v>2050</v>
      </c>
      <c r="V483" s="378">
        <v>2050</v>
      </c>
      <c r="W483" s="378">
        <v>2050</v>
      </c>
      <c r="X483" s="378">
        <v>2050</v>
      </c>
      <c r="Y483" s="378">
        <v>2050</v>
      </c>
    </row>
    <row r="484" spans="1:25" x14ac:dyDescent="0.35">
      <c r="A484" s="278" t="s">
        <v>87</v>
      </c>
      <c r="B484" s="378">
        <v>2050</v>
      </c>
      <c r="C484" s="378">
        <v>2050</v>
      </c>
      <c r="D484" s="378">
        <v>2050</v>
      </c>
      <c r="E484" s="378">
        <v>2050</v>
      </c>
      <c r="F484" s="378">
        <v>2050</v>
      </c>
      <c r="G484" s="378">
        <v>2050</v>
      </c>
      <c r="H484" s="378">
        <v>2050</v>
      </c>
      <c r="I484" s="378">
        <v>2050</v>
      </c>
      <c r="J484" s="378">
        <v>2050</v>
      </c>
      <c r="K484" s="378">
        <v>2050</v>
      </c>
      <c r="L484" s="378">
        <v>2050</v>
      </c>
      <c r="M484" s="378">
        <v>2050</v>
      </c>
      <c r="N484" s="378">
        <v>2050</v>
      </c>
      <c r="O484" s="103">
        <v>2050</v>
      </c>
      <c r="P484" s="378">
        <v>2050</v>
      </c>
      <c r="Q484" s="378">
        <v>2050</v>
      </c>
      <c r="R484" s="103">
        <v>2050</v>
      </c>
      <c r="S484" s="378">
        <v>2050</v>
      </c>
      <c r="T484" s="378">
        <v>2050</v>
      </c>
      <c r="U484" s="378">
        <v>2050</v>
      </c>
      <c r="V484" s="378">
        <v>2050</v>
      </c>
      <c r="W484" s="378">
        <v>2050</v>
      </c>
      <c r="X484" s="378">
        <v>2050</v>
      </c>
      <c r="Y484" s="378">
        <v>2050</v>
      </c>
    </row>
    <row r="485" spans="1:25" x14ac:dyDescent="0.35">
      <c r="A485" s="278" t="s">
        <v>146</v>
      </c>
      <c r="B485" s="378">
        <v>2050</v>
      </c>
      <c r="C485" s="378">
        <v>2050</v>
      </c>
      <c r="D485" s="378">
        <v>2050</v>
      </c>
      <c r="E485" s="378">
        <v>2050</v>
      </c>
      <c r="F485" s="378">
        <v>2050</v>
      </c>
      <c r="G485" s="378">
        <v>2050</v>
      </c>
      <c r="H485" s="378">
        <v>2050</v>
      </c>
      <c r="I485" s="378">
        <v>2050</v>
      </c>
      <c r="J485" s="378">
        <v>2050</v>
      </c>
      <c r="K485" s="378">
        <v>2050</v>
      </c>
      <c r="L485" s="378">
        <v>2050</v>
      </c>
      <c r="M485" s="378">
        <v>2050</v>
      </c>
      <c r="N485" s="378">
        <v>2050</v>
      </c>
      <c r="O485" s="103">
        <v>2050</v>
      </c>
      <c r="P485" s="378">
        <v>2050</v>
      </c>
      <c r="Q485" s="378">
        <v>2050</v>
      </c>
      <c r="R485" s="103">
        <v>2050</v>
      </c>
      <c r="S485" s="378">
        <v>2050</v>
      </c>
      <c r="T485" s="378">
        <v>2050</v>
      </c>
      <c r="U485" s="378">
        <v>2050</v>
      </c>
      <c r="V485" s="378">
        <v>2050</v>
      </c>
      <c r="W485" s="378">
        <v>2050</v>
      </c>
      <c r="X485" s="378">
        <v>2050</v>
      </c>
      <c r="Y485" s="378">
        <v>2050</v>
      </c>
    </row>
    <row r="486" spans="1:25" x14ac:dyDescent="0.35">
      <c r="A486" s="278" t="s">
        <v>89</v>
      </c>
      <c r="B486" s="378">
        <v>2050</v>
      </c>
      <c r="C486" s="378">
        <v>2050</v>
      </c>
      <c r="D486" s="378">
        <v>2050</v>
      </c>
      <c r="E486" s="378">
        <v>2050</v>
      </c>
      <c r="F486" s="378">
        <v>2050</v>
      </c>
      <c r="G486" s="378">
        <v>2050</v>
      </c>
      <c r="H486" s="378">
        <v>2050</v>
      </c>
      <c r="I486" s="378">
        <v>2050</v>
      </c>
      <c r="J486" s="378">
        <v>2050</v>
      </c>
      <c r="K486" s="378">
        <v>2050</v>
      </c>
      <c r="L486" s="378">
        <v>2050</v>
      </c>
      <c r="M486" s="378">
        <v>2050</v>
      </c>
      <c r="N486" s="378">
        <v>2050</v>
      </c>
      <c r="O486" s="103">
        <v>2050</v>
      </c>
      <c r="P486" s="378">
        <v>2050</v>
      </c>
      <c r="Q486" s="378">
        <v>2050</v>
      </c>
      <c r="R486" s="103">
        <v>2050</v>
      </c>
      <c r="S486" s="378">
        <v>2050</v>
      </c>
      <c r="T486" s="378">
        <v>2050</v>
      </c>
      <c r="U486" s="378">
        <v>2050</v>
      </c>
      <c r="V486" s="378">
        <v>2050</v>
      </c>
      <c r="W486" s="378">
        <v>2050</v>
      </c>
      <c r="X486" s="378">
        <v>2050</v>
      </c>
      <c r="Y486" s="378">
        <v>2050</v>
      </c>
    </row>
    <row r="487" spans="1:25" x14ac:dyDescent="0.35">
      <c r="A487" s="278" t="s">
        <v>90</v>
      </c>
      <c r="B487" s="378">
        <v>2050</v>
      </c>
      <c r="C487" s="378">
        <v>2050</v>
      </c>
      <c r="D487" s="378">
        <v>2050</v>
      </c>
      <c r="E487" s="378">
        <v>2050</v>
      </c>
      <c r="F487" s="378">
        <v>2050</v>
      </c>
      <c r="G487" s="378">
        <v>2050</v>
      </c>
      <c r="H487" s="378">
        <v>2050</v>
      </c>
      <c r="I487" s="378">
        <v>2050</v>
      </c>
      <c r="J487" s="378">
        <v>2050</v>
      </c>
      <c r="K487" s="378">
        <v>2050</v>
      </c>
      <c r="L487" s="378">
        <v>2050</v>
      </c>
      <c r="M487" s="378">
        <v>2050</v>
      </c>
      <c r="N487" s="378">
        <v>2050</v>
      </c>
      <c r="O487" s="103">
        <v>2050</v>
      </c>
      <c r="P487" s="378">
        <v>2050</v>
      </c>
      <c r="Q487" s="378">
        <v>2050</v>
      </c>
      <c r="R487" s="103">
        <v>2050</v>
      </c>
      <c r="S487" s="378">
        <v>2050</v>
      </c>
      <c r="T487" s="378">
        <v>2050</v>
      </c>
      <c r="U487" s="378">
        <v>2050</v>
      </c>
      <c r="V487" s="378">
        <v>2050</v>
      </c>
      <c r="W487" s="378">
        <v>2050</v>
      </c>
      <c r="X487" s="378">
        <v>2050</v>
      </c>
      <c r="Y487" s="378">
        <v>2050</v>
      </c>
    </row>
  </sheetData>
  <mergeCells count="1">
    <mergeCell ref="A1:X1"/>
  </mergeCell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049F-594B-495B-A165-E6DB0986576F}">
  <sheetPr>
    <tabColor rgb="FFFFC000"/>
  </sheetPr>
  <dimension ref="A1:L868"/>
  <sheetViews>
    <sheetView zoomScale="55" zoomScaleNormal="55" workbookViewId="0">
      <pane xSplit="1" ySplit="1" topLeftCell="B478" activePane="bottomRight" state="frozen"/>
      <selection pane="topRight" activeCell="B1" sqref="B1"/>
      <selection pane="bottomLeft" activeCell="A2" sqref="A2"/>
      <selection pane="bottomRight" activeCell="C524" sqref="C524"/>
    </sheetView>
  </sheetViews>
  <sheetFormatPr baseColWidth="10" defaultColWidth="11.54296875" defaultRowHeight="14.5" x14ac:dyDescent="0.35"/>
  <cols>
    <col min="1" max="1" width="121.54296875" customWidth="1"/>
    <col min="2" max="2" width="57.453125" customWidth="1"/>
    <col min="3" max="3" width="62.54296875" customWidth="1"/>
    <col min="4" max="4" width="65" customWidth="1"/>
    <col min="5" max="5" width="36.54296875" customWidth="1"/>
    <col min="6" max="6" width="27.453125" customWidth="1"/>
    <col min="7" max="7" width="24.81640625" customWidth="1"/>
    <col min="8" max="9" width="29.453125" customWidth="1"/>
    <col min="10" max="10" width="22.453125" customWidth="1"/>
    <col min="11" max="11" width="22.81640625" customWidth="1"/>
    <col min="13" max="13" width="38" bestFit="1" customWidth="1"/>
  </cols>
  <sheetData>
    <row r="1" spans="1:10" s="212" customFormat="1" ht="31" x14ac:dyDescent="0.7">
      <c r="A1" s="604" t="s">
        <v>596</v>
      </c>
      <c r="B1" s="604"/>
      <c r="C1" s="604"/>
    </row>
    <row r="3" spans="1:10" x14ac:dyDescent="0.35">
      <c r="A3" s="323" t="s">
        <v>787</v>
      </c>
      <c r="B3" s="72" t="s">
        <v>1614</v>
      </c>
    </row>
    <row r="4" spans="1:10" x14ac:dyDescent="0.35">
      <c r="B4" s="72"/>
      <c r="C4" s="79"/>
    </row>
    <row r="5" spans="1:10" x14ac:dyDescent="0.35">
      <c r="A5" s="332" t="s">
        <v>125</v>
      </c>
      <c r="B5" s="304" t="s">
        <v>784</v>
      </c>
      <c r="C5" s="304" t="s">
        <v>785</v>
      </c>
      <c r="D5" s="304" t="s">
        <v>786</v>
      </c>
    </row>
    <row r="6" spans="1:10" x14ac:dyDescent="0.35">
      <c r="A6" s="320" t="s">
        <v>380</v>
      </c>
      <c r="B6" s="301" t="s">
        <v>128</v>
      </c>
      <c r="C6" s="301" t="s">
        <v>322</v>
      </c>
      <c r="D6" s="301" t="s">
        <v>322</v>
      </c>
    </row>
    <row r="7" spans="1:10" x14ac:dyDescent="0.35">
      <c r="A7" s="320" t="s">
        <v>127</v>
      </c>
      <c r="B7" s="333">
        <v>0</v>
      </c>
      <c r="C7" s="333">
        <v>2030</v>
      </c>
      <c r="D7" s="333">
        <v>2035</v>
      </c>
    </row>
    <row r="9" spans="1:10" x14ac:dyDescent="0.35">
      <c r="A9" s="334" t="s">
        <v>988</v>
      </c>
      <c r="B9" s="72" t="s">
        <v>1614</v>
      </c>
    </row>
    <row r="10" spans="1:10" x14ac:dyDescent="0.35">
      <c r="A10" s="335" t="s">
        <v>1348</v>
      </c>
      <c r="B10" s="336" t="s">
        <v>147</v>
      </c>
      <c r="C10" s="336" t="s">
        <v>159</v>
      </c>
      <c r="D10" s="336" t="s">
        <v>160</v>
      </c>
      <c r="E10" s="336" t="s">
        <v>161</v>
      </c>
      <c r="F10" s="336" t="s">
        <v>299</v>
      </c>
      <c r="G10" s="336" t="s">
        <v>300</v>
      </c>
      <c r="H10" s="336" t="s">
        <v>301</v>
      </c>
      <c r="I10" s="336" t="s">
        <v>162</v>
      </c>
      <c r="J10" s="336" t="s">
        <v>148</v>
      </c>
    </row>
    <row r="11" spans="1:10" x14ac:dyDescent="0.35">
      <c r="A11" s="332" t="s">
        <v>94</v>
      </c>
      <c r="B11" s="333">
        <v>1</v>
      </c>
      <c r="C11" s="333">
        <v>1</v>
      </c>
      <c r="D11" s="333">
        <v>1</v>
      </c>
      <c r="E11" s="333">
        <v>1</v>
      </c>
      <c r="F11" s="333">
        <v>1</v>
      </c>
      <c r="G11" s="333">
        <v>1</v>
      </c>
      <c r="H11" s="333">
        <v>1</v>
      </c>
      <c r="I11" s="333">
        <v>1</v>
      </c>
      <c r="J11" s="333">
        <v>1</v>
      </c>
    </row>
    <row r="12" spans="1:10" x14ac:dyDescent="0.35">
      <c r="A12" s="332" t="s">
        <v>95</v>
      </c>
      <c r="B12" s="333">
        <v>1</v>
      </c>
      <c r="C12" s="333">
        <v>1</v>
      </c>
      <c r="D12" s="333">
        <v>1</v>
      </c>
      <c r="E12" s="333">
        <v>1</v>
      </c>
      <c r="F12" s="333">
        <v>1</v>
      </c>
      <c r="G12" s="333">
        <v>1</v>
      </c>
      <c r="H12" s="333">
        <v>1</v>
      </c>
      <c r="I12" s="333">
        <v>1</v>
      </c>
      <c r="J12" s="333">
        <v>1</v>
      </c>
    </row>
    <row r="13" spans="1:10" x14ac:dyDescent="0.35">
      <c r="A13" s="332" t="s">
        <v>96</v>
      </c>
      <c r="B13" s="333">
        <v>1</v>
      </c>
      <c r="C13" s="333">
        <v>1</v>
      </c>
      <c r="D13" s="333">
        <v>1</v>
      </c>
      <c r="E13" s="333">
        <v>1</v>
      </c>
      <c r="F13" s="333">
        <v>1</v>
      </c>
      <c r="G13" s="333">
        <v>1</v>
      </c>
      <c r="H13" s="333">
        <v>1</v>
      </c>
      <c r="I13" s="333">
        <v>1</v>
      </c>
      <c r="J13" s="333">
        <v>1</v>
      </c>
    </row>
    <row r="14" spans="1:10" x14ac:dyDescent="0.35">
      <c r="A14" s="332" t="s">
        <v>97</v>
      </c>
      <c r="B14" s="333">
        <v>1</v>
      </c>
      <c r="C14" s="333">
        <v>1</v>
      </c>
      <c r="D14" s="333">
        <v>1</v>
      </c>
      <c r="E14" s="333">
        <v>1</v>
      </c>
      <c r="F14" s="333">
        <v>1</v>
      </c>
      <c r="G14" s="333">
        <v>1</v>
      </c>
      <c r="H14" s="333">
        <v>1</v>
      </c>
      <c r="I14" s="333">
        <v>1</v>
      </c>
      <c r="J14" s="333">
        <v>1</v>
      </c>
    </row>
    <row r="15" spans="1:10" x14ac:dyDescent="0.35">
      <c r="A15" s="332" t="s">
        <v>98</v>
      </c>
      <c r="B15" s="333">
        <v>1</v>
      </c>
      <c r="C15" s="333">
        <v>1</v>
      </c>
      <c r="D15" s="333">
        <v>1</v>
      </c>
      <c r="E15" s="333">
        <v>1</v>
      </c>
      <c r="F15" s="333">
        <v>1</v>
      </c>
      <c r="G15" s="333">
        <v>1</v>
      </c>
      <c r="H15" s="333">
        <v>1</v>
      </c>
      <c r="I15" s="333">
        <v>1</v>
      </c>
      <c r="J15" s="333">
        <v>1</v>
      </c>
    </row>
    <row r="16" spans="1:10" x14ac:dyDescent="0.35">
      <c r="A16" s="332" t="s">
        <v>99</v>
      </c>
      <c r="B16" s="333">
        <v>1</v>
      </c>
      <c r="C16" s="333">
        <v>1</v>
      </c>
      <c r="D16" s="333">
        <v>1</v>
      </c>
      <c r="E16" s="333">
        <v>1</v>
      </c>
      <c r="F16" s="333">
        <v>1</v>
      </c>
      <c r="G16" s="333">
        <v>1</v>
      </c>
      <c r="H16" s="333">
        <v>1</v>
      </c>
      <c r="I16" s="333">
        <v>1</v>
      </c>
      <c r="J16" s="333">
        <v>1</v>
      </c>
    </row>
    <row r="17" spans="1:10" x14ac:dyDescent="0.35">
      <c r="A17" s="332" t="s">
        <v>100</v>
      </c>
      <c r="B17" s="333">
        <v>1</v>
      </c>
      <c r="C17" s="333">
        <v>1</v>
      </c>
      <c r="D17" s="333">
        <v>1</v>
      </c>
      <c r="E17" s="333">
        <v>1</v>
      </c>
      <c r="F17" s="333">
        <v>1</v>
      </c>
      <c r="G17" s="333">
        <v>1</v>
      </c>
      <c r="H17" s="333">
        <v>1</v>
      </c>
      <c r="I17" s="333">
        <v>1</v>
      </c>
      <c r="J17" s="333">
        <v>1</v>
      </c>
    </row>
    <row r="18" spans="1:10" x14ac:dyDescent="0.35">
      <c r="A18" s="332" t="s">
        <v>101</v>
      </c>
      <c r="B18" s="333">
        <v>1</v>
      </c>
      <c r="C18" s="333">
        <v>1</v>
      </c>
      <c r="D18" s="333">
        <v>1</v>
      </c>
      <c r="E18" s="333">
        <v>1</v>
      </c>
      <c r="F18" s="333">
        <v>1</v>
      </c>
      <c r="G18" s="333">
        <v>1</v>
      </c>
      <c r="H18" s="333">
        <v>1</v>
      </c>
      <c r="I18" s="333">
        <v>1</v>
      </c>
      <c r="J18" s="333">
        <v>1</v>
      </c>
    </row>
    <row r="19" spans="1:10" x14ac:dyDescent="0.35">
      <c r="A19" s="332" t="s">
        <v>102</v>
      </c>
      <c r="B19" s="333">
        <v>1</v>
      </c>
      <c r="C19" s="333">
        <v>1</v>
      </c>
      <c r="D19" s="333">
        <v>1</v>
      </c>
      <c r="E19" s="333">
        <v>1</v>
      </c>
      <c r="F19" s="333">
        <v>1</v>
      </c>
      <c r="G19" s="333">
        <v>1</v>
      </c>
      <c r="H19" s="333">
        <v>1</v>
      </c>
      <c r="I19" s="333">
        <v>1</v>
      </c>
      <c r="J19" s="333">
        <v>1</v>
      </c>
    </row>
    <row r="20" spans="1:10" x14ac:dyDescent="0.35">
      <c r="A20" s="332" t="s">
        <v>103</v>
      </c>
      <c r="B20" s="333">
        <v>1</v>
      </c>
      <c r="C20" s="333">
        <v>1</v>
      </c>
      <c r="D20" s="333">
        <v>1</v>
      </c>
      <c r="E20" s="333">
        <v>1</v>
      </c>
      <c r="F20" s="333">
        <v>1</v>
      </c>
      <c r="G20" s="333">
        <v>1</v>
      </c>
      <c r="H20" s="333">
        <v>1</v>
      </c>
      <c r="I20" s="333">
        <v>1</v>
      </c>
      <c r="J20" s="333">
        <v>1</v>
      </c>
    </row>
    <row r="21" spans="1:10" x14ac:dyDescent="0.35">
      <c r="A21" s="332" t="s">
        <v>104</v>
      </c>
      <c r="B21" s="333">
        <v>1</v>
      </c>
      <c r="C21" s="333">
        <v>1</v>
      </c>
      <c r="D21" s="333">
        <v>1</v>
      </c>
      <c r="E21" s="333">
        <v>1</v>
      </c>
      <c r="F21" s="333">
        <v>1</v>
      </c>
      <c r="G21" s="333">
        <v>1</v>
      </c>
      <c r="H21" s="333">
        <v>1</v>
      </c>
      <c r="I21" s="333">
        <v>1</v>
      </c>
      <c r="J21" s="333">
        <v>1</v>
      </c>
    </row>
    <row r="22" spans="1:10" x14ac:dyDescent="0.35">
      <c r="A22" s="332" t="s">
        <v>105</v>
      </c>
      <c r="B22" s="333">
        <v>1</v>
      </c>
      <c r="C22" s="333">
        <v>1</v>
      </c>
      <c r="D22" s="333">
        <v>1</v>
      </c>
      <c r="E22" s="333">
        <v>1</v>
      </c>
      <c r="F22" s="333">
        <v>1</v>
      </c>
      <c r="G22" s="333">
        <v>1</v>
      </c>
      <c r="H22" s="333">
        <v>1</v>
      </c>
      <c r="I22" s="333">
        <v>1</v>
      </c>
      <c r="J22" s="333">
        <v>1</v>
      </c>
    </row>
    <row r="23" spans="1:10" x14ac:dyDescent="0.35">
      <c r="A23" s="332" t="s">
        <v>106</v>
      </c>
      <c r="B23" s="333">
        <v>1</v>
      </c>
      <c r="C23" s="333">
        <v>1</v>
      </c>
      <c r="D23" s="333">
        <v>1</v>
      </c>
      <c r="E23" s="333">
        <v>1</v>
      </c>
      <c r="F23" s="333">
        <v>1</v>
      </c>
      <c r="G23" s="333">
        <v>1</v>
      </c>
      <c r="H23" s="333">
        <v>1</v>
      </c>
      <c r="I23" s="333">
        <v>1</v>
      </c>
      <c r="J23" s="333">
        <v>1</v>
      </c>
    </row>
    <row r="24" spans="1:10" x14ac:dyDescent="0.35">
      <c r="A24" s="332" t="s">
        <v>107</v>
      </c>
      <c r="B24" s="333">
        <v>1</v>
      </c>
      <c r="C24" s="333">
        <v>1</v>
      </c>
      <c r="D24" s="333">
        <v>1</v>
      </c>
      <c r="E24" s="333">
        <v>1</v>
      </c>
      <c r="F24" s="333">
        <v>1</v>
      </c>
      <c r="G24" s="333">
        <v>1</v>
      </c>
      <c r="H24" s="333">
        <v>1</v>
      </c>
      <c r="I24" s="333">
        <v>1</v>
      </c>
      <c r="J24" s="333">
        <v>1</v>
      </c>
    </row>
    <row r="25" spans="1:10" x14ac:dyDescent="0.35">
      <c r="A25" s="332" t="s">
        <v>108</v>
      </c>
      <c r="B25" s="333">
        <v>1</v>
      </c>
      <c r="C25" s="333">
        <v>1</v>
      </c>
      <c r="D25" s="333">
        <v>1</v>
      </c>
      <c r="E25" s="333">
        <v>1</v>
      </c>
      <c r="F25" s="333">
        <v>1</v>
      </c>
      <c r="G25" s="333">
        <v>1</v>
      </c>
      <c r="H25" s="333">
        <v>1</v>
      </c>
      <c r="I25" s="333">
        <v>1</v>
      </c>
      <c r="J25" s="333">
        <v>1</v>
      </c>
    </row>
    <row r="26" spans="1:10" x14ac:dyDescent="0.35">
      <c r="A26" s="332" t="s">
        <v>109</v>
      </c>
      <c r="B26" s="333">
        <v>1</v>
      </c>
      <c r="C26" s="333">
        <v>1</v>
      </c>
      <c r="D26" s="333">
        <v>1</v>
      </c>
      <c r="E26" s="333">
        <v>1</v>
      </c>
      <c r="F26" s="333">
        <v>1</v>
      </c>
      <c r="G26" s="333">
        <v>1</v>
      </c>
      <c r="H26" s="333">
        <v>1</v>
      </c>
      <c r="I26" s="333">
        <v>1</v>
      </c>
      <c r="J26" s="333">
        <v>1</v>
      </c>
    </row>
    <row r="27" spans="1:10" x14ac:dyDescent="0.35">
      <c r="A27" s="332" t="s">
        <v>110</v>
      </c>
      <c r="B27" s="333">
        <v>1</v>
      </c>
      <c r="C27" s="333">
        <v>1</v>
      </c>
      <c r="D27" s="333">
        <v>1</v>
      </c>
      <c r="E27" s="333">
        <v>1</v>
      </c>
      <c r="F27" s="333">
        <v>1</v>
      </c>
      <c r="G27" s="333">
        <v>1</v>
      </c>
      <c r="H27" s="333">
        <v>1</v>
      </c>
      <c r="I27" s="333">
        <v>1</v>
      </c>
      <c r="J27" s="333">
        <v>1</v>
      </c>
    </row>
    <row r="28" spans="1:10" x14ac:dyDescent="0.35">
      <c r="A28" s="332" t="s">
        <v>111</v>
      </c>
      <c r="B28" s="333">
        <v>1</v>
      </c>
      <c r="C28" s="333">
        <v>1</v>
      </c>
      <c r="D28" s="333">
        <v>1</v>
      </c>
      <c r="E28" s="333">
        <v>1</v>
      </c>
      <c r="F28" s="333">
        <v>1</v>
      </c>
      <c r="G28" s="333">
        <v>1</v>
      </c>
      <c r="H28" s="333">
        <v>1</v>
      </c>
      <c r="I28" s="333">
        <v>1</v>
      </c>
      <c r="J28" s="333">
        <v>1</v>
      </c>
    </row>
    <row r="29" spans="1:10" x14ac:dyDescent="0.35">
      <c r="A29" s="332" t="s">
        <v>112</v>
      </c>
      <c r="B29" s="333">
        <v>1</v>
      </c>
      <c r="C29" s="333">
        <v>1</v>
      </c>
      <c r="D29" s="333">
        <v>1</v>
      </c>
      <c r="E29" s="333">
        <v>1</v>
      </c>
      <c r="F29" s="333">
        <v>1</v>
      </c>
      <c r="G29" s="333">
        <v>1</v>
      </c>
      <c r="H29" s="333">
        <v>1</v>
      </c>
      <c r="I29" s="333">
        <v>1</v>
      </c>
      <c r="J29" s="333">
        <v>1</v>
      </c>
    </row>
    <row r="30" spans="1:10" x14ac:dyDescent="0.35">
      <c r="A30" s="332" t="s">
        <v>113</v>
      </c>
      <c r="B30" s="333">
        <v>1</v>
      </c>
      <c r="C30" s="333">
        <v>1</v>
      </c>
      <c r="D30" s="333">
        <v>1</v>
      </c>
      <c r="E30" s="333">
        <v>1</v>
      </c>
      <c r="F30" s="333">
        <v>1</v>
      </c>
      <c r="G30" s="333">
        <v>1</v>
      </c>
      <c r="H30" s="333">
        <v>1</v>
      </c>
      <c r="I30" s="333">
        <v>1</v>
      </c>
      <c r="J30" s="333">
        <v>1</v>
      </c>
    </row>
    <row r="31" spans="1:10" x14ac:dyDescent="0.35">
      <c r="A31" s="332" t="s">
        <v>114</v>
      </c>
      <c r="B31" s="333">
        <v>1</v>
      </c>
      <c r="C31" s="333">
        <v>1</v>
      </c>
      <c r="D31" s="333">
        <v>1</v>
      </c>
      <c r="E31" s="333">
        <v>1</v>
      </c>
      <c r="F31" s="333">
        <v>1</v>
      </c>
      <c r="G31" s="333">
        <v>1</v>
      </c>
      <c r="H31" s="333">
        <v>1</v>
      </c>
      <c r="I31" s="333">
        <v>1</v>
      </c>
      <c r="J31" s="333">
        <v>1</v>
      </c>
    </row>
    <row r="32" spans="1:10" x14ac:dyDescent="0.35">
      <c r="A32" s="332" t="s">
        <v>115</v>
      </c>
      <c r="B32" s="333">
        <v>1</v>
      </c>
      <c r="C32" s="333">
        <v>1</v>
      </c>
      <c r="D32" s="333">
        <v>1</v>
      </c>
      <c r="E32" s="333">
        <v>1</v>
      </c>
      <c r="F32" s="333">
        <v>1</v>
      </c>
      <c r="G32" s="333">
        <v>1</v>
      </c>
      <c r="H32" s="333">
        <v>1</v>
      </c>
      <c r="I32" s="333">
        <v>1</v>
      </c>
      <c r="J32" s="333">
        <v>1</v>
      </c>
    </row>
    <row r="33" spans="1:10" x14ac:dyDescent="0.35">
      <c r="A33" s="332" t="s">
        <v>116</v>
      </c>
      <c r="B33" s="333">
        <v>1</v>
      </c>
      <c r="C33" s="333">
        <v>1</v>
      </c>
      <c r="D33" s="333">
        <v>1</v>
      </c>
      <c r="E33" s="333">
        <v>1</v>
      </c>
      <c r="F33" s="333">
        <v>1</v>
      </c>
      <c r="G33" s="333">
        <v>1</v>
      </c>
      <c r="H33" s="333">
        <v>1</v>
      </c>
      <c r="I33" s="333">
        <v>1</v>
      </c>
      <c r="J33" s="333">
        <v>1</v>
      </c>
    </row>
    <row r="34" spans="1:10" x14ac:dyDescent="0.35">
      <c r="A34" s="332" t="s">
        <v>117</v>
      </c>
      <c r="B34" s="333">
        <v>1</v>
      </c>
      <c r="C34" s="333">
        <v>1</v>
      </c>
      <c r="D34" s="333">
        <v>1</v>
      </c>
      <c r="E34" s="333">
        <v>1</v>
      </c>
      <c r="F34" s="333">
        <v>1</v>
      </c>
      <c r="G34" s="333">
        <v>1</v>
      </c>
      <c r="H34" s="333">
        <v>1</v>
      </c>
      <c r="I34" s="333">
        <v>1</v>
      </c>
      <c r="J34" s="333">
        <v>1</v>
      </c>
    </row>
    <row r="35" spans="1:10" x14ac:dyDescent="0.35">
      <c r="A35" s="332" t="s">
        <v>118</v>
      </c>
      <c r="B35" s="333">
        <v>1</v>
      </c>
      <c r="C35" s="333">
        <v>1</v>
      </c>
      <c r="D35" s="333">
        <v>1</v>
      </c>
      <c r="E35" s="333">
        <v>1</v>
      </c>
      <c r="F35" s="333">
        <v>1</v>
      </c>
      <c r="G35" s="333">
        <v>1</v>
      </c>
      <c r="H35" s="333">
        <v>1</v>
      </c>
      <c r="I35" s="333">
        <v>1</v>
      </c>
      <c r="J35" s="333">
        <v>1</v>
      </c>
    </row>
    <row r="36" spans="1:10" x14ac:dyDescent="0.35">
      <c r="A36" s="332" t="s">
        <v>119</v>
      </c>
      <c r="B36" s="333">
        <v>1</v>
      </c>
      <c r="C36" s="333">
        <v>1</v>
      </c>
      <c r="D36" s="333">
        <v>1</v>
      </c>
      <c r="E36" s="333">
        <v>1</v>
      </c>
      <c r="F36" s="333">
        <v>1</v>
      </c>
      <c r="G36" s="333">
        <v>1</v>
      </c>
      <c r="H36" s="333">
        <v>1</v>
      </c>
      <c r="I36" s="333">
        <v>1</v>
      </c>
      <c r="J36" s="333">
        <v>1</v>
      </c>
    </row>
    <row r="37" spans="1:10" x14ac:dyDescent="0.35">
      <c r="A37" s="332" t="s">
        <v>120</v>
      </c>
      <c r="B37" s="333">
        <v>1</v>
      </c>
      <c r="C37" s="333">
        <v>1</v>
      </c>
      <c r="D37" s="333">
        <v>1</v>
      </c>
      <c r="E37" s="333">
        <v>1</v>
      </c>
      <c r="F37" s="333">
        <v>1</v>
      </c>
      <c r="G37" s="333">
        <v>1</v>
      </c>
      <c r="H37" s="333">
        <v>1</v>
      </c>
      <c r="I37" s="333">
        <v>1</v>
      </c>
      <c r="J37" s="333">
        <v>1</v>
      </c>
    </row>
    <row r="38" spans="1:10" x14ac:dyDescent="0.35">
      <c r="A38" s="332" t="s">
        <v>83</v>
      </c>
      <c r="B38" s="333">
        <v>1</v>
      </c>
      <c r="C38" s="333">
        <v>1</v>
      </c>
      <c r="D38" s="333">
        <v>1</v>
      </c>
      <c r="E38" s="333">
        <v>1</v>
      </c>
      <c r="F38" s="333">
        <v>1</v>
      </c>
      <c r="G38" s="333">
        <v>1</v>
      </c>
      <c r="H38" s="333">
        <v>1</v>
      </c>
      <c r="I38" s="333">
        <v>1</v>
      </c>
      <c r="J38" s="333">
        <v>1</v>
      </c>
    </row>
    <row r="39" spans="1:10" x14ac:dyDescent="0.35">
      <c r="A39" s="332" t="s">
        <v>144</v>
      </c>
      <c r="B39" s="333">
        <v>1</v>
      </c>
      <c r="C39" s="333">
        <v>1</v>
      </c>
      <c r="D39" s="333">
        <v>1</v>
      </c>
      <c r="E39" s="333">
        <v>1</v>
      </c>
      <c r="F39" s="333">
        <v>1</v>
      </c>
      <c r="G39" s="333">
        <v>1</v>
      </c>
      <c r="H39" s="333">
        <v>1</v>
      </c>
      <c r="I39" s="333">
        <v>1</v>
      </c>
      <c r="J39" s="333">
        <v>1</v>
      </c>
    </row>
    <row r="40" spans="1:10" x14ac:dyDescent="0.35">
      <c r="A40" s="332" t="s">
        <v>164</v>
      </c>
      <c r="B40" s="333">
        <v>1</v>
      </c>
      <c r="C40" s="333">
        <v>1</v>
      </c>
      <c r="D40" s="333">
        <v>1</v>
      </c>
      <c r="E40" s="333">
        <v>1</v>
      </c>
      <c r="F40" s="333">
        <v>1</v>
      </c>
      <c r="G40" s="333">
        <v>1</v>
      </c>
      <c r="H40" s="333">
        <v>1</v>
      </c>
      <c r="I40" s="333">
        <v>1</v>
      </c>
      <c r="J40" s="333">
        <v>1</v>
      </c>
    </row>
    <row r="41" spans="1:10" x14ac:dyDescent="0.35">
      <c r="A41" s="332" t="s">
        <v>145</v>
      </c>
      <c r="B41" s="333">
        <v>1</v>
      </c>
      <c r="C41" s="333">
        <v>1</v>
      </c>
      <c r="D41" s="333">
        <v>1</v>
      </c>
      <c r="E41" s="333">
        <v>1</v>
      </c>
      <c r="F41" s="333">
        <v>1</v>
      </c>
      <c r="G41" s="333">
        <v>1</v>
      </c>
      <c r="H41" s="333">
        <v>1</v>
      </c>
      <c r="I41" s="333">
        <v>1</v>
      </c>
      <c r="J41" s="333">
        <v>1</v>
      </c>
    </row>
    <row r="42" spans="1:10" x14ac:dyDescent="0.35">
      <c r="A42" s="332" t="s">
        <v>87</v>
      </c>
      <c r="B42" s="333">
        <v>1</v>
      </c>
      <c r="C42" s="333">
        <v>1</v>
      </c>
      <c r="D42" s="333">
        <v>1</v>
      </c>
      <c r="E42" s="333">
        <v>1</v>
      </c>
      <c r="F42" s="333">
        <v>1</v>
      </c>
      <c r="G42" s="333">
        <v>1</v>
      </c>
      <c r="H42" s="333">
        <v>1</v>
      </c>
      <c r="I42" s="333">
        <v>1</v>
      </c>
      <c r="J42" s="333">
        <v>1</v>
      </c>
    </row>
    <row r="43" spans="1:10" x14ac:dyDescent="0.35">
      <c r="A43" s="332" t="s">
        <v>146</v>
      </c>
      <c r="B43" s="333">
        <v>1</v>
      </c>
      <c r="C43" s="333">
        <v>1</v>
      </c>
      <c r="D43" s="333">
        <v>1</v>
      </c>
      <c r="E43" s="333">
        <v>1</v>
      </c>
      <c r="F43" s="333">
        <v>1</v>
      </c>
      <c r="G43" s="333">
        <v>1</v>
      </c>
      <c r="H43" s="333">
        <v>1</v>
      </c>
      <c r="I43" s="333">
        <v>1</v>
      </c>
      <c r="J43" s="333">
        <v>1</v>
      </c>
    </row>
    <row r="44" spans="1:10" x14ac:dyDescent="0.35">
      <c r="A44" s="332" t="s">
        <v>89</v>
      </c>
      <c r="B44" s="333">
        <v>1</v>
      </c>
      <c r="C44" s="333">
        <v>1</v>
      </c>
      <c r="D44" s="333">
        <v>1</v>
      </c>
      <c r="E44" s="333">
        <v>1</v>
      </c>
      <c r="F44" s="333">
        <v>1</v>
      </c>
      <c r="G44" s="333">
        <v>1</v>
      </c>
      <c r="H44" s="333">
        <v>1</v>
      </c>
      <c r="I44" s="333">
        <v>1</v>
      </c>
      <c r="J44" s="333">
        <v>1</v>
      </c>
    </row>
    <row r="45" spans="1:10" x14ac:dyDescent="0.35">
      <c r="A45" s="332" t="s">
        <v>90</v>
      </c>
      <c r="B45" s="333">
        <v>1</v>
      </c>
      <c r="C45" s="333">
        <v>1</v>
      </c>
      <c r="D45" s="333">
        <v>1</v>
      </c>
      <c r="E45" s="333">
        <v>1</v>
      </c>
      <c r="F45" s="333">
        <v>1</v>
      </c>
      <c r="G45" s="333">
        <v>1</v>
      </c>
      <c r="H45" s="333">
        <v>1</v>
      </c>
      <c r="I45" s="333">
        <v>1</v>
      </c>
      <c r="J45" s="333">
        <v>1</v>
      </c>
    </row>
    <row r="46" spans="1:10" x14ac:dyDescent="0.35">
      <c r="A46" s="80"/>
    </row>
    <row r="47" spans="1:10" x14ac:dyDescent="0.35">
      <c r="A47" s="298" t="s">
        <v>1349</v>
      </c>
      <c r="B47" s="72" t="s">
        <v>1614</v>
      </c>
    </row>
    <row r="48" spans="1:10" ht="14.5" customHeight="1" x14ac:dyDescent="0.35">
      <c r="E48" s="55"/>
    </row>
    <row r="49" spans="1:5" ht="14.5" customHeight="1" x14ac:dyDescent="0.35">
      <c r="A49" s="332" t="s">
        <v>125</v>
      </c>
      <c r="B49" s="304" t="s">
        <v>1350</v>
      </c>
      <c r="C49" s="304" t="s">
        <v>1351</v>
      </c>
      <c r="D49" s="304" t="s">
        <v>1352</v>
      </c>
      <c r="E49" s="304" t="s">
        <v>1623</v>
      </c>
    </row>
    <row r="50" spans="1:5" x14ac:dyDescent="0.35">
      <c r="A50" s="320" t="s">
        <v>380</v>
      </c>
      <c r="B50" s="301" t="s">
        <v>128</v>
      </c>
      <c r="C50" s="301" t="s">
        <v>322</v>
      </c>
      <c r="D50" s="301" t="s">
        <v>322</v>
      </c>
      <c r="E50" s="301" t="s">
        <v>128</v>
      </c>
    </row>
    <row r="51" spans="1:5" x14ac:dyDescent="0.35">
      <c r="A51" s="320" t="s">
        <v>127</v>
      </c>
      <c r="B51" s="333">
        <v>0</v>
      </c>
      <c r="C51" s="333">
        <v>2025</v>
      </c>
      <c r="D51" s="333">
        <v>2050</v>
      </c>
      <c r="E51" s="333">
        <v>0.95</v>
      </c>
    </row>
    <row r="52" spans="1:5" x14ac:dyDescent="0.35">
      <c r="B52" s="47"/>
      <c r="C52" s="47"/>
      <c r="D52" s="47"/>
    </row>
    <row r="53" spans="1:5" x14ac:dyDescent="0.35">
      <c r="A53" s="336" t="s">
        <v>1353</v>
      </c>
      <c r="C53" s="47"/>
      <c r="D53" s="47"/>
      <c r="E53" s="47"/>
    </row>
    <row r="54" spans="1:5" x14ac:dyDescent="0.35">
      <c r="A54" s="337" t="s">
        <v>1354</v>
      </c>
      <c r="B54" s="336" t="s">
        <v>147</v>
      </c>
      <c r="C54" s="336" t="s">
        <v>160</v>
      </c>
      <c r="D54" s="336" t="s">
        <v>148</v>
      </c>
      <c r="E54" s="47"/>
    </row>
    <row r="55" spans="1:5" x14ac:dyDescent="0.35">
      <c r="A55" s="332" t="s">
        <v>94</v>
      </c>
      <c r="B55" s="333">
        <v>1</v>
      </c>
      <c r="C55" s="333">
        <v>1</v>
      </c>
      <c r="D55" s="333">
        <v>1</v>
      </c>
      <c r="E55" s="47"/>
    </row>
    <row r="56" spans="1:5" x14ac:dyDescent="0.35">
      <c r="A56" s="332" t="s">
        <v>95</v>
      </c>
      <c r="B56" s="333">
        <v>1</v>
      </c>
      <c r="C56" s="333">
        <v>1</v>
      </c>
      <c r="D56" s="333">
        <v>1</v>
      </c>
      <c r="E56" s="47"/>
    </row>
    <row r="57" spans="1:5" x14ac:dyDescent="0.35">
      <c r="A57" s="332" t="s">
        <v>96</v>
      </c>
      <c r="B57" s="333">
        <v>1</v>
      </c>
      <c r="C57" s="333">
        <v>1</v>
      </c>
      <c r="D57" s="333">
        <v>1</v>
      </c>
      <c r="E57" s="47"/>
    </row>
    <row r="58" spans="1:5" x14ac:dyDescent="0.35">
      <c r="A58" s="332" t="s">
        <v>97</v>
      </c>
      <c r="B58" s="333">
        <v>1</v>
      </c>
      <c r="C58" s="333">
        <v>1</v>
      </c>
      <c r="D58" s="333">
        <v>1</v>
      </c>
      <c r="E58" s="47"/>
    </row>
    <row r="59" spans="1:5" x14ac:dyDescent="0.35">
      <c r="A59" s="332" t="s">
        <v>98</v>
      </c>
      <c r="B59" s="333">
        <v>1</v>
      </c>
      <c r="C59" s="333">
        <v>1</v>
      </c>
      <c r="D59" s="333">
        <v>1</v>
      </c>
      <c r="E59" s="47"/>
    </row>
    <row r="60" spans="1:5" x14ac:dyDescent="0.35">
      <c r="A60" s="332" t="s">
        <v>99</v>
      </c>
      <c r="B60" s="333">
        <v>1</v>
      </c>
      <c r="C60" s="333">
        <v>1</v>
      </c>
      <c r="D60" s="333">
        <v>1</v>
      </c>
      <c r="E60" s="47"/>
    </row>
    <row r="61" spans="1:5" x14ac:dyDescent="0.35">
      <c r="A61" s="332" t="s">
        <v>100</v>
      </c>
      <c r="B61" s="333">
        <v>1</v>
      </c>
      <c r="C61" s="333">
        <v>1</v>
      </c>
      <c r="D61" s="333">
        <v>1</v>
      </c>
      <c r="E61" s="47"/>
    </row>
    <row r="62" spans="1:5" x14ac:dyDescent="0.35">
      <c r="A62" s="332" t="s">
        <v>101</v>
      </c>
      <c r="B62" s="333">
        <v>1</v>
      </c>
      <c r="C62" s="333">
        <v>1</v>
      </c>
      <c r="D62" s="333">
        <v>1</v>
      </c>
      <c r="E62" s="47"/>
    </row>
    <row r="63" spans="1:5" x14ac:dyDescent="0.35">
      <c r="A63" s="332" t="s">
        <v>102</v>
      </c>
      <c r="B63" s="333">
        <v>1</v>
      </c>
      <c r="C63" s="333">
        <v>1</v>
      </c>
      <c r="D63" s="333">
        <v>1</v>
      </c>
      <c r="E63" s="47"/>
    </row>
    <row r="64" spans="1:5" x14ac:dyDescent="0.35">
      <c r="A64" s="332" t="s">
        <v>103</v>
      </c>
      <c r="B64" s="333">
        <v>1</v>
      </c>
      <c r="C64" s="333">
        <v>1</v>
      </c>
      <c r="D64" s="333">
        <v>1</v>
      </c>
      <c r="E64" s="47"/>
    </row>
    <row r="65" spans="1:5" x14ac:dyDescent="0.35">
      <c r="A65" s="332" t="s">
        <v>104</v>
      </c>
      <c r="B65" s="333">
        <v>1</v>
      </c>
      <c r="C65" s="333">
        <v>1</v>
      </c>
      <c r="D65" s="333">
        <v>1</v>
      </c>
      <c r="E65" s="47"/>
    </row>
    <row r="66" spans="1:5" x14ac:dyDescent="0.35">
      <c r="A66" s="332" t="s">
        <v>105</v>
      </c>
      <c r="B66" s="333">
        <v>1</v>
      </c>
      <c r="C66" s="333">
        <v>1</v>
      </c>
      <c r="D66" s="333">
        <v>1</v>
      </c>
      <c r="E66" s="47"/>
    </row>
    <row r="67" spans="1:5" x14ac:dyDescent="0.35">
      <c r="A67" s="332" t="s">
        <v>106</v>
      </c>
      <c r="B67" s="333">
        <v>1</v>
      </c>
      <c r="C67" s="333">
        <v>1</v>
      </c>
      <c r="D67" s="333">
        <v>1</v>
      </c>
      <c r="E67" s="47"/>
    </row>
    <row r="68" spans="1:5" x14ac:dyDescent="0.35">
      <c r="A68" s="332" t="s">
        <v>107</v>
      </c>
      <c r="B68" s="333">
        <v>1</v>
      </c>
      <c r="C68" s="333">
        <v>1</v>
      </c>
      <c r="D68" s="333">
        <v>1</v>
      </c>
      <c r="E68" s="47"/>
    </row>
    <row r="69" spans="1:5" x14ac:dyDescent="0.35">
      <c r="A69" s="332" t="s">
        <v>108</v>
      </c>
      <c r="B69" s="333">
        <v>1</v>
      </c>
      <c r="C69" s="333">
        <v>1</v>
      </c>
      <c r="D69" s="333">
        <v>1</v>
      </c>
      <c r="E69" s="47"/>
    </row>
    <row r="70" spans="1:5" x14ac:dyDescent="0.35">
      <c r="A70" s="332" t="s">
        <v>109</v>
      </c>
      <c r="B70" s="333">
        <v>1</v>
      </c>
      <c r="C70" s="333">
        <v>1</v>
      </c>
      <c r="D70" s="333">
        <v>1</v>
      </c>
      <c r="E70" s="47"/>
    </row>
    <row r="71" spans="1:5" x14ac:dyDescent="0.35">
      <c r="A71" s="332" t="s">
        <v>110</v>
      </c>
      <c r="B71" s="333">
        <v>1</v>
      </c>
      <c r="C71" s="333">
        <v>1</v>
      </c>
      <c r="D71" s="333">
        <v>1</v>
      </c>
      <c r="E71" s="47"/>
    </row>
    <row r="72" spans="1:5" x14ac:dyDescent="0.35">
      <c r="A72" s="332" t="s">
        <v>111</v>
      </c>
      <c r="B72" s="333">
        <v>1</v>
      </c>
      <c r="C72" s="333">
        <v>1</v>
      </c>
      <c r="D72" s="333">
        <v>1</v>
      </c>
      <c r="E72" s="47"/>
    </row>
    <row r="73" spans="1:5" x14ac:dyDescent="0.35">
      <c r="A73" s="332" t="s">
        <v>112</v>
      </c>
      <c r="B73" s="333">
        <v>1</v>
      </c>
      <c r="C73" s="333">
        <v>1</v>
      </c>
      <c r="D73" s="333">
        <v>1</v>
      </c>
      <c r="E73" s="47"/>
    </row>
    <row r="74" spans="1:5" x14ac:dyDescent="0.35">
      <c r="A74" s="332" t="s">
        <v>113</v>
      </c>
      <c r="B74" s="333">
        <v>1</v>
      </c>
      <c r="C74" s="333">
        <v>1</v>
      </c>
      <c r="D74" s="333">
        <v>1</v>
      </c>
      <c r="E74" s="47"/>
    </row>
    <row r="75" spans="1:5" x14ac:dyDescent="0.35">
      <c r="A75" s="332" t="s">
        <v>114</v>
      </c>
      <c r="B75" s="333">
        <v>1</v>
      </c>
      <c r="C75" s="333">
        <v>1</v>
      </c>
      <c r="D75" s="333">
        <v>1</v>
      </c>
      <c r="E75" s="47"/>
    </row>
    <row r="76" spans="1:5" x14ac:dyDescent="0.35">
      <c r="A76" s="332" t="s">
        <v>115</v>
      </c>
      <c r="B76" s="333">
        <v>1</v>
      </c>
      <c r="C76" s="333">
        <v>1</v>
      </c>
      <c r="D76" s="333">
        <v>1</v>
      </c>
      <c r="E76" s="47"/>
    </row>
    <row r="77" spans="1:5" x14ac:dyDescent="0.35">
      <c r="A77" s="332" t="s">
        <v>116</v>
      </c>
      <c r="B77" s="333">
        <v>1</v>
      </c>
      <c r="C77" s="333">
        <v>1</v>
      </c>
      <c r="D77" s="333">
        <v>1</v>
      </c>
      <c r="E77" s="47"/>
    </row>
    <row r="78" spans="1:5" x14ac:dyDescent="0.35">
      <c r="A78" s="332" t="s">
        <v>117</v>
      </c>
      <c r="B78" s="333">
        <v>1</v>
      </c>
      <c r="C78" s="333">
        <v>1</v>
      </c>
      <c r="D78" s="333">
        <v>1</v>
      </c>
      <c r="E78" s="47"/>
    </row>
    <row r="79" spans="1:5" x14ac:dyDescent="0.35">
      <c r="A79" s="332" t="s">
        <v>118</v>
      </c>
      <c r="B79" s="333">
        <v>1</v>
      </c>
      <c r="C79" s="333">
        <v>1</v>
      </c>
      <c r="D79" s="333">
        <v>1</v>
      </c>
      <c r="E79" s="47"/>
    </row>
    <row r="80" spans="1:5" x14ac:dyDescent="0.35">
      <c r="A80" s="332" t="s">
        <v>119</v>
      </c>
      <c r="B80" s="333">
        <v>1</v>
      </c>
      <c r="C80" s="333">
        <v>1</v>
      </c>
      <c r="D80" s="333">
        <v>1</v>
      </c>
      <c r="E80" s="47"/>
    </row>
    <row r="81" spans="1:5" x14ac:dyDescent="0.35">
      <c r="A81" s="332" t="s">
        <v>120</v>
      </c>
      <c r="B81" s="333">
        <v>1</v>
      </c>
      <c r="C81" s="333">
        <v>1</v>
      </c>
      <c r="D81" s="333">
        <v>1</v>
      </c>
      <c r="E81" s="47"/>
    </row>
    <row r="82" spans="1:5" x14ac:dyDescent="0.35">
      <c r="A82" s="332" t="s">
        <v>83</v>
      </c>
      <c r="B82" s="333">
        <v>1</v>
      </c>
      <c r="C82" s="333">
        <v>1</v>
      </c>
      <c r="D82" s="333">
        <v>1</v>
      </c>
      <c r="E82" s="47"/>
    </row>
    <row r="83" spans="1:5" x14ac:dyDescent="0.35">
      <c r="A83" s="332" t="s">
        <v>144</v>
      </c>
      <c r="B83" s="333">
        <v>1</v>
      </c>
      <c r="C83" s="333">
        <v>1</v>
      </c>
      <c r="D83" s="333">
        <v>1</v>
      </c>
      <c r="E83" s="47"/>
    </row>
    <row r="84" spans="1:5" x14ac:dyDescent="0.35">
      <c r="A84" s="332" t="s">
        <v>164</v>
      </c>
      <c r="B84" s="333">
        <v>1</v>
      </c>
      <c r="C84" s="333">
        <v>1</v>
      </c>
      <c r="D84" s="333">
        <v>1</v>
      </c>
      <c r="E84" s="47"/>
    </row>
    <row r="85" spans="1:5" x14ac:dyDescent="0.35">
      <c r="A85" s="332" t="s">
        <v>145</v>
      </c>
      <c r="B85" s="333">
        <v>1</v>
      </c>
      <c r="C85" s="333">
        <v>1</v>
      </c>
      <c r="D85" s="333">
        <v>1</v>
      </c>
      <c r="E85" s="47"/>
    </row>
    <row r="86" spans="1:5" x14ac:dyDescent="0.35">
      <c r="A86" s="332" t="s">
        <v>87</v>
      </c>
      <c r="B86" s="333">
        <v>1</v>
      </c>
      <c r="C86" s="333">
        <v>1</v>
      </c>
      <c r="D86" s="333">
        <v>1</v>
      </c>
      <c r="E86" s="47"/>
    </row>
    <row r="87" spans="1:5" x14ac:dyDescent="0.35">
      <c r="A87" s="332" t="s">
        <v>146</v>
      </c>
      <c r="B87" s="333">
        <v>1</v>
      </c>
      <c r="C87" s="333">
        <v>1</v>
      </c>
      <c r="D87" s="333">
        <v>1</v>
      </c>
      <c r="E87" s="47"/>
    </row>
    <row r="88" spans="1:5" x14ac:dyDescent="0.35">
      <c r="A88" s="332" t="s">
        <v>89</v>
      </c>
      <c r="B88" s="333">
        <v>1</v>
      </c>
      <c r="C88" s="333">
        <v>1</v>
      </c>
      <c r="D88" s="333">
        <v>1</v>
      </c>
      <c r="E88" s="47"/>
    </row>
    <row r="89" spans="1:5" x14ac:dyDescent="0.35">
      <c r="A89" s="332" t="s">
        <v>90</v>
      </c>
      <c r="B89" s="333">
        <v>1</v>
      </c>
      <c r="C89" s="333">
        <v>1</v>
      </c>
      <c r="D89" s="333">
        <v>1</v>
      </c>
      <c r="E89" s="47"/>
    </row>
    <row r="90" spans="1:5" x14ac:dyDescent="0.35">
      <c r="A90" s="47"/>
      <c r="B90" s="47"/>
      <c r="C90" s="47"/>
      <c r="D90" s="47"/>
      <c r="E90" s="47"/>
    </row>
    <row r="91" spans="1:5" x14ac:dyDescent="0.35">
      <c r="A91" s="323" t="s">
        <v>362</v>
      </c>
      <c r="B91" s="72" t="s">
        <v>1614</v>
      </c>
      <c r="C91" s="79"/>
    </row>
    <row r="92" spans="1:5" x14ac:dyDescent="0.35">
      <c r="A92" s="338"/>
      <c r="B92" s="72"/>
      <c r="C92" s="79"/>
    </row>
    <row r="93" spans="1:5" x14ac:dyDescent="0.35">
      <c r="A93" s="334" t="s">
        <v>323</v>
      </c>
      <c r="B93" s="304" t="s">
        <v>359</v>
      </c>
      <c r="C93" s="304" t="s">
        <v>360</v>
      </c>
      <c r="D93" s="304" t="s">
        <v>361</v>
      </c>
    </row>
    <row r="94" spans="1:5" x14ac:dyDescent="0.35">
      <c r="A94" s="320" t="s">
        <v>380</v>
      </c>
      <c r="B94" s="301" t="s">
        <v>128</v>
      </c>
      <c r="C94" s="301" t="s">
        <v>322</v>
      </c>
      <c r="D94" s="301" t="s">
        <v>322</v>
      </c>
    </row>
    <row r="95" spans="1:5" x14ac:dyDescent="0.35">
      <c r="A95" s="320" t="s">
        <v>127</v>
      </c>
      <c r="B95" s="333">
        <v>0</v>
      </c>
      <c r="C95" s="333">
        <v>2025</v>
      </c>
      <c r="D95" s="333">
        <v>2030</v>
      </c>
    </row>
    <row r="96" spans="1:5" x14ac:dyDescent="0.35">
      <c r="A96" s="144"/>
      <c r="B96" s="47"/>
      <c r="C96" s="47"/>
      <c r="D96" s="47"/>
    </row>
    <row r="97" spans="1:11" x14ac:dyDescent="0.35">
      <c r="A97" s="334" t="s">
        <v>989</v>
      </c>
    </row>
    <row r="98" spans="1:11" x14ac:dyDescent="0.35">
      <c r="A98" s="335" t="s">
        <v>381</v>
      </c>
      <c r="B98" s="336" t="s">
        <v>147</v>
      </c>
      <c r="C98" s="336" t="s">
        <v>159</v>
      </c>
      <c r="D98" s="336" t="s">
        <v>160</v>
      </c>
      <c r="E98" s="336" t="s">
        <v>161</v>
      </c>
      <c r="F98" s="336" t="s">
        <v>299</v>
      </c>
      <c r="G98" s="336" t="s">
        <v>300</v>
      </c>
      <c r="H98" s="336" t="s">
        <v>301</v>
      </c>
      <c r="I98" s="336" t="s">
        <v>162</v>
      </c>
      <c r="J98" s="336" t="s">
        <v>148</v>
      </c>
    </row>
    <row r="99" spans="1:11" x14ac:dyDescent="0.35">
      <c r="A99" s="332" t="s">
        <v>149</v>
      </c>
      <c r="B99" s="333">
        <v>1</v>
      </c>
      <c r="C99" s="333">
        <v>1</v>
      </c>
      <c r="D99" s="333">
        <v>1</v>
      </c>
      <c r="E99" s="333">
        <v>1</v>
      </c>
      <c r="F99" s="333">
        <v>1</v>
      </c>
      <c r="G99" s="333">
        <v>1</v>
      </c>
      <c r="H99" s="333">
        <v>1</v>
      </c>
      <c r="I99" s="333">
        <v>1</v>
      </c>
      <c r="J99" s="333">
        <v>1</v>
      </c>
    </row>
    <row r="100" spans="1:11" x14ac:dyDescent="0.35">
      <c r="A100" s="332" t="s">
        <v>150</v>
      </c>
      <c r="B100" s="333">
        <v>1</v>
      </c>
      <c r="C100" s="333">
        <v>1</v>
      </c>
      <c r="D100" s="333">
        <v>1</v>
      </c>
      <c r="E100" s="333">
        <v>1</v>
      </c>
      <c r="F100" s="333">
        <v>1</v>
      </c>
      <c r="G100" s="333">
        <v>1</v>
      </c>
      <c r="H100" s="333">
        <v>1</v>
      </c>
      <c r="I100" s="333">
        <v>1</v>
      </c>
      <c r="J100" s="333">
        <v>1</v>
      </c>
    </row>
    <row r="101" spans="1:11" x14ac:dyDescent="0.35">
      <c r="A101" s="332" t="s">
        <v>151</v>
      </c>
      <c r="B101" s="333">
        <v>1</v>
      </c>
      <c r="C101" s="333">
        <v>1</v>
      </c>
      <c r="D101" s="333">
        <v>1</v>
      </c>
      <c r="E101" s="333">
        <v>1</v>
      </c>
      <c r="F101" s="333">
        <v>1</v>
      </c>
      <c r="G101" s="333">
        <v>1</v>
      </c>
      <c r="H101" s="333">
        <v>1</v>
      </c>
      <c r="I101" s="333">
        <v>1</v>
      </c>
      <c r="J101" s="333">
        <v>1</v>
      </c>
    </row>
    <row r="102" spans="1:11" x14ac:dyDescent="0.35">
      <c r="A102" s="332" t="s">
        <v>152</v>
      </c>
      <c r="B102" s="333">
        <v>1</v>
      </c>
      <c r="C102" s="333">
        <v>1</v>
      </c>
      <c r="D102" s="333">
        <v>1</v>
      </c>
      <c r="E102" s="333">
        <v>1</v>
      </c>
      <c r="F102" s="333">
        <v>1</v>
      </c>
      <c r="G102" s="333">
        <v>1</v>
      </c>
      <c r="H102" s="333">
        <v>1</v>
      </c>
      <c r="I102" s="333">
        <v>1</v>
      </c>
      <c r="J102" s="333">
        <v>1</v>
      </c>
    </row>
    <row r="103" spans="1:11" x14ac:dyDescent="0.35">
      <c r="A103" s="332" t="s">
        <v>153</v>
      </c>
      <c r="B103" s="333">
        <v>1</v>
      </c>
      <c r="C103" s="333">
        <v>1</v>
      </c>
      <c r="D103" s="333">
        <v>1</v>
      </c>
      <c r="E103" s="333">
        <v>1</v>
      </c>
      <c r="F103" s="333">
        <v>1</v>
      </c>
      <c r="G103" s="333">
        <v>1</v>
      </c>
      <c r="H103" s="333">
        <v>1</v>
      </c>
      <c r="I103" s="333">
        <v>1</v>
      </c>
      <c r="J103" s="333">
        <v>1</v>
      </c>
    </row>
    <row r="104" spans="1:11" x14ac:dyDescent="0.35">
      <c r="A104" s="332" t="s">
        <v>154</v>
      </c>
      <c r="B104" s="333">
        <v>1</v>
      </c>
      <c r="C104" s="333">
        <v>1</v>
      </c>
      <c r="D104" s="333">
        <v>1</v>
      </c>
      <c r="E104" s="333">
        <v>1</v>
      </c>
      <c r="F104" s="333">
        <v>1</v>
      </c>
      <c r="G104" s="333">
        <v>1</v>
      </c>
      <c r="H104" s="333">
        <v>1</v>
      </c>
      <c r="I104" s="333">
        <v>1</v>
      </c>
      <c r="J104" s="333">
        <v>1</v>
      </c>
    </row>
    <row r="105" spans="1:11" x14ac:dyDescent="0.35">
      <c r="A105" s="332" t="s">
        <v>155</v>
      </c>
      <c r="B105" s="333">
        <v>1</v>
      </c>
      <c r="C105" s="333">
        <v>1</v>
      </c>
      <c r="D105" s="333">
        <v>1</v>
      </c>
      <c r="E105" s="333">
        <v>1</v>
      </c>
      <c r="F105" s="333">
        <v>1</v>
      </c>
      <c r="G105" s="333">
        <v>1</v>
      </c>
      <c r="H105" s="333">
        <v>1</v>
      </c>
      <c r="I105" s="333">
        <v>1</v>
      </c>
      <c r="J105" s="333">
        <v>1</v>
      </c>
    </row>
    <row r="106" spans="1:11" x14ac:dyDescent="0.35">
      <c r="A106" s="332" t="s">
        <v>156</v>
      </c>
      <c r="B106" s="333">
        <v>1</v>
      </c>
      <c r="C106" s="333">
        <v>1</v>
      </c>
      <c r="D106" s="333">
        <v>1</v>
      </c>
      <c r="E106" s="333">
        <v>1</v>
      </c>
      <c r="F106" s="333">
        <v>1</v>
      </c>
      <c r="G106" s="333">
        <v>1</v>
      </c>
      <c r="H106" s="333">
        <v>1</v>
      </c>
      <c r="I106" s="333">
        <v>1</v>
      </c>
      <c r="J106" s="333">
        <v>1</v>
      </c>
    </row>
    <row r="107" spans="1:11" x14ac:dyDescent="0.35">
      <c r="A107" s="332" t="s">
        <v>157</v>
      </c>
      <c r="B107" s="339">
        <v>0</v>
      </c>
      <c r="C107" s="339">
        <v>0</v>
      </c>
      <c r="D107" s="339">
        <v>0</v>
      </c>
      <c r="E107" s="333">
        <v>1</v>
      </c>
      <c r="F107" s="339">
        <v>0</v>
      </c>
      <c r="G107" s="339">
        <v>0</v>
      </c>
      <c r="H107" s="339">
        <v>0</v>
      </c>
      <c r="I107" s="339">
        <v>0</v>
      </c>
      <c r="J107" s="339">
        <v>0</v>
      </c>
    </row>
    <row r="108" spans="1:11" x14ac:dyDescent="0.35">
      <c r="A108" s="332" t="s">
        <v>158</v>
      </c>
      <c r="B108" s="339">
        <v>0</v>
      </c>
      <c r="C108" s="339">
        <v>0</v>
      </c>
      <c r="D108" s="333">
        <v>1</v>
      </c>
      <c r="E108" s="339">
        <v>0</v>
      </c>
      <c r="F108" s="339">
        <v>0</v>
      </c>
      <c r="G108" s="339">
        <v>0</v>
      </c>
      <c r="H108" s="339">
        <v>0</v>
      </c>
      <c r="I108" s="339">
        <v>0</v>
      </c>
      <c r="J108" s="333">
        <v>1</v>
      </c>
    </row>
    <row r="109" spans="1:11" ht="15" thickBot="1" x14ac:dyDescent="0.4">
      <c r="A109" s="47"/>
      <c r="B109" s="47"/>
      <c r="C109" s="47"/>
      <c r="D109" s="47"/>
      <c r="E109" s="47"/>
      <c r="F109" s="47"/>
      <c r="G109" s="47"/>
      <c r="H109" s="47"/>
      <c r="I109" s="47"/>
      <c r="J109" s="47"/>
      <c r="K109" s="47"/>
    </row>
    <row r="110" spans="1:11" x14ac:dyDescent="0.35">
      <c r="A110" s="205" t="s">
        <v>1622</v>
      </c>
      <c r="B110" s="72" t="s">
        <v>1614</v>
      </c>
    </row>
    <row r="111" spans="1:11" x14ac:dyDescent="0.35">
      <c r="A111" s="344" t="s">
        <v>128</v>
      </c>
    </row>
    <row r="112" spans="1:11" ht="15" thickBot="1" x14ac:dyDescent="0.4">
      <c r="A112" s="332" t="s">
        <v>1360</v>
      </c>
      <c r="B112" s="332" t="s">
        <v>357</v>
      </c>
      <c r="C112" s="342" t="s">
        <v>147</v>
      </c>
      <c r="D112" s="342" t="s">
        <v>159</v>
      </c>
      <c r="E112" s="342" t="s">
        <v>160</v>
      </c>
      <c r="F112" s="342" t="s">
        <v>161</v>
      </c>
      <c r="G112" s="342" t="s">
        <v>299</v>
      </c>
      <c r="H112" s="342" t="s">
        <v>300</v>
      </c>
      <c r="I112" s="342" t="s">
        <v>301</v>
      </c>
      <c r="J112" s="342" t="s">
        <v>162</v>
      </c>
      <c r="K112" s="342" t="s">
        <v>148</v>
      </c>
    </row>
    <row r="113" spans="1:11" x14ac:dyDescent="0.35">
      <c r="A113" s="608" t="s">
        <v>94</v>
      </c>
      <c r="B113" s="82" t="s">
        <v>149</v>
      </c>
      <c r="C113" s="232">
        <v>1</v>
      </c>
      <c r="D113" s="232">
        <v>1</v>
      </c>
      <c r="E113" s="232">
        <v>1</v>
      </c>
      <c r="F113" s="232">
        <v>1</v>
      </c>
      <c r="G113" s="232">
        <v>1</v>
      </c>
      <c r="H113" s="232">
        <v>1</v>
      </c>
      <c r="I113" s="232">
        <v>1</v>
      </c>
      <c r="J113" s="232">
        <v>1</v>
      </c>
      <c r="K113" s="339">
        <v>0</v>
      </c>
    </row>
    <row r="114" spans="1:11" x14ac:dyDescent="0.35">
      <c r="A114" s="609"/>
      <c r="B114" s="332" t="s">
        <v>150</v>
      </c>
      <c r="C114" s="343">
        <v>1</v>
      </c>
      <c r="D114" s="343">
        <v>1</v>
      </c>
      <c r="E114" s="343">
        <v>1</v>
      </c>
      <c r="F114" s="343">
        <v>1</v>
      </c>
      <c r="G114" s="343">
        <v>1</v>
      </c>
      <c r="H114" s="343">
        <v>1</v>
      </c>
      <c r="I114" s="343">
        <v>1</v>
      </c>
      <c r="J114" s="343">
        <v>1</v>
      </c>
      <c r="K114" s="339">
        <v>0</v>
      </c>
    </row>
    <row r="115" spans="1:11" x14ac:dyDescent="0.35">
      <c r="A115" s="609"/>
      <c r="B115" s="332" t="s">
        <v>151</v>
      </c>
      <c r="C115" s="343">
        <v>1</v>
      </c>
      <c r="D115" s="343">
        <v>1</v>
      </c>
      <c r="E115" s="343">
        <v>1</v>
      </c>
      <c r="F115" s="343">
        <v>1</v>
      </c>
      <c r="G115" s="343">
        <v>1</v>
      </c>
      <c r="H115" s="343">
        <v>1</v>
      </c>
      <c r="I115" s="343">
        <v>1</v>
      </c>
      <c r="J115" s="343">
        <v>1</v>
      </c>
      <c r="K115" s="339">
        <v>0</v>
      </c>
    </row>
    <row r="116" spans="1:11" x14ac:dyDescent="0.35">
      <c r="A116" s="609"/>
      <c r="B116" s="332" t="s">
        <v>152</v>
      </c>
      <c r="C116" s="343">
        <v>1</v>
      </c>
      <c r="D116" s="343">
        <v>1</v>
      </c>
      <c r="E116" s="343">
        <v>1</v>
      </c>
      <c r="F116" s="343">
        <v>1</v>
      </c>
      <c r="G116" s="343">
        <v>1</v>
      </c>
      <c r="H116" s="343">
        <v>1</v>
      </c>
      <c r="I116" s="343">
        <v>1</v>
      </c>
      <c r="J116" s="343">
        <v>1</v>
      </c>
      <c r="K116" s="339">
        <v>0</v>
      </c>
    </row>
    <row r="117" spans="1:11" x14ac:dyDescent="0.35">
      <c r="A117" s="609"/>
      <c r="B117" s="332" t="s">
        <v>153</v>
      </c>
      <c r="C117" s="343">
        <v>1</v>
      </c>
      <c r="D117" s="343">
        <v>1</v>
      </c>
      <c r="E117" s="343">
        <v>1</v>
      </c>
      <c r="F117" s="343">
        <v>1</v>
      </c>
      <c r="G117" s="343">
        <v>1</v>
      </c>
      <c r="H117" s="343">
        <v>1</v>
      </c>
      <c r="I117" s="343">
        <v>1</v>
      </c>
      <c r="J117" s="343">
        <v>1</v>
      </c>
      <c r="K117" s="339">
        <v>0</v>
      </c>
    </row>
    <row r="118" spans="1:11" x14ac:dyDescent="0.35">
      <c r="A118" s="609"/>
      <c r="B118" s="332" t="s">
        <v>154</v>
      </c>
      <c r="C118" s="343">
        <v>1</v>
      </c>
      <c r="D118" s="343">
        <v>1</v>
      </c>
      <c r="E118" s="343">
        <v>1</v>
      </c>
      <c r="F118" s="343">
        <v>1</v>
      </c>
      <c r="G118" s="343">
        <v>1</v>
      </c>
      <c r="H118" s="343">
        <v>1</v>
      </c>
      <c r="I118" s="343">
        <v>1</v>
      </c>
      <c r="J118" s="343">
        <v>1</v>
      </c>
      <c r="K118" s="339">
        <v>0</v>
      </c>
    </row>
    <row r="119" spans="1:11" x14ac:dyDescent="0.35">
      <c r="A119" s="609"/>
      <c r="B119" s="332" t="s">
        <v>155</v>
      </c>
      <c r="C119" s="343">
        <v>1</v>
      </c>
      <c r="D119" s="343">
        <v>1</v>
      </c>
      <c r="E119" s="343">
        <v>1</v>
      </c>
      <c r="F119" s="343">
        <v>1</v>
      </c>
      <c r="G119" s="343">
        <v>1</v>
      </c>
      <c r="H119" s="343">
        <v>1</v>
      </c>
      <c r="I119" s="343">
        <v>1</v>
      </c>
      <c r="J119" s="343">
        <v>1</v>
      </c>
      <c r="K119" s="339">
        <v>0</v>
      </c>
    </row>
    <row r="120" spans="1:11" x14ac:dyDescent="0.35">
      <c r="A120" s="609"/>
      <c r="B120" s="332" t="s">
        <v>156</v>
      </c>
      <c r="C120" s="343">
        <v>1</v>
      </c>
      <c r="D120" s="343">
        <v>1</v>
      </c>
      <c r="E120" s="343">
        <v>1</v>
      </c>
      <c r="F120" s="343">
        <v>1</v>
      </c>
      <c r="G120" s="343">
        <v>1</v>
      </c>
      <c r="H120" s="343">
        <v>1</v>
      </c>
      <c r="I120" s="343">
        <v>1</v>
      </c>
      <c r="J120" s="343">
        <v>1</v>
      </c>
      <c r="K120" s="339">
        <v>0</v>
      </c>
    </row>
    <row r="121" spans="1:11" x14ac:dyDescent="0.35">
      <c r="A121" s="609"/>
      <c r="B121" s="332" t="s">
        <v>157</v>
      </c>
      <c r="C121" s="339">
        <v>0</v>
      </c>
      <c r="D121" s="339">
        <v>0</v>
      </c>
      <c r="E121" s="339">
        <v>0</v>
      </c>
      <c r="F121" s="343">
        <v>1</v>
      </c>
      <c r="G121" s="339">
        <v>0</v>
      </c>
      <c r="H121" s="339">
        <v>0</v>
      </c>
      <c r="I121" s="339">
        <v>0</v>
      </c>
      <c r="J121" s="339">
        <v>0</v>
      </c>
      <c r="K121" s="339">
        <v>0</v>
      </c>
    </row>
    <row r="122" spans="1:11" ht="15" thickBot="1" x14ac:dyDescent="0.4">
      <c r="A122" s="610"/>
      <c r="B122" s="83" t="s">
        <v>158</v>
      </c>
      <c r="C122" s="339">
        <v>0</v>
      </c>
      <c r="D122" s="339">
        <v>0</v>
      </c>
      <c r="E122" s="233">
        <v>1</v>
      </c>
      <c r="F122" s="339">
        <v>0</v>
      </c>
      <c r="G122" s="339">
        <v>0</v>
      </c>
      <c r="H122" s="339">
        <v>0</v>
      </c>
      <c r="I122" s="339">
        <v>0</v>
      </c>
      <c r="J122" s="339">
        <v>0</v>
      </c>
      <c r="K122" s="234">
        <v>1</v>
      </c>
    </row>
    <row r="123" spans="1:11" x14ac:dyDescent="0.35">
      <c r="A123" s="608" t="s">
        <v>95</v>
      </c>
      <c r="B123" s="82" t="s">
        <v>149</v>
      </c>
      <c r="C123" s="232">
        <v>1</v>
      </c>
      <c r="D123" s="232">
        <v>1</v>
      </c>
      <c r="E123" s="232">
        <v>1</v>
      </c>
      <c r="F123" s="232">
        <v>1</v>
      </c>
      <c r="G123" s="232">
        <v>1</v>
      </c>
      <c r="H123" s="232">
        <v>1</v>
      </c>
      <c r="I123" s="232">
        <v>1</v>
      </c>
      <c r="J123" s="232">
        <v>1</v>
      </c>
      <c r="K123" s="339">
        <v>0</v>
      </c>
    </row>
    <row r="124" spans="1:11" x14ac:dyDescent="0.35">
      <c r="A124" s="609"/>
      <c r="B124" s="332" t="s">
        <v>150</v>
      </c>
      <c r="C124" s="343">
        <v>1</v>
      </c>
      <c r="D124" s="343">
        <v>1</v>
      </c>
      <c r="E124" s="343">
        <v>1</v>
      </c>
      <c r="F124" s="343">
        <v>1</v>
      </c>
      <c r="G124" s="343">
        <v>1</v>
      </c>
      <c r="H124" s="343">
        <v>1</v>
      </c>
      <c r="I124" s="343">
        <v>1</v>
      </c>
      <c r="J124" s="343">
        <v>1</v>
      </c>
      <c r="K124" s="339">
        <v>0</v>
      </c>
    </row>
    <row r="125" spans="1:11" x14ac:dyDescent="0.35">
      <c r="A125" s="609"/>
      <c r="B125" s="332" t="s">
        <v>151</v>
      </c>
      <c r="C125" s="343">
        <v>1</v>
      </c>
      <c r="D125" s="343">
        <v>1</v>
      </c>
      <c r="E125" s="343">
        <v>1</v>
      </c>
      <c r="F125" s="343">
        <v>1</v>
      </c>
      <c r="G125" s="343">
        <v>1</v>
      </c>
      <c r="H125" s="343">
        <v>1</v>
      </c>
      <c r="I125" s="343">
        <v>1</v>
      </c>
      <c r="J125" s="343">
        <v>1</v>
      </c>
      <c r="K125" s="339">
        <v>0</v>
      </c>
    </row>
    <row r="126" spans="1:11" x14ac:dyDescent="0.35">
      <c r="A126" s="609"/>
      <c r="B126" s="332" t="s">
        <v>152</v>
      </c>
      <c r="C126" s="343">
        <v>1</v>
      </c>
      <c r="D126" s="343">
        <v>1</v>
      </c>
      <c r="E126" s="343">
        <v>1</v>
      </c>
      <c r="F126" s="343">
        <v>1</v>
      </c>
      <c r="G126" s="343">
        <v>1</v>
      </c>
      <c r="H126" s="343">
        <v>1</v>
      </c>
      <c r="I126" s="343">
        <v>1</v>
      </c>
      <c r="J126" s="343">
        <v>1</v>
      </c>
      <c r="K126" s="339">
        <v>0</v>
      </c>
    </row>
    <row r="127" spans="1:11" x14ac:dyDescent="0.35">
      <c r="A127" s="609"/>
      <c r="B127" s="332" t="s">
        <v>153</v>
      </c>
      <c r="C127" s="343">
        <v>1</v>
      </c>
      <c r="D127" s="343">
        <v>1</v>
      </c>
      <c r="E127" s="343">
        <v>1</v>
      </c>
      <c r="F127" s="343">
        <v>1</v>
      </c>
      <c r="G127" s="343">
        <v>1</v>
      </c>
      <c r="H127" s="343">
        <v>1</v>
      </c>
      <c r="I127" s="343">
        <v>1</v>
      </c>
      <c r="J127" s="343">
        <v>1</v>
      </c>
      <c r="K127" s="339">
        <v>0</v>
      </c>
    </row>
    <row r="128" spans="1:11" x14ac:dyDescent="0.35">
      <c r="A128" s="609"/>
      <c r="B128" s="332" t="s">
        <v>154</v>
      </c>
      <c r="C128" s="343">
        <v>1</v>
      </c>
      <c r="D128" s="343">
        <v>1</v>
      </c>
      <c r="E128" s="343">
        <v>1</v>
      </c>
      <c r="F128" s="343">
        <v>1</v>
      </c>
      <c r="G128" s="343">
        <v>1</v>
      </c>
      <c r="H128" s="343">
        <v>1</v>
      </c>
      <c r="I128" s="343">
        <v>1</v>
      </c>
      <c r="J128" s="343">
        <v>1</v>
      </c>
      <c r="K128" s="339">
        <v>0</v>
      </c>
    </row>
    <row r="129" spans="1:11" x14ac:dyDescent="0.35">
      <c r="A129" s="609"/>
      <c r="B129" s="332" t="s">
        <v>155</v>
      </c>
      <c r="C129" s="343">
        <v>1</v>
      </c>
      <c r="D129" s="343">
        <v>1</v>
      </c>
      <c r="E129" s="343">
        <v>1</v>
      </c>
      <c r="F129" s="343">
        <v>1</v>
      </c>
      <c r="G129" s="343">
        <v>1</v>
      </c>
      <c r="H129" s="343">
        <v>1</v>
      </c>
      <c r="I129" s="343">
        <v>1</v>
      </c>
      <c r="J129" s="343">
        <v>1</v>
      </c>
      <c r="K129" s="339">
        <v>0</v>
      </c>
    </row>
    <row r="130" spans="1:11" x14ac:dyDescent="0.35">
      <c r="A130" s="609"/>
      <c r="B130" s="332" t="s">
        <v>156</v>
      </c>
      <c r="C130" s="343">
        <v>1</v>
      </c>
      <c r="D130" s="343">
        <v>1</v>
      </c>
      <c r="E130" s="343">
        <v>1</v>
      </c>
      <c r="F130" s="343">
        <v>1</v>
      </c>
      <c r="G130" s="343">
        <v>1</v>
      </c>
      <c r="H130" s="343">
        <v>1</v>
      </c>
      <c r="I130" s="343">
        <v>1</v>
      </c>
      <c r="J130" s="343">
        <v>1</v>
      </c>
      <c r="K130" s="339">
        <v>0</v>
      </c>
    </row>
    <row r="131" spans="1:11" x14ac:dyDescent="0.35">
      <c r="A131" s="609"/>
      <c r="B131" s="332" t="s">
        <v>157</v>
      </c>
      <c r="C131" s="339">
        <v>0</v>
      </c>
      <c r="D131" s="339">
        <v>0</v>
      </c>
      <c r="E131" s="339">
        <v>0</v>
      </c>
      <c r="F131" s="343">
        <v>1</v>
      </c>
      <c r="G131" s="339">
        <v>0</v>
      </c>
      <c r="H131" s="339">
        <v>0</v>
      </c>
      <c r="I131" s="339">
        <v>0</v>
      </c>
      <c r="J131" s="339">
        <v>0</v>
      </c>
      <c r="K131" s="339">
        <v>0</v>
      </c>
    </row>
    <row r="132" spans="1:11" ht="15" thickBot="1" x14ac:dyDescent="0.4">
      <c r="A132" s="610"/>
      <c r="B132" s="83" t="s">
        <v>158</v>
      </c>
      <c r="C132" s="339">
        <v>0</v>
      </c>
      <c r="D132" s="339">
        <v>0</v>
      </c>
      <c r="E132" s="233">
        <v>1</v>
      </c>
      <c r="F132" s="339">
        <v>0</v>
      </c>
      <c r="G132" s="339">
        <v>0</v>
      </c>
      <c r="H132" s="339">
        <v>0</v>
      </c>
      <c r="I132" s="339">
        <v>0</v>
      </c>
      <c r="J132" s="339">
        <v>0</v>
      </c>
      <c r="K132" s="234">
        <v>1</v>
      </c>
    </row>
    <row r="133" spans="1:11" x14ac:dyDescent="0.35">
      <c r="A133" s="608" t="s">
        <v>96</v>
      </c>
      <c r="B133" s="82" t="s">
        <v>149</v>
      </c>
      <c r="C133" s="232">
        <v>1</v>
      </c>
      <c r="D133" s="232">
        <v>1</v>
      </c>
      <c r="E133" s="232">
        <v>1</v>
      </c>
      <c r="F133" s="232">
        <v>1</v>
      </c>
      <c r="G133" s="232">
        <v>1</v>
      </c>
      <c r="H133" s="232">
        <v>1</v>
      </c>
      <c r="I133" s="232">
        <v>1</v>
      </c>
      <c r="J133" s="232">
        <v>1</v>
      </c>
      <c r="K133" s="339">
        <v>0</v>
      </c>
    </row>
    <row r="134" spans="1:11" x14ac:dyDescent="0.35">
      <c r="A134" s="609"/>
      <c r="B134" s="332" t="s">
        <v>150</v>
      </c>
      <c r="C134" s="343">
        <v>1</v>
      </c>
      <c r="D134" s="343">
        <v>1</v>
      </c>
      <c r="E134" s="343">
        <v>1</v>
      </c>
      <c r="F134" s="343">
        <v>1</v>
      </c>
      <c r="G134" s="343">
        <v>1</v>
      </c>
      <c r="H134" s="343">
        <v>1</v>
      </c>
      <c r="I134" s="343">
        <v>1</v>
      </c>
      <c r="J134" s="343">
        <v>1</v>
      </c>
      <c r="K134" s="339">
        <v>0</v>
      </c>
    </row>
    <row r="135" spans="1:11" x14ac:dyDescent="0.35">
      <c r="A135" s="609"/>
      <c r="B135" s="332" t="s">
        <v>151</v>
      </c>
      <c r="C135" s="343">
        <v>1</v>
      </c>
      <c r="D135" s="343">
        <v>1</v>
      </c>
      <c r="E135" s="343">
        <v>1</v>
      </c>
      <c r="F135" s="343">
        <v>1</v>
      </c>
      <c r="G135" s="343">
        <v>1</v>
      </c>
      <c r="H135" s="343">
        <v>1</v>
      </c>
      <c r="I135" s="343">
        <v>1</v>
      </c>
      <c r="J135" s="343">
        <v>1</v>
      </c>
      <c r="K135" s="339">
        <v>0</v>
      </c>
    </row>
    <row r="136" spans="1:11" x14ac:dyDescent="0.35">
      <c r="A136" s="609"/>
      <c r="B136" s="332" t="s">
        <v>152</v>
      </c>
      <c r="C136" s="343">
        <v>1</v>
      </c>
      <c r="D136" s="343">
        <v>1</v>
      </c>
      <c r="E136" s="343">
        <v>1</v>
      </c>
      <c r="F136" s="343">
        <v>1</v>
      </c>
      <c r="G136" s="343">
        <v>1</v>
      </c>
      <c r="H136" s="343">
        <v>1</v>
      </c>
      <c r="I136" s="343">
        <v>1</v>
      </c>
      <c r="J136" s="343">
        <v>1</v>
      </c>
      <c r="K136" s="339">
        <v>0</v>
      </c>
    </row>
    <row r="137" spans="1:11" x14ac:dyDescent="0.35">
      <c r="A137" s="609"/>
      <c r="B137" s="332" t="s">
        <v>153</v>
      </c>
      <c r="C137" s="343">
        <v>1</v>
      </c>
      <c r="D137" s="343">
        <v>1</v>
      </c>
      <c r="E137" s="343">
        <v>1</v>
      </c>
      <c r="F137" s="343">
        <v>1</v>
      </c>
      <c r="G137" s="343">
        <v>1</v>
      </c>
      <c r="H137" s="343">
        <v>1</v>
      </c>
      <c r="I137" s="343">
        <v>1</v>
      </c>
      <c r="J137" s="343">
        <v>1</v>
      </c>
      <c r="K137" s="339">
        <v>0</v>
      </c>
    </row>
    <row r="138" spans="1:11" x14ac:dyDescent="0.35">
      <c r="A138" s="609"/>
      <c r="B138" s="332" t="s">
        <v>154</v>
      </c>
      <c r="C138" s="343">
        <v>1</v>
      </c>
      <c r="D138" s="343">
        <v>1</v>
      </c>
      <c r="E138" s="343">
        <v>1</v>
      </c>
      <c r="F138" s="343">
        <v>1</v>
      </c>
      <c r="G138" s="343">
        <v>1</v>
      </c>
      <c r="H138" s="343">
        <v>1</v>
      </c>
      <c r="I138" s="343">
        <v>1</v>
      </c>
      <c r="J138" s="343">
        <v>1</v>
      </c>
      <c r="K138" s="339">
        <v>0</v>
      </c>
    </row>
    <row r="139" spans="1:11" x14ac:dyDescent="0.35">
      <c r="A139" s="609"/>
      <c r="B139" s="332" t="s">
        <v>155</v>
      </c>
      <c r="C139" s="343">
        <v>1</v>
      </c>
      <c r="D139" s="343">
        <v>1</v>
      </c>
      <c r="E139" s="343">
        <v>1</v>
      </c>
      <c r="F139" s="343">
        <v>1</v>
      </c>
      <c r="G139" s="343">
        <v>1</v>
      </c>
      <c r="H139" s="343">
        <v>1</v>
      </c>
      <c r="I139" s="343">
        <v>1</v>
      </c>
      <c r="J139" s="343">
        <v>1</v>
      </c>
      <c r="K139" s="339">
        <v>0</v>
      </c>
    </row>
    <row r="140" spans="1:11" x14ac:dyDescent="0.35">
      <c r="A140" s="609"/>
      <c r="B140" s="332" t="s">
        <v>156</v>
      </c>
      <c r="C140" s="343">
        <v>1</v>
      </c>
      <c r="D140" s="343">
        <v>1</v>
      </c>
      <c r="E140" s="343">
        <v>1</v>
      </c>
      <c r="F140" s="343">
        <v>1</v>
      </c>
      <c r="G140" s="343">
        <v>1</v>
      </c>
      <c r="H140" s="343">
        <v>1</v>
      </c>
      <c r="I140" s="343">
        <v>1</v>
      </c>
      <c r="J140" s="343">
        <v>1</v>
      </c>
      <c r="K140" s="339">
        <v>0</v>
      </c>
    </row>
    <row r="141" spans="1:11" x14ac:dyDescent="0.35">
      <c r="A141" s="609"/>
      <c r="B141" s="332" t="s">
        <v>157</v>
      </c>
      <c r="C141" s="339">
        <v>0</v>
      </c>
      <c r="D141" s="339">
        <v>0</v>
      </c>
      <c r="E141" s="339">
        <v>0</v>
      </c>
      <c r="F141" s="343">
        <v>1</v>
      </c>
      <c r="G141" s="339">
        <v>0</v>
      </c>
      <c r="H141" s="339">
        <v>0</v>
      </c>
      <c r="I141" s="339">
        <v>0</v>
      </c>
      <c r="J141" s="339">
        <v>0</v>
      </c>
      <c r="K141" s="339">
        <v>0</v>
      </c>
    </row>
    <row r="142" spans="1:11" ht="15" thickBot="1" x14ac:dyDescent="0.4">
      <c r="A142" s="610"/>
      <c r="B142" s="83" t="s">
        <v>158</v>
      </c>
      <c r="C142" s="339">
        <v>0</v>
      </c>
      <c r="D142" s="339">
        <v>0</v>
      </c>
      <c r="E142" s="233">
        <v>1</v>
      </c>
      <c r="F142" s="339">
        <v>0</v>
      </c>
      <c r="G142" s="339">
        <v>0</v>
      </c>
      <c r="H142" s="339">
        <v>0</v>
      </c>
      <c r="I142" s="339">
        <v>0</v>
      </c>
      <c r="J142" s="339">
        <v>0</v>
      </c>
      <c r="K142" s="234">
        <v>1</v>
      </c>
    </row>
    <row r="143" spans="1:11" x14ac:dyDescent="0.35">
      <c r="A143" s="608" t="s">
        <v>97</v>
      </c>
      <c r="B143" s="82" t="s">
        <v>149</v>
      </c>
      <c r="C143" s="232">
        <v>1</v>
      </c>
      <c r="D143" s="232">
        <v>1</v>
      </c>
      <c r="E143" s="232">
        <v>1</v>
      </c>
      <c r="F143" s="232">
        <v>1</v>
      </c>
      <c r="G143" s="232">
        <v>1</v>
      </c>
      <c r="H143" s="232">
        <v>1</v>
      </c>
      <c r="I143" s="232">
        <v>1</v>
      </c>
      <c r="J143" s="232">
        <v>1</v>
      </c>
      <c r="K143" s="339">
        <v>0</v>
      </c>
    </row>
    <row r="144" spans="1:11" x14ac:dyDescent="0.35">
      <c r="A144" s="609"/>
      <c r="B144" s="332" t="s">
        <v>150</v>
      </c>
      <c r="C144" s="343">
        <v>1</v>
      </c>
      <c r="D144" s="343">
        <v>1</v>
      </c>
      <c r="E144" s="343">
        <v>1</v>
      </c>
      <c r="F144" s="343">
        <v>1</v>
      </c>
      <c r="G144" s="343">
        <v>1</v>
      </c>
      <c r="H144" s="343">
        <v>1</v>
      </c>
      <c r="I144" s="343">
        <v>1</v>
      </c>
      <c r="J144" s="343">
        <v>1</v>
      </c>
      <c r="K144" s="339">
        <v>0</v>
      </c>
    </row>
    <row r="145" spans="1:11" x14ac:dyDescent="0.35">
      <c r="A145" s="609"/>
      <c r="B145" s="332" t="s">
        <v>151</v>
      </c>
      <c r="C145" s="343">
        <v>1</v>
      </c>
      <c r="D145" s="343">
        <v>1</v>
      </c>
      <c r="E145" s="343">
        <v>1</v>
      </c>
      <c r="F145" s="343">
        <v>1</v>
      </c>
      <c r="G145" s="343">
        <v>1</v>
      </c>
      <c r="H145" s="343">
        <v>1</v>
      </c>
      <c r="I145" s="343">
        <v>1</v>
      </c>
      <c r="J145" s="343">
        <v>1</v>
      </c>
      <c r="K145" s="339">
        <v>0</v>
      </c>
    </row>
    <row r="146" spans="1:11" x14ac:dyDescent="0.35">
      <c r="A146" s="609"/>
      <c r="B146" s="332" t="s">
        <v>152</v>
      </c>
      <c r="C146" s="343">
        <v>1</v>
      </c>
      <c r="D146" s="343">
        <v>1</v>
      </c>
      <c r="E146" s="343">
        <v>1</v>
      </c>
      <c r="F146" s="343">
        <v>1</v>
      </c>
      <c r="G146" s="343">
        <v>1</v>
      </c>
      <c r="H146" s="343">
        <v>1</v>
      </c>
      <c r="I146" s="343">
        <v>1</v>
      </c>
      <c r="J146" s="343">
        <v>1</v>
      </c>
      <c r="K146" s="339">
        <v>0</v>
      </c>
    </row>
    <row r="147" spans="1:11" x14ac:dyDescent="0.35">
      <c r="A147" s="609"/>
      <c r="B147" s="332" t="s">
        <v>153</v>
      </c>
      <c r="C147" s="343">
        <v>1</v>
      </c>
      <c r="D147" s="343">
        <v>1</v>
      </c>
      <c r="E147" s="343">
        <v>1</v>
      </c>
      <c r="F147" s="343">
        <v>1</v>
      </c>
      <c r="G147" s="343">
        <v>1</v>
      </c>
      <c r="H147" s="343">
        <v>1</v>
      </c>
      <c r="I147" s="343">
        <v>1</v>
      </c>
      <c r="J147" s="343">
        <v>1</v>
      </c>
      <c r="K147" s="339">
        <v>0</v>
      </c>
    </row>
    <row r="148" spans="1:11" x14ac:dyDescent="0.35">
      <c r="A148" s="609"/>
      <c r="B148" s="332" t="s">
        <v>154</v>
      </c>
      <c r="C148" s="343">
        <v>1</v>
      </c>
      <c r="D148" s="343">
        <v>1</v>
      </c>
      <c r="E148" s="343">
        <v>1</v>
      </c>
      <c r="F148" s="343">
        <v>1</v>
      </c>
      <c r="G148" s="343">
        <v>1</v>
      </c>
      <c r="H148" s="343">
        <v>1</v>
      </c>
      <c r="I148" s="343">
        <v>1</v>
      </c>
      <c r="J148" s="343">
        <v>1</v>
      </c>
      <c r="K148" s="339">
        <v>0</v>
      </c>
    </row>
    <row r="149" spans="1:11" x14ac:dyDescent="0.35">
      <c r="A149" s="609"/>
      <c r="B149" s="332" t="s">
        <v>155</v>
      </c>
      <c r="C149" s="343">
        <v>1</v>
      </c>
      <c r="D149" s="343">
        <v>1</v>
      </c>
      <c r="E149" s="343">
        <v>1</v>
      </c>
      <c r="F149" s="343">
        <v>1</v>
      </c>
      <c r="G149" s="343">
        <v>1</v>
      </c>
      <c r="H149" s="343">
        <v>1</v>
      </c>
      <c r="I149" s="343">
        <v>1</v>
      </c>
      <c r="J149" s="343">
        <v>1</v>
      </c>
      <c r="K149" s="339">
        <v>0</v>
      </c>
    </row>
    <row r="150" spans="1:11" x14ac:dyDescent="0.35">
      <c r="A150" s="609"/>
      <c r="B150" s="332" t="s">
        <v>156</v>
      </c>
      <c r="C150" s="343">
        <v>1</v>
      </c>
      <c r="D150" s="343">
        <v>1</v>
      </c>
      <c r="E150" s="343">
        <v>1</v>
      </c>
      <c r="F150" s="343">
        <v>1</v>
      </c>
      <c r="G150" s="343">
        <v>1</v>
      </c>
      <c r="H150" s="343">
        <v>1</v>
      </c>
      <c r="I150" s="343">
        <v>1</v>
      </c>
      <c r="J150" s="343">
        <v>1</v>
      </c>
      <c r="K150" s="339">
        <v>0</v>
      </c>
    </row>
    <row r="151" spans="1:11" x14ac:dyDescent="0.35">
      <c r="A151" s="609"/>
      <c r="B151" s="332" t="s">
        <v>157</v>
      </c>
      <c r="C151" s="339">
        <v>0</v>
      </c>
      <c r="D151" s="339">
        <v>0</v>
      </c>
      <c r="E151" s="339">
        <v>0</v>
      </c>
      <c r="F151" s="343">
        <v>1</v>
      </c>
      <c r="G151" s="339">
        <v>0</v>
      </c>
      <c r="H151" s="339">
        <v>0</v>
      </c>
      <c r="I151" s="339">
        <v>0</v>
      </c>
      <c r="J151" s="339">
        <v>0</v>
      </c>
      <c r="K151" s="339">
        <v>0</v>
      </c>
    </row>
    <row r="152" spans="1:11" ht="15" thickBot="1" x14ac:dyDescent="0.4">
      <c r="A152" s="610"/>
      <c r="B152" s="83" t="s">
        <v>158</v>
      </c>
      <c r="C152" s="339">
        <v>0</v>
      </c>
      <c r="D152" s="339">
        <v>0</v>
      </c>
      <c r="E152" s="233">
        <v>1</v>
      </c>
      <c r="F152" s="339">
        <v>0</v>
      </c>
      <c r="G152" s="339">
        <v>0</v>
      </c>
      <c r="H152" s="339">
        <v>0</v>
      </c>
      <c r="I152" s="339">
        <v>0</v>
      </c>
      <c r="J152" s="339">
        <v>0</v>
      </c>
      <c r="K152" s="234">
        <v>1</v>
      </c>
    </row>
    <row r="153" spans="1:11" x14ac:dyDescent="0.35">
      <c r="A153" s="608" t="s">
        <v>98</v>
      </c>
      <c r="B153" s="82" t="s">
        <v>149</v>
      </c>
      <c r="C153" s="232">
        <v>1</v>
      </c>
      <c r="D153" s="232">
        <v>1</v>
      </c>
      <c r="E153" s="232">
        <v>1</v>
      </c>
      <c r="F153" s="232">
        <v>1</v>
      </c>
      <c r="G153" s="232">
        <v>1</v>
      </c>
      <c r="H153" s="232">
        <v>1</v>
      </c>
      <c r="I153" s="232">
        <v>1</v>
      </c>
      <c r="J153" s="232">
        <v>1</v>
      </c>
      <c r="K153" s="339">
        <v>0</v>
      </c>
    </row>
    <row r="154" spans="1:11" x14ac:dyDescent="0.35">
      <c r="A154" s="609"/>
      <c r="B154" s="332" t="s">
        <v>150</v>
      </c>
      <c r="C154" s="343">
        <v>1</v>
      </c>
      <c r="D154" s="343">
        <v>1</v>
      </c>
      <c r="E154" s="343">
        <v>1</v>
      </c>
      <c r="F154" s="343">
        <v>1</v>
      </c>
      <c r="G154" s="343">
        <v>1</v>
      </c>
      <c r="H154" s="343">
        <v>1</v>
      </c>
      <c r="I154" s="343">
        <v>1</v>
      </c>
      <c r="J154" s="343">
        <v>1</v>
      </c>
      <c r="K154" s="339">
        <v>0</v>
      </c>
    </row>
    <row r="155" spans="1:11" x14ac:dyDescent="0.35">
      <c r="A155" s="609"/>
      <c r="B155" s="332" t="s">
        <v>151</v>
      </c>
      <c r="C155" s="343">
        <v>1</v>
      </c>
      <c r="D155" s="343">
        <v>1</v>
      </c>
      <c r="E155" s="343">
        <v>1</v>
      </c>
      <c r="F155" s="343">
        <v>1</v>
      </c>
      <c r="G155" s="343">
        <v>1</v>
      </c>
      <c r="H155" s="343">
        <v>1</v>
      </c>
      <c r="I155" s="343">
        <v>1</v>
      </c>
      <c r="J155" s="343">
        <v>1</v>
      </c>
      <c r="K155" s="339">
        <v>0</v>
      </c>
    </row>
    <row r="156" spans="1:11" x14ac:dyDescent="0.35">
      <c r="A156" s="609"/>
      <c r="B156" s="332" t="s">
        <v>152</v>
      </c>
      <c r="C156" s="343">
        <v>1</v>
      </c>
      <c r="D156" s="343">
        <v>1</v>
      </c>
      <c r="E156" s="343">
        <v>1</v>
      </c>
      <c r="F156" s="343">
        <v>1</v>
      </c>
      <c r="G156" s="343">
        <v>1</v>
      </c>
      <c r="H156" s="343">
        <v>1</v>
      </c>
      <c r="I156" s="343">
        <v>1</v>
      </c>
      <c r="J156" s="343">
        <v>1</v>
      </c>
      <c r="K156" s="339">
        <v>0</v>
      </c>
    </row>
    <row r="157" spans="1:11" x14ac:dyDescent="0.35">
      <c r="A157" s="609"/>
      <c r="B157" s="332" t="s">
        <v>153</v>
      </c>
      <c r="C157" s="343">
        <v>1</v>
      </c>
      <c r="D157" s="343">
        <v>1</v>
      </c>
      <c r="E157" s="343">
        <v>1</v>
      </c>
      <c r="F157" s="343">
        <v>1</v>
      </c>
      <c r="G157" s="343">
        <v>1</v>
      </c>
      <c r="H157" s="343">
        <v>1</v>
      </c>
      <c r="I157" s="343">
        <v>1</v>
      </c>
      <c r="J157" s="343">
        <v>1</v>
      </c>
      <c r="K157" s="339">
        <v>0</v>
      </c>
    </row>
    <row r="158" spans="1:11" x14ac:dyDescent="0.35">
      <c r="A158" s="609"/>
      <c r="B158" s="332" t="s">
        <v>154</v>
      </c>
      <c r="C158" s="343">
        <v>1</v>
      </c>
      <c r="D158" s="343">
        <v>1</v>
      </c>
      <c r="E158" s="343">
        <v>1</v>
      </c>
      <c r="F158" s="343">
        <v>1</v>
      </c>
      <c r="G158" s="343">
        <v>1</v>
      </c>
      <c r="H158" s="343">
        <v>1</v>
      </c>
      <c r="I158" s="343">
        <v>1</v>
      </c>
      <c r="J158" s="343">
        <v>1</v>
      </c>
      <c r="K158" s="339">
        <v>0</v>
      </c>
    </row>
    <row r="159" spans="1:11" x14ac:dyDescent="0.35">
      <c r="A159" s="609"/>
      <c r="B159" s="332" t="s">
        <v>155</v>
      </c>
      <c r="C159" s="343">
        <v>1</v>
      </c>
      <c r="D159" s="343">
        <v>1</v>
      </c>
      <c r="E159" s="343">
        <v>1</v>
      </c>
      <c r="F159" s="343">
        <v>1</v>
      </c>
      <c r="G159" s="343">
        <v>1</v>
      </c>
      <c r="H159" s="343">
        <v>1</v>
      </c>
      <c r="I159" s="343">
        <v>1</v>
      </c>
      <c r="J159" s="343">
        <v>1</v>
      </c>
      <c r="K159" s="339">
        <v>0</v>
      </c>
    </row>
    <row r="160" spans="1:11" x14ac:dyDescent="0.35">
      <c r="A160" s="609"/>
      <c r="B160" s="332" t="s">
        <v>156</v>
      </c>
      <c r="C160" s="343">
        <v>1</v>
      </c>
      <c r="D160" s="343">
        <v>1</v>
      </c>
      <c r="E160" s="343">
        <v>1</v>
      </c>
      <c r="F160" s="343">
        <v>1</v>
      </c>
      <c r="G160" s="343">
        <v>1</v>
      </c>
      <c r="H160" s="343">
        <v>1</v>
      </c>
      <c r="I160" s="343">
        <v>1</v>
      </c>
      <c r="J160" s="343">
        <v>1</v>
      </c>
      <c r="K160" s="339">
        <v>0</v>
      </c>
    </row>
    <row r="161" spans="1:11" x14ac:dyDescent="0.35">
      <c r="A161" s="609"/>
      <c r="B161" s="332" t="s">
        <v>157</v>
      </c>
      <c r="C161" s="339">
        <v>0</v>
      </c>
      <c r="D161" s="339">
        <v>0</v>
      </c>
      <c r="E161" s="339">
        <v>0</v>
      </c>
      <c r="F161" s="343">
        <v>1</v>
      </c>
      <c r="G161" s="339">
        <v>0</v>
      </c>
      <c r="H161" s="339">
        <v>0</v>
      </c>
      <c r="I161" s="339">
        <v>0</v>
      </c>
      <c r="J161" s="339">
        <v>0</v>
      </c>
      <c r="K161" s="339">
        <v>0</v>
      </c>
    </row>
    <row r="162" spans="1:11" ht="15" thickBot="1" x14ac:dyDescent="0.4">
      <c r="A162" s="610"/>
      <c r="B162" s="83" t="s">
        <v>158</v>
      </c>
      <c r="C162" s="339">
        <v>0</v>
      </c>
      <c r="D162" s="339">
        <v>0</v>
      </c>
      <c r="E162" s="233">
        <v>1</v>
      </c>
      <c r="F162" s="339">
        <v>0</v>
      </c>
      <c r="G162" s="339">
        <v>0</v>
      </c>
      <c r="H162" s="339">
        <v>0</v>
      </c>
      <c r="I162" s="339">
        <v>0</v>
      </c>
      <c r="J162" s="339">
        <v>0</v>
      </c>
      <c r="K162" s="234">
        <v>1</v>
      </c>
    </row>
    <row r="163" spans="1:11" x14ac:dyDescent="0.35">
      <c r="A163" s="608" t="s">
        <v>163</v>
      </c>
      <c r="B163" s="82" t="s">
        <v>149</v>
      </c>
      <c r="C163" s="232">
        <v>1</v>
      </c>
      <c r="D163" s="232">
        <v>1</v>
      </c>
      <c r="E163" s="232">
        <v>1</v>
      </c>
      <c r="F163" s="232">
        <v>1</v>
      </c>
      <c r="G163" s="232">
        <v>1</v>
      </c>
      <c r="H163" s="232">
        <v>1</v>
      </c>
      <c r="I163" s="232">
        <v>1</v>
      </c>
      <c r="J163" s="232">
        <v>1</v>
      </c>
      <c r="K163" s="339">
        <v>0</v>
      </c>
    </row>
    <row r="164" spans="1:11" x14ac:dyDescent="0.35">
      <c r="A164" s="609"/>
      <c r="B164" s="332" t="s">
        <v>150</v>
      </c>
      <c r="C164" s="343">
        <v>1</v>
      </c>
      <c r="D164" s="343">
        <v>1</v>
      </c>
      <c r="E164" s="343">
        <v>1</v>
      </c>
      <c r="F164" s="343">
        <v>1</v>
      </c>
      <c r="G164" s="343">
        <v>1</v>
      </c>
      <c r="H164" s="343">
        <v>1</v>
      </c>
      <c r="I164" s="343">
        <v>1</v>
      </c>
      <c r="J164" s="343">
        <v>1</v>
      </c>
      <c r="K164" s="339">
        <v>0</v>
      </c>
    </row>
    <row r="165" spans="1:11" x14ac:dyDescent="0.35">
      <c r="A165" s="609"/>
      <c r="B165" s="332" t="s">
        <v>151</v>
      </c>
      <c r="C165" s="343">
        <v>1</v>
      </c>
      <c r="D165" s="343">
        <v>1</v>
      </c>
      <c r="E165" s="343">
        <v>1</v>
      </c>
      <c r="F165" s="343">
        <v>1</v>
      </c>
      <c r="G165" s="343">
        <v>1</v>
      </c>
      <c r="H165" s="343">
        <v>1</v>
      </c>
      <c r="I165" s="343">
        <v>1</v>
      </c>
      <c r="J165" s="343">
        <v>1</v>
      </c>
      <c r="K165" s="339">
        <v>0</v>
      </c>
    </row>
    <row r="166" spans="1:11" x14ac:dyDescent="0.35">
      <c r="A166" s="609"/>
      <c r="B166" s="332" t="s">
        <v>152</v>
      </c>
      <c r="C166" s="343">
        <v>1</v>
      </c>
      <c r="D166" s="343">
        <v>1</v>
      </c>
      <c r="E166" s="343">
        <v>1</v>
      </c>
      <c r="F166" s="343">
        <v>1</v>
      </c>
      <c r="G166" s="343">
        <v>1</v>
      </c>
      <c r="H166" s="343">
        <v>1</v>
      </c>
      <c r="I166" s="343">
        <v>1</v>
      </c>
      <c r="J166" s="343">
        <v>1</v>
      </c>
      <c r="K166" s="339">
        <v>0</v>
      </c>
    </row>
    <row r="167" spans="1:11" x14ac:dyDescent="0.35">
      <c r="A167" s="609"/>
      <c r="B167" s="332" t="s">
        <v>153</v>
      </c>
      <c r="C167" s="343">
        <v>1</v>
      </c>
      <c r="D167" s="343">
        <v>1</v>
      </c>
      <c r="E167" s="343">
        <v>1</v>
      </c>
      <c r="F167" s="343">
        <v>1</v>
      </c>
      <c r="G167" s="343">
        <v>1</v>
      </c>
      <c r="H167" s="343">
        <v>1</v>
      </c>
      <c r="I167" s="343">
        <v>1</v>
      </c>
      <c r="J167" s="343">
        <v>1</v>
      </c>
      <c r="K167" s="339">
        <v>0</v>
      </c>
    </row>
    <row r="168" spans="1:11" x14ac:dyDescent="0.35">
      <c r="A168" s="609"/>
      <c r="B168" s="332" t="s">
        <v>154</v>
      </c>
      <c r="C168" s="343">
        <v>1</v>
      </c>
      <c r="D168" s="343">
        <v>1</v>
      </c>
      <c r="E168" s="343">
        <v>1</v>
      </c>
      <c r="F168" s="343">
        <v>1</v>
      </c>
      <c r="G168" s="343">
        <v>1</v>
      </c>
      <c r="H168" s="343">
        <v>1</v>
      </c>
      <c r="I168" s="343">
        <v>1</v>
      </c>
      <c r="J168" s="343">
        <v>1</v>
      </c>
      <c r="K168" s="339">
        <v>0</v>
      </c>
    </row>
    <row r="169" spans="1:11" x14ac:dyDescent="0.35">
      <c r="A169" s="609"/>
      <c r="B169" s="332" t="s">
        <v>155</v>
      </c>
      <c r="C169" s="343">
        <v>1</v>
      </c>
      <c r="D169" s="343">
        <v>1</v>
      </c>
      <c r="E169" s="343">
        <v>1</v>
      </c>
      <c r="F169" s="343">
        <v>1</v>
      </c>
      <c r="G169" s="343">
        <v>1</v>
      </c>
      <c r="H169" s="343">
        <v>1</v>
      </c>
      <c r="I169" s="343">
        <v>1</v>
      </c>
      <c r="J169" s="343">
        <v>1</v>
      </c>
      <c r="K169" s="339">
        <v>0</v>
      </c>
    </row>
    <row r="170" spans="1:11" x14ac:dyDescent="0.35">
      <c r="A170" s="609"/>
      <c r="B170" s="332" t="s">
        <v>156</v>
      </c>
      <c r="C170" s="343">
        <v>1</v>
      </c>
      <c r="D170" s="343">
        <v>1</v>
      </c>
      <c r="E170" s="343">
        <v>1</v>
      </c>
      <c r="F170" s="343">
        <v>1</v>
      </c>
      <c r="G170" s="343">
        <v>1</v>
      </c>
      <c r="H170" s="343">
        <v>1</v>
      </c>
      <c r="I170" s="343">
        <v>1</v>
      </c>
      <c r="J170" s="343">
        <v>1</v>
      </c>
      <c r="K170" s="339">
        <v>0</v>
      </c>
    </row>
    <row r="171" spans="1:11" x14ac:dyDescent="0.35">
      <c r="A171" s="609"/>
      <c r="B171" s="332" t="s">
        <v>157</v>
      </c>
      <c r="C171" s="339">
        <v>0</v>
      </c>
      <c r="D171" s="339">
        <v>0</v>
      </c>
      <c r="E171" s="339">
        <v>0</v>
      </c>
      <c r="F171" s="343">
        <v>1</v>
      </c>
      <c r="G171" s="339">
        <v>0</v>
      </c>
      <c r="H171" s="339">
        <v>0</v>
      </c>
      <c r="I171" s="339">
        <v>0</v>
      </c>
      <c r="J171" s="339">
        <v>0</v>
      </c>
      <c r="K171" s="339">
        <v>0</v>
      </c>
    </row>
    <row r="172" spans="1:11" ht="15" thickBot="1" x14ac:dyDescent="0.4">
      <c r="A172" s="610"/>
      <c r="B172" s="83" t="s">
        <v>158</v>
      </c>
      <c r="C172" s="339">
        <v>0</v>
      </c>
      <c r="D172" s="339">
        <v>0</v>
      </c>
      <c r="E172" s="233">
        <v>1</v>
      </c>
      <c r="F172" s="339">
        <v>0</v>
      </c>
      <c r="G172" s="339">
        <v>0</v>
      </c>
      <c r="H172" s="339">
        <v>0</v>
      </c>
      <c r="I172" s="339">
        <v>0</v>
      </c>
      <c r="J172" s="339">
        <v>0</v>
      </c>
      <c r="K172" s="234">
        <v>1</v>
      </c>
    </row>
    <row r="173" spans="1:11" x14ac:dyDescent="0.35">
      <c r="A173" s="608" t="s">
        <v>100</v>
      </c>
      <c r="B173" s="82" t="s">
        <v>149</v>
      </c>
      <c r="C173" s="232">
        <v>1</v>
      </c>
      <c r="D173" s="232">
        <v>1</v>
      </c>
      <c r="E173" s="232">
        <v>1</v>
      </c>
      <c r="F173" s="232">
        <v>1</v>
      </c>
      <c r="G173" s="232">
        <v>1</v>
      </c>
      <c r="H173" s="232">
        <v>1</v>
      </c>
      <c r="I173" s="232">
        <v>1</v>
      </c>
      <c r="J173" s="232">
        <v>1</v>
      </c>
      <c r="K173" s="339">
        <v>0</v>
      </c>
    </row>
    <row r="174" spans="1:11" x14ac:dyDescent="0.35">
      <c r="A174" s="609"/>
      <c r="B174" s="332" t="s">
        <v>150</v>
      </c>
      <c r="C174" s="343">
        <v>1</v>
      </c>
      <c r="D174" s="343">
        <v>1</v>
      </c>
      <c r="E174" s="343">
        <v>1</v>
      </c>
      <c r="F174" s="343">
        <v>1</v>
      </c>
      <c r="G174" s="343">
        <v>1</v>
      </c>
      <c r="H174" s="343">
        <v>1</v>
      </c>
      <c r="I174" s="343">
        <v>1</v>
      </c>
      <c r="J174" s="343">
        <v>1</v>
      </c>
      <c r="K174" s="339">
        <v>0</v>
      </c>
    </row>
    <row r="175" spans="1:11" x14ac:dyDescent="0.35">
      <c r="A175" s="609"/>
      <c r="B175" s="332" t="s">
        <v>151</v>
      </c>
      <c r="C175" s="343">
        <v>1</v>
      </c>
      <c r="D175" s="343">
        <v>1</v>
      </c>
      <c r="E175" s="343">
        <v>1</v>
      </c>
      <c r="F175" s="343">
        <v>1</v>
      </c>
      <c r="G175" s="343">
        <v>1</v>
      </c>
      <c r="H175" s="343">
        <v>1</v>
      </c>
      <c r="I175" s="343">
        <v>1</v>
      </c>
      <c r="J175" s="343">
        <v>1</v>
      </c>
      <c r="K175" s="339">
        <v>0</v>
      </c>
    </row>
    <row r="176" spans="1:11" x14ac:dyDescent="0.35">
      <c r="A176" s="609"/>
      <c r="B176" s="332" t="s">
        <v>152</v>
      </c>
      <c r="C176" s="343">
        <v>1</v>
      </c>
      <c r="D176" s="343">
        <v>1</v>
      </c>
      <c r="E176" s="343">
        <v>1</v>
      </c>
      <c r="F176" s="343">
        <v>1</v>
      </c>
      <c r="G176" s="343">
        <v>1</v>
      </c>
      <c r="H176" s="343">
        <v>1</v>
      </c>
      <c r="I176" s="343">
        <v>1</v>
      </c>
      <c r="J176" s="343">
        <v>1</v>
      </c>
      <c r="K176" s="339">
        <v>0</v>
      </c>
    </row>
    <row r="177" spans="1:11" x14ac:dyDescent="0.35">
      <c r="A177" s="609"/>
      <c r="B177" s="332" t="s">
        <v>153</v>
      </c>
      <c r="C177" s="343">
        <v>1</v>
      </c>
      <c r="D177" s="343">
        <v>1</v>
      </c>
      <c r="E177" s="343">
        <v>1</v>
      </c>
      <c r="F177" s="343">
        <v>1</v>
      </c>
      <c r="G177" s="343">
        <v>1</v>
      </c>
      <c r="H177" s="343">
        <v>1</v>
      </c>
      <c r="I177" s="343">
        <v>1</v>
      </c>
      <c r="J177" s="343">
        <v>1</v>
      </c>
      <c r="K177" s="339">
        <v>0</v>
      </c>
    </row>
    <row r="178" spans="1:11" x14ac:dyDescent="0.35">
      <c r="A178" s="609"/>
      <c r="B178" s="332" t="s">
        <v>154</v>
      </c>
      <c r="C178" s="343">
        <v>1</v>
      </c>
      <c r="D178" s="343">
        <v>1</v>
      </c>
      <c r="E178" s="343">
        <v>1</v>
      </c>
      <c r="F178" s="343">
        <v>1</v>
      </c>
      <c r="G178" s="343">
        <v>1</v>
      </c>
      <c r="H178" s="343">
        <v>1</v>
      </c>
      <c r="I178" s="343">
        <v>1</v>
      </c>
      <c r="J178" s="343">
        <v>1</v>
      </c>
      <c r="K178" s="339">
        <v>0</v>
      </c>
    </row>
    <row r="179" spans="1:11" x14ac:dyDescent="0.35">
      <c r="A179" s="609"/>
      <c r="B179" s="332" t="s">
        <v>155</v>
      </c>
      <c r="C179" s="343">
        <v>1</v>
      </c>
      <c r="D179" s="343">
        <v>1</v>
      </c>
      <c r="E179" s="343">
        <v>1</v>
      </c>
      <c r="F179" s="343">
        <v>1</v>
      </c>
      <c r="G179" s="343">
        <v>1</v>
      </c>
      <c r="H179" s="343">
        <v>1</v>
      </c>
      <c r="I179" s="343">
        <v>1</v>
      </c>
      <c r="J179" s="343">
        <v>1</v>
      </c>
      <c r="K179" s="339">
        <v>0</v>
      </c>
    </row>
    <row r="180" spans="1:11" x14ac:dyDescent="0.35">
      <c r="A180" s="609"/>
      <c r="B180" s="332" t="s">
        <v>156</v>
      </c>
      <c r="C180" s="343">
        <v>1</v>
      </c>
      <c r="D180" s="343">
        <v>1</v>
      </c>
      <c r="E180" s="343">
        <v>1</v>
      </c>
      <c r="F180" s="343">
        <v>1</v>
      </c>
      <c r="G180" s="343">
        <v>1</v>
      </c>
      <c r="H180" s="343">
        <v>1</v>
      </c>
      <c r="I180" s="343">
        <v>1</v>
      </c>
      <c r="J180" s="343">
        <v>1</v>
      </c>
      <c r="K180" s="339">
        <v>0</v>
      </c>
    </row>
    <row r="181" spans="1:11" x14ac:dyDescent="0.35">
      <c r="A181" s="609"/>
      <c r="B181" s="332" t="s">
        <v>157</v>
      </c>
      <c r="C181" s="339">
        <v>0</v>
      </c>
      <c r="D181" s="339">
        <v>0</v>
      </c>
      <c r="E181" s="339">
        <v>0</v>
      </c>
      <c r="F181" s="343">
        <v>1</v>
      </c>
      <c r="G181" s="339">
        <v>0</v>
      </c>
      <c r="H181" s="339">
        <v>0</v>
      </c>
      <c r="I181" s="339">
        <v>0</v>
      </c>
      <c r="J181" s="339">
        <v>0</v>
      </c>
      <c r="K181" s="339">
        <v>0</v>
      </c>
    </row>
    <row r="182" spans="1:11" ht="15" thickBot="1" x14ac:dyDescent="0.4">
      <c r="A182" s="610"/>
      <c r="B182" s="83" t="s">
        <v>158</v>
      </c>
      <c r="C182" s="339">
        <v>0</v>
      </c>
      <c r="D182" s="339">
        <v>0</v>
      </c>
      <c r="E182" s="233">
        <v>1</v>
      </c>
      <c r="F182" s="339">
        <v>0</v>
      </c>
      <c r="G182" s="339">
        <v>0</v>
      </c>
      <c r="H182" s="339">
        <v>0</v>
      </c>
      <c r="I182" s="339">
        <v>0</v>
      </c>
      <c r="J182" s="339">
        <v>0</v>
      </c>
      <c r="K182" s="234">
        <v>1</v>
      </c>
    </row>
    <row r="183" spans="1:11" x14ac:dyDescent="0.35">
      <c r="A183" s="608" t="s">
        <v>101</v>
      </c>
      <c r="B183" s="82" t="s">
        <v>149</v>
      </c>
      <c r="C183" s="232">
        <v>1</v>
      </c>
      <c r="D183" s="232">
        <v>1</v>
      </c>
      <c r="E183" s="232">
        <v>1</v>
      </c>
      <c r="F183" s="232">
        <v>1</v>
      </c>
      <c r="G183" s="232">
        <v>1</v>
      </c>
      <c r="H183" s="232">
        <v>1</v>
      </c>
      <c r="I183" s="232">
        <v>1</v>
      </c>
      <c r="J183" s="232">
        <v>1</v>
      </c>
      <c r="K183" s="339">
        <v>0</v>
      </c>
    </row>
    <row r="184" spans="1:11" x14ac:dyDescent="0.35">
      <c r="A184" s="609"/>
      <c r="B184" s="332" t="s">
        <v>150</v>
      </c>
      <c r="C184" s="343">
        <v>1</v>
      </c>
      <c r="D184" s="343">
        <v>1</v>
      </c>
      <c r="E184" s="343">
        <v>1</v>
      </c>
      <c r="F184" s="343">
        <v>1</v>
      </c>
      <c r="G184" s="343">
        <v>1</v>
      </c>
      <c r="H184" s="343">
        <v>1</v>
      </c>
      <c r="I184" s="343">
        <v>1</v>
      </c>
      <c r="J184" s="343">
        <v>1</v>
      </c>
      <c r="K184" s="339">
        <v>0</v>
      </c>
    </row>
    <row r="185" spans="1:11" x14ac:dyDescent="0.35">
      <c r="A185" s="609"/>
      <c r="B185" s="332" t="s">
        <v>151</v>
      </c>
      <c r="C185" s="343">
        <v>1</v>
      </c>
      <c r="D185" s="343">
        <v>1</v>
      </c>
      <c r="E185" s="343">
        <v>1</v>
      </c>
      <c r="F185" s="343">
        <v>1</v>
      </c>
      <c r="G185" s="343">
        <v>1</v>
      </c>
      <c r="H185" s="343">
        <v>1</v>
      </c>
      <c r="I185" s="343">
        <v>1</v>
      </c>
      <c r="J185" s="343">
        <v>1</v>
      </c>
      <c r="K185" s="339">
        <v>0</v>
      </c>
    </row>
    <row r="186" spans="1:11" x14ac:dyDescent="0.35">
      <c r="A186" s="609"/>
      <c r="B186" s="332" t="s">
        <v>152</v>
      </c>
      <c r="C186" s="343">
        <v>1</v>
      </c>
      <c r="D186" s="343">
        <v>1</v>
      </c>
      <c r="E186" s="343">
        <v>1</v>
      </c>
      <c r="F186" s="343">
        <v>1</v>
      </c>
      <c r="G186" s="343">
        <v>1</v>
      </c>
      <c r="H186" s="343">
        <v>1</v>
      </c>
      <c r="I186" s="343">
        <v>1</v>
      </c>
      <c r="J186" s="343">
        <v>1</v>
      </c>
      <c r="K186" s="339">
        <v>0</v>
      </c>
    </row>
    <row r="187" spans="1:11" x14ac:dyDescent="0.35">
      <c r="A187" s="609"/>
      <c r="B187" s="332" t="s">
        <v>153</v>
      </c>
      <c r="C187" s="343">
        <v>1</v>
      </c>
      <c r="D187" s="343">
        <v>1</v>
      </c>
      <c r="E187" s="343">
        <v>1</v>
      </c>
      <c r="F187" s="343">
        <v>1</v>
      </c>
      <c r="G187" s="343">
        <v>1</v>
      </c>
      <c r="H187" s="343">
        <v>1</v>
      </c>
      <c r="I187" s="343">
        <v>1</v>
      </c>
      <c r="J187" s="343">
        <v>1</v>
      </c>
      <c r="K187" s="339">
        <v>0</v>
      </c>
    </row>
    <row r="188" spans="1:11" x14ac:dyDescent="0.35">
      <c r="A188" s="609"/>
      <c r="B188" s="332" t="s">
        <v>154</v>
      </c>
      <c r="C188" s="343">
        <v>1</v>
      </c>
      <c r="D188" s="343">
        <v>1</v>
      </c>
      <c r="E188" s="343">
        <v>1</v>
      </c>
      <c r="F188" s="343">
        <v>1</v>
      </c>
      <c r="G188" s="343">
        <v>1</v>
      </c>
      <c r="H188" s="343">
        <v>1</v>
      </c>
      <c r="I188" s="343">
        <v>1</v>
      </c>
      <c r="J188" s="343">
        <v>1</v>
      </c>
      <c r="K188" s="339">
        <v>0</v>
      </c>
    </row>
    <row r="189" spans="1:11" x14ac:dyDescent="0.35">
      <c r="A189" s="609"/>
      <c r="B189" s="332" t="s">
        <v>155</v>
      </c>
      <c r="C189" s="343">
        <v>1</v>
      </c>
      <c r="D189" s="343">
        <v>1</v>
      </c>
      <c r="E189" s="343">
        <v>1</v>
      </c>
      <c r="F189" s="343">
        <v>1</v>
      </c>
      <c r="G189" s="343">
        <v>1</v>
      </c>
      <c r="H189" s="343">
        <v>1</v>
      </c>
      <c r="I189" s="343">
        <v>1</v>
      </c>
      <c r="J189" s="343">
        <v>1</v>
      </c>
      <c r="K189" s="339">
        <v>0</v>
      </c>
    </row>
    <row r="190" spans="1:11" x14ac:dyDescent="0.35">
      <c r="A190" s="609"/>
      <c r="B190" s="332" t="s">
        <v>156</v>
      </c>
      <c r="C190" s="343">
        <v>1</v>
      </c>
      <c r="D190" s="343">
        <v>1</v>
      </c>
      <c r="E190" s="343">
        <v>1</v>
      </c>
      <c r="F190" s="343">
        <v>1</v>
      </c>
      <c r="G190" s="343">
        <v>1</v>
      </c>
      <c r="H190" s="343">
        <v>1</v>
      </c>
      <c r="I190" s="343">
        <v>1</v>
      </c>
      <c r="J190" s="343">
        <v>1</v>
      </c>
      <c r="K190" s="339">
        <v>0</v>
      </c>
    </row>
    <row r="191" spans="1:11" x14ac:dyDescent="0.35">
      <c r="A191" s="609"/>
      <c r="B191" s="332" t="s">
        <v>157</v>
      </c>
      <c r="C191" s="339">
        <v>0</v>
      </c>
      <c r="D191" s="339">
        <v>0</v>
      </c>
      <c r="E191" s="339">
        <v>0</v>
      </c>
      <c r="F191" s="343">
        <v>1</v>
      </c>
      <c r="G191" s="339">
        <v>0</v>
      </c>
      <c r="H191" s="339">
        <v>0</v>
      </c>
      <c r="I191" s="339">
        <v>0</v>
      </c>
      <c r="J191" s="339">
        <v>0</v>
      </c>
      <c r="K191" s="339">
        <v>0</v>
      </c>
    </row>
    <row r="192" spans="1:11" ht="15" thickBot="1" x14ac:dyDescent="0.4">
      <c r="A192" s="610"/>
      <c r="B192" s="83" t="s">
        <v>158</v>
      </c>
      <c r="C192" s="339">
        <v>0</v>
      </c>
      <c r="D192" s="339">
        <v>0</v>
      </c>
      <c r="E192" s="233">
        <v>1</v>
      </c>
      <c r="F192" s="339">
        <v>0</v>
      </c>
      <c r="G192" s="339">
        <v>0</v>
      </c>
      <c r="H192" s="339">
        <v>0</v>
      </c>
      <c r="I192" s="339">
        <v>0</v>
      </c>
      <c r="J192" s="339">
        <v>0</v>
      </c>
      <c r="K192" s="234">
        <v>1</v>
      </c>
    </row>
    <row r="193" spans="1:11" x14ac:dyDescent="0.35">
      <c r="A193" s="608" t="s">
        <v>102</v>
      </c>
      <c r="B193" s="82" t="s">
        <v>149</v>
      </c>
      <c r="C193" s="232">
        <v>1</v>
      </c>
      <c r="D193" s="232">
        <v>1</v>
      </c>
      <c r="E193" s="232">
        <v>1</v>
      </c>
      <c r="F193" s="232">
        <v>1</v>
      </c>
      <c r="G193" s="232">
        <v>1</v>
      </c>
      <c r="H193" s="232">
        <v>1</v>
      </c>
      <c r="I193" s="232">
        <v>1</v>
      </c>
      <c r="J193" s="232">
        <v>1</v>
      </c>
      <c r="K193" s="339">
        <v>0</v>
      </c>
    </row>
    <row r="194" spans="1:11" x14ac:dyDescent="0.35">
      <c r="A194" s="609"/>
      <c r="B194" s="332" t="s">
        <v>150</v>
      </c>
      <c r="C194" s="343">
        <v>1</v>
      </c>
      <c r="D194" s="343">
        <v>1</v>
      </c>
      <c r="E194" s="343">
        <v>1</v>
      </c>
      <c r="F194" s="343">
        <v>1</v>
      </c>
      <c r="G194" s="343">
        <v>1</v>
      </c>
      <c r="H194" s="343">
        <v>1</v>
      </c>
      <c r="I194" s="343">
        <v>1</v>
      </c>
      <c r="J194" s="343">
        <v>1</v>
      </c>
      <c r="K194" s="339">
        <v>0</v>
      </c>
    </row>
    <row r="195" spans="1:11" x14ac:dyDescent="0.35">
      <c r="A195" s="609"/>
      <c r="B195" s="332" t="s">
        <v>151</v>
      </c>
      <c r="C195" s="343">
        <v>1</v>
      </c>
      <c r="D195" s="343">
        <v>1</v>
      </c>
      <c r="E195" s="343">
        <v>1</v>
      </c>
      <c r="F195" s="343">
        <v>1</v>
      </c>
      <c r="G195" s="343">
        <v>1</v>
      </c>
      <c r="H195" s="343">
        <v>1</v>
      </c>
      <c r="I195" s="343">
        <v>1</v>
      </c>
      <c r="J195" s="343">
        <v>1</v>
      </c>
      <c r="K195" s="339">
        <v>0</v>
      </c>
    </row>
    <row r="196" spans="1:11" x14ac:dyDescent="0.35">
      <c r="A196" s="609"/>
      <c r="B196" s="332" t="s">
        <v>152</v>
      </c>
      <c r="C196" s="343">
        <v>1</v>
      </c>
      <c r="D196" s="343">
        <v>1</v>
      </c>
      <c r="E196" s="343">
        <v>1</v>
      </c>
      <c r="F196" s="343">
        <v>1</v>
      </c>
      <c r="G196" s="343">
        <v>1</v>
      </c>
      <c r="H196" s="343">
        <v>1</v>
      </c>
      <c r="I196" s="343">
        <v>1</v>
      </c>
      <c r="J196" s="343">
        <v>1</v>
      </c>
      <c r="K196" s="339">
        <v>0</v>
      </c>
    </row>
    <row r="197" spans="1:11" x14ac:dyDescent="0.35">
      <c r="A197" s="609"/>
      <c r="B197" s="332" t="s">
        <v>153</v>
      </c>
      <c r="C197" s="343">
        <v>1</v>
      </c>
      <c r="D197" s="343">
        <v>1</v>
      </c>
      <c r="E197" s="343">
        <v>1</v>
      </c>
      <c r="F197" s="343">
        <v>1</v>
      </c>
      <c r="G197" s="343">
        <v>1</v>
      </c>
      <c r="H197" s="343">
        <v>1</v>
      </c>
      <c r="I197" s="343">
        <v>1</v>
      </c>
      <c r="J197" s="343">
        <v>1</v>
      </c>
      <c r="K197" s="339">
        <v>0</v>
      </c>
    </row>
    <row r="198" spans="1:11" x14ac:dyDescent="0.35">
      <c r="A198" s="609"/>
      <c r="B198" s="332" t="s">
        <v>154</v>
      </c>
      <c r="C198" s="343">
        <v>1</v>
      </c>
      <c r="D198" s="343">
        <v>1</v>
      </c>
      <c r="E198" s="343">
        <v>1</v>
      </c>
      <c r="F198" s="343">
        <v>1</v>
      </c>
      <c r="G198" s="343">
        <v>1</v>
      </c>
      <c r="H198" s="343">
        <v>1</v>
      </c>
      <c r="I198" s="343">
        <v>1</v>
      </c>
      <c r="J198" s="343">
        <v>1</v>
      </c>
      <c r="K198" s="339">
        <v>0</v>
      </c>
    </row>
    <row r="199" spans="1:11" x14ac:dyDescent="0.35">
      <c r="A199" s="609"/>
      <c r="B199" s="332" t="s">
        <v>155</v>
      </c>
      <c r="C199" s="343">
        <v>1</v>
      </c>
      <c r="D199" s="343">
        <v>1</v>
      </c>
      <c r="E199" s="343">
        <v>1</v>
      </c>
      <c r="F199" s="343">
        <v>1</v>
      </c>
      <c r="G199" s="343">
        <v>1</v>
      </c>
      <c r="H199" s="343">
        <v>1</v>
      </c>
      <c r="I199" s="343">
        <v>1</v>
      </c>
      <c r="J199" s="343">
        <v>1</v>
      </c>
      <c r="K199" s="339">
        <v>0</v>
      </c>
    </row>
    <row r="200" spans="1:11" x14ac:dyDescent="0.35">
      <c r="A200" s="609"/>
      <c r="B200" s="332" t="s">
        <v>156</v>
      </c>
      <c r="C200" s="343">
        <v>1</v>
      </c>
      <c r="D200" s="343">
        <v>1</v>
      </c>
      <c r="E200" s="343">
        <v>1</v>
      </c>
      <c r="F200" s="343">
        <v>1</v>
      </c>
      <c r="G200" s="343">
        <v>1</v>
      </c>
      <c r="H200" s="343">
        <v>1</v>
      </c>
      <c r="I200" s="343">
        <v>1</v>
      </c>
      <c r="J200" s="343">
        <v>1</v>
      </c>
      <c r="K200" s="339">
        <v>0</v>
      </c>
    </row>
    <row r="201" spans="1:11" x14ac:dyDescent="0.35">
      <c r="A201" s="609"/>
      <c r="B201" s="332" t="s">
        <v>157</v>
      </c>
      <c r="C201" s="339">
        <v>0</v>
      </c>
      <c r="D201" s="339">
        <v>0</v>
      </c>
      <c r="E201" s="339">
        <v>0</v>
      </c>
      <c r="F201" s="343">
        <v>1</v>
      </c>
      <c r="G201" s="339">
        <v>0</v>
      </c>
      <c r="H201" s="339">
        <v>0</v>
      </c>
      <c r="I201" s="339">
        <v>0</v>
      </c>
      <c r="J201" s="339">
        <v>0</v>
      </c>
      <c r="K201" s="339">
        <v>0</v>
      </c>
    </row>
    <row r="202" spans="1:11" ht="15" thickBot="1" x14ac:dyDescent="0.4">
      <c r="A202" s="610"/>
      <c r="B202" s="83" t="s">
        <v>158</v>
      </c>
      <c r="C202" s="339">
        <v>0</v>
      </c>
      <c r="D202" s="339">
        <v>0</v>
      </c>
      <c r="E202" s="233">
        <v>1</v>
      </c>
      <c r="F202" s="339">
        <v>0</v>
      </c>
      <c r="G202" s="339">
        <v>0</v>
      </c>
      <c r="H202" s="339">
        <v>0</v>
      </c>
      <c r="I202" s="339">
        <v>0</v>
      </c>
      <c r="J202" s="339">
        <v>0</v>
      </c>
      <c r="K202" s="234">
        <v>1</v>
      </c>
    </row>
    <row r="203" spans="1:11" x14ac:dyDescent="0.35">
      <c r="A203" s="608" t="s">
        <v>103</v>
      </c>
      <c r="B203" s="82" t="s">
        <v>149</v>
      </c>
      <c r="C203" s="232">
        <v>1</v>
      </c>
      <c r="D203" s="232">
        <v>1</v>
      </c>
      <c r="E203" s="232">
        <v>1</v>
      </c>
      <c r="F203" s="232">
        <v>1</v>
      </c>
      <c r="G203" s="232">
        <v>1</v>
      </c>
      <c r="H203" s="232">
        <v>1</v>
      </c>
      <c r="I203" s="232">
        <v>1</v>
      </c>
      <c r="J203" s="232">
        <v>1</v>
      </c>
      <c r="K203" s="339">
        <v>0</v>
      </c>
    </row>
    <row r="204" spans="1:11" x14ac:dyDescent="0.35">
      <c r="A204" s="609"/>
      <c r="B204" s="332" t="s">
        <v>150</v>
      </c>
      <c r="C204" s="343">
        <v>1</v>
      </c>
      <c r="D204" s="343">
        <v>1</v>
      </c>
      <c r="E204" s="343">
        <v>1</v>
      </c>
      <c r="F204" s="343">
        <v>1</v>
      </c>
      <c r="G204" s="343">
        <v>1</v>
      </c>
      <c r="H204" s="343">
        <v>1</v>
      </c>
      <c r="I204" s="343">
        <v>1</v>
      </c>
      <c r="J204" s="343">
        <v>1</v>
      </c>
      <c r="K204" s="339">
        <v>0</v>
      </c>
    </row>
    <row r="205" spans="1:11" x14ac:dyDescent="0.35">
      <c r="A205" s="609"/>
      <c r="B205" s="332" t="s">
        <v>151</v>
      </c>
      <c r="C205" s="343">
        <v>1</v>
      </c>
      <c r="D205" s="343">
        <v>1</v>
      </c>
      <c r="E205" s="343">
        <v>1</v>
      </c>
      <c r="F205" s="343">
        <v>1</v>
      </c>
      <c r="G205" s="343">
        <v>1</v>
      </c>
      <c r="H205" s="343">
        <v>1</v>
      </c>
      <c r="I205" s="343">
        <v>1</v>
      </c>
      <c r="J205" s="343">
        <v>1</v>
      </c>
      <c r="K205" s="339">
        <v>0</v>
      </c>
    </row>
    <row r="206" spans="1:11" x14ac:dyDescent="0.35">
      <c r="A206" s="609"/>
      <c r="B206" s="332" t="s">
        <v>152</v>
      </c>
      <c r="C206" s="343">
        <v>1</v>
      </c>
      <c r="D206" s="343">
        <v>1</v>
      </c>
      <c r="E206" s="343">
        <v>1</v>
      </c>
      <c r="F206" s="343">
        <v>1</v>
      </c>
      <c r="G206" s="343">
        <v>1</v>
      </c>
      <c r="H206" s="343">
        <v>1</v>
      </c>
      <c r="I206" s="343">
        <v>1</v>
      </c>
      <c r="J206" s="343">
        <v>1</v>
      </c>
      <c r="K206" s="339">
        <v>0</v>
      </c>
    </row>
    <row r="207" spans="1:11" x14ac:dyDescent="0.35">
      <c r="A207" s="609"/>
      <c r="B207" s="332" t="s">
        <v>153</v>
      </c>
      <c r="C207" s="343">
        <v>1</v>
      </c>
      <c r="D207" s="343">
        <v>1</v>
      </c>
      <c r="E207" s="343">
        <v>1</v>
      </c>
      <c r="F207" s="343">
        <v>1</v>
      </c>
      <c r="G207" s="343">
        <v>1</v>
      </c>
      <c r="H207" s="343">
        <v>1</v>
      </c>
      <c r="I207" s="343">
        <v>1</v>
      </c>
      <c r="J207" s="343">
        <v>1</v>
      </c>
      <c r="K207" s="339">
        <v>0</v>
      </c>
    </row>
    <row r="208" spans="1:11" x14ac:dyDescent="0.35">
      <c r="A208" s="609"/>
      <c r="B208" s="332" t="s">
        <v>154</v>
      </c>
      <c r="C208" s="343">
        <v>1</v>
      </c>
      <c r="D208" s="343">
        <v>1</v>
      </c>
      <c r="E208" s="343">
        <v>1</v>
      </c>
      <c r="F208" s="343">
        <v>1</v>
      </c>
      <c r="G208" s="343">
        <v>1</v>
      </c>
      <c r="H208" s="343">
        <v>1</v>
      </c>
      <c r="I208" s="343">
        <v>1</v>
      </c>
      <c r="J208" s="343">
        <v>1</v>
      </c>
      <c r="K208" s="339">
        <v>0</v>
      </c>
    </row>
    <row r="209" spans="1:11" x14ac:dyDescent="0.35">
      <c r="A209" s="609"/>
      <c r="B209" s="332" t="s">
        <v>155</v>
      </c>
      <c r="C209" s="343">
        <v>1</v>
      </c>
      <c r="D209" s="343">
        <v>1</v>
      </c>
      <c r="E209" s="343">
        <v>1</v>
      </c>
      <c r="F209" s="343">
        <v>1</v>
      </c>
      <c r="G209" s="343">
        <v>1</v>
      </c>
      <c r="H209" s="343">
        <v>1</v>
      </c>
      <c r="I209" s="343">
        <v>1</v>
      </c>
      <c r="J209" s="343">
        <v>1</v>
      </c>
      <c r="K209" s="339">
        <v>0</v>
      </c>
    </row>
    <row r="210" spans="1:11" x14ac:dyDescent="0.35">
      <c r="A210" s="609"/>
      <c r="B210" s="332" t="s">
        <v>156</v>
      </c>
      <c r="C210" s="343">
        <v>1</v>
      </c>
      <c r="D210" s="343">
        <v>1</v>
      </c>
      <c r="E210" s="343">
        <v>1</v>
      </c>
      <c r="F210" s="343">
        <v>1</v>
      </c>
      <c r="G210" s="343">
        <v>1</v>
      </c>
      <c r="H210" s="343">
        <v>1</v>
      </c>
      <c r="I210" s="343">
        <v>1</v>
      </c>
      <c r="J210" s="343">
        <v>1</v>
      </c>
      <c r="K210" s="339">
        <v>0</v>
      </c>
    </row>
    <row r="211" spans="1:11" x14ac:dyDescent="0.35">
      <c r="A211" s="609"/>
      <c r="B211" s="332" t="s">
        <v>157</v>
      </c>
      <c r="C211" s="339">
        <v>0</v>
      </c>
      <c r="D211" s="339">
        <v>0</v>
      </c>
      <c r="E211" s="339">
        <v>0</v>
      </c>
      <c r="F211" s="343">
        <v>1</v>
      </c>
      <c r="G211" s="339">
        <v>0</v>
      </c>
      <c r="H211" s="339">
        <v>0</v>
      </c>
      <c r="I211" s="339">
        <v>0</v>
      </c>
      <c r="J211" s="339">
        <v>0</v>
      </c>
      <c r="K211" s="339">
        <v>0</v>
      </c>
    </row>
    <row r="212" spans="1:11" ht="15" thickBot="1" x14ac:dyDescent="0.4">
      <c r="A212" s="610"/>
      <c r="B212" s="83" t="s">
        <v>158</v>
      </c>
      <c r="C212" s="339">
        <v>0</v>
      </c>
      <c r="D212" s="339">
        <v>0</v>
      </c>
      <c r="E212" s="233">
        <v>1</v>
      </c>
      <c r="F212" s="339">
        <v>0</v>
      </c>
      <c r="G212" s="339">
        <v>0</v>
      </c>
      <c r="H212" s="339">
        <v>0</v>
      </c>
      <c r="I212" s="339">
        <v>0</v>
      </c>
      <c r="J212" s="339">
        <v>0</v>
      </c>
      <c r="K212" s="234">
        <v>1</v>
      </c>
    </row>
    <row r="213" spans="1:11" x14ac:dyDescent="0.35">
      <c r="A213" s="608" t="s">
        <v>104</v>
      </c>
      <c r="B213" s="82" t="s">
        <v>149</v>
      </c>
      <c r="C213" s="232">
        <v>1</v>
      </c>
      <c r="D213" s="232">
        <v>1</v>
      </c>
      <c r="E213" s="232">
        <v>1</v>
      </c>
      <c r="F213" s="232">
        <v>1</v>
      </c>
      <c r="G213" s="232">
        <v>1</v>
      </c>
      <c r="H213" s="232">
        <v>1</v>
      </c>
      <c r="I213" s="232">
        <v>1</v>
      </c>
      <c r="J213" s="232">
        <v>1</v>
      </c>
      <c r="K213" s="339">
        <v>0</v>
      </c>
    </row>
    <row r="214" spans="1:11" x14ac:dyDescent="0.35">
      <c r="A214" s="609"/>
      <c r="B214" s="332" t="s">
        <v>150</v>
      </c>
      <c r="C214" s="343">
        <v>1</v>
      </c>
      <c r="D214" s="343">
        <v>1</v>
      </c>
      <c r="E214" s="343">
        <v>1</v>
      </c>
      <c r="F214" s="343">
        <v>1</v>
      </c>
      <c r="G214" s="343">
        <v>1</v>
      </c>
      <c r="H214" s="343">
        <v>1</v>
      </c>
      <c r="I214" s="343">
        <v>1</v>
      </c>
      <c r="J214" s="343">
        <v>1</v>
      </c>
      <c r="K214" s="339">
        <v>0</v>
      </c>
    </row>
    <row r="215" spans="1:11" x14ac:dyDescent="0.35">
      <c r="A215" s="609"/>
      <c r="B215" s="332" t="s">
        <v>151</v>
      </c>
      <c r="C215" s="343">
        <v>1</v>
      </c>
      <c r="D215" s="343">
        <v>1</v>
      </c>
      <c r="E215" s="343">
        <v>1</v>
      </c>
      <c r="F215" s="343">
        <v>1</v>
      </c>
      <c r="G215" s="343">
        <v>1</v>
      </c>
      <c r="H215" s="343">
        <v>1</v>
      </c>
      <c r="I215" s="343">
        <v>1</v>
      </c>
      <c r="J215" s="343">
        <v>1</v>
      </c>
      <c r="K215" s="339">
        <v>0</v>
      </c>
    </row>
    <row r="216" spans="1:11" x14ac:dyDescent="0.35">
      <c r="A216" s="609"/>
      <c r="B216" s="332" t="s">
        <v>152</v>
      </c>
      <c r="C216" s="343">
        <v>1</v>
      </c>
      <c r="D216" s="343">
        <v>1</v>
      </c>
      <c r="E216" s="343">
        <v>1</v>
      </c>
      <c r="F216" s="343">
        <v>1</v>
      </c>
      <c r="G216" s="343">
        <v>1</v>
      </c>
      <c r="H216" s="343">
        <v>1</v>
      </c>
      <c r="I216" s="343">
        <v>1</v>
      </c>
      <c r="J216" s="343">
        <v>1</v>
      </c>
      <c r="K216" s="339">
        <v>0</v>
      </c>
    </row>
    <row r="217" spans="1:11" x14ac:dyDescent="0.35">
      <c r="A217" s="609"/>
      <c r="B217" s="332" t="s">
        <v>153</v>
      </c>
      <c r="C217" s="343">
        <v>1</v>
      </c>
      <c r="D217" s="343">
        <v>1</v>
      </c>
      <c r="E217" s="343">
        <v>1</v>
      </c>
      <c r="F217" s="343">
        <v>1</v>
      </c>
      <c r="G217" s="343">
        <v>1</v>
      </c>
      <c r="H217" s="343">
        <v>1</v>
      </c>
      <c r="I217" s="343">
        <v>1</v>
      </c>
      <c r="J217" s="343">
        <v>1</v>
      </c>
      <c r="K217" s="339">
        <v>0</v>
      </c>
    </row>
    <row r="218" spans="1:11" x14ac:dyDescent="0.35">
      <c r="A218" s="609"/>
      <c r="B218" s="332" t="s">
        <v>154</v>
      </c>
      <c r="C218" s="343">
        <v>1</v>
      </c>
      <c r="D218" s="343">
        <v>1</v>
      </c>
      <c r="E218" s="343">
        <v>1</v>
      </c>
      <c r="F218" s="343">
        <v>1</v>
      </c>
      <c r="G218" s="343">
        <v>1</v>
      </c>
      <c r="H218" s="343">
        <v>1</v>
      </c>
      <c r="I218" s="343">
        <v>1</v>
      </c>
      <c r="J218" s="343">
        <v>1</v>
      </c>
      <c r="K218" s="339">
        <v>0</v>
      </c>
    </row>
    <row r="219" spans="1:11" x14ac:dyDescent="0.35">
      <c r="A219" s="609"/>
      <c r="B219" s="332" t="s">
        <v>155</v>
      </c>
      <c r="C219" s="343">
        <v>1</v>
      </c>
      <c r="D219" s="343">
        <v>1</v>
      </c>
      <c r="E219" s="343">
        <v>1</v>
      </c>
      <c r="F219" s="343">
        <v>1</v>
      </c>
      <c r="G219" s="343">
        <v>1</v>
      </c>
      <c r="H219" s="343">
        <v>1</v>
      </c>
      <c r="I219" s="343">
        <v>1</v>
      </c>
      <c r="J219" s="343">
        <v>1</v>
      </c>
      <c r="K219" s="339">
        <v>0</v>
      </c>
    </row>
    <row r="220" spans="1:11" x14ac:dyDescent="0.35">
      <c r="A220" s="609"/>
      <c r="B220" s="332" t="s">
        <v>156</v>
      </c>
      <c r="C220" s="343">
        <v>1</v>
      </c>
      <c r="D220" s="343">
        <v>1</v>
      </c>
      <c r="E220" s="343">
        <v>1</v>
      </c>
      <c r="F220" s="343">
        <v>1</v>
      </c>
      <c r="G220" s="343">
        <v>1</v>
      </c>
      <c r="H220" s="343">
        <v>1</v>
      </c>
      <c r="I220" s="343">
        <v>1</v>
      </c>
      <c r="J220" s="343">
        <v>1</v>
      </c>
      <c r="K220" s="339">
        <v>0</v>
      </c>
    </row>
    <row r="221" spans="1:11" x14ac:dyDescent="0.35">
      <c r="A221" s="609"/>
      <c r="B221" s="332" t="s">
        <v>157</v>
      </c>
      <c r="C221" s="339">
        <v>0</v>
      </c>
      <c r="D221" s="339">
        <v>0</v>
      </c>
      <c r="E221" s="339">
        <v>0</v>
      </c>
      <c r="F221" s="343">
        <v>1</v>
      </c>
      <c r="G221" s="339">
        <v>0</v>
      </c>
      <c r="H221" s="339">
        <v>0</v>
      </c>
      <c r="I221" s="339">
        <v>0</v>
      </c>
      <c r="J221" s="339">
        <v>0</v>
      </c>
      <c r="K221" s="339">
        <v>0</v>
      </c>
    </row>
    <row r="222" spans="1:11" ht="15" thickBot="1" x14ac:dyDescent="0.4">
      <c r="A222" s="610"/>
      <c r="B222" s="83" t="s">
        <v>158</v>
      </c>
      <c r="C222" s="339">
        <v>0</v>
      </c>
      <c r="D222" s="339">
        <v>0</v>
      </c>
      <c r="E222" s="233">
        <v>1</v>
      </c>
      <c r="F222" s="339">
        <v>0</v>
      </c>
      <c r="G222" s="339">
        <v>0</v>
      </c>
      <c r="H222" s="339">
        <v>0</v>
      </c>
      <c r="I222" s="339">
        <v>0</v>
      </c>
      <c r="J222" s="339">
        <v>0</v>
      </c>
      <c r="K222" s="234">
        <v>1</v>
      </c>
    </row>
    <row r="223" spans="1:11" x14ac:dyDescent="0.35">
      <c r="A223" s="608" t="s">
        <v>105</v>
      </c>
      <c r="B223" s="82" t="s">
        <v>149</v>
      </c>
      <c r="C223" s="232">
        <v>1</v>
      </c>
      <c r="D223" s="232">
        <v>1</v>
      </c>
      <c r="E223" s="232">
        <v>1</v>
      </c>
      <c r="F223" s="232">
        <v>1</v>
      </c>
      <c r="G223" s="232">
        <v>1</v>
      </c>
      <c r="H223" s="232">
        <v>1</v>
      </c>
      <c r="I223" s="232">
        <v>1</v>
      </c>
      <c r="J223" s="232">
        <v>1</v>
      </c>
      <c r="K223" s="339">
        <v>0</v>
      </c>
    </row>
    <row r="224" spans="1:11" x14ac:dyDescent="0.35">
      <c r="A224" s="609"/>
      <c r="B224" s="332" t="s">
        <v>150</v>
      </c>
      <c r="C224" s="343">
        <v>1</v>
      </c>
      <c r="D224" s="343">
        <v>1</v>
      </c>
      <c r="E224" s="343">
        <v>1</v>
      </c>
      <c r="F224" s="343">
        <v>1</v>
      </c>
      <c r="G224" s="343">
        <v>1</v>
      </c>
      <c r="H224" s="343">
        <v>1</v>
      </c>
      <c r="I224" s="343">
        <v>1</v>
      </c>
      <c r="J224" s="343">
        <v>1</v>
      </c>
      <c r="K224" s="339">
        <v>0</v>
      </c>
    </row>
    <row r="225" spans="1:11" x14ac:dyDescent="0.35">
      <c r="A225" s="609"/>
      <c r="B225" s="332" t="s">
        <v>151</v>
      </c>
      <c r="C225" s="343">
        <v>1</v>
      </c>
      <c r="D225" s="343">
        <v>1</v>
      </c>
      <c r="E225" s="343">
        <v>1</v>
      </c>
      <c r="F225" s="343">
        <v>1</v>
      </c>
      <c r="G225" s="343">
        <v>1</v>
      </c>
      <c r="H225" s="343">
        <v>1</v>
      </c>
      <c r="I225" s="343">
        <v>1</v>
      </c>
      <c r="J225" s="343">
        <v>1</v>
      </c>
      <c r="K225" s="339">
        <v>0</v>
      </c>
    </row>
    <row r="226" spans="1:11" x14ac:dyDescent="0.35">
      <c r="A226" s="609"/>
      <c r="B226" s="332" t="s">
        <v>152</v>
      </c>
      <c r="C226" s="343">
        <v>1</v>
      </c>
      <c r="D226" s="343">
        <v>1</v>
      </c>
      <c r="E226" s="343">
        <v>1</v>
      </c>
      <c r="F226" s="343">
        <v>1</v>
      </c>
      <c r="G226" s="343">
        <v>1</v>
      </c>
      <c r="H226" s="343">
        <v>1</v>
      </c>
      <c r="I226" s="343">
        <v>1</v>
      </c>
      <c r="J226" s="343">
        <v>1</v>
      </c>
      <c r="K226" s="339">
        <v>0</v>
      </c>
    </row>
    <row r="227" spans="1:11" x14ac:dyDescent="0.35">
      <c r="A227" s="609"/>
      <c r="B227" s="332" t="s">
        <v>153</v>
      </c>
      <c r="C227" s="343">
        <v>1</v>
      </c>
      <c r="D227" s="343">
        <v>1</v>
      </c>
      <c r="E227" s="343">
        <v>1</v>
      </c>
      <c r="F227" s="343">
        <v>1</v>
      </c>
      <c r="G227" s="343">
        <v>1</v>
      </c>
      <c r="H227" s="343">
        <v>1</v>
      </c>
      <c r="I227" s="343">
        <v>1</v>
      </c>
      <c r="J227" s="343">
        <v>1</v>
      </c>
      <c r="K227" s="339">
        <v>0</v>
      </c>
    </row>
    <row r="228" spans="1:11" x14ac:dyDescent="0.35">
      <c r="A228" s="609"/>
      <c r="B228" s="332" t="s">
        <v>154</v>
      </c>
      <c r="C228" s="343">
        <v>1</v>
      </c>
      <c r="D228" s="343">
        <v>1</v>
      </c>
      <c r="E228" s="343">
        <v>1</v>
      </c>
      <c r="F228" s="343">
        <v>1</v>
      </c>
      <c r="G228" s="343">
        <v>1</v>
      </c>
      <c r="H228" s="343">
        <v>1</v>
      </c>
      <c r="I228" s="343">
        <v>1</v>
      </c>
      <c r="J228" s="343">
        <v>1</v>
      </c>
      <c r="K228" s="339">
        <v>0</v>
      </c>
    </row>
    <row r="229" spans="1:11" x14ac:dyDescent="0.35">
      <c r="A229" s="609"/>
      <c r="B229" s="332" t="s">
        <v>155</v>
      </c>
      <c r="C229" s="343">
        <v>1</v>
      </c>
      <c r="D229" s="343">
        <v>1</v>
      </c>
      <c r="E229" s="343">
        <v>1</v>
      </c>
      <c r="F229" s="343">
        <v>1</v>
      </c>
      <c r="G229" s="343">
        <v>1</v>
      </c>
      <c r="H229" s="343">
        <v>1</v>
      </c>
      <c r="I229" s="343">
        <v>1</v>
      </c>
      <c r="J229" s="343">
        <v>1</v>
      </c>
      <c r="K229" s="339">
        <v>0</v>
      </c>
    </row>
    <row r="230" spans="1:11" x14ac:dyDescent="0.35">
      <c r="A230" s="609"/>
      <c r="B230" s="332" t="s">
        <v>156</v>
      </c>
      <c r="C230" s="343">
        <v>1</v>
      </c>
      <c r="D230" s="343">
        <v>1</v>
      </c>
      <c r="E230" s="343">
        <v>1</v>
      </c>
      <c r="F230" s="343">
        <v>1</v>
      </c>
      <c r="G230" s="343">
        <v>1</v>
      </c>
      <c r="H230" s="343">
        <v>1</v>
      </c>
      <c r="I230" s="343">
        <v>1</v>
      </c>
      <c r="J230" s="343">
        <v>1</v>
      </c>
      <c r="K230" s="339">
        <v>0</v>
      </c>
    </row>
    <row r="231" spans="1:11" x14ac:dyDescent="0.35">
      <c r="A231" s="609"/>
      <c r="B231" s="332" t="s">
        <v>157</v>
      </c>
      <c r="C231" s="339">
        <v>0</v>
      </c>
      <c r="D231" s="339">
        <v>0</v>
      </c>
      <c r="E231" s="339">
        <v>0</v>
      </c>
      <c r="F231" s="343">
        <v>1</v>
      </c>
      <c r="G231" s="339">
        <v>0</v>
      </c>
      <c r="H231" s="339">
        <v>0</v>
      </c>
      <c r="I231" s="339">
        <v>0</v>
      </c>
      <c r="J231" s="339">
        <v>0</v>
      </c>
      <c r="K231" s="339">
        <v>0</v>
      </c>
    </row>
    <row r="232" spans="1:11" ht="15" thickBot="1" x14ac:dyDescent="0.4">
      <c r="A232" s="610"/>
      <c r="B232" s="83" t="s">
        <v>158</v>
      </c>
      <c r="C232" s="339">
        <v>0</v>
      </c>
      <c r="D232" s="339">
        <v>0</v>
      </c>
      <c r="E232" s="233">
        <v>1</v>
      </c>
      <c r="F232" s="339">
        <v>0</v>
      </c>
      <c r="G232" s="339">
        <v>0</v>
      </c>
      <c r="H232" s="339">
        <v>0</v>
      </c>
      <c r="I232" s="339">
        <v>0</v>
      </c>
      <c r="J232" s="339">
        <v>0</v>
      </c>
      <c r="K232" s="234">
        <v>1</v>
      </c>
    </row>
    <row r="233" spans="1:11" x14ac:dyDescent="0.35">
      <c r="A233" s="608" t="s">
        <v>106</v>
      </c>
      <c r="B233" s="82" t="s">
        <v>149</v>
      </c>
      <c r="C233" s="232">
        <v>1</v>
      </c>
      <c r="D233" s="232">
        <v>1</v>
      </c>
      <c r="E233" s="232">
        <v>1</v>
      </c>
      <c r="F233" s="232">
        <v>1</v>
      </c>
      <c r="G233" s="232">
        <v>1</v>
      </c>
      <c r="H233" s="232">
        <v>1</v>
      </c>
      <c r="I233" s="232">
        <v>1</v>
      </c>
      <c r="J233" s="232">
        <v>1</v>
      </c>
      <c r="K233" s="339">
        <v>0</v>
      </c>
    </row>
    <row r="234" spans="1:11" x14ac:dyDescent="0.35">
      <c r="A234" s="609"/>
      <c r="B234" s="332" t="s">
        <v>150</v>
      </c>
      <c r="C234" s="343">
        <v>1</v>
      </c>
      <c r="D234" s="343">
        <v>1</v>
      </c>
      <c r="E234" s="343">
        <v>1</v>
      </c>
      <c r="F234" s="343">
        <v>1</v>
      </c>
      <c r="G234" s="343">
        <v>1</v>
      </c>
      <c r="H234" s="343">
        <v>1</v>
      </c>
      <c r="I234" s="343">
        <v>1</v>
      </c>
      <c r="J234" s="343">
        <v>1</v>
      </c>
      <c r="K234" s="339">
        <v>0</v>
      </c>
    </row>
    <row r="235" spans="1:11" x14ac:dyDescent="0.35">
      <c r="A235" s="609"/>
      <c r="B235" s="332" t="s">
        <v>151</v>
      </c>
      <c r="C235" s="343">
        <v>1</v>
      </c>
      <c r="D235" s="343">
        <v>1</v>
      </c>
      <c r="E235" s="343">
        <v>1</v>
      </c>
      <c r="F235" s="343">
        <v>1</v>
      </c>
      <c r="G235" s="343">
        <v>1</v>
      </c>
      <c r="H235" s="343">
        <v>1</v>
      </c>
      <c r="I235" s="343">
        <v>1</v>
      </c>
      <c r="J235" s="343">
        <v>1</v>
      </c>
      <c r="K235" s="339">
        <v>0</v>
      </c>
    </row>
    <row r="236" spans="1:11" x14ac:dyDescent="0.35">
      <c r="A236" s="609"/>
      <c r="B236" s="332" t="s">
        <v>152</v>
      </c>
      <c r="C236" s="343">
        <v>1</v>
      </c>
      <c r="D236" s="343">
        <v>1</v>
      </c>
      <c r="E236" s="343">
        <v>1</v>
      </c>
      <c r="F236" s="343">
        <v>1</v>
      </c>
      <c r="G236" s="343">
        <v>1</v>
      </c>
      <c r="H236" s="343">
        <v>1</v>
      </c>
      <c r="I236" s="343">
        <v>1</v>
      </c>
      <c r="J236" s="343">
        <v>1</v>
      </c>
      <c r="K236" s="339">
        <v>0</v>
      </c>
    </row>
    <row r="237" spans="1:11" x14ac:dyDescent="0.35">
      <c r="A237" s="609"/>
      <c r="B237" s="332" t="s">
        <v>153</v>
      </c>
      <c r="C237" s="343">
        <v>1</v>
      </c>
      <c r="D237" s="343">
        <v>1</v>
      </c>
      <c r="E237" s="343">
        <v>1</v>
      </c>
      <c r="F237" s="343">
        <v>1</v>
      </c>
      <c r="G237" s="343">
        <v>1</v>
      </c>
      <c r="H237" s="343">
        <v>1</v>
      </c>
      <c r="I237" s="343">
        <v>1</v>
      </c>
      <c r="J237" s="343">
        <v>1</v>
      </c>
      <c r="K237" s="339">
        <v>0</v>
      </c>
    </row>
    <row r="238" spans="1:11" x14ac:dyDescent="0.35">
      <c r="A238" s="609"/>
      <c r="B238" s="332" t="s">
        <v>154</v>
      </c>
      <c r="C238" s="343">
        <v>1</v>
      </c>
      <c r="D238" s="343">
        <v>1</v>
      </c>
      <c r="E238" s="343">
        <v>1</v>
      </c>
      <c r="F238" s="343">
        <v>1</v>
      </c>
      <c r="G238" s="343">
        <v>1</v>
      </c>
      <c r="H238" s="343">
        <v>1</v>
      </c>
      <c r="I238" s="343">
        <v>1</v>
      </c>
      <c r="J238" s="343">
        <v>1</v>
      </c>
      <c r="K238" s="339">
        <v>0</v>
      </c>
    </row>
    <row r="239" spans="1:11" x14ac:dyDescent="0.35">
      <c r="A239" s="609"/>
      <c r="B239" s="332" t="s">
        <v>155</v>
      </c>
      <c r="C239" s="343">
        <v>1</v>
      </c>
      <c r="D239" s="343">
        <v>1</v>
      </c>
      <c r="E239" s="343">
        <v>1</v>
      </c>
      <c r="F239" s="343">
        <v>1</v>
      </c>
      <c r="G239" s="343">
        <v>1</v>
      </c>
      <c r="H239" s="343">
        <v>1</v>
      </c>
      <c r="I239" s="343">
        <v>1</v>
      </c>
      <c r="J239" s="343">
        <v>1</v>
      </c>
      <c r="K239" s="339">
        <v>0</v>
      </c>
    </row>
    <row r="240" spans="1:11" x14ac:dyDescent="0.35">
      <c r="A240" s="609"/>
      <c r="B240" s="332" t="s">
        <v>156</v>
      </c>
      <c r="C240" s="343">
        <v>1</v>
      </c>
      <c r="D240" s="343">
        <v>1</v>
      </c>
      <c r="E240" s="343">
        <v>1</v>
      </c>
      <c r="F240" s="343">
        <v>1</v>
      </c>
      <c r="G240" s="343">
        <v>1</v>
      </c>
      <c r="H240" s="343">
        <v>1</v>
      </c>
      <c r="I240" s="343">
        <v>1</v>
      </c>
      <c r="J240" s="343">
        <v>1</v>
      </c>
      <c r="K240" s="339">
        <v>0</v>
      </c>
    </row>
    <row r="241" spans="1:11" x14ac:dyDescent="0.35">
      <c r="A241" s="609"/>
      <c r="B241" s="332" t="s">
        <v>157</v>
      </c>
      <c r="C241" s="339">
        <v>0</v>
      </c>
      <c r="D241" s="339">
        <v>0</v>
      </c>
      <c r="E241" s="339">
        <v>0</v>
      </c>
      <c r="F241" s="343">
        <v>1</v>
      </c>
      <c r="G241" s="339">
        <v>0</v>
      </c>
      <c r="H241" s="339">
        <v>0</v>
      </c>
      <c r="I241" s="339">
        <v>0</v>
      </c>
      <c r="J241" s="339">
        <v>0</v>
      </c>
      <c r="K241" s="339">
        <v>0</v>
      </c>
    </row>
    <row r="242" spans="1:11" ht="15" thickBot="1" x14ac:dyDescent="0.4">
      <c r="A242" s="610"/>
      <c r="B242" s="83" t="s">
        <v>158</v>
      </c>
      <c r="C242" s="339">
        <v>0</v>
      </c>
      <c r="D242" s="339">
        <v>0</v>
      </c>
      <c r="E242" s="233">
        <v>1</v>
      </c>
      <c r="F242" s="339">
        <v>0</v>
      </c>
      <c r="G242" s="339">
        <v>0</v>
      </c>
      <c r="H242" s="339">
        <v>0</v>
      </c>
      <c r="I242" s="339">
        <v>0</v>
      </c>
      <c r="J242" s="339">
        <v>0</v>
      </c>
      <c r="K242" s="234">
        <v>1</v>
      </c>
    </row>
    <row r="243" spans="1:11" x14ac:dyDescent="0.35">
      <c r="A243" s="608" t="s">
        <v>107</v>
      </c>
      <c r="B243" s="82" t="s">
        <v>149</v>
      </c>
      <c r="C243" s="232">
        <v>1</v>
      </c>
      <c r="D243" s="232">
        <v>1</v>
      </c>
      <c r="E243" s="232">
        <v>1</v>
      </c>
      <c r="F243" s="232">
        <v>1</v>
      </c>
      <c r="G243" s="232">
        <v>1</v>
      </c>
      <c r="H243" s="232">
        <v>1</v>
      </c>
      <c r="I243" s="232">
        <v>1</v>
      </c>
      <c r="J243" s="232">
        <v>1</v>
      </c>
      <c r="K243" s="339">
        <v>0</v>
      </c>
    </row>
    <row r="244" spans="1:11" x14ac:dyDescent="0.35">
      <c r="A244" s="609"/>
      <c r="B244" s="332" t="s">
        <v>150</v>
      </c>
      <c r="C244" s="343">
        <v>1</v>
      </c>
      <c r="D244" s="343">
        <v>1</v>
      </c>
      <c r="E244" s="343">
        <v>1</v>
      </c>
      <c r="F244" s="343">
        <v>1</v>
      </c>
      <c r="G244" s="343">
        <v>1</v>
      </c>
      <c r="H244" s="343">
        <v>1</v>
      </c>
      <c r="I244" s="343">
        <v>1</v>
      </c>
      <c r="J244" s="343">
        <v>1</v>
      </c>
      <c r="K244" s="339">
        <v>0</v>
      </c>
    </row>
    <row r="245" spans="1:11" x14ac:dyDescent="0.35">
      <c r="A245" s="609"/>
      <c r="B245" s="332" t="s">
        <v>151</v>
      </c>
      <c r="C245" s="343">
        <v>1</v>
      </c>
      <c r="D245" s="343">
        <v>1</v>
      </c>
      <c r="E245" s="343">
        <v>1</v>
      </c>
      <c r="F245" s="343">
        <v>1</v>
      </c>
      <c r="G245" s="343">
        <v>1</v>
      </c>
      <c r="H245" s="343">
        <v>1</v>
      </c>
      <c r="I245" s="343">
        <v>1</v>
      </c>
      <c r="J245" s="343">
        <v>1</v>
      </c>
      <c r="K245" s="339">
        <v>0</v>
      </c>
    </row>
    <row r="246" spans="1:11" x14ac:dyDescent="0.35">
      <c r="A246" s="609"/>
      <c r="B246" s="332" t="s">
        <v>152</v>
      </c>
      <c r="C246" s="343">
        <v>1</v>
      </c>
      <c r="D246" s="343">
        <v>1</v>
      </c>
      <c r="E246" s="343">
        <v>1</v>
      </c>
      <c r="F246" s="343">
        <v>1</v>
      </c>
      <c r="G246" s="343">
        <v>1</v>
      </c>
      <c r="H246" s="343">
        <v>1</v>
      </c>
      <c r="I246" s="343">
        <v>1</v>
      </c>
      <c r="J246" s="343">
        <v>1</v>
      </c>
      <c r="K246" s="339">
        <v>0</v>
      </c>
    </row>
    <row r="247" spans="1:11" x14ac:dyDescent="0.35">
      <c r="A247" s="609"/>
      <c r="B247" s="332" t="s">
        <v>153</v>
      </c>
      <c r="C247" s="343">
        <v>1</v>
      </c>
      <c r="D247" s="343">
        <v>1</v>
      </c>
      <c r="E247" s="343">
        <v>1</v>
      </c>
      <c r="F247" s="343">
        <v>1</v>
      </c>
      <c r="G247" s="343">
        <v>1</v>
      </c>
      <c r="H247" s="343">
        <v>1</v>
      </c>
      <c r="I247" s="343">
        <v>1</v>
      </c>
      <c r="J247" s="343">
        <v>1</v>
      </c>
      <c r="K247" s="339">
        <v>0</v>
      </c>
    </row>
    <row r="248" spans="1:11" x14ac:dyDescent="0.35">
      <c r="A248" s="609"/>
      <c r="B248" s="332" t="s">
        <v>154</v>
      </c>
      <c r="C248" s="343">
        <v>1</v>
      </c>
      <c r="D248" s="343">
        <v>1</v>
      </c>
      <c r="E248" s="343">
        <v>1</v>
      </c>
      <c r="F248" s="343">
        <v>1</v>
      </c>
      <c r="G248" s="343">
        <v>1</v>
      </c>
      <c r="H248" s="343">
        <v>1</v>
      </c>
      <c r="I248" s="343">
        <v>1</v>
      </c>
      <c r="J248" s="343">
        <v>1</v>
      </c>
      <c r="K248" s="339">
        <v>0</v>
      </c>
    </row>
    <row r="249" spans="1:11" x14ac:dyDescent="0.35">
      <c r="A249" s="609"/>
      <c r="B249" s="332" t="s">
        <v>155</v>
      </c>
      <c r="C249" s="343">
        <v>1</v>
      </c>
      <c r="D249" s="343">
        <v>1</v>
      </c>
      <c r="E249" s="343">
        <v>1</v>
      </c>
      <c r="F249" s="343">
        <v>1</v>
      </c>
      <c r="G249" s="343">
        <v>1</v>
      </c>
      <c r="H249" s="343">
        <v>1</v>
      </c>
      <c r="I249" s="343">
        <v>1</v>
      </c>
      <c r="J249" s="343">
        <v>1</v>
      </c>
      <c r="K249" s="339">
        <v>0</v>
      </c>
    </row>
    <row r="250" spans="1:11" x14ac:dyDescent="0.35">
      <c r="A250" s="609"/>
      <c r="B250" s="332" t="s">
        <v>156</v>
      </c>
      <c r="C250" s="343">
        <v>1</v>
      </c>
      <c r="D250" s="343">
        <v>1</v>
      </c>
      <c r="E250" s="343">
        <v>1</v>
      </c>
      <c r="F250" s="343">
        <v>1</v>
      </c>
      <c r="G250" s="343">
        <v>1</v>
      </c>
      <c r="H250" s="343">
        <v>1</v>
      </c>
      <c r="I250" s="343">
        <v>1</v>
      </c>
      <c r="J250" s="343">
        <v>1</v>
      </c>
      <c r="K250" s="339">
        <v>0</v>
      </c>
    </row>
    <row r="251" spans="1:11" x14ac:dyDescent="0.35">
      <c r="A251" s="609"/>
      <c r="B251" s="332" t="s">
        <v>157</v>
      </c>
      <c r="C251" s="339">
        <v>0</v>
      </c>
      <c r="D251" s="339">
        <v>0</v>
      </c>
      <c r="E251" s="339">
        <v>0</v>
      </c>
      <c r="F251" s="343">
        <v>1</v>
      </c>
      <c r="G251" s="339">
        <v>0</v>
      </c>
      <c r="H251" s="339">
        <v>0</v>
      </c>
      <c r="I251" s="339">
        <v>0</v>
      </c>
      <c r="J251" s="339">
        <v>0</v>
      </c>
      <c r="K251" s="339">
        <v>0</v>
      </c>
    </row>
    <row r="252" spans="1:11" ht="15" thickBot="1" x14ac:dyDescent="0.4">
      <c r="A252" s="610"/>
      <c r="B252" s="83" t="s">
        <v>158</v>
      </c>
      <c r="C252" s="339">
        <v>0</v>
      </c>
      <c r="D252" s="339">
        <v>0</v>
      </c>
      <c r="E252" s="233">
        <v>1</v>
      </c>
      <c r="F252" s="339">
        <v>0</v>
      </c>
      <c r="G252" s="339">
        <v>0</v>
      </c>
      <c r="H252" s="339">
        <v>0</v>
      </c>
      <c r="I252" s="339">
        <v>0</v>
      </c>
      <c r="J252" s="339">
        <v>0</v>
      </c>
      <c r="K252" s="234">
        <v>1</v>
      </c>
    </row>
    <row r="253" spans="1:11" x14ac:dyDescent="0.35">
      <c r="A253" s="608" t="s">
        <v>108</v>
      </c>
      <c r="B253" s="82" t="s">
        <v>149</v>
      </c>
      <c r="C253" s="232">
        <v>1</v>
      </c>
      <c r="D253" s="232">
        <v>1</v>
      </c>
      <c r="E253" s="232">
        <v>1</v>
      </c>
      <c r="F253" s="232">
        <v>1</v>
      </c>
      <c r="G253" s="232">
        <v>1</v>
      </c>
      <c r="H253" s="232">
        <v>1</v>
      </c>
      <c r="I253" s="232">
        <v>1</v>
      </c>
      <c r="J253" s="232">
        <v>1</v>
      </c>
      <c r="K253" s="339">
        <v>0</v>
      </c>
    </row>
    <row r="254" spans="1:11" x14ac:dyDescent="0.35">
      <c r="A254" s="609"/>
      <c r="B254" s="332" t="s">
        <v>150</v>
      </c>
      <c r="C254" s="343">
        <v>1</v>
      </c>
      <c r="D254" s="343">
        <v>1</v>
      </c>
      <c r="E254" s="343">
        <v>1</v>
      </c>
      <c r="F254" s="343">
        <v>1</v>
      </c>
      <c r="G254" s="343">
        <v>1</v>
      </c>
      <c r="H254" s="343">
        <v>1</v>
      </c>
      <c r="I254" s="343">
        <v>1</v>
      </c>
      <c r="J254" s="343">
        <v>1</v>
      </c>
      <c r="K254" s="339">
        <v>0</v>
      </c>
    </row>
    <row r="255" spans="1:11" x14ac:dyDescent="0.35">
      <c r="A255" s="609"/>
      <c r="B255" s="332" t="s">
        <v>151</v>
      </c>
      <c r="C255" s="343">
        <v>1</v>
      </c>
      <c r="D255" s="343">
        <v>1</v>
      </c>
      <c r="E255" s="343">
        <v>1</v>
      </c>
      <c r="F255" s="343">
        <v>1</v>
      </c>
      <c r="G255" s="343">
        <v>1</v>
      </c>
      <c r="H255" s="343">
        <v>1</v>
      </c>
      <c r="I255" s="343">
        <v>1</v>
      </c>
      <c r="J255" s="343">
        <v>1</v>
      </c>
      <c r="K255" s="339">
        <v>0</v>
      </c>
    </row>
    <row r="256" spans="1:11" x14ac:dyDescent="0.35">
      <c r="A256" s="609"/>
      <c r="B256" s="332" t="s">
        <v>152</v>
      </c>
      <c r="C256" s="343">
        <v>1</v>
      </c>
      <c r="D256" s="343">
        <v>1</v>
      </c>
      <c r="E256" s="343">
        <v>1</v>
      </c>
      <c r="F256" s="343">
        <v>1</v>
      </c>
      <c r="G256" s="343">
        <v>1</v>
      </c>
      <c r="H256" s="343">
        <v>1</v>
      </c>
      <c r="I256" s="343">
        <v>1</v>
      </c>
      <c r="J256" s="343">
        <v>1</v>
      </c>
      <c r="K256" s="339">
        <v>0</v>
      </c>
    </row>
    <row r="257" spans="1:11" x14ac:dyDescent="0.35">
      <c r="A257" s="609"/>
      <c r="B257" s="332" t="s">
        <v>153</v>
      </c>
      <c r="C257" s="343">
        <v>1</v>
      </c>
      <c r="D257" s="343">
        <v>1</v>
      </c>
      <c r="E257" s="343">
        <v>1</v>
      </c>
      <c r="F257" s="343">
        <v>1</v>
      </c>
      <c r="G257" s="343">
        <v>1</v>
      </c>
      <c r="H257" s="343">
        <v>1</v>
      </c>
      <c r="I257" s="343">
        <v>1</v>
      </c>
      <c r="J257" s="343">
        <v>1</v>
      </c>
      <c r="K257" s="339">
        <v>0</v>
      </c>
    </row>
    <row r="258" spans="1:11" x14ac:dyDescent="0.35">
      <c r="A258" s="609"/>
      <c r="B258" s="332" t="s">
        <v>154</v>
      </c>
      <c r="C258" s="343">
        <v>1</v>
      </c>
      <c r="D258" s="343">
        <v>1</v>
      </c>
      <c r="E258" s="343">
        <v>1</v>
      </c>
      <c r="F258" s="343">
        <v>1</v>
      </c>
      <c r="G258" s="343">
        <v>1</v>
      </c>
      <c r="H258" s="343">
        <v>1</v>
      </c>
      <c r="I258" s="343">
        <v>1</v>
      </c>
      <c r="J258" s="343">
        <v>1</v>
      </c>
      <c r="K258" s="339">
        <v>0</v>
      </c>
    </row>
    <row r="259" spans="1:11" x14ac:dyDescent="0.35">
      <c r="A259" s="609"/>
      <c r="B259" s="332" t="s">
        <v>155</v>
      </c>
      <c r="C259" s="343">
        <v>1</v>
      </c>
      <c r="D259" s="343">
        <v>1</v>
      </c>
      <c r="E259" s="343">
        <v>1</v>
      </c>
      <c r="F259" s="343">
        <v>1</v>
      </c>
      <c r="G259" s="343">
        <v>1</v>
      </c>
      <c r="H259" s="343">
        <v>1</v>
      </c>
      <c r="I259" s="343">
        <v>1</v>
      </c>
      <c r="J259" s="343">
        <v>1</v>
      </c>
      <c r="K259" s="339">
        <v>0</v>
      </c>
    </row>
    <row r="260" spans="1:11" x14ac:dyDescent="0.35">
      <c r="A260" s="609"/>
      <c r="B260" s="332" t="s">
        <v>156</v>
      </c>
      <c r="C260" s="343">
        <v>1</v>
      </c>
      <c r="D260" s="343">
        <v>1</v>
      </c>
      <c r="E260" s="343">
        <v>1</v>
      </c>
      <c r="F260" s="343">
        <v>1</v>
      </c>
      <c r="G260" s="343">
        <v>1</v>
      </c>
      <c r="H260" s="343">
        <v>1</v>
      </c>
      <c r="I260" s="343">
        <v>1</v>
      </c>
      <c r="J260" s="343">
        <v>1</v>
      </c>
      <c r="K260" s="339">
        <v>0</v>
      </c>
    </row>
    <row r="261" spans="1:11" x14ac:dyDescent="0.35">
      <c r="A261" s="609"/>
      <c r="B261" s="332" t="s">
        <v>157</v>
      </c>
      <c r="C261" s="339">
        <v>0</v>
      </c>
      <c r="D261" s="339">
        <v>0</v>
      </c>
      <c r="E261" s="339">
        <v>0</v>
      </c>
      <c r="F261" s="343">
        <v>1</v>
      </c>
      <c r="G261" s="339">
        <v>0</v>
      </c>
      <c r="H261" s="339">
        <v>0</v>
      </c>
      <c r="I261" s="339">
        <v>0</v>
      </c>
      <c r="J261" s="339">
        <v>0</v>
      </c>
      <c r="K261" s="339">
        <v>0</v>
      </c>
    </row>
    <row r="262" spans="1:11" ht="15" thickBot="1" x14ac:dyDescent="0.4">
      <c r="A262" s="610"/>
      <c r="B262" s="83" t="s">
        <v>158</v>
      </c>
      <c r="C262" s="339">
        <v>0</v>
      </c>
      <c r="D262" s="339">
        <v>0</v>
      </c>
      <c r="E262" s="233">
        <v>1</v>
      </c>
      <c r="F262" s="339">
        <v>0</v>
      </c>
      <c r="G262" s="339">
        <v>0</v>
      </c>
      <c r="H262" s="339">
        <v>0</v>
      </c>
      <c r="I262" s="339">
        <v>0</v>
      </c>
      <c r="J262" s="339">
        <v>0</v>
      </c>
      <c r="K262" s="234">
        <v>1</v>
      </c>
    </row>
    <row r="263" spans="1:11" x14ac:dyDescent="0.35">
      <c r="A263" s="608" t="s">
        <v>109</v>
      </c>
      <c r="B263" s="82" t="s">
        <v>149</v>
      </c>
      <c r="C263" s="232">
        <v>1</v>
      </c>
      <c r="D263" s="232">
        <v>1</v>
      </c>
      <c r="E263" s="232">
        <v>1</v>
      </c>
      <c r="F263" s="232">
        <v>1</v>
      </c>
      <c r="G263" s="232">
        <v>1</v>
      </c>
      <c r="H263" s="232">
        <v>1</v>
      </c>
      <c r="I263" s="232">
        <v>1</v>
      </c>
      <c r="J263" s="232">
        <v>1</v>
      </c>
      <c r="K263" s="339">
        <v>0</v>
      </c>
    </row>
    <row r="264" spans="1:11" x14ac:dyDescent="0.35">
      <c r="A264" s="609"/>
      <c r="B264" s="332" t="s">
        <v>150</v>
      </c>
      <c r="C264" s="343">
        <v>1</v>
      </c>
      <c r="D264" s="343">
        <v>1</v>
      </c>
      <c r="E264" s="343">
        <v>1</v>
      </c>
      <c r="F264" s="343">
        <v>1</v>
      </c>
      <c r="G264" s="343">
        <v>1</v>
      </c>
      <c r="H264" s="343">
        <v>1</v>
      </c>
      <c r="I264" s="343">
        <v>1</v>
      </c>
      <c r="J264" s="343">
        <v>1</v>
      </c>
      <c r="K264" s="339">
        <v>0</v>
      </c>
    </row>
    <row r="265" spans="1:11" x14ac:dyDescent="0.35">
      <c r="A265" s="609"/>
      <c r="B265" s="332" t="s">
        <v>151</v>
      </c>
      <c r="C265" s="343">
        <v>1</v>
      </c>
      <c r="D265" s="343">
        <v>1</v>
      </c>
      <c r="E265" s="343">
        <v>1</v>
      </c>
      <c r="F265" s="343">
        <v>1</v>
      </c>
      <c r="G265" s="343">
        <v>1</v>
      </c>
      <c r="H265" s="343">
        <v>1</v>
      </c>
      <c r="I265" s="343">
        <v>1</v>
      </c>
      <c r="J265" s="343">
        <v>1</v>
      </c>
      <c r="K265" s="339">
        <v>0</v>
      </c>
    </row>
    <row r="266" spans="1:11" x14ac:dyDescent="0.35">
      <c r="A266" s="609"/>
      <c r="B266" s="332" t="s">
        <v>152</v>
      </c>
      <c r="C266" s="343">
        <v>1</v>
      </c>
      <c r="D266" s="343">
        <v>1</v>
      </c>
      <c r="E266" s="343">
        <v>1</v>
      </c>
      <c r="F266" s="343">
        <v>1</v>
      </c>
      <c r="G266" s="343">
        <v>1</v>
      </c>
      <c r="H266" s="343">
        <v>1</v>
      </c>
      <c r="I266" s="343">
        <v>1</v>
      </c>
      <c r="J266" s="343">
        <v>1</v>
      </c>
      <c r="K266" s="339">
        <v>0</v>
      </c>
    </row>
    <row r="267" spans="1:11" x14ac:dyDescent="0.35">
      <c r="A267" s="609"/>
      <c r="B267" s="332" t="s">
        <v>153</v>
      </c>
      <c r="C267" s="343">
        <v>1</v>
      </c>
      <c r="D267" s="343">
        <v>1</v>
      </c>
      <c r="E267" s="343">
        <v>1</v>
      </c>
      <c r="F267" s="343">
        <v>1</v>
      </c>
      <c r="G267" s="343">
        <v>1</v>
      </c>
      <c r="H267" s="343">
        <v>1</v>
      </c>
      <c r="I267" s="343">
        <v>1</v>
      </c>
      <c r="J267" s="343">
        <v>1</v>
      </c>
      <c r="K267" s="339">
        <v>0</v>
      </c>
    </row>
    <row r="268" spans="1:11" x14ac:dyDescent="0.35">
      <c r="A268" s="609"/>
      <c r="B268" s="332" t="s">
        <v>154</v>
      </c>
      <c r="C268" s="343">
        <v>1</v>
      </c>
      <c r="D268" s="343">
        <v>1</v>
      </c>
      <c r="E268" s="343">
        <v>1</v>
      </c>
      <c r="F268" s="343">
        <v>1</v>
      </c>
      <c r="G268" s="343">
        <v>1</v>
      </c>
      <c r="H268" s="343">
        <v>1</v>
      </c>
      <c r="I268" s="343">
        <v>1</v>
      </c>
      <c r="J268" s="343">
        <v>1</v>
      </c>
      <c r="K268" s="339">
        <v>0</v>
      </c>
    </row>
    <row r="269" spans="1:11" x14ac:dyDescent="0.35">
      <c r="A269" s="609"/>
      <c r="B269" s="332" t="s">
        <v>155</v>
      </c>
      <c r="C269" s="343">
        <v>1</v>
      </c>
      <c r="D269" s="343">
        <v>1</v>
      </c>
      <c r="E269" s="343">
        <v>1</v>
      </c>
      <c r="F269" s="343">
        <v>1</v>
      </c>
      <c r="G269" s="343">
        <v>1</v>
      </c>
      <c r="H269" s="343">
        <v>1</v>
      </c>
      <c r="I269" s="343">
        <v>1</v>
      </c>
      <c r="J269" s="343">
        <v>1</v>
      </c>
      <c r="K269" s="339">
        <v>0</v>
      </c>
    </row>
    <row r="270" spans="1:11" x14ac:dyDescent="0.35">
      <c r="A270" s="609"/>
      <c r="B270" s="332" t="s">
        <v>156</v>
      </c>
      <c r="C270" s="343">
        <v>1</v>
      </c>
      <c r="D270" s="343">
        <v>1</v>
      </c>
      <c r="E270" s="343">
        <v>1</v>
      </c>
      <c r="F270" s="343">
        <v>1</v>
      </c>
      <c r="G270" s="343">
        <v>1</v>
      </c>
      <c r="H270" s="343">
        <v>1</v>
      </c>
      <c r="I270" s="343">
        <v>1</v>
      </c>
      <c r="J270" s="343">
        <v>1</v>
      </c>
      <c r="K270" s="339">
        <v>0</v>
      </c>
    </row>
    <row r="271" spans="1:11" x14ac:dyDescent="0.35">
      <c r="A271" s="609"/>
      <c r="B271" s="332" t="s">
        <v>157</v>
      </c>
      <c r="C271" s="339">
        <v>0</v>
      </c>
      <c r="D271" s="339">
        <v>0</v>
      </c>
      <c r="E271" s="339">
        <v>0</v>
      </c>
      <c r="F271" s="343">
        <v>1</v>
      </c>
      <c r="G271" s="339">
        <v>0</v>
      </c>
      <c r="H271" s="339">
        <v>0</v>
      </c>
      <c r="I271" s="339">
        <v>0</v>
      </c>
      <c r="J271" s="339">
        <v>0</v>
      </c>
      <c r="K271" s="339">
        <v>0</v>
      </c>
    </row>
    <row r="272" spans="1:11" ht="15" thickBot="1" x14ac:dyDescent="0.4">
      <c r="A272" s="610"/>
      <c r="B272" s="83" t="s">
        <v>158</v>
      </c>
      <c r="C272" s="339">
        <v>0</v>
      </c>
      <c r="D272" s="339">
        <v>0</v>
      </c>
      <c r="E272" s="233">
        <v>1</v>
      </c>
      <c r="F272" s="339">
        <v>0</v>
      </c>
      <c r="G272" s="339">
        <v>0</v>
      </c>
      <c r="H272" s="339">
        <v>0</v>
      </c>
      <c r="I272" s="339">
        <v>0</v>
      </c>
      <c r="J272" s="339">
        <v>0</v>
      </c>
      <c r="K272" s="234">
        <v>1</v>
      </c>
    </row>
    <row r="273" spans="1:11" x14ac:dyDescent="0.35">
      <c r="A273" s="608" t="s">
        <v>110</v>
      </c>
      <c r="B273" s="82" t="s">
        <v>149</v>
      </c>
      <c r="C273" s="232">
        <v>1</v>
      </c>
      <c r="D273" s="232">
        <v>1</v>
      </c>
      <c r="E273" s="232">
        <v>1</v>
      </c>
      <c r="F273" s="232">
        <v>1</v>
      </c>
      <c r="G273" s="232">
        <v>1</v>
      </c>
      <c r="H273" s="232">
        <v>1</v>
      </c>
      <c r="I273" s="232">
        <v>1</v>
      </c>
      <c r="J273" s="232">
        <v>1</v>
      </c>
      <c r="K273" s="339">
        <v>0</v>
      </c>
    </row>
    <row r="274" spans="1:11" x14ac:dyDescent="0.35">
      <c r="A274" s="609"/>
      <c r="B274" s="332" t="s">
        <v>150</v>
      </c>
      <c r="C274" s="343">
        <v>1</v>
      </c>
      <c r="D274" s="343">
        <v>1</v>
      </c>
      <c r="E274" s="343">
        <v>1</v>
      </c>
      <c r="F274" s="343">
        <v>1</v>
      </c>
      <c r="G274" s="343">
        <v>1</v>
      </c>
      <c r="H274" s="343">
        <v>1</v>
      </c>
      <c r="I274" s="343">
        <v>1</v>
      </c>
      <c r="J274" s="343">
        <v>1</v>
      </c>
      <c r="K274" s="339">
        <v>0</v>
      </c>
    </row>
    <row r="275" spans="1:11" x14ac:dyDescent="0.35">
      <c r="A275" s="609"/>
      <c r="B275" s="332" t="s">
        <v>151</v>
      </c>
      <c r="C275" s="343">
        <v>1</v>
      </c>
      <c r="D275" s="343">
        <v>1</v>
      </c>
      <c r="E275" s="343">
        <v>1</v>
      </c>
      <c r="F275" s="343">
        <v>1</v>
      </c>
      <c r="G275" s="343">
        <v>1</v>
      </c>
      <c r="H275" s="343">
        <v>1</v>
      </c>
      <c r="I275" s="343">
        <v>1</v>
      </c>
      <c r="J275" s="343">
        <v>1</v>
      </c>
      <c r="K275" s="339">
        <v>0</v>
      </c>
    </row>
    <row r="276" spans="1:11" x14ac:dyDescent="0.35">
      <c r="A276" s="609"/>
      <c r="B276" s="332" t="s">
        <v>152</v>
      </c>
      <c r="C276" s="343">
        <v>1</v>
      </c>
      <c r="D276" s="343">
        <v>1</v>
      </c>
      <c r="E276" s="343">
        <v>1</v>
      </c>
      <c r="F276" s="343">
        <v>1</v>
      </c>
      <c r="G276" s="343">
        <v>1</v>
      </c>
      <c r="H276" s="343">
        <v>1</v>
      </c>
      <c r="I276" s="343">
        <v>1</v>
      </c>
      <c r="J276" s="343">
        <v>1</v>
      </c>
      <c r="K276" s="339">
        <v>0</v>
      </c>
    </row>
    <row r="277" spans="1:11" x14ac:dyDescent="0.35">
      <c r="A277" s="609"/>
      <c r="B277" s="332" t="s">
        <v>153</v>
      </c>
      <c r="C277" s="343">
        <v>1</v>
      </c>
      <c r="D277" s="343">
        <v>1</v>
      </c>
      <c r="E277" s="343">
        <v>1</v>
      </c>
      <c r="F277" s="343">
        <v>1</v>
      </c>
      <c r="G277" s="343">
        <v>1</v>
      </c>
      <c r="H277" s="343">
        <v>1</v>
      </c>
      <c r="I277" s="343">
        <v>1</v>
      </c>
      <c r="J277" s="343">
        <v>1</v>
      </c>
      <c r="K277" s="339">
        <v>0</v>
      </c>
    </row>
    <row r="278" spans="1:11" x14ac:dyDescent="0.35">
      <c r="A278" s="609"/>
      <c r="B278" s="332" t="s">
        <v>154</v>
      </c>
      <c r="C278" s="343">
        <v>1</v>
      </c>
      <c r="D278" s="343">
        <v>1</v>
      </c>
      <c r="E278" s="343">
        <v>1</v>
      </c>
      <c r="F278" s="343">
        <v>1</v>
      </c>
      <c r="G278" s="343">
        <v>1</v>
      </c>
      <c r="H278" s="343">
        <v>1</v>
      </c>
      <c r="I278" s="343">
        <v>1</v>
      </c>
      <c r="J278" s="343">
        <v>1</v>
      </c>
      <c r="K278" s="339">
        <v>0</v>
      </c>
    </row>
    <row r="279" spans="1:11" x14ac:dyDescent="0.35">
      <c r="A279" s="609"/>
      <c r="B279" s="332" t="s">
        <v>155</v>
      </c>
      <c r="C279" s="343">
        <v>1</v>
      </c>
      <c r="D279" s="343">
        <v>1</v>
      </c>
      <c r="E279" s="343">
        <v>1</v>
      </c>
      <c r="F279" s="343">
        <v>1</v>
      </c>
      <c r="G279" s="343">
        <v>1</v>
      </c>
      <c r="H279" s="343">
        <v>1</v>
      </c>
      <c r="I279" s="343">
        <v>1</v>
      </c>
      <c r="J279" s="343">
        <v>1</v>
      </c>
      <c r="K279" s="339">
        <v>0</v>
      </c>
    </row>
    <row r="280" spans="1:11" x14ac:dyDescent="0.35">
      <c r="A280" s="609"/>
      <c r="B280" s="332" t="s">
        <v>156</v>
      </c>
      <c r="C280" s="343">
        <v>1</v>
      </c>
      <c r="D280" s="343">
        <v>1</v>
      </c>
      <c r="E280" s="343">
        <v>1</v>
      </c>
      <c r="F280" s="343">
        <v>1</v>
      </c>
      <c r="G280" s="343">
        <v>1</v>
      </c>
      <c r="H280" s="343">
        <v>1</v>
      </c>
      <c r="I280" s="343">
        <v>1</v>
      </c>
      <c r="J280" s="343">
        <v>1</v>
      </c>
      <c r="K280" s="339">
        <v>0</v>
      </c>
    </row>
    <row r="281" spans="1:11" x14ac:dyDescent="0.35">
      <c r="A281" s="609"/>
      <c r="B281" s="332" t="s">
        <v>157</v>
      </c>
      <c r="C281" s="339">
        <v>0</v>
      </c>
      <c r="D281" s="339">
        <v>0</v>
      </c>
      <c r="E281" s="339">
        <v>0</v>
      </c>
      <c r="F281" s="343">
        <v>1</v>
      </c>
      <c r="G281" s="339">
        <v>0</v>
      </c>
      <c r="H281" s="339">
        <v>0</v>
      </c>
      <c r="I281" s="339">
        <v>0</v>
      </c>
      <c r="J281" s="339">
        <v>0</v>
      </c>
      <c r="K281" s="339">
        <v>0</v>
      </c>
    </row>
    <row r="282" spans="1:11" ht="15" thickBot="1" x14ac:dyDescent="0.4">
      <c r="A282" s="610"/>
      <c r="B282" s="83" t="s">
        <v>158</v>
      </c>
      <c r="C282" s="339">
        <v>0</v>
      </c>
      <c r="D282" s="339">
        <v>0</v>
      </c>
      <c r="E282" s="233">
        <v>1</v>
      </c>
      <c r="F282" s="339">
        <v>0</v>
      </c>
      <c r="G282" s="339">
        <v>0</v>
      </c>
      <c r="H282" s="339">
        <v>0</v>
      </c>
      <c r="I282" s="339">
        <v>0</v>
      </c>
      <c r="J282" s="339">
        <v>0</v>
      </c>
      <c r="K282" s="234">
        <v>1</v>
      </c>
    </row>
    <row r="283" spans="1:11" x14ac:dyDescent="0.35">
      <c r="A283" s="608" t="s">
        <v>111</v>
      </c>
      <c r="B283" s="82" t="s">
        <v>149</v>
      </c>
      <c r="C283" s="232">
        <v>1</v>
      </c>
      <c r="D283" s="232">
        <v>1</v>
      </c>
      <c r="E283" s="232">
        <v>1</v>
      </c>
      <c r="F283" s="232">
        <v>1</v>
      </c>
      <c r="G283" s="232">
        <v>1</v>
      </c>
      <c r="H283" s="232">
        <v>1</v>
      </c>
      <c r="I283" s="232">
        <v>1</v>
      </c>
      <c r="J283" s="232">
        <v>1</v>
      </c>
      <c r="K283" s="339">
        <v>0</v>
      </c>
    </row>
    <row r="284" spans="1:11" x14ac:dyDescent="0.35">
      <c r="A284" s="609"/>
      <c r="B284" s="332" t="s">
        <v>150</v>
      </c>
      <c r="C284" s="343">
        <v>1</v>
      </c>
      <c r="D284" s="343">
        <v>1</v>
      </c>
      <c r="E284" s="343">
        <v>1</v>
      </c>
      <c r="F284" s="343">
        <v>1</v>
      </c>
      <c r="G284" s="343">
        <v>1</v>
      </c>
      <c r="H284" s="343">
        <v>1</v>
      </c>
      <c r="I284" s="343">
        <v>1</v>
      </c>
      <c r="J284" s="343">
        <v>1</v>
      </c>
      <c r="K284" s="339">
        <v>0</v>
      </c>
    </row>
    <row r="285" spans="1:11" x14ac:dyDescent="0.35">
      <c r="A285" s="609"/>
      <c r="B285" s="332" t="s">
        <v>151</v>
      </c>
      <c r="C285" s="343">
        <v>1</v>
      </c>
      <c r="D285" s="343">
        <v>1</v>
      </c>
      <c r="E285" s="343">
        <v>1</v>
      </c>
      <c r="F285" s="343">
        <v>1</v>
      </c>
      <c r="G285" s="343">
        <v>1</v>
      </c>
      <c r="H285" s="343">
        <v>1</v>
      </c>
      <c r="I285" s="343">
        <v>1</v>
      </c>
      <c r="J285" s="343">
        <v>1</v>
      </c>
      <c r="K285" s="339">
        <v>0</v>
      </c>
    </row>
    <row r="286" spans="1:11" x14ac:dyDescent="0.35">
      <c r="A286" s="609"/>
      <c r="B286" s="332" t="s">
        <v>152</v>
      </c>
      <c r="C286" s="343">
        <v>1</v>
      </c>
      <c r="D286" s="343">
        <v>1</v>
      </c>
      <c r="E286" s="343">
        <v>1</v>
      </c>
      <c r="F286" s="343">
        <v>1</v>
      </c>
      <c r="G286" s="343">
        <v>1</v>
      </c>
      <c r="H286" s="343">
        <v>1</v>
      </c>
      <c r="I286" s="343">
        <v>1</v>
      </c>
      <c r="J286" s="343">
        <v>1</v>
      </c>
      <c r="K286" s="339">
        <v>0</v>
      </c>
    </row>
    <row r="287" spans="1:11" x14ac:dyDescent="0.35">
      <c r="A287" s="609"/>
      <c r="B287" s="332" t="s">
        <v>153</v>
      </c>
      <c r="C287" s="343">
        <v>1</v>
      </c>
      <c r="D287" s="343">
        <v>1</v>
      </c>
      <c r="E287" s="343">
        <v>1</v>
      </c>
      <c r="F287" s="343">
        <v>1</v>
      </c>
      <c r="G287" s="343">
        <v>1</v>
      </c>
      <c r="H287" s="343">
        <v>1</v>
      </c>
      <c r="I287" s="343">
        <v>1</v>
      </c>
      <c r="J287" s="343">
        <v>1</v>
      </c>
      <c r="K287" s="339">
        <v>0</v>
      </c>
    </row>
    <row r="288" spans="1:11" x14ac:dyDescent="0.35">
      <c r="A288" s="609"/>
      <c r="B288" s="332" t="s">
        <v>154</v>
      </c>
      <c r="C288" s="343">
        <v>1</v>
      </c>
      <c r="D288" s="343">
        <v>1</v>
      </c>
      <c r="E288" s="343">
        <v>1</v>
      </c>
      <c r="F288" s="343">
        <v>1</v>
      </c>
      <c r="G288" s="343">
        <v>1</v>
      </c>
      <c r="H288" s="343">
        <v>1</v>
      </c>
      <c r="I288" s="343">
        <v>1</v>
      </c>
      <c r="J288" s="343">
        <v>1</v>
      </c>
      <c r="K288" s="339">
        <v>0</v>
      </c>
    </row>
    <row r="289" spans="1:11" x14ac:dyDescent="0.35">
      <c r="A289" s="609"/>
      <c r="B289" s="332" t="s">
        <v>155</v>
      </c>
      <c r="C289" s="343">
        <v>1</v>
      </c>
      <c r="D289" s="343">
        <v>1</v>
      </c>
      <c r="E289" s="343">
        <v>1</v>
      </c>
      <c r="F289" s="343">
        <v>1</v>
      </c>
      <c r="G289" s="343">
        <v>1</v>
      </c>
      <c r="H289" s="343">
        <v>1</v>
      </c>
      <c r="I289" s="343">
        <v>1</v>
      </c>
      <c r="J289" s="343">
        <v>1</v>
      </c>
      <c r="K289" s="339">
        <v>0</v>
      </c>
    </row>
    <row r="290" spans="1:11" x14ac:dyDescent="0.35">
      <c r="A290" s="609"/>
      <c r="B290" s="332" t="s">
        <v>156</v>
      </c>
      <c r="C290" s="343">
        <v>1</v>
      </c>
      <c r="D290" s="343">
        <v>1</v>
      </c>
      <c r="E290" s="343">
        <v>1</v>
      </c>
      <c r="F290" s="343">
        <v>1</v>
      </c>
      <c r="G290" s="343">
        <v>1</v>
      </c>
      <c r="H290" s="343">
        <v>1</v>
      </c>
      <c r="I290" s="343">
        <v>1</v>
      </c>
      <c r="J290" s="343">
        <v>1</v>
      </c>
      <c r="K290" s="339">
        <v>0</v>
      </c>
    </row>
    <row r="291" spans="1:11" x14ac:dyDescent="0.35">
      <c r="A291" s="609"/>
      <c r="B291" s="332" t="s">
        <v>157</v>
      </c>
      <c r="C291" s="339">
        <v>0</v>
      </c>
      <c r="D291" s="339">
        <v>0</v>
      </c>
      <c r="E291" s="339">
        <v>0</v>
      </c>
      <c r="F291" s="343">
        <v>1</v>
      </c>
      <c r="G291" s="339">
        <v>0</v>
      </c>
      <c r="H291" s="339">
        <v>0</v>
      </c>
      <c r="I291" s="339">
        <v>0</v>
      </c>
      <c r="J291" s="339">
        <v>0</v>
      </c>
      <c r="K291" s="339">
        <v>0</v>
      </c>
    </row>
    <row r="292" spans="1:11" ht="15" thickBot="1" x14ac:dyDescent="0.4">
      <c r="A292" s="610"/>
      <c r="B292" s="83" t="s">
        <v>158</v>
      </c>
      <c r="C292" s="339">
        <v>0</v>
      </c>
      <c r="D292" s="339">
        <v>0</v>
      </c>
      <c r="E292" s="233">
        <v>1</v>
      </c>
      <c r="F292" s="339">
        <v>0</v>
      </c>
      <c r="G292" s="339">
        <v>0</v>
      </c>
      <c r="H292" s="339">
        <v>0</v>
      </c>
      <c r="I292" s="339">
        <v>0</v>
      </c>
      <c r="J292" s="339">
        <v>0</v>
      </c>
      <c r="K292" s="234">
        <v>1</v>
      </c>
    </row>
    <row r="293" spans="1:11" x14ac:dyDescent="0.35">
      <c r="A293" s="608" t="s">
        <v>112</v>
      </c>
      <c r="B293" s="82" t="s">
        <v>149</v>
      </c>
      <c r="C293" s="232">
        <v>1</v>
      </c>
      <c r="D293" s="232">
        <v>1</v>
      </c>
      <c r="E293" s="232">
        <v>1</v>
      </c>
      <c r="F293" s="232">
        <v>1</v>
      </c>
      <c r="G293" s="232">
        <v>1</v>
      </c>
      <c r="H293" s="232">
        <v>1</v>
      </c>
      <c r="I293" s="232">
        <v>1</v>
      </c>
      <c r="J293" s="232">
        <v>1</v>
      </c>
      <c r="K293" s="339">
        <v>0</v>
      </c>
    </row>
    <row r="294" spans="1:11" x14ac:dyDescent="0.35">
      <c r="A294" s="609"/>
      <c r="B294" s="332" t="s">
        <v>150</v>
      </c>
      <c r="C294" s="343">
        <v>1</v>
      </c>
      <c r="D294" s="343">
        <v>1</v>
      </c>
      <c r="E294" s="343">
        <v>1</v>
      </c>
      <c r="F294" s="343">
        <v>1</v>
      </c>
      <c r="G294" s="343">
        <v>1</v>
      </c>
      <c r="H294" s="343">
        <v>1</v>
      </c>
      <c r="I294" s="343">
        <v>1</v>
      </c>
      <c r="J294" s="343">
        <v>1</v>
      </c>
      <c r="K294" s="339">
        <v>0</v>
      </c>
    </row>
    <row r="295" spans="1:11" x14ac:dyDescent="0.35">
      <c r="A295" s="609"/>
      <c r="B295" s="332" t="s">
        <v>151</v>
      </c>
      <c r="C295" s="343">
        <v>1</v>
      </c>
      <c r="D295" s="343">
        <v>1</v>
      </c>
      <c r="E295" s="343">
        <v>1</v>
      </c>
      <c r="F295" s="343">
        <v>1</v>
      </c>
      <c r="G295" s="343">
        <v>1</v>
      </c>
      <c r="H295" s="343">
        <v>1</v>
      </c>
      <c r="I295" s="343">
        <v>1</v>
      </c>
      <c r="J295" s="343">
        <v>1</v>
      </c>
      <c r="K295" s="339">
        <v>0</v>
      </c>
    </row>
    <row r="296" spans="1:11" x14ac:dyDescent="0.35">
      <c r="A296" s="609"/>
      <c r="B296" s="332" t="s">
        <v>152</v>
      </c>
      <c r="C296" s="343">
        <v>1</v>
      </c>
      <c r="D296" s="343">
        <v>1</v>
      </c>
      <c r="E296" s="343">
        <v>1</v>
      </c>
      <c r="F296" s="343">
        <v>1</v>
      </c>
      <c r="G296" s="343">
        <v>1</v>
      </c>
      <c r="H296" s="343">
        <v>1</v>
      </c>
      <c r="I296" s="343">
        <v>1</v>
      </c>
      <c r="J296" s="343">
        <v>1</v>
      </c>
      <c r="K296" s="339">
        <v>0</v>
      </c>
    </row>
    <row r="297" spans="1:11" x14ac:dyDescent="0.35">
      <c r="A297" s="609"/>
      <c r="B297" s="332" t="s">
        <v>153</v>
      </c>
      <c r="C297" s="343">
        <v>1</v>
      </c>
      <c r="D297" s="343">
        <v>1</v>
      </c>
      <c r="E297" s="343">
        <v>1</v>
      </c>
      <c r="F297" s="343">
        <v>1</v>
      </c>
      <c r="G297" s="343">
        <v>1</v>
      </c>
      <c r="H297" s="343">
        <v>1</v>
      </c>
      <c r="I297" s="343">
        <v>1</v>
      </c>
      <c r="J297" s="343">
        <v>1</v>
      </c>
      <c r="K297" s="339">
        <v>0</v>
      </c>
    </row>
    <row r="298" spans="1:11" x14ac:dyDescent="0.35">
      <c r="A298" s="609"/>
      <c r="B298" s="332" t="s">
        <v>154</v>
      </c>
      <c r="C298" s="343">
        <v>1</v>
      </c>
      <c r="D298" s="343">
        <v>1</v>
      </c>
      <c r="E298" s="343">
        <v>1</v>
      </c>
      <c r="F298" s="343">
        <v>1</v>
      </c>
      <c r="G298" s="343">
        <v>1</v>
      </c>
      <c r="H298" s="343">
        <v>1</v>
      </c>
      <c r="I298" s="343">
        <v>1</v>
      </c>
      <c r="J298" s="343">
        <v>1</v>
      </c>
      <c r="K298" s="339">
        <v>0</v>
      </c>
    </row>
    <row r="299" spans="1:11" x14ac:dyDescent="0.35">
      <c r="A299" s="609"/>
      <c r="B299" s="332" t="s">
        <v>155</v>
      </c>
      <c r="C299" s="343">
        <v>1</v>
      </c>
      <c r="D299" s="343">
        <v>1</v>
      </c>
      <c r="E299" s="343">
        <v>1</v>
      </c>
      <c r="F299" s="343">
        <v>1</v>
      </c>
      <c r="G299" s="343">
        <v>1</v>
      </c>
      <c r="H299" s="343">
        <v>1</v>
      </c>
      <c r="I299" s="343">
        <v>1</v>
      </c>
      <c r="J299" s="343">
        <v>1</v>
      </c>
      <c r="K299" s="339">
        <v>0</v>
      </c>
    </row>
    <row r="300" spans="1:11" x14ac:dyDescent="0.35">
      <c r="A300" s="609"/>
      <c r="B300" s="332" t="s">
        <v>156</v>
      </c>
      <c r="C300" s="343">
        <v>1</v>
      </c>
      <c r="D300" s="343">
        <v>1</v>
      </c>
      <c r="E300" s="343">
        <v>1</v>
      </c>
      <c r="F300" s="343">
        <v>1</v>
      </c>
      <c r="G300" s="343">
        <v>1</v>
      </c>
      <c r="H300" s="343">
        <v>1</v>
      </c>
      <c r="I300" s="343">
        <v>1</v>
      </c>
      <c r="J300" s="343">
        <v>1</v>
      </c>
      <c r="K300" s="339">
        <v>0</v>
      </c>
    </row>
    <row r="301" spans="1:11" x14ac:dyDescent="0.35">
      <c r="A301" s="609"/>
      <c r="B301" s="332" t="s">
        <v>157</v>
      </c>
      <c r="C301" s="339">
        <v>0</v>
      </c>
      <c r="D301" s="339">
        <v>0</v>
      </c>
      <c r="E301" s="339">
        <v>0</v>
      </c>
      <c r="F301" s="343">
        <v>1</v>
      </c>
      <c r="G301" s="339">
        <v>0</v>
      </c>
      <c r="H301" s="339">
        <v>0</v>
      </c>
      <c r="I301" s="339">
        <v>0</v>
      </c>
      <c r="J301" s="339">
        <v>0</v>
      </c>
      <c r="K301" s="339">
        <v>0</v>
      </c>
    </row>
    <row r="302" spans="1:11" ht="15" thickBot="1" x14ac:dyDescent="0.4">
      <c r="A302" s="610"/>
      <c r="B302" s="83" t="s">
        <v>158</v>
      </c>
      <c r="C302" s="339">
        <v>0</v>
      </c>
      <c r="D302" s="339">
        <v>0</v>
      </c>
      <c r="E302" s="233">
        <v>1</v>
      </c>
      <c r="F302" s="339">
        <v>0</v>
      </c>
      <c r="G302" s="339">
        <v>0</v>
      </c>
      <c r="H302" s="339">
        <v>0</v>
      </c>
      <c r="I302" s="339">
        <v>0</v>
      </c>
      <c r="J302" s="339">
        <v>0</v>
      </c>
      <c r="K302" s="234">
        <v>1</v>
      </c>
    </row>
    <row r="303" spans="1:11" x14ac:dyDescent="0.35">
      <c r="A303" s="608" t="s">
        <v>113</v>
      </c>
      <c r="B303" s="82" t="s">
        <v>149</v>
      </c>
      <c r="C303" s="232">
        <v>1</v>
      </c>
      <c r="D303" s="232">
        <v>1</v>
      </c>
      <c r="E303" s="232">
        <v>1</v>
      </c>
      <c r="F303" s="232">
        <v>1</v>
      </c>
      <c r="G303" s="232">
        <v>1</v>
      </c>
      <c r="H303" s="232">
        <v>1</v>
      </c>
      <c r="I303" s="232">
        <v>1</v>
      </c>
      <c r="J303" s="232">
        <v>1</v>
      </c>
      <c r="K303" s="339">
        <v>0</v>
      </c>
    </row>
    <row r="304" spans="1:11" x14ac:dyDescent="0.35">
      <c r="A304" s="609"/>
      <c r="B304" s="332" t="s">
        <v>150</v>
      </c>
      <c r="C304" s="343">
        <v>1</v>
      </c>
      <c r="D304" s="343">
        <v>1</v>
      </c>
      <c r="E304" s="343">
        <v>1</v>
      </c>
      <c r="F304" s="343">
        <v>1</v>
      </c>
      <c r="G304" s="343">
        <v>1</v>
      </c>
      <c r="H304" s="343">
        <v>1</v>
      </c>
      <c r="I304" s="343">
        <v>1</v>
      </c>
      <c r="J304" s="343">
        <v>1</v>
      </c>
      <c r="K304" s="339">
        <v>0</v>
      </c>
    </row>
    <row r="305" spans="1:11" x14ac:dyDescent="0.35">
      <c r="A305" s="609"/>
      <c r="B305" s="332" t="s">
        <v>151</v>
      </c>
      <c r="C305" s="343">
        <v>1</v>
      </c>
      <c r="D305" s="343">
        <v>1</v>
      </c>
      <c r="E305" s="343">
        <v>1</v>
      </c>
      <c r="F305" s="343">
        <v>1</v>
      </c>
      <c r="G305" s="343">
        <v>1</v>
      </c>
      <c r="H305" s="343">
        <v>1</v>
      </c>
      <c r="I305" s="343">
        <v>1</v>
      </c>
      <c r="J305" s="343">
        <v>1</v>
      </c>
      <c r="K305" s="339">
        <v>0</v>
      </c>
    </row>
    <row r="306" spans="1:11" x14ac:dyDescent="0.35">
      <c r="A306" s="609"/>
      <c r="B306" s="332" t="s">
        <v>152</v>
      </c>
      <c r="C306" s="343">
        <v>1</v>
      </c>
      <c r="D306" s="343">
        <v>1</v>
      </c>
      <c r="E306" s="343">
        <v>1</v>
      </c>
      <c r="F306" s="343">
        <v>1</v>
      </c>
      <c r="G306" s="343">
        <v>1</v>
      </c>
      <c r="H306" s="343">
        <v>1</v>
      </c>
      <c r="I306" s="343">
        <v>1</v>
      </c>
      <c r="J306" s="343">
        <v>1</v>
      </c>
      <c r="K306" s="339">
        <v>0</v>
      </c>
    </row>
    <row r="307" spans="1:11" x14ac:dyDescent="0.35">
      <c r="A307" s="609"/>
      <c r="B307" s="332" t="s">
        <v>153</v>
      </c>
      <c r="C307" s="343">
        <v>1</v>
      </c>
      <c r="D307" s="343">
        <v>1</v>
      </c>
      <c r="E307" s="343">
        <v>1</v>
      </c>
      <c r="F307" s="343">
        <v>1</v>
      </c>
      <c r="G307" s="343">
        <v>1</v>
      </c>
      <c r="H307" s="343">
        <v>1</v>
      </c>
      <c r="I307" s="343">
        <v>1</v>
      </c>
      <c r="J307" s="343">
        <v>1</v>
      </c>
      <c r="K307" s="339">
        <v>0</v>
      </c>
    </row>
    <row r="308" spans="1:11" x14ac:dyDescent="0.35">
      <c r="A308" s="609"/>
      <c r="B308" s="332" t="s">
        <v>154</v>
      </c>
      <c r="C308" s="343">
        <v>1</v>
      </c>
      <c r="D308" s="343">
        <v>1</v>
      </c>
      <c r="E308" s="343">
        <v>1</v>
      </c>
      <c r="F308" s="343">
        <v>1</v>
      </c>
      <c r="G308" s="343">
        <v>1</v>
      </c>
      <c r="H308" s="343">
        <v>1</v>
      </c>
      <c r="I308" s="343">
        <v>1</v>
      </c>
      <c r="J308" s="343">
        <v>1</v>
      </c>
      <c r="K308" s="339">
        <v>0</v>
      </c>
    </row>
    <row r="309" spans="1:11" x14ac:dyDescent="0.35">
      <c r="A309" s="609"/>
      <c r="B309" s="332" t="s">
        <v>155</v>
      </c>
      <c r="C309" s="343">
        <v>1</v>
      </c>
      <c r="D309" s="343">
        <v>1</v>
      </c>
      <c r="E309" s="343">
        <v>1</v>
      </c>
      <c r="F309" s="343">
        <v>1</v>
      </c>
      <c r="G309" s="343">
        <v>1</v>
      </c>
      <c r="H309" s="343">
        <v>1</v>
      </c>
      <c r="I309" s="343">
        <v>1</v>
      </c>
      <c r="J309" s="343">
        <v>1</v>
      </c>
      <c r="K309" s="339">
        <v>0</v>
      </c>
    </row>
    <row r="310" spans="1:11" x14ac:dyDescent="0.35">
      <c r="A310" s="609"/>
      <c r="B310" s="332" t="s">
        <v>156</v>
      </c>
      <c r="C310" s="343">
        <v>1</v>
      </c>
      <c r="D310" s="343">
        <v>1</v>
      </c>
      <c r="E310" s="343">
        <v>1</v>
      </c>
      <c r="F310" s="343">
        <v>1</v>
      </c>
      <c r="G310" s="343">
        <v>1</v>
      </c>
      <c r="H310" s="343">
        <v>1</v>
      </c>
      <c r="I310" s="343">
        <v>1</v>
      </c>
      <c r="J310" s="343">
        <v>1</v>
      </c>
      <c r="K310" s="339">
        <v>0</v>
      </c>
    </row>
    <row r="311" spans="1:11" x14ac:dyDescent="0.35">
      <c r="A311" s="609"/>
      <c r="B311" s="332" t="s">
        <v>157</v>
      </c>
      <c r="C311" s="339">
        <v>0</v>
      </c>
      <c r="D311" s="339">
        <v>0</v>
      </c>
      <c r="E311" s="339">
        <v>0</v>
      </c>
      <c r="F311" s="343">
        <v>1</v>
      </c>
      <c r="G311" s="339">
        <v>0</v>
      </c>
      <c r="H311" s="339">
        <v>0</v>
      </c>
      <c r="I311" s="339">
        <v>0</v>
      </c>
      <c r="J311" s="339">
        <v>0</v>
      </c>
      <c r="K311" s="339">
        <v>0</v>
      </c>
    </row>
    <row r="312" spans="1:11" ht="15" thickBot="1" x14ac:dyDescent="0.4">
      <c r="A312" s="610"/>
      <c r="B312" s="83" t="s">
        <v>158</v>
      </c>
      <c r="C312" s="339">
        <v>0</v>
      </c>
      <c r="D312" s="339">
        <v>0</v>
      </c>
      <c r="E312" s="233">
        <v>1</v>
      </c>
      <c r="F312" s="339">
        <v>0</v>
      </c>
      <c r="G312" s="339">
        <v>0</v>
      </c>
      <c r="H312" s="339">
        <v>0</v>
      </c>
      <c r="I312" s="339">
        <v>0</v>
      </c>
      <c r="J312" s="339">
        <v>0</v>
      </c>
      <c r="K312" s="234">
        <v>1</v>
      </c>
    </row>
    <row r="313" spans="1:11" x14ac:dyDescent="0.35">
      <c r="A313" s="608" t="s">
        <v>114</v>
      </c>
      <c r="B313" s="82" t="s">
        <v>149</v>
      </c>
      <c r="C313" s="232">
        <v>1</v>
      </c>
      <c r="D313" s="232">
        <v>1</v>
      </c>
      <c r="E313" s="232">
        <v>1</v>
      </c>
      <c r="F313" s="232">
        <v>1</v>
      </c>
      <c r="G313" s="232">
        <v>1</v>
      </c>
      <c r="H313" s="232">
        <v>1</v>
      </c>
      <c r="I313" s="232">
        <v>1</v>
      </c>
      <c r="J313" s="232">
        <v>1</v>
      </c>
      <c r="K313" s="339">
        <v>0</v>
      </c>
    </row>
    <row r="314" spans="1:11" x14ac:dyDescent="0.35">
      <c r="A314" s="609"/>
      <c r="B314" s="332" t="s">
        <v>150</v>
      </c>
      <c r="C314" s="343">
        <v>1</v>
      </c>
      <c r="D314" s="343">
        <v>1</v>
      </c>
      <c r="E314" s="343">
        <v>1</v>
      </c>
      <c r="F314" s="343">
        <v>1</v>
      </c>
      <c r="G314" s="343">
        <v>1</v>
      </c>
      <c r="H314" s="343">
        <v>1</v>
      </c>
      <c r="I314" s="343">
        <v>1</v>
      </c>
      <c r="J314" s="343">
        <v>1</v>
      </c>
      <c r="K314" s="339">
        <v>0</v>
      </c>
    </row>
    <row r="315" spans="1:11" x14ac:dyDescent="0.35">
      <c r="A315" s="609"/>
      <c r="B315" s="332" t="s">
        <v>151</v>
      </c>
      <c r="C315" s="343">
        <v>1</v>
      </c>
      <c r="D315" s="343">
        <v>1</v>
      </c>
      <c r="E315" s="343">
        <v>1</v>
      </c>
      <c r="F315" s="343">
        <v>1</v>
      </c>
      <c r="G315" s="343">
        <v>1</v>
      </c>
      <c r="H315" s="343">
        <v>1</v>
      </c>
      <c r="I315" s="343">
        <v>1</v>
      </c>
      <c r="J315" s="343">
        <v>1</v>
      </c>
      <c r="K315" s="339">
        <v>0</v>
      </c>
    </row>
    <row r="316" spans="1:11" x14ac:dyDescent="0.35">
      <c r="A316" s="609"/>
      <c r="B316" s="332" t="s">
        <v>152</v>
      </c>
      <c r="C316" s="343">
        <v>1</v>
      </c>
      <c r="D316" s="343">
        <v>1</v>
      </c>
      <c r="E316" s="343">
        <v>1</v>
      </c>
      <c r="F316" s="343">
        <v>1</v>
      </c>
      <c r="G316" s="343">
        <v>1</v>
      </c>
      <c r="H316" s="343">
        <v>1</v>
      </c>
      <c r="I316" s="343">
        <v>1</v>
      </c>
      <c r="J316" s="343">
        <v>1</v>
      </c>
      <c r="K316" s="339">
        <v>0</v>
      </c>
    </row>
    <row r="317" spans="1:11" x14ac:dyDescent="0.35">
      <c r="A317" s="609"/>
      <c r="B317" s="332" t="s">
        <v>153</v>
      </c>
      <c r="C317" s="343">
        <v>1</v>
      </c>
      <c r="D317" s="343">
        <v>1</v>
      </c>
      <c r="E317" s="343">
        <v>1</v>
      </c>
      <c r="F317" s="343">
        <v>1</v>
      </c>
      <c r="G317" s="343">
        <v>1</v>
      </c>
      <c r="H317" s="343">
        <v>1</v>
      </c>
      <c r="I317" s="343">
        <v>1</v>
      </c>
      <c r="J317" s="343">
        <v>1</v>
      </c>
      <c r="K317" s="339">
        <v>0</v>
      </c>
    </row>
    <row r="318" spans="1:11" x14ac:dyDescent="0.35">
      <c r="A318" s="609"/>
      <c r="B318" s="332" t="s">
        <v>154</v>
      </c>
      <c r="C318" s="343">
        <v>1</v>
      </c>
      <c r="D318" s="343">
        <v>1</v>
      </c>
      <c r="E318" s="343">
        <v>1</v>
      </c>
      <c r="F318" s="343">
        <v>1</v>
      </c>
      <c r="G318" s="343">
        <v>1</v>
      </c>
      <c r="H318" s="343">
        <v>1</v>
      </c>
      <c r="I318" s="343">
        <v>1</v>
      </c>
      <c r="J318" s="343">
        <v>1</v>
      </c>
      <c r="K318" s="339">
        <v>0</v>
      </c>
    </row>
    <row r="319" spans="1:11" x14ac:dyDescent="0.35">
      <c r="A319" s="609"/>
      <c r="B319" s="332" t="s">
        <v>155</v>
      </c>
      <c r="C319" s="343">
        <v>1</v>
      </c>
      <c r="D319" s="343">
        <v>1</v>
      </c>
      <c r="E319" s="343">
        <v>1</v>
      </c>
      <c r="F319" s="343">
        <v>1</v>
      </c>
      <c r="G319" s="343">
        <v>1</v>
      </c>
      <c r="H319" s="343">
        <v>1</v>
      </c>
      <c r="I319" s="343">
        <v>1</v>
      </c>
      <c r="J319" s="343">
        <v>1</v>
      </c>
      <c r="K319" s="339">
        <v>0</v>
      </c>
    </row>
    <row r="320" spans="1:11" x14ac:dyDescent="0.35">
      <c r="A320" s="609"/>
      <c r="B320" s="332" t="s">
        <v>156</v>
      </c>
      <c r="C320" s="343">
        <v>1</v>
      </c>
      <c r="D320" s="343">
        <v>1</v>
      </c>
      <c r="E320" s="343">
        <v>1</v>
      </c>
      <c r="F320" s="343">
        <v>1</v>
      </c>
      <c r="G320" s="343">
        <v>1</v>
      </c>
      <c r="H320" s="343">
        <v>1</v>
      </c>
      <c r="I320" s="343">
        <v>1</v>
      </c>
      <c r="J320" s="343">
        <v>1</v>
      </c>
      <c r="K320" s="339">
        <v>0</v>
      </c>
    </row>
    <row r="321" spans="1:11" x14ac:dyDescent="0.35">
      <c r="A321" s="609"/>
      <c r="B321" s="332" t="s">
        <v>157</v>
      </c>
      <c r="C321" s="339">
        <v>0</v>
      </c>
      <c r="D321" s="339">
        <v>0</v>
      </c>
      <c r="E321" s="339">
        <v>0</v>
      </c>
      <c r="F321" s="343">
        <v>1</v>
      </c>
      <c r="G321" s="339">
        <v>0</v>
      </c>
      <c r="H321" s="339">
        <v>0</v>
      </c>
      <c r="I321" s="339">
        <v>0</v>
      </c>
      <c r="J321" s="339">
        <v>0</v>
      </c>
      <c r="K321" s="339">
        <v>0</v>
      </c>
    </row>
    <row r="322" spans="1:11" ht="15" thickBot="1" x14ac:dyDescent="0.4">
      <c r="A322" s="610"/>
      <c r="B322" s="83" t="s">
        <v>158</v>
      </c>
      <c r="C322" s="339">
        <v>0</v>
      </c>
      <c r="D322" s="339">
        <v>0</v>
      </c>
      <c r="E322" s="233">
        <v>1</v>
      </c>
      <c r="F322" s="339">
        <v>0</v>
      </c>
      <c r="G322" s="339">
        <v>0</v>
      </c>
      <c r="H322" s="339">
        <v>0</v>
      </c>
      <c r="I322" s="339">
        <v>0</v>
      </c>
      <c r="J322" s="339">
        <v>0</v>
      </c>
      <c r="K322" s="234">
        <v>1</v>
      </c>
    </row>
    <row r="323" spans="1:11" x14ac:dyDescent="0.35">
      <c r="A323" s="608" t="s">
        <v>115</v>
      </c>
      <c r="B323" s="82" t="s">
        <v>149</v>
      </c>
      <c r="C323" s="232">
        <v>1</v>
      </c>
      <c r="D323" s="232">
        <v>1</v>
      </c>
      <c r="E323" s="232">
        <v>1</v>
      </c>
      <c r="F323" s="232">
        <v>1</v>
      </c>
      <c r="G323" s="232">
        <v>1</v>
      </c>
      <c r="H323" s="232">
        <v>1</v>
      </c>
      <c r="I323" s="232">
        <v>1</v>
      </c>
      <c r="J323" s="232">
        <v>1</v>
      </c>
      <c r="K323" s="339">
        <v>0</v>
      </c>
    </row>
    <row r="324" spans="1:11" x14ac:dyDescent="0.35">
      <c r="A324" s="609"/>
      <c r="B324" s="332" t="s">
        <v>150</v>
      </c>
      <c r="C324" s="343">
        <v>1</v>
      </c>
      <c r="D324" s="343">
        <v>1</v>
      </c>
      <c r="E324" s="343">
        <v>1</v>
      </c>
      <c r="F324" s="343">
        <v>1</v>
      </c>
      <c r="G324" s="343">
        <v>1</v>
      </c>
      <c r="H324" s="343">
        <v>1</v>
      </c>
      <c r="I324" s="343">
        <v>1</v>
      </c>
      <c r="J324" s="343">
        <v>1</v>
      </c>
      <c r="K324" s="339">
        <v>0</v>
      </c>
    </row>
    <row r="325" spans="1:11" x14ac:dyDescent="0.35">
      <c r="A325" s="609"/>
      <c r="B325" s="332" t="s">
        <v>151</v>
      </c>
      <c r="C325" s="343">
        <v>1</v>
      </c>
      <c r="D325" s="343">
        <v>1</v>
      </c>
      <c r="E325" s="343">
        <v>1</v>
      </c>
      <c r="F325" s="343">
        <v>1</v>
      </c>
      <c r="G325" s="343">
        <v>1</v>
      </c>
      <c r="H325" s="343">
        <v>1</v>
      </c>
      <c r="I325" s="343">
        <v>1</v>
      </c>
      <c r="J325" s="343">
        <v>1</v>
      </c>
      <c r="K325" s="339">
        <v>0</v>
      </c>
    </row>
    <row r="326" spans="1:11" x14ac:dyDescent="0.35">
      <c r="A326" s="609"/>
      <c r="B326" s="332" t="s">
        <v>152</v>
      </c>
      <c r="C326" s="343">
        <v>1</v>
      </c>
      <c r="D326" s="343">
        <v>1</v>
      </c>
      <c r="E326" s="343">
        <v>1</v>
      </c>
      <c r="F326" s="343">
        <v>1</v>
      </c>
      <c r="G326" s="343">
        <v>1</v>
      </c>
      <c r="H326" s="343">
        <v>1</v>
      </c>
      <c r="I326" s="343">
        <v>1</v>
      </c>
      <c r="J326" s="343">
        <v>1</v>
      </c>
      <c r="K326" s="339">
        <v>0</v>
      </c>
    </row>
    <row r="327" spans="1:11" x14ac:dyDescent="0.35">
      <c r="A327" s="609"/>
      <c r="B327" s="332" t="s">
        <v>153</v>
      </c>
      <c r="C327" s="343">
        <v>1</v>
      </c>
      <c r="D327" s="343">
        <v>1</v>
      </c>
      <c r="E327" s="343">
        <v>1</v>
      </c>
      <c r="F327" s="343">
        <v>1</v>
      </c>
      <c r="G327" s="343">
        <v>1</v>
      </c>
      <c r="H327" s="343">
        <v>1</v>
      </c>
      <c r="I327" s="343">
        <v>1</v>
      </c>
      <c r="J327" s="343">
        <v>1</v>
      </c>
      <c r="K327" s="339">
        <v>0</v>
      </c>
    </row>
    <row r="328" spans="1:11" x14ac:dyDescent="0.35">
      <c r="A328" s="609"/>
      <c r="B328" s="332" t="s">
        <v>154</v>
      </c>
      <c r="C328" s="343">
        <v>1</v>
      </c>
      <c r="D328" s="343">
        <v>1</v>
      </c>
      <c r="E328" s="343">
        <v>1</v>
      </c>
      <c r="F328" s="343">
        <v>1</v>
      </c>
      <c r="G328" s="343">
        <v>1</v>
      </c>
      <c r="H328" s="343">
        <v>1</v>
      </c>
      <c r="I328" s="343">
        <v>1</v>
      </c>
      <c r="J328" s="343">
        <v>1</v>
      </c>
      <c r="K328" s="339">
        <v>0</v>
      </c>
    </row>
    <row r="329" spans="1:11" x14ac:dyDescent="0.35">
      <c r="A329" s="609"/>
      <c r="B329" s="332" t="s">
        <v>155</v>
      </c>
      <c r="C329" s="343">
        <v>1</v>
      </c>
      <c r="D329" s="343">
        <v>1</v>
      </c>
      <c r="E329" s="343">
        <v>1</v>
      </c>
      <c r="F329" s="343">
        <v>1</v>
      </c>
      <c r="G329" s="343">
        <v>1</v>
      </c>
      <c r="H329" s="343">
        <v>1</v>
      </c>
      <c r="I329" s="343">
        <v>1</v>
      </c>
      <c r="J329" s="343">
        <v>1</v>
      </c>
      <c r="K329" s="339">
        <v>0</v>
      </c>
    </row>
    <row r="330" spans="1:11" x14ac:dyDescent="0.35">
      <c r="A330" s="609"/>
      <c r="B330" s="332" t="s">
        <v>156</v>
      </c>
      <c r="C330" s="343">
        <v>1</v>
      </c>
      <c r="D330" s="343">
        <v>1</v>
      </c>
      <c r="E330" s="343">
        <v>1</v>
      </c>
      <c r="F330" s="343">
        <v>1</v>
      </c>
      <c r="G330" s="343">
        <v>1</v>
      </c>
      <c r="H330" s="343">
        <v>1</v>
      </c>
      <c r="I330" s="343">
        <v>1</v>
      </c>
      <c r="J330" s="343">
        <v>1</v>
      </c>
      <c r="K330" s="339">
        <v>0</v>
      </c>
    </row>
    <row r="331" spans="1:11" x14ac:dyDescent="0.35">
      <c r="A331" s="609"/>
      <c r="B331" s="332" t="s">
        <v>157</v>
      </c>
      <c r="C331" s="339">
        <v>0</v>
      </c>
      <c r="D331" s="339">
        <v>0</v>
      </c>
      <c r="E331" s="339">
        <v>0</v>
      </c>
      <c r="F331" s="343">
        <v>1</v>
      </c>
      <c r="G331" s="339">
        <v>0</v>
      </c>
      <c r="H331" s="339">
        <v>0</v>
      </c>
      <c r="I331" s="339">
        <v>0</v>
      </c>
      <c r="J331" s="339">
        <v>0</v>
      </c>
      <c r="K331" s="339">
        <v>0</v>
      </c>
    </row>
    <row r="332" spans="1:11" ht="15" thickBot="1" x14ac:dyDescent="0.4">
      <c r="A332" s="610"/>
      <c r="B332" s="83" t="s">
        <v>158</v>
      </c>
      <c r="C332" s="339">
        <v>0</v>
      </c>
      <c r="D332" s="339">
        <v>0</v>
      </c>
      <c r="E332" s="233">
        <v>1</v>
      </c>
      <c r="F332" s="339">
        <v>0</v>
      </c>
      <c r="G332" s="339">
        <v>0</v>
      </c>
      <c r="H332" s="339">
        <v>0</v>
      </c>
      <c r="I332" s="339">
        <v>0</v>
      </c>
      <c r="J332" s="339">
        <v>0</v>
      </c>
      <c r="K332" s="234">
        <v>1</v>
      </c>
    </row>
    <row r="333" spans="1:11" x14ac:dyDescent="0.35">
      <c r="A333" s="608" t="s">
        <v>116</v>
      </c>
      <c r="B333" s="82" t="s">
        <v>149</v>
      </c>
      <c r="C333" s="232">
        <v>1</v>
      </c>
      <c r="D333" s="232">
        <v>1</v>
      </c>
      <c r="E333" s="232">
        <v>1</v>
      </c>
      <c r="F333" s="232">
        <v>1</v>
      </c>
      <c r="G333" s="232">
        <v>1</v>
      </c>
      <c r="H333" s="232">
        <v>1</v>
      </c>
      <c r="I333" s="232">
        <v>1</v>
      </c>
      <c r="J333" s="232">
        <v>1</v>
      </c>
      <c r="K333" s="339">
        <v>0</v>
      </c>
    </row>
    <row r="334" spans="1:11" x14ac:dyDescent="0.35">
      <c r="A334" s="609"/>
      <c r="B334" s="332" t="s">
        <v>150</v>
      </c>
      <c r="C334" s="343">
        <v>1</v>
      </c>
      <c r="D334" s="343">
        <v>1</v>
      </c>
      <c r="E334" s="343">
        <v>1</v>
      </c>
      <c r="F334" s="343">
        <v>1</v>
      </c>
      <c r="G334" s="343">
        <v>1</v>
      </c>
      <c r="H334" s="343">
        <v>1</v>
      </c>
      <c r="I334" s="343">
        <v>1</v>
      </c>
      <c r="J334" s="343">
        <v>1</v>
      </c>
      <c r="K334" s="339">
        <v>0</v>
      </c>
    </row>
    <row r="335" spans="1:11" x14ac:dyDescent="0.35">
      <c r="A335" s="609"/>
      <c r="B335" s="332" t="s">
        <v>151</v>
      </c>
      <c r="C335" s="343">
        <v>1</v>
      </c>
      <c r="D335" s="343">
        <v>1</v>
      </c>
      <c r="E335" s="343">
        <v>1</v>
      </c>
      <c r="F335" s="343">
        <v>1</v>
      </c>
      <c r="G335" s="343">
        <v>1</v>
      </c>
      <c r="H335" s="343">
        <v>1</v>
      </c>
      <c r="I335" s="343">
        <v>1</v>
      </c>
      <c r="J335" s="343">
        <v>1</v>
      </c>
      <c r="K335" s="339">
        <v>0</v>
      </c>
    </row>
    <row r="336" spans="1:11" x14ac:dyDescent="0.35">
      <c r="A336" s="609"/>
      <c r="B336" s="332" t="s">
        <v>152</v>
      </c>
      <c r="C336" s="343">
        <v>1</v>
      </c>
      <c r="D336" s="343">
        <v>1</v>
      </c>
      <c r="E336" s="343">
        <v>1</v>
      </c>
      <c r="F336" s="343">
        <v>1</v>
      </c>
      <c r="G336" s="343">
        <v>1</v>
      </c>
      <c r="H336" s="343">
        <v>1</v>
      </c>
      <c r="I336" s="343">
        <v>1</v>
      </c>
      <c r="J336" s="343">
        <v>1</v>
      </c>
      <c r="K336" s="339">
        <v>0</v>
      </c>
    </row>
    <row r="337" spans="1:11" x14ac:dyDescent="0.35">
      <c r="A337" s="609"/>
      <c r="B337" s="332" t="s">
        <v>153</v>
      </c>
      <c r="C337" s="343">
        <v>1</v>
      </c>
      <c r="D337" s="343">
        <v>1</v>
      </c>
      <c r="E337" s="343">
        <v>1</v>
      </c>
      <c r="F337" s="343">
        <v>1</v>
      </c>
      <c r="G337" s="343">
        <v>1</v>
      </c>
      <c r="H337" s="343">
        <v>1</v>
      </c>
      <c r="I337" s="343">
        <v>1</v>
      </c>
      <c r="J337" s="343">
        <v>1</v>
      </c>
      <c r="K337" s="339">
        <v>0</v>
      </c>
    </row>
    <row r="338" spans="1:11" x14ac:dyDescent="0.35">
      <c r="A338" s="609"/>
      <c r="B338" s="332" t="s">
        <v>154</v>
      </c>
      <c r="C338" s="343">
        <v>1</v>
      </c>
      <c r="D338" s="343">
        <v>1</v>
      </c>
      <c r="E338" s="343">
        <v>1</v>
      </c>
      <c r="F338" s="343">
        <v>1</v>
      </c>
      <c r="G338" s="343">
        <v>1</v>
      </c>
      <c r="H338" s="343">
        <v>1</v>
      </c>
      <c r="I338" s="343">
        <v>1</v>
      </c>
      <c r="J338" s="343">
        <v>1</v>
      </c>
      <c r="K338" s="339">
        <v>0</v>
      </c>
    </row>
    <row r="339" spans="1:11" x14ac:dyDescent="0.35">
      <c r="A339" s="609"/>
      <c r="B339" s="332" t="s">
        <v>155</v>
      </c>
      <c r="C339" s="343">
        <v>1</v>
      </c>
      <c r="D339" s="343">
        <v>1</v>
      </c>
      <c r="E339" s="343">
        <v>1</v>
      </c>
      <c r="F339" s="343">
        <v>1</v>
      </c>
      <c r="G339" s="343">
        <v>1</v>
      </c>
      <c r="H339" s="343">
        <v>1</v>
      </c>
      <c r="I339" s="343">
        <v>1</v>
      </c>
      <c r="J339" s="343">
        <v>1</v>
      </c>
      <c r="K339" s="339">
        <v>0</v>
      </c>
    </row>
    <row r="340" spans="1:11" x14ac:dyDescent="0.35">
      <c r="A340" s="609"/>
      <c r="B340" s="332" t="s">
        <v>156</v>
      </c>
      <c r="C340" s="343">
        <v>1</v>
      </c>
      <c r="D340" s="343">
        <v>1</v>
      </c>
      <c r="E340" s="343">
        <v>1</v>
      </c>
      <c r="F340" s="343">
        <v>1</v>
      </c>
      <c r="G340" s="343">
        <v>1</v>
      </c>
      <c r="H340" s="343">
        <v>1</v>
      </c>
      <c r="I340" s="343">
        <v>1</v>
      </c>
      <c r="J340" s="343">
        <v>1</v>
      </c>
      <c r="K340" s="339">
        <v>0</v>
      </c>
    </row>
    <row r="341" spans="1:11" x14ac:dyDescent="0.35">
      <c r="A341" s="609"/>
      <c r="B341" s="332" t="s">
        <v>157</v>
      </c>
      <c r="C341" s="339">
        <v>0</v>
      </c>
      <c r="D341" s="339">
        <v>0</v>
      </c>
      <c r="E341" s="339">
        <v>0</v>
      </c>
      <c r="F341" s="343">
        <v>1</v>
      </c>
      <c r="G341" s="339">
        <v>0</v>
      </c>
      <c r="H341" s="339">
        <v>0</v>
      </c>
      <c r="I341" s="339">
        <v>0</v>
      </c>
      <c r="J341" s="339">
        <v>0</v>
      </c>
      <c r="K341" s="339">
        <v>0</v>
      </c>
    </row>
    <row r="342" spans="1:11" ht="15" thickBot="1" x14ac:dyDescent="0.4">
      <c r="A342" s="610"/>
      <c r="B342" s="83" t="s">
        <v>158</v>
      </c>
      <c r="C342" s="339">
        <v>0</v>
      </c>
      <c r="D342" s="339">
        <v>0</v>
      </c>
      <c r="E342" s="233">
        <v>1</v>
      </c>
      <c r="F342" s="339">
        <v>0</v>
      </c>
      <c r="G342" s="339">
        <v>0</v>
      </c>
      <c r="H342" s="339">
        <v>0</v>
      </c>
      <c r="I342" s="339">
        <v>0</v>
      </c>
      <c r="J342" s="339">
        <v>0</v>
      </c>
      <c r="K342" s="234">
        <v>1</v>
      </c>
    </row>
    <row r="343" spans="1:11" x14ac:dyDescent="0.35">
      <c r="A343" s="608" t="s">
        <v>117</v>
      </c>
      <c r="B343" s="82" t="s">
        <v>149</v>
      </c>
      <c r="C343" s="232">
        <v>1</v>
      </c>
      <c r="D343" s="232">
        <v>1</v>
      </c>
      <c r="E343" s="232">
        <v>1</v>
      </c>
      <c r="F343" s="232">
        <v>1</v>
      </c>
      <c r="G343" s="232">
        <v>1</v>
      </c>
      <c r="H343" s="232">
        <v>1</v>
      </c>
      <c r="I343" s="232">
        <v>1</v>
      </c>
      <c r="J343" s="232">
        <v>1</v>
      </c>
      <c r="K343" s="339">
        <v>0</v>
      </c>
    </row>
    <row r="344" spans="1:11" x14ac:dyDescent="0.35">
      <c r="A344" s="609"/>
      <c r="B344" s="332" t="s">
        <v>150</v>
      </c>
      <c r="C344" s="343">
        <v>1</v>
      </c>
      <c r="D344" s="343">
        <v>1</v>
      </c>
      <c r="E344" s="343">
        <v>1</v>
      </c>
      <c r="F344" s="343">
        <v>1</v>
      </c>
      <c r="G344" s="343">
        <v>1</v>
      </c>
      <c r="H344" s="343">
        <v>1</v>
      </c>
      <c r="I344" s="343">
        <v>1</v>
      </c>
      <c r="J344" s="343">
        <v>1</v>
      </c>
      <c r="K344" s="339">
        <v>0</v>
      </c>
    </row>
    <row r="345" spans="1:11" x14ac:dyDescent="0.35">
      <c r="A345" s="609"/>
      <c r="B345" s="332" t="s">
        <v>151</v>
      </c>
      <c r="C345" s="343">
        <v>1</v>
      </c>
      <c r="D345" s="343">
        <v>1</v>
      </c>
      <c r="E345" s="343">
        <v>1</v>
      </c>
      <c r="F345" s="343">
        <v>1</v>
      </c>
      <c r="G345" s="343">
        <v>1</v>
      </c>
      <c r="H345" s="343">
        <v>1</v>
      </c>
      <c r="I345" s="343">
        <v>1</v>
      </c>
      <c r="J345" s="343">
        <v>1</v>
      </c>
      <c r="K345" s="339">
        <v>0</v>
      </c>
    </row>
    <row r="346" spans="1:11" x14ac:dyDescent="0.35">
      <c r="A346" s="609"/>
      <c r="B346" s="332" t="s">
        <v>152</v>
      </c>
      <c r="C346" s="343">
        <v>1</v>
      </c>
      <c r="D346" s="343">
        <v>1</v>
      </c>
      <c r="E346" s="343">
        <v>1</v>
      </c>
      <c r="F346" s="343">
        <v>1</v>
      </c>
      <c r="G346" s="343">
        <v>1</v>
      </c>
      <c r="H346" s="343">
        <v>1</v>
      </c>
      <c r="I346" s="343">
        <v>1</v>
      </c>
      <c r="J346" s="343">
        <v>1</v>
      </c>
      <c r="K346" s="339">
        <v>0</v>
      </c>
    </row>
    <row r="347" spans="1:11" x14ac:dyDescent="0.35">
      <c r="A347" s="609"/>
      <c r="B347" s="332" t="s">
        <v>153</v>
      </c>
      <c r="C347" s="343">
        <v>1</v>
      </c>
      <c r="D347" s="343">
        <v>1</v>
      </c>
      <c r="E347" s="343">
        <v>1</v>
      </c>
      <c r="F347" s="343">
        <v>1</v>
      </c>
      <c r="G347" s="343">
        <v>1</v>
      </c>
      <c r="H347" s="343">
        <v>1</v>
      </c>
      <c r="I347" s="343">
        <v>1</v>
      </c>
      <c r="J347" s="343">
        <v>1</v>
      </c>
      <c r="K347" s="339">
        <v>0</v>
      </c>
    </row>
    <row r="348" spans="1:11" x14ac:dyDescent="0.35">
      <c r="A348" s="609"/>
      <c r="B348" s="332" t="s">
        <v>154</v>
      </c>
      <c r="C348" s="343">
        <v>1</v>
      </c>
      <c r="D348" s="343">
        <v>1</v>
      </c>
      <c r="E348" s="343">
        <v>1</v>
      </c>
      <c r="F348" s="343">
        <v>1</v>
      </c>
      <c r="G348" s="343">
        <v>1</v>
      </c>
      <c r="H348" s="343">
        <v>1</v>
      </c>
      <c r="I348" s="343">
        <v>1</v>
      </c>
      <c r="J348" s="343">
        <v>1</v>
      </c>
      <c r="K348" s="339">
        <v>0</v>
      </c>
    </row>
    <row r="349" spans="1:11" x14ac:dyDescent="0.35">
      <c r="A349" s="609"/>
      <c r="B349" s="332" t="s">
        <v>155</v>
      </c>
      <c r="C349" s="343">
        <v>1</v>
      </c>
      <c r="D349" s="343">
        <v>1</v>
      </c>
      <c r="E349" s="343">
        <v>1</v>
      </c>
      <c r="F349" s="343">
        <v>1</v>
      </c>
      <c r="G349" s="343">
        <v>1</v>
      </c>
      <c r="H349" s="343">
        <v>1</v>
      </c>
      <c r="I349" s="343">
        <v>1</v>
      </c>
      <c r="J349" s="343">
        <v>1</v>
      </c>
      <c r="K349" s="339">
        <v>0</v>
      </c>
    </row>
    <row r="350" spans="1:11" x14ac:dyDescent="0.35">
      <c r="A350" s="609"/>
      <c r="B350" s="332" t="s">
        <v>156</v>
      </c>
      <c r="C350" s="343">
        <v>1</v>
      </c>
      <c r="D350" s="343">
        <v>1</v>
      </c>
      <c r="E350" s="343">
        <v>1</v>
      </c>
      <c r="F350" s="343">
        <v>1</v>
      </c>
      <c r="G350" s="343">
        <v>1</v>
      </c>
      <c r="H350" s="343">
        <v>1</v>
      </c>
      <c r="I350" s="343">
        <v>1</v>
      </c>
      <c r="J350" s="343">
        <v>1</v>
      </c>
      <c r="K350" s="339">
        <v>0</v>
      </c>
    </row>
    <row r="351" spans="1:11" x14ac:dyDescent="0.35">
      <c r="A351" s="609"/>
      <c r="B351" s="332" t="s">
        <v>157</v>
      </c>
      <c r="C351" s="339">
        <v>0</v>
      </c>
      <c r="D351" s="339">
        <v>0</v>
      </c>
      <c r="E351" s="339">
        <v>0</v>
      </c>
      <c r="F351" s="343">
        <v>1</v>
      </c>
      <c r="G351" s="339">
        <v>0</v>
      </c>
      <c r="H351" s="339">
        <v>0</v>
      </c>
      <c r="I351" s="339">
        <v>0</v>
      </c>
      <c r="J351" s="339">
        <v>0</v>
      </c>
      <c r="K351" s="339">
        <v>0</v>
      </c>
    </row>
    <row r="352" spans="1:11" ht="15" thickBot="1" x14ac:dyDescent="0.4">
      <c r="A352" s="610"/>
      <c r="B352" s="83" t="s">
        <v>158</v>
      </c>
      <c r="C352" s="339">
        <v>0</v>
      </c>
      <c r="D352" s="339">
        <v>0</v>
      </c>
      <c r="E352" s="233">
        <v>1</v>
      </c>
      <c r="F352" s="339">
        <v>0</v>
      </c>
      <c r="G352" s="339">
        <v>0</v>
      </c>
      <c r="H352" s="339">
        <v>0</v>
      </c>
      <c r="I352" s="339">
        <v>0</v>
      </c>
      <c r="J352" s="339">
        <v>0</v>
      </c>
      <c r="K352" s="234">
        <v>1</v>
      </c>
    </row>
    <row r="353" spans="1:11" x14ac:dyDescent="0.35">
      <c r="A353" s="608" t="s">
        <v>118</v>
      </c>
      <c r="B353" s="82" t="s">
        <v>149</v>
      </c>
      <c r="C353" s="232">
        <v>1</v>
      </c>
      <c r="D353" s="232">
        <v>1</v>
      </c>
      <c r="E353" s="232">
        <v>1</v>
      </c>
      <c r="F353" s="232">
        <v>1</v>
      </c>
      <c r="G353" s="232">
        <v>1</v>
      </c>
      <c r="H353" s="232">
        <v>1</v>
      </c>
      <c r="I353" s="232">
        <v>1</v>
      </c>
      <c r="J353" s="232">
        <v>1</v>
      </c>
      <c r="K353" s="339">
        <v>0</v>
      </c>
    </row>
    <row r="354" spans="1:11" x14ac:dyDescent="0.35">
      <c r="A354" s="609"/>
      <c r="B354" s="332" t="s">
        <v>150</v>
      </c>
      <c r="C354" s="343">
        <v>1</v>
      </c>
      <c r="D354" s="343">
        <v>1</v>
      </c>
      <c r="E354" s="343">
        <v>1</v>
      </c>
      <c r="F354" s="343">
        <v>1</v>
      </c>
      <c r="G354" s="343">
        <v>1</v>
      </c>
      <c r="H354" s="343">
        <v>1</v>
      </c>
      <c r="I354" s="343">
        <v>1</v>
      </c>
      <c r="J354" s="343">
        <v>1</v>
      </c>
      <c r="K354" s="339">
        <v>0</v>
      </c>
    </row>
    <row r="355" spans="1:11" x14ac:dyDescent="0.35">
      <c r="A355" s="609"/>
      <c r="B355" s="332" t="s">
        <v>151</v>
      </c>
      <c r="C355" s="343">
        <v>1</v>
      </c>
      <c r="D355" s="343">
        <v>1</v>
      </c>
      <c r="E355" s="343">
        <v>1</v>
      </c>
      <c r="F355" s="343">
        <v>1</v>
      </c>
      <c r="G355" s="343">
        <v>1</v>
      </c>
      <c r="H355" s="343">
        <v>1</v>
      </c>
      <c r="I355" s="343">
        <v>1</v>
      </c>
      <c r="J355" s="343">
        <v>1</v>
      </c>
      <c r="K355" s="339">
        <v>0</v>
      </c>
    </row>
    <row r="356" spans="1:11" x14ac:dyDescent="0.35">
      <c r="A356" s="609"/>
      <c r="B356" s="332" t="s">
        <v>152</v>
      </c>
      <c r="C356" s="343">
        <v>1</v>
      </c>
      <c r="D356" s="343">
        <v>1</v>
      </c>
      <c r="E356" s="343">
        <v>1</v>
      </c>
      <c r="F356" s="343">
        <v>1</v>
      </c>
      <c r="G356" s="343">
        <v>1</v>
      </c>
      <c r="H356" s="343">
        <v>1</v>
      </c>
      <c r="I356" s="343">
        <v>1</v>
      </c>
      <c r="J356" s="343">
        <v>1</v>
      </c>
      <c r="K356" s="339">
        <v>0</v>
      </c>
    </row>
    <row r="357" spans="1:11" x14ac:dyDescent="0.35">
      <c r="A357" s="609"/>
      <c r="B357" s="332" t="s">
        <v>153</v>
      </c>
      <c r="C357" s="343">
        <v>1</v>
      </c>
      <c r="D357" s="343">
        <v>1</v>
      </c>
      <c r="E357" s="343">
        <v>1</v>
      </c>
      <c r="F357" s="343">
        <v>1</v>
      </c>
      <c r="G357" s="343">
        <v>1</v>
      </c>
      <c r="H357" s="343">
        <v>1</v>
      </c>
      <c r="I357" s="343">
        <v>1</v>
      </c>
      <c r="J357" s="343">
        <v>1</v>
      </c>
      <c r="K357" s="339">
        <v>0</v>
      </c>
    </row>
    <row r="358" spans="1:11" x14ac:dyDescent="0.35">
      <c r="A358" s="609"/>
      <c r="B358" s="332" t="s">
        <v>154</v>
      </c>
      <c r="C358" s="343">
        <v>1</v>
      </c>
      <c r="D358" s="343">
        <v>1</v>
      </c>
      <c r="E358" s="343">
        <v>1</v>
      </c>
      <c r="F358" s="343">
        <v>1</v>
      </c>
      <c r="G358" s="343">
        <v>1</v>
      </c>
      <c r="H358" s="343">
        <v>1</v>
      </c>
      <c r="I358" s="343">
        <v>1</v>
      </c>
      <c r="J358" s="343">
        <v>1</v>
      </c>
      <c r="K358" s="339">
        <v>0</v>
      </c>
    </row>
    <row r="359" spans="1:11" x14ac:dyDescent="0.35">
      <c r="A359" s="609"/>
      <c r="B359" s="332" t="s">
        <v>155</v>
      </c>
      <c r="C359" s="343">
        <v>1</v>
      </c>
      <c r="D359" s="343">
        <v>1</v>
      </c>
      <c r="E359" s="343">
        <v>1</v>
      </c>
      <c r="F359" s="343">
        <v>1</v>
      </c>
      <c r="G359" s="343">
        <v>1</v>
      </c>
      <c r="H359" s="343">
        <v>1</v>
      </c>
      <c r="I359" s="343">
        <v>1</v>
      </c>
      <c r="J359" s="343">
        <v>1</v>
      </c>
      <c r="K359" s="339">
        <v>0</v>
      </c>
    </row>
    <row r="360" spans="1:11" x14ac:dyDescent="0.35">
      <c r="A360" s="609"/>
      <c r="B360" s="332" t="s">
        <v>156</v>
      </c>
      <c r="C360" s="343">
        <v>1</v>
      </c>
      <c r="D360" s="343">
        <v>1</v>
      </c>
      <c r="E360" s="343">
        <v>1</v>
      </c>
      <c r="F360" s="343">
        <v>1</v>
      </c>
      <c r="G360" s="343">
        <v>1</v>
      </c>
      <c r="H360" s="343">
        <v>1</v>
      </c>
      <c r="I360" s="343">
        <v>1</v>
      </c>
      <c r="J360" s="343">
        <v>1</v>
      </c>
      <c r="K360" s="339">
        <v>0</v>
      </c>
    </row>
    <row r="361" spans="1:11" x14ac:dyDescent="0.35">
      <c r="A361" s="609"/>
      <c r="B361" s="332" t="s">
        <v>157</v>
      </c>
      <c r="C361" s="339">
        <v>0</v>
      </c>
      <c r="D361" s="339">
        <v>0</v>
      </c>
      <c r="E361" s="339">
        <v>0</v>
      </c>
      <c r="F361" s="343">
        <v>1</v>
      </c>
      <c r="G361" s="339">
        <v>0</v>
      </c>
      <c r="H361" s="339">
        <v>0</v>
      </c>
      <c r="I361" s="339">
        <v>0</v>
      </c>
      <c r="J361" s="339">
        <v>0</v>
      </c>
      <c r="K361" s="339">
        <v>0</v>
      </c>
    </row>
    <row r="362" spans="1:11" ht="15" thickBot="1" x14ac:dyDescent="0.4">
      <c r="A362" s="610"/>
      <c r="B362" s="83" t="s">
        <v>158</v>
      </c>
      <c r="C362" s="339">
        <v>0</v>
      </c>
      <c r="D362" s="339">
        <v>0</v>
      </c>
      <c r="E362" s="233">
        <v>1</v>
      </c>
      <c r="F362" s="339">
        <v>0</v>
      </c>
      <c r="G362" s="339">
        <v>0</v>
      </c>
      <c r="H362" s="339">
        <v>0</v>
      </c>
      <c r="I362" s="339">
        <v>0</v>
      </c>
      <c r="J362" s="339">
        <v>0</v>
      </c>
      <c r="K362" s="234">
        <v>1</v>
      </c>
    </row>
    <row r="363" spans="1:11" x14ac:dyDescent="0.35">
      <c r="A363" s="608" t="s">
        <v>119</v>
      </c>
      <c r="B363" s="82" t="s">
        <v>149</v>
      </c>
      <c r="C363" s="232">
        <v>1</v>
      </c>
      <c r="D363" s="232">
        <v>1</v>
      </c>
      <c r="E363" s="232">
        <v>1</v>
      </c>
      <c r="F363" s="232">
        <v>1</v>
      </c>
      <c r="G363" s="232">
        <v>1</v>
      </c>
      <c r="H363" s="232">
        <v>1</v>
      </c>
      <c r="I363" s="232">
        <v>1</v>
      </c>
      <c r="J363" s="232">
        <v>1</v>
      </c>
      <c r="K363" s="339">
        <v>0</v>
      </c>
    </row>
    <row r="364" spans="1:11" x14ac:dyDescent="0.35">
      <c r="A364" s="609"/>
      <c r="B364" s="332" t="s">
        <v>150</v>
      </c>
      <c r="C364" s="343">
        <v>1</v>
      </c>
      <c r="D364" s="343">
        <v>1</v>
      </c>
      <c r="E364" s="343">
        <v>1</v>
      </c>
      <c r="F364" s="343">
        <v>1</v>
      </c>
      <c r="G364" s="343">
        <v>1</v>
      </c>
      <c r="H364" s="343">
        <v>1</v>
      </c>
      <c r="I364" s="343">
        <v>1</v>
      </c>
      <c r="J364" s="343">
        <v>1</v>
      </c>
      <c r="K364" s="339">
        <v>0</v>
      </c>
    </row>
    <row r="365" spans="1:11" x14ac:dyDescent="0.35">
      <c r="A365" s="609"/>
      <c r="B365" s="332" t="s">
        <v>151</v>
      </c>
      <c r="C365" s="343">
        <v>1</v>
      </c>
      <c r="D365" s="343">
        <v>1</v>
      </c>
      <c r="E365" s="343">
        <v>1</v>
      </c>
      <c r="F365" s="343">
        <v>1</v>
      </c>
      <c r="G365" s="343">
        <v>1</v>
      </c>
      <c r="H365" s="343">
        <v>1</v>
      </c>
      <c r="I365" s="343">
        <v>1</v>
      </c>
      <c r="J365" s="343">
        <v>1</v>
      </c>
      <c r="K365" s="339">
        <v>0</v>
      </c>
    </row>
    <row r="366" spans="1:11" x14ac:dyDescent="0.35">
      <c r="A366" s="609"/>
      <c r="B366" s="332" t="s">
        <v>152</v>
      </c>
      <c r="C366" s="343">
        <v>1</v>
      </c>
      <c r="D366" s="343">
        <v>1</v>
      </c>
      <c r="E366" s="343">
        <v>1</v>
      </c>
      <c r="F366" s="343">
        <v>1</v>
      </c>
      <c r="G366" s="343">
        <v>1</v>
      </c>
      <c r="H366" s="343">
        <v>1</v>
      </c>
      <c r="I366" s="343">
        <v>1</v>
      </c>
      <c r="J366" s="343">
        <v>1</v>
      </c>
      <c r="K366" s="339">
        <v>0</v>
      </c>
    </row>
    <row r="367" spans="1:11" x14ac:dyDescent="0.35">
      <c r="A367" s="609"/>
      <c r="B367" s="332" t="s">
        <v>153</v>
      </c>
      <c r="C367" s="343">
        <v>1</v>
      </c>
      <c r="D367" s="343">
        <v>1</v>
      </c>
      <c r="E367" s="343">
        <v>1</v>
      </c>
      <c r="F367" s="343">
        <v>1</v>
      </c>
      <c r="G367" s="343">
        <v>1</v>
      </c>
      <c r="H367" s="343">
        <v>1</v>
      </c>
      <c r="I367" s="343">
        <v>1</v>
      </c>
      <c r="J367" s="343">
        <v>1</v>
      </c>
      <c r="K367" s="339">
        <v>0</v>
      </c>
    </row>
    <row r="368" spans="1:11" x14ac:dyDescent="0.35">
      <c r="A368" s="609"/>
      <c r="B368" s="332" t="s">
        <v>154</v>
      </c>
      <c r="C368" s="343">
        <v>1</v>
      </c>
      <c r="D368" s="343">
        <v>1</v>
      </c>
      <c r="E368" s="343">
        <v>1</v>
      </c>
      <c r="F368" s="343">
        <v>1</v>
      </c>
      <c r="G368" s="343">
        <v>1</v>
      </c>
      <c r="H368" s="343">
        <v>1</v>
      </c>
      <c r="I368" s="343">
        <v>1</v>
      </c>
      <c r="J368" s="343">
        <v>1</v>
      </c>
      <c r="K368" s="339">
        <v>0</v>
      </c>
    </row>
    <row r="369" spans="1:11" x14ac:dyDescent="0.35">
      <c r="A369" s="609"/>
      <c r="B369" s="332" t="s">
        <v>155</v>
      </c>
      <c r="C369" s="343">
        <v>1</v>
      </c>
      <c r="D369" s="343">
        <v>1</v>
      </c>
      <c r="E369" s="343">
        <v>1</v>
      </c>
      <c r="F369" s="343">
        <v>1</v>
      </c>
      <c r="G369" s="343">
        <v>1</v>
      </c>
      <c r="H369" s="343">
        <v>1</v>
      </c>
      <c r="I369" s="343">
        <v>1</v>
      </c>
      <c r="J369" s="343">
        <v>1</v>
      </c>
      <c r="K369" s="339">
        <v>0</v>
      </c>
    </row>
    <row r="370" spans="1:11" x14ac:dyDescent="0.35">
      <c r="A370" s="609"/>
      <c r="B370" s="332" t="s">
        <v>156</v>
      </c>
      <c r="C370" s="343">
        <v>1</v>
      </c>
      <c r="D370" s="343">
        <v>1</v>
      </c>
      <c r="E370" s="343">
        <v>1</v>
      </c>
      <c r="F370" s="343">
        <v>1</v>
      </c>
      <c r="G370" s="343">
        <v>1</v>
      </c>
      <c r="H370" s="343">
        <v>1</v>
      </c>
      <c r="I370" s="343">
        <v>1</v>
      </c>
      <c r="J370" s="343">
        <v>1</v>
      </c>
      <c r="K370" s="339">
        <v>0</v>
      </c>
    </row>
    <row r="371" spans="1:11" x14ac:dyDescent="0.35">
      <c r="A371" s="609"/>
      <c r="B371" s="332" t="s">
        <v>157</v>
      </c>
      <c r="C371" s="339">
        <v>0</v>
      </c>
      <c r="D371" s="339">
        <v>0</v>
      </c>
      <c r="E371" s="339">
        <v>0</v>
      </c>
      <c r="F371" s="343">
        <v>1</v>
      </c>
      <c r="G371" s="339">
        <v>0</v>
      </c>
      <c r="H371" s="339">
        <v>0</v>
      </c>
      <c r="I371" s="339">
        <v>0</v>
      </c>
      <c r="J371" s="339">
        <v>0</v>
      </c>
      <c r="K371" s="339">
        <v>0</v>
      </c>
    </row>
    <row r="372" spans="1:11" ht="15" thickBot="1" x14ac:dyDescent="0.4">
      <c r="A372" s="610"/>
      <c r="B372" s="83" t="s">
        <v>158</v>
      </c>
      <c r="C372" s="339">
        <v>0</v>
      </c>
      <c r="D372" s="339">
        <v>0</v>
      </c>
      <c r="E372" s="233">
        <v>1</v>
      </c>
      <c r="F372" s="339">
        <v>0</v>
      </c>
      <c r="G372" s="339">
        <v>0</v>
      </c>
      <c r="H372" s="339">
        <v>0</v>
      </c>
      <c r="I372" s="339">
        <v>0</v>
      </c>
      <c r="J372" s="339">
        <v>0</v>
      </c>
      <c r="K372" s="234">
        <v>1</v>
      </c>
    </row>
    <row r="373" spans="1:11" x14ac:dyDescent="0.35">
      <c r="A373" s="608" t="s">
        <v>120</v>
      </c>
      <c r="B373" s="82" t="s">
        <v>149</v>
      </c>
      <c r="C373" s="232">
        <v>1</v>
      </c>
      <c r="D373" s="232">
        <v>1</v>
      </c>
      <c r="E373" s="232">
        <v>1</v>
      </c>
      <c r="F373" s="232">
        <v>1</v>
      </c>
      <c r="G373" s="232">
        <v>1</v>
      </c>
      <c r="H373" s="232">
        <v>1</v>
      </c>
      <c r="I373" s="232">
        <v>1</v>
      </c>
      <c r="J373" s="232">
        <v>1</v>
      </c>
      <c r="K373" s="339">
        <v>0</v>
      </c>
    </row>
    <row r="374" spans="1:11" x14ac:dyDescent="0.35">
      <c r="A374" s="609"/>
      <c r="B374" s="332" t="s">
        <v>150</v>
      </c>
      <c r="C374" s="343">
        <v>1</v>
      </c>
      <c r="D374" s="343">
        <v>1</v>
      </c>
      <c r="E374" s="343">
        <v>1</v>
      </c>
      <c r="F374" s="343">
        <v>1</v>
      </c>
      <c r="G374" s="343">
        <v>1</v>
      </c>
      <c r="H374" s="343">
        <v>1</v>
      </c>
      <c r="I374" s="343">
        <v>1</v>
      </c>
      <c r="J374" s="343">
        <v>1</v>
      </c>
      <c r="K374" s="339">
        <v>0</v>
      </c>
    </row>
    <row r="375" spans="1:11" x14ac:dyDescent="0.35">
      <c r="A375" s="609"/>
      <c r="B375" s="332" t="s">
        <v>151</v>
      </c>
      <c r="C375" s="343">
        <v>1</v>
      </c>
      <c r="D375" s="343">
        <v>1</v>
      </c>
      <c r="E375" s="343">
        <v>1</v>
      </c>
      <c r="F375" s="343">
        <v>1</v>
      </c>
      <c r="G375" s="343">
        <v>1</v>
      </c>
      <c r="H375" s="343">
        <v>1</v>
      </c>
      <c r="I375" s="343">
        <v>1</v>
      </c>
      <c r="J375" s="343">
        <v>1</v>
      </c>
      <c r="K375" s="339">
        <v>0</v>
      </c>
    </row>
    <row r="376" spans="1:11" x14ac:dyDescent="0.35">
      <c r="A376" s="609"/>
      <c r="B376" s="332" t="s">
        <v>152</v>
      </c>
      <c r="C376" s="343">
        <v>1</v>
      </c>
      <c r="D376" s="343">
        <v>1</v>
      </c>
      <c r="E376" s="343">
        <v>1</v>
      </c>
      <c r="F376" s="343">
        <v>1</v>
      </c>
      <c r="G376" s="343">
        <v>1</v>
      </c>
      <c r="H376" s="343">
        <v>1</v>
      </c>
      <c r="I376" s="343">
        <v>1</v>
      </c>
      <c r="J376" s="343">
        <v>1</v>
      </c>
      <c r="K376" s="339">
        <v>0</v>
      </c>
    </row>
    <row r="377" spans="1:11" x14ac:dyDescent="0.35">
      <c r="A377" s="609"/>
      <c r="B377" s="332" t="s">
        <v>153</v>
      </c>
      <c r="C377" s="343">
        <v>1</v>
      </c>
      <c r="D377" s="343">
        <v>1</v>
      </c>
      <c r="E377" s="343">
        <v>1</v>
      </c>
      <c r="F377" s="343">
        <v>1</v>
      </c>
      <c r="G377" s="343">
        <v>1</v>
      </c>
      <c r="H377" s="343">
        <v>1</v>
      </c>
      <c r="I377" s="343">
        <v>1</v>
      </c>
      <c r="J377" s="343">
        <v>1</v>
      </c>
      <c r="K377" s="339">
        <v>0</v>
      </c>
    </row>
    <row r="378" spans="1:11" x14ac:dyDescent="0.35">
      <c r="A378" s="609"/>
      <c r="B378" s="332" t="s">
        <v>154</v>
      </c>
      <c r="C378" s="343">
        <v>1</v>
      </c>
      <c r="D378" s="343">
        <v>1</v>
      </c>
      <c r="E378" s="343">
        <v>1</v>
      </c>
      <c r="F378" s="343">
        <v>1</v>
      </c>
      <c r="G378" s="343">
        <v>1</v>
      </c>
      <c r="H378" s="343">
        <v>1</v>
      </c>
      <c r="I378" s="343">
        <v>1</v>
      </c>
      <c r="J378" s="343">
        <v>1</v>
      </c>
      <c r="K378" s="339">
        <v>0</v>
      </c>
    </row>
    <row r="379" spans="1:11" x14ac:dyDescent="0.35">
      <c r="A379" s="609"/>
      <c r="B379" s="332" t="s">
        <v>155</v>
      </c>
      <c r="C379" s="343">
        <v>1</v>
      </c>
      <c r="D379" s="343">
        <v>1</v>
      </c>
      <c r="E379" s="343">
        <v>1</v>
      </c>
      <c r="F379" s="343">
        <v>1</v>
      </c>
      <c r="G379" s="343">
        <v>1</v>
      </c>
      <c r="H379" s="343">
        <v>1</v>
      </c>
      <c r="I379" s="343">
        <v>1</v>
      </c>
      <c r="J379" s="343">
        <v>1</v>
      </c>
      <c r="K379" s="339">
        <v>0</v>
      </c>
    </row>
    <row r="380" spans="1:11" x14ac:dyDescent="0.35">
      <c r="A380" s="609"/>
      <c r="B380" s="332" t="s">
        <v>156</v>
      </c>
      <c r="C380" s="343">
        <v>1</v>
      </c>
      <c r="D380" s="343">
        <v>1</v>
      </c>
      <c r="E380" s="343">
        <v>1</v>
      </c>
      <c r="F380" s="343">
        <v>1</v>
      </c>
      <c r="G380" s="343">
        <v>1</v>
      </c>
      <c r="H380" s="343">
        <v>1</v>
      </c>
      <c r="I380" s="343">
        <v>1</v>
      </c>
      <c r="J380" s="343">
        <v>1</v>
      </c>
      <c r="K380" s="339">
        <v>0</v>
      </c>
    </row>
    <row r="381" spans="1:11" x14ac:dyDescent="0.35">
      <c r="A381" s="609"/>
      <c r="B381" s="332" t="s">
        <v>157</v>
      </c>
      <c r="C381" s="339">
        <v>0</v>
      </c>
      <c r="D381" s="339">
        <v>0</v>
      </c>
      <c r="E381" s="339">
        <v>0</v>
      </c>
      <c r="F381" s="343">
        <v>1</v>
      </c>
      <c r="G381" s="339">
        <v>0</v>
      </c>
      <c r="H381" s="339">
        <v>0</v>
      </c>
      <c r="I381" s="339">
        <v>0</v>
      </c>
      <c r="J381" s="339">
        <v>0</v>
      </c>
      <c r="K381" s="339">
        <v>0</v>
      </c>
    </row>
    <row r="382" spans="1:11" ht="15" thickBot="1" x14ac:dyDescent="0.4">
      <c r="A382" s="610"/>
      <c r="B382" s="83" t="s">
        <v>158</v>
      </c>
      <c r="C382" s="339">
        <v>0</v>
      </c>
      <c r="D382" s="339">
        <v>0</v>
      </c>
      <c r="E382" s="233">
        <v>1</v>
      </c>
      <c r="F382" s="339">
        <v>0</v>
      </c>
      <c r="G382" s="339">
        <v>0</v>
      </c>
      <c r="H382" s="339">
        <v>0</v>
      </c>
      <c r="I382" s="339">
        <v>0</v>
      </c>
      <c r="J382" s="339">
        <v>0</v>
      </c>
      <c r="K382" s="234">
        <v>1</v>
      </c>
    </row>
    <row r="383" spans="1:11" x14ac:dyDescent="0.35">
      <c r="A383" s="608" t="s">
        <v>83</v>
      </c>
      <c r="B383" s="82" t="s">
        <v>149</v>
      </c>
      <c r="C383" s="232">
        <v>1</v>
      </c>
      <c r="D383" s="232">
        <v>1</v>
      </c>
      <c r="E383" s="232">
        <v>1</v>
      </c>
      <c r="F383" s="232">
        <v>1</v>
      </c>
      <c r="G383" s="232">
        <v>1</v>
      </c>
      <c r="H383" s="232">
        <v>1</v>
      </c>
      <c r="I383" s="232">
        <v>1</v>
      </c>
      <c r="J383" s="232">
        <v>1</v>
      </c>
      <c r="K383" s="339">
        <v>0</v>
      </c>
    </row>
    <row r="384" spans="1:11" x14ac:dyDescent="0.35">
      <c r="A384" s="609"/>
      <c r="B384" s="332" t="s">
        <v>150</v>
      </c>
      <c r="C384" s="343">
        <v>1</v>
      </c>
      <c r="D384" s="343">
        <v>1</v>
      </c>
      <c r="E384" s="343">
        <v>1</v>
      </c>
      <c r="F384" s="343">
        <v>1</v>
      </c>
      <c r="G384" s="343">
        <v>1</v>
      </c>
      <c r="H384" s="343">
        <v>1</v>
      </c>
      <c r="I384" s="343">
        <v>1</v>
      </c>
      <c r="J384" s="343">
        <v>1</v>
      </c>
      <c r="K384" s="339">
        <v>0</v>
      </c>
    </row>
    <row r="385" spans="1:11" x14ac:dyDescent="0.35">
      <c r="A385" s="609"/>
      <c r="B385" s="332" t="s">
        <v>151</v>
      </c>
      <c r="C385" s="343">
        <v>1</v>
      </c>
      <c r="D385" s="343">
        <v>1</v>
      </c>
      <c r="E385" s="343">
        <v>1</v>
      </c>
      <c r="F385" s="343">
        <v>1</v>
      </c>
      <c r="G385" s="343">
        <v>1</v>
      </c>
      <c r="H385" s="343">
        <v>1</v>
      </c>
      <c r="I385" s="343">
        <v>1</v>
      </c>
      <c r="J385" s="343">
        <v>1</v>
      </c>
      <c r="K385" s="339">
        <v>0</v>
      </c>
    </row>
    <row r="386" spans="1:11" x14ac:dyDescent="0.35">
      <c r="A386" s="609"/>
      <c r="B386" s="332" t="s">
        <v>152</v>
      </c>
      <c r="C386" s="343">
        <v>1</v>
      </c>
      <c r="D386" s="343">
        <v>1</v>
      </c>
      <c r="E386" s="343">
        <v>1</v>
      </c>
      <c r="F386" s="343">
        <v>1</v>
      </c>
      <c r="G386" s="343">
        <v>1</v>
      </c>
      <c r="H386" s="343">
        <v>1</v>
      </c>
      <c r="I386" s="343">
        <v>1</v>
      </c>
      <c r="J386" s="343">
        <v>1</v>
      </c>
      <c r="K386" s="339">
        <v>0</v>
      </c>
    </row>
    <row r="387" spans="1:11" x14ac:dyDescent="0.35">
      <c r="A387" s="609"/>
      <c r="B387" s="332" t="s">
        <v>153</v>
      </c>
      <c r="C387" s="343">
        <v>1</v>
      </c>
      <c r="D387" s="343">
        <v>1</v>
      </c>
      <c r="E387" s="343">
        <v>1</v>
      </c>
      <c r="F387" s="343">
        <v>1</v>
      </c>
      <c r="G387" s="343">
        <v>1</v>
      </c>
      <c r="H387" s="343">
        <v>1</v>
      </c>
      <c r="I387" s="343">
        <v>1</v>
      </c>
      <c r="J387" s="343">
        <v>1</v>
      </c>
      <c r="K387" s="339">
        <v>0</v>
      </c>
    </row>
    <row r="388" spans="1:11" x14ac:dyDescent="0.35">
      <c r="A388" s="609"/>
      <c r="B388" s="332" t="s">
        <v>154</v>
      </c>
      <c r="C388" s="343">
        <v>1</v>
      </c>
      <c r="D388" s="343">
        <v>1</v>
      </c>
      <c r="E388" s="343">
        <v>1</v>
      </c>
      <c r="F388" s="343">
        <v>1</v>
      </c>
      <c r="G388" s="343">
        <v>1</v>
      </c>
      <c r="H388" s="343">
        <v>1</v>
      </c>
      <c r="I388" s="343">
        <v>1</v>
      </c>
      <c r="J388" s="343">
        <v>1</v>
      </c>
      <c r="K388" s="339">
        <v>0</v>
      </c>
    </row>
    <row r="389" spans="1:11" x14ac:dyDescent="0.35">
      <c r="A389" s="609"/>
      <c r="B389" s="332" t="s">
        <v>155</v>
      </c>
      <c r="C389" s="343">
        <v>1</v>
      </c>
      <c r="D389" s="343">
        <v>1</v>
      </c>
      <c r="E389" s="343">
        <v>1</v>
      </c>
      <c r="F389" s="343">
        <v>1</v>
      </c>
      <c r="G389" s="343">
        <v>1</v>
      </c>
      <c r="H389" s="343">
        <v>1</v>
      </c>
      <c r="I389" s="343">
        <v>1</v>
      </c>
      <c r="J389" s="343">
        <v>1</v>
      </c>
      <c r="K389" s="339">
        <v>0</v>
      </c>
    </row>
    <row r="390" spans="1:11" x14ac:dyDescent="0.35">
      <c r="A390" s="609"/>
      <c r="B390" s="332" t="s">
        <v>156</v>
      </c>
      <c r="C390" s="343">
        <v>1</v>
      </c>
      <c r="D390" s="343">
        <v>1</v>
      </c>
      <c r="E390" s="343">
        <v>1</v>
      </c>
      <c r="F390" s="343">
        <v>1</v>
      </c>
      <c r="G390" s="343">
        <v>1</v>
      </c>
      <c r="H390" s="343">
        <v>1</v>
      </c>
      <c r="I390" s="343">
        <v>1</v>
      </c>
      <c r="J390" s="343">
        <v>1</v>
      </c>
      <c r="K390" s="339">
        <v>0</v>
      </c>
    </row>
    <row r="391" spans="1:11" x14ac:dyDescent="0.35">
      <c r="A391" s="609"/>
      <c r="B391" s="332" t="s">
        <v>157</v>
      </c>
      <c r="C391" s="339">
        <v>0</v>
      </c>
      <c r="D391" s="339">
        <v>0</v>
      </c>
      <c r="E391" s="339">
        <v>0</v>
      </c>
      <c r="F391" s="343">
        <v>1</v>
      </c>
      <c r="G391" s="339">
        <v>0</v>
      </c>
      <c r="H391" s="339">
        <v>0</v>
      </c>
      <c r="I391" s="339">
        <v>0</v>
      </c>
      <c r="J391" s="339">
        <v>0</v>
      </c>
      <c r="K391" s="339">
        <v>0</v>
      </c>
    </row>
    <row r="392" spans="1:11" ht="15" thickBot="1" x14ac:dyDescent="0.4">
      <c r="A392" s="610"/>
      <c r="B392" s="83" t="s">
        <v>158</v>
      </c>
      <c r="C392" s="339">
        <v>0</v>
      </c>
      <c r="D392" s="339">
        <v>0</v>
      </c>
      <c r="E392" s="233">
        <v>1</v>
      </c>
      <c r="F392" s="339">
        <v>0</v>
      </c>
      <c r="G392" s="339">
        <v>0</v>
      </c>
      <c r="H392" s="339">
        <v>0</v>
      </c>
      <c r="I392" s="339">
        <v>0</v>
      </c>
      <c r="J392" s="339">
        <v>0</v>
      </c>
      <c r="K392" s="234">
        <v>1</v>
      </c>
    </row>
    <row r="393" spans="1:11" x14ac:dyDescent="0.35">
      <c r="A393" s="608" t="s">
        <v>144</v>
      </c>
      <c r="B393" s="82" t="s">
        <v>149</v>
      </c>
      <c r="C393" s="232">
        <v>1</v>
      </c>
      <c r="D393" s="232">
        <v>1</v>
      </c>
      <c r="E393" s="232">
        <v>1</v>
      </c>
      <c r="F393" s="232">
        <v>1</v>
      </c>
      <c r="G393" s="232">
        <v>1</v>
      </c>
      <c r="H393" s="232">
        <v>1</v>
      </c>
      <c r="I393" s="232">
        <v>1</v>
      </c>
      <c r="J393" s="232">
        <v>1</v>
      </c>
      <c r="K393" s="339">
        <v>0</v>
      </c>
    </row>
    <row r="394" spans="1:11" x14ac:dyDescent="0.35">
      <c r="A394" s="609"/>
      <c r="B394" s="332" t="s">
        <v>150</v>
      </c>
      <c r="C394" s="343">
        <v>1</v>
      </c>
      <c r="D394" s="343">
        <v>1</v>
      </c>
      <c r="E394" s="343">
        <v>1</v>
      </c>
      <c r="F394" s="343">
        <v>1</v>
      </c>
      <c r="G394" s="343">
        <v>1</v>
      </c>
      <c r="H394" s="343">
        <v>1</v>
      </c>
      <c r="I394" s="343">
        <v>1</v>
      </c>
      <c r="J394" s="343">
        <v>1</v>
      </c>
      <c r="K394" s="339">
        <v>0</v>
      </c>
    </row>
    <row r="395" spans="1:11" x14ac:dyDescent="0.35">
      <c r="A395" s="609"/>
      <c r="B395" s="332" t="s">
        <v>151</v>
      </c>
      <c r="C395" s="343">
        <v>1</v>
      </c>
      <c r="D395" s="343">
        <v>1</v>
      </c>
      <c r="E395" s="343">
        <v>1</v>
      </c>
      <c r="F395" s="343">
        <v>1</v>
      </c>
      <c r="G395" s="343">
        <v>1</v>
      </c>
      <c r="H395" s="343">
        <v>1</v>
      </c>
      <c r="I395" s="343">
        <v>1</v>
      </c>
      <c r="J395" s="343">
        <v>1</v>
      </c>
      <c r="K395" s="339">
        <v>0</v>
      </c>
    </row>
    <row r="396" spans="1:11" x14ac:dyDescent="0.35">
      <c r="A396" s="609"/>
      <c r="B396" s="332" t="s">
        <v>152</v>
      </c>
      <c r="C396" s="343">
        <v>1</v>
      </c>
      <c r="D396" s="343">
        <v>1</v>
      </c>
      <c r="E396" s="343">
        <v>1</v>
      </c>
      <c r="F396" s="343">
        <v>1</v>
      </c>
      <c r="G396" s="343">
        <v>1</v>
      </c>
      <c r="H396" s="343">
        <v>1</v>
      </c>
      <c r="I396" s="343">
        <v>1</v>
      </c>
      <c r="J396" s="343">
        <v>1</v>
      </c>
      <c r="K396" s="339">
        <v>0</v>
      </c>
    </row>
    <row r="397" spans="1:11" x14ac:dyDescent="0.35">
      <c r="A397" s="609"/>
      <c r="B397" s="332" t="s">
        <v>153</v>
      </c>
      <c r="C397" s="343">
        <v>1</v>
      </c>
      <c r="D397" s="343">
        <v>1</v>
      </c>
      <c r="E397" s="343">
        <v>1</v>
      </c>
      <c r="F397" s="343">
        <v>1</v>
      </c>
      <c r="G397" s="343">
        <v>1</v>
      </c>
      <c r="H397" s="343">
        <v>1</v>
      </c>
      <c r="I397" s="343">
        <v>1</v>
      </c>
      <c r="J397" s="343">
        <v>1</v>
      </c>
      <c r="K397" s="339">
        <v>0</v>
      </c>
    </row>
    <row r="398" spans="1:11" x14ac:dyDescent="0.35">
      <c r="A398" s="609"/>
      <c r="B398" s="332" t="s">
        <v>154</v>
      </c>
      <c r="C398" s="343">
        <v>1</v>
      </c>
      <c r="D398" s="343">
        <v>1</v>
      </c>
      <c r="E398" s="343">
        <v>1</v>
      </c>
      <c r="F398" s="343">
        <v>1</v>
      </c>
      <c r="G398" s="343">
        <v>1</v>
      </c>
      <c r="H398" s="343">
        <v>1</v>
      </c>
      <c r="I398" s="343">
        <v>1</v>
      </c>
      <c r="J398" s="343">
        <v>1</v>
      </c>
      <c r="K398" s="339">
        <v>0</v>
      </c>
    </row>
    <row r="399" spans="1:11" x14ac:dyDescent="0.35">
      <c r="A399" s="609"/>
      <c r="B399" s="332" t="s">
        <v>155</v>
      </c>
      <c r="C399" s="343">
        <v>1</v>
      </c>
      <c r="D399" s="343">
        <v>1</v>
      </c>
      <c r="E399" s="343">
        <v>1</v>
      </c>
      <c r="F399" s="343">
        <v>1</v>
      </c>
      <c r="G399" s="343">
        <v>1</v>
      </c>
      <c r="H399" s="343">
        <v>1</v>
      </c>
      <c r="I399" s="343">
        <v>1</v>
      </c>
      <c r="J399" s="343">
        <v>1</v>
      </c>
      <c r="K399" s="339">
        <v>0</v>
      </c>
    </row>
    <row r="400" spans="1:11" x14ac:dyDescent="0.35">
      <c r="A400" s="609"/>
      <c r="B400" s="332" t="s">
        <v>156</v>
      </c>
      <c r="C400" s="343">
        <v>1</v>
      </c>
      <c r="D400" s="343">
        <v>1</v>
      </c>
      <c r="E400" s="343">
        <v>1</v>
      </c>
      <c r="F400" s="343">
        <v>1</v>
      </c>
      <c r="G400" s="343">
        <v>1</v>
      </c>
      <c r="H400" s="343">
        <v>1</v>
      </c>
      <c r="I400" s="343">
        <v>1</v>
      </c>
      <c r="J400" s="343">
        <v>1</v>
      </c>
      <c r="K400" s="339">
        <v>0</v>
      </c>
    </row>
    <row r="401" spans="1:11" x14ac:dyDescent="0.35">
      <c r="A401" s="609"/>
      <c r="B401" s="332" t="s">
        <v>157</v>
      </c>
      <c r="C401" s="339">
        <v>0</v>
      </c>
      <c r="D401" s="339">
        <v>0</v>
      </c>
      <c r="E401" s="339">
        <v>0</v>
      </c>
      <c r="F401" s="343">
        <v>1</v>
      </c>
      <c r="G401" s="339">
        <v>0</v>
      </c>
      <c r="H401" s="339">
        <v>0</v>
      </c>
      <c r="I401" s="339">
        <v>0</v>
      </c>
      <c r="J401" s="339">
        <v>0</v>
      </c>
      <c r="K401" s="339">
        <v>0</v>
      </c>
    </row>
    <row r="402" spans="1:11" ht="15" thickBot="1" x14ac:dyDescent="0.4">
      <c r="A402" s="610"/>
      <c r="B402" s="83" t="s">
        <v>158</v>
      </c>
      <c r="C402" s="339">
        <v>0</v>
      </c>
      <c r="D402" s="339">
        <v>0</v>
      </c>
      <c r="E402" s="233">
        <v>1</v>
      </c>
      <c r="F402" s="339">
        <v>0</v>
      </c>
      <c r="G402" s="339">
        <v>0</v>
      </c>
      <c r="H402" s="339">
        <v>0</v>
      </c>
      <c r="I402" s="339">
        <v>0</v>
      </c>
      <c r="J402" s="339">
        <v>0</v>
      </c>
      <c r="K402" s="234">
        <v>1</v>
      </c>
    </row>
    <row r="403" spans="1:11" x14ac:dyDescent="0.35">
      <c r="A403" s="608" t="s">
        <v>164</v>
      </c>
      <c r="B403" s="82" t="s">
        <v>149</v>
      </c>
      <c r="C403" s="232">
        <v>1</v>
      </c>
      <c r="D403" s="232">
        <v>1</v>
      </c>
      <c r="E403" s="232">
        <v>1</v>
      </c>
      <c r="F403" s="232">
        <v>1</v>
      </c>
      <c r="G403" s="232">
        <v>1</v>
      </c>
      <c r="H403" s="232">
        <v>1</v>
      </c>
      <c r="I403" s="232">
        <v>1</v>
      </c>
      <c r="J403" s="232">
        <v>1</v>
      </c>
      <c r="K403" s="339">
        <v>0</v>
      </c>
    </row>
    <row r="404" spans="1:11" x14ac:dyDescent="0.35">
      <c r="A404" s="609"/>
      <c r="B404" s="332" t="s">
        <v>150</v>
      </c>
      <c r="C404" s="343">
        <v>1</v>
      </c>
      <c r="D404" s="343">
        <v>1</v>
      </c>
      <c r="E404" s="343">
        <v>1</v>
      </c>
      <c r="F404" s="343">
        <v>1</v>
      </c>
      <c r="G404" s="343">
        <v>1</v>
      </c>
      <c r="H404" s="343">
        <v>1</v>
      </c>
      <c r="I404" s="343">
        <v>1</v>
      </c>
      <c r="J404" s="343">
        <v>1</v>
      </c>
      <c r="K404" s="339">
        <v>0</v>
      </c>
    </row>
    <row r="405" spans="1:11" x14ac:dyDescent="0.35">
      <c r="A405" s="609"/>
      <c r="B405" s="332" t="s">
        <v>151</v>
      </c>
      <c r="C405" s="343">
        <v>1</v>
      </c>
      <c r="D405" s="343">
        <v>1</v>
      </c>
      <c r="E405" s="343">
        <v>1</v>
      </c>
      <c r="F405" s="343">
        <v>1</v>
      </c>
      <c r="G405" s="343">
        <v>1</v>
      </c>
      <c r="H405" s="343">
        <v>1</v>
      </c>
      <c r="I405" s="343">
        <v>1</v>
      </c>
      <c r="J405" s="343">
        <v>1</v>
      </c>
      <c r="K405" s="339">
        <v>0</v>
      </c>
    </row>
    <row r="406" spans="1:11" x14ac:dyDescent="0.35">
      <c r="A406" s="609"/>
      <c r="B406" s="332" t="s">
        <v>152</v>
      </c>
      <c r="C406" s="343">
        <v>1</v>
      </c>
      <c r="D406" s="343">
        <v>1</v>
      </c>
      <c r="E406" s="343">
        <v>1</v>
      </c>
      <c r="F406" s="343">
        <v>1</v>
      </c>
      <c r="G406" s="343">
        <v>1</v>
      </c>
      <c r="H406" s="343">
        <v>1</v>
      </c>
      <c r="I406" s="343">
        <v>1</v>
      </c>
      <c r="J406" s="343">
        <v>1</v>
      </c>
      <c r="K406" s="339">
        <v>0</v>
      </c>
    </row>
    <row r="407" spans="1:11" x14ac:dyDescent="0.35">
      <c r="A407" s="609"/>
      <c r="B407" s="332" t="s">
        <v>153</v>
      </c>
      <c r="C407" s="343">
        <v>1</v>
      </c>
      <c r="D407" s="343">
        <v>1</v>
      </c>
      <c r="E407" s="343">
        <v>1</v>
      </c>
      <c r="F407" s="343">
        <v>1</v>
      </c>
      <c r="G407" s="343">
        <v>1</v>
      </c>
      <c r="H407" s="343">
        <v>1</v>
      </c>
      <c r="I407" s="343">
        <v>1</v>
      </c>
      <c r="J407" s="343">
        <v>1</v>
      </c>
      <c r="K407" s="339">
        <v>0</v>
      </c>
    </row>
    <row r="408" spans="1:11" x14ac:dyDescent="0.35">
      <c r="A408" s="609"/>
      <c r="B408" s="332" t="s">
        <v>154</v>
      </c>
      <c r="C408" s="343">
        <v>1</v>
      </c>
      <c r="D408" s="343">
        <v>1</v>
      </c>
      <c r="E408" s="343">
        <v>1</v>
      </c>
      <c r="F408" s="343">
        <v>1</v>
      </c>
      <c r="G408" s="343">
        <v>1</v>
      </c>
      <c r="H408" s="343">
        <v>1</v>
      </c>
      <c r="I408" s="343">
        <v>1</v>
      </c>
      <c r="J408" s="343">
        <v>1</v>
      </c>
      <c r="K408" s="339">
        <v>0</v>
      </c>
    </row>
    <row r="409" spans="1:11" x14ac:dyDescent="0.35">
      <c r="A409" s="609"/>
      <c r="B409" s="332" t="s">
        <v>155</v>
      </c>
      <c r="C409" s="343">
        <v>1</v>
      </c>
      <c r="D409" s="343">
        <v>1</v>
      </c>
      <c r="E409" s="343">
        <v>1</v>
      </c>
      <c r="F409" s="343">
        <v>1</v>
      </c>
      <c r="G409" s="343">
        <v>1</v>
      </c>
      <c r="H409" s="343">
        <v>1</v>
      </c>
      <c r="I409" s="343">
        <v>1</v>
      </c>
      <c r="J409" s="343">
        <v>1</v>
      </c>
      <c r="K409" s="339">
        <v>0</v>
      </c>
    </row>
    <row r="410" spans="1:11" x14ac:dyDescent="0.35">
      <c r="A410" s="609"/>
      <c r="B410" s="332" t="s">
        <v>156</v>
      </c>
      <c r="C410" s="343">
        <v>1</v>
      </c>
      <c r="D410" s="343">
        <v>1</v>
      </c>
      <c r="E410" s="343">
        <v>1</v>
      </c>
      <c r="F410" s="343">
        <v>1</v>
      </c>
      <c r="G410" s="343">
        <v>1</v>
      </c>
      <c r="H410" s="343">
        <v>1</v>
      </c>
      <c r="I410" s="343">
        <v>1</v>
      </c>
      <c r="J410" s="343">
        <v>1</v>
      </c>
      <c r="K410" s="339">
        <v>0</v>
      </c>
    </row>
    <row r="411" spans="1:11" x14ac:dyDescent="0.35">
      <c r="A411" s="609"/>
      <c r="B411" s="332" t="s">
        <v>157</v>
      </c>
      <c r="C411" s="339">
        <v>0</v>
      </c>
      <c r="D411" s="339">
        <v>0</v>
      </c>
      <c r="E411" s="339">
        <v>0</v>
      </c>
      <c r="F411" s="343">
        <v>1</v>
      </c>
      <c r="G411" s="339">
        <v>0</v>
      </c>
      <c r="H411" s="339">
        <v>0</v>
      </c>
      <c r="I411" s="339">
        <v>0</v>
      </c>
      <c r="J411" s="339">
        <v>0</v>
      </c>
      <c r="K411" s="339">
        <v>0</v>
      </c>
    </row>
    <row r="412" spans="1:11" ht="15" thickBot="1" x14ac:dyDescent="0.4">
      <c r="A412" s="610"/>
      <c r="B412" s="83" t="s">
        <v>158</v>
      </c>
      <c r="C412" s="339">
        <v>0</v>
      </c>
      <c r="D412" s="339">
        <v>0</v>
      </c>
      <c r="E412" s="233">
        <v>1</v>
      </c>
      <c r="F412" s="339">
        <v>0</v>
      </c>
      <c r="G412" s="339">
        <v>0</v>
      </c>
      <c r="H412" s="339">
        <v>0</v>
      </c>
      <c r="I412" s="339">
        <v>0</v>
      </c>
      <c r="J412" s="339">
        <v>0</v>
      </c>
      <c r="K412" s="234">
        <v>1</v>
      </c>
    </row>
    <row r="413" spans="1:11" x14ac:dyDescent="0.35">
      <c r="A413" s="608" t="s">
        <v>145</v>
      </c>
      <c r="B413" s="82" t="s">
        <v>149</v>
      </c>
      <c r="C413" s="232">
        <v>1</v>
      </c>
      <c r="D413" s="232">
        <v>1</v>
      </c>
      <c r="E413" s="232">
        <v>1</v>
      </c>
      <c r="F413" s="232">
        <v>1</v>
      </c>
      <c r="G413" s="232">
        <v>1</v>
      </c>
      <c r="H413" s="232">
        <v>1</v>
      </c>
      <c r="I413" s="232">
        <v>1</v>
      </c>
      <c r="J413" s="232">
        <v>1</v>
      </c>
      <c r="K413" s="339">
        <v>0</v>
      </c>
    </row>
    <row r="414" spans="1:11" x14ac:dyDescent="0.35">
      <c r="A414" s="609"/>
      <c r="B414" s="332" t="s">
        <v>150</v>
      </c>
      <c r="C414" s="343">
        <v>1</v>
      </c>
      <c r="D414" s="343">
        <v>1</v>
      </c>
      <c r="E414" s="343">
        <v>1</v>
      </c>
      <c r="F414" s="343">
        <v>1</v>
      </c>
      <c r="G414" s="343">
        <v>1</v>
      </c>
      <c r="H414" s="343">
        <v>1</v>
      </c>
      <c r="I414" s="343">
        <v>1</v>
      </c>
      <c r="J414" s="343">
        <v>1</v>
      </c>
      <c r="K414" s="339">
        <v>0</v>
      </c>
    </row>
    <row r="415" spans="1:11" x14ac:dyDescent="0.35">
      <c r="A415" s="609"/>
      <c r="B415" s="332" t="s">
        <v>151</v>
      </c>
      <c r="C415" s="343">
        <v>1</v>
      </c>
      <c r="D415" s="343">
        <v>1</v>
      </c>
      <c r="E415" s="343">
        <v>1</v>
      </c>
      <c r="F415" s="343">
        <v>1</v>
      </c>
      <c r="G415" s="343">
        <v>1</v>
      </c>
      <c r="H415" s="343">
        <v>1</v>
      </c>
      <c r="I415" s="343">
        <v>1</v>
      </c>
      <c r="J415" s="343">
        <v>1</v>
      </c>
      <c r="K415" s="339">
        <v>0</v>
      </c>
    </row>
    <row r="416" spans="1:11" x14ac:dyDescent="0.35">
      <c r="A416" s="609"/>
      <c r="B416" s="332" t="s">
        <v>152</v>
      </c>
      <c r="C416" s="343">
        <v>1</v>
      </c>
      <c r="D416" s="343">
        <v>1</v>
      </c>
      <c r="E416" s="343">
        <v>1</v>
      </c>
      <c r="F416" s="343">
        <v>1</v>
      </c>
      <c r="G416" s="343">
        <v>1</v>
      </c>
      <c r="H416" s="343">
        <v>1</v>
      </c>
      <c r="I416" s="343">
        <v>1</v>
      </c>
      <c r="J416" s="343">
        <v>1</v>
      </c>
      <c r="K416" s="339">
        <v>0</v>
      </c>
    </row>
    <row r="417" spans="1:11" x14ac:dyDescent="0.35">
      <c r="A417" s="609"/>
      <c r="B417" s="332" t="s">
        <v>153</v>
      </c>
      <c r="C417" s="343">
        <v>1</v>
      </c>
      <c r="D417" s="343">
        <v>1</v>
      </c>
      <c r="E417" s="343">
        <v>1</v>
      </c>
      <c r="F417" s="343">
        <v>1</v>
      </c>
      <c r="G417" s="343">
        <v>1</v>
      </c>
      <c r="H417" s="343">
        <v>1</v>
      </c>
      <c r="I417" s="343">
        <v>1</v>
      </c>
      <c r="J417" s="343">
        <v>1</v>
      </c>
      <c r="K417" s="339">
        <v>0</v>
      </c>
    </row>
    <row r="418" spans="1:11" x14ac:dyDescent="0.35">
      <c r="A418" s="609"/>
      <c r="B418" s="332" t="s">
        <v>154</v>
      </c>
      <c r="C418" s="343">
        <v>1</v>
      </c>
      <c r="D418" s="343">
        <v>1</v>
      </c>
      <c r="E418" s="343">
        <v>1</v>
      </c>
      <c r="F418" s="343">
        <v>1</v>
      </c>
      <c r="G418" s="343">
        <v>1</v>
      </c>
      <c r="H418" s="343">
        <v>1</v>
      </c>
      <c r="I418" s="343">
        <v>1</v>
      </c>
      <c r="J418" s="343">
        <v>1</v>
      </c>
      <c r="K418" s="339">
        <v>0</v>
      </c>
    </row>
    <row r="419" spans="1:11" x14ac:dyDescent="0.35">
      <c r="A419" s="609"/>
      <c r="B419" s="332" t="s">
        <v>155</v>
      </c>
      <c r="C419" s="343">
        <v>1</v>
      </c>
      <c r="D419" s="343">
        <v>1</v>
      </c>
      <c r="E419" s="343">
        <v>1</v>
      </c>
      <c r="F419" s="343">
        <v>1</v>
      </c>
      <c r="G419" s="343">
        <v>1</v>
      </c>
      <c r="H419" s="343">
        <v>1</v>
      </c>
      <c r="I419" s="343">
        <v>1</v>
      </c>
      <c r="J419" s="343">
        <v>1</v>
      </c>
      <c r="K419" s="339">
        <v>0</v>
      </c>
    </row>
    <row r="420" spans="1:11" x14ac:dyDescent="0.35">
      <c r="A420" s="609"/>
      <c r="B420" s="332" t="s">
        <v>156</v>
      </c>
      <c r="C420" s="343">
        <v>1</v>
      </c>
      <c r="D420" s="343">
        <v>1</v>
      </c>
      <c r="E420" s="343">
        <v>1</v>
      </c>
      <c r="F420" s="343">
        <v>1</v>
      </c>
      <c r="G420" s="343">
        <v>1</v>
      </c>
      <c r="H420" s="343">
        <v>1</v>
      </c>
      <c r="I420" s="343">
        <v>1</v>
      </c>
      <c r="J420" s="343">
        <v>1</v>
      </c>
      <c r="K420" s="339">
        <v>0</v>
      </c>
    </row>
    <row r="421" spans="1:11" x14ac:dyDescent="0.35">
      <c r="A421" s="609"/>
      <c r="B421" s="332" t="s">
        <v>157</v>
      </c>
      <c r="C421" s="339">
        <v>0</v>
      </c>
      <c r="D421" s="339">
        <v>0</v>
      </c>
      <c r="E421" s="339">
        <v>0</v>
      </c>
      <c r="F421" s="343">
        <v>1</v>
      </c>
      <c r="G421" s="339">
        <v>0</v>
      </c>
      <c r="H421" s="339">
        <v>0</v>
      </c>
      <c r="I421" s="339">
        <v>0</v>
      </c>
      <c r="J421" s="339">
        <v>0</v>
      </c>
      <c r="K421" s="339">
        <v>0</v>
      </c>
    </row>
    <row r="422" spans="1:11" ht="15" thickBot="1" x14ac:dyDescent="0.4">
      <c r="A422" s="610"/>
      <c r="B422" s="83" t="s">
        <v>158</v>
      </c>
      <c r="C422" s="339">
        <v>0</v>
      </c>
      <c r="D422" s="339">
        <v>0</v>
      </c>
      <c r="E422" s="233">
        <v>1</v>
      </c>
      <c r="F422" s="339">
        <v>0</v>
      </c>
      <c r="G422" s="339">
        <v>0</v>
      </c>
      <c r="H422" s="339">
        <v>0</v>
      </c>
      <c r="I422" s="339">
        <v>0</v>
      </c>
      <c r="J422" s="339">
        <v>0</v>
      </c>
      <c r="K422" s="234">
        <v>1</v>
      </c>
    </row>
    <row r="423" spans="1:11" x14ac:dyDescent="0.35">
      <c r="A423" s="608" t="s">
        <v>87</v>
      </c>
      <c r="B423" s="82" t="s">
        <v>149</v>
      </c>
      <c r="C423" s="232">
        <v>1</v>
      </c>
      <c r="D423" s="232">
        <v>1</v>
      </c>
      <c r="E423" s="232">
        <v>1</v>
      </c>
      <c r="F423" s="232">
        <v>1</v>
      </c>
      <c r="G423" s="232">
        <v>1</v>
      </c>
      <c r="H423" s="232">
        <v>1</v>
      </c>
      <c r="I423" s="232">
        <v>1</v>
      </c>
      <c r="J423" s="232">
        <v>1</v>
      </c>
      <c r="K423" s="339">
        <v>0</v>
      </c>
    </row>
    <row r="424" spans="1:11" x14ac:dyDescent="0.35">
      <c r="A424" s="609"/>
      <c r="B424" s="332" t="s">
        <v>150</v>
      </c>
      <c r="C424" s="343">
        <v>1</v>
      </c>
      <c r="D424" s="343">
        <v>1</v>
      </c>
      <c r="E424" s="343">
        <v>1</v>
      </c>
      <c r="F424" s="343">
        <v>1</v>
      </c>
      <c r="G424" s="343">
        <v>1</v>
      </c>
      <c r="H424" s="343">
        <v>1</v>
      </c>
      <c r="I424" s="343">
        <v>1</v>
      </c>
      <c r="J424" s="343">
        <v>1</v>
      </c>
      <c r="K424" s="339">
        <v>0</v>
      </c>
    </row>
    <row r="425" spans="1:11" x14ac:dyDescent="0.35">
      <c r="A425" s="609"/>
      <c r="B425" s="332" t="s">
        <v>151</v>
      </c>
      <c r="C425" s="343">
        <v>1</v>
      </c>
      <c r="D425" s="343">
        <v>1</v>
      </c>
      <c r="E425" s="343">
        <v>1</v>
      </c>
      <c r="F425" s="343">
        <v>1</v>
      </c>
      <c r="G425" s="343">
        <v>1</v>
      </c>
      <c r="H425" s="343">
        <v>1</v>
      </c>
      <c r="I425" s="343">
        <v>1</v>
      </c>
      <c r="J425" s="343">
        <v>1</v>
      </c>
      <c r="K425" s="339">
        <v>0</v>
      </c>
    </row>
    <row r="426" spans="1:11" x14ac:dyDescent="0.35">
      <c r="A426" s="609"/>
      <c r="B426" s="332" t="s">
        <v>152</v>
      </c>
      <c r="C426" s="343">
        <v>1</v>
      </c>
      <c r="D426" s="343">
        <v>1</v>
      </c>
      <c r="E426" s="343">
        <v>1</v>
      </c>
      <c r="F426" s="343">
        <v>1</v>
      </c>
      <c r="G426" s="343">
        <v>1</v>
      </c>
      <c r="H426" s="343">
        <v>1</v>
      </c>
      <c r="I426" s="343">
        <v>1</v>
      </c>
      <c r="J426" s="343">
        <v>1</v>
      </c>
      <c r="K426" s="339">
        <v>0</v>
      </c>
    </row>
    <row r="427" spans="1:11" x14ac:dyDescent="0.35">
      <c r="A427" s="609"/>
      <c r="B427" s="332" t="s">
        <v>153</v>
      </c>
      <c r="C427" s="343">
        <v>1</v>
      </c>
      <c r="D427" s="343">
        <v>1</v>
      </c>
      <c r="E427" s="343">
        <v>1</v>
      </c>
      <c r="F427" s="343">
        <v>1</v>
      </c>
      <c r="G427" s="343">
        <v>1</v>
      </c>
      <c r="H427" s="343">
        <v>1</v>
      </c>
      <c r="I427" s="343">
        <v>1</v>
      </c>
      <c r="J427" s="343">
        <v>1</v>
      </c>
      <c r="K427" s="339">
        <v>0</v>
      </c>
    </row>
    <row r="428" spans="1:11" x14ac:dyDescent="0.35">
      <c r="A428" s="609"/>
      <c r="B428" s="332" t="s">
        <v>154</v>
      </c>
      <c r="C428" s="343">
        <v>1</v>
      </c>
      <c r="D428" s="343">
        <v>1</v>
      </c>
      <c r="E428" s="343">
        <v>1</v>
      </c>
      <c r="F428" s="343">
        <v>1</v>
      </c>
      <c r="G428" s="343">
        <v>1</v>
      </c>
      <c r="H428" s="343">
        <v>1</v>
      </c>
      <c r="I428" s="343">
        <v>1</v>
      </c>
      <c r="J428" s="343">
        <v>1</v>
      </c>
      <c r="K428" s="339">
        <v>0</v>
      </c>
    </row>
    <row r="429" spans="1:11" x14ac:dyDescent="0.35">
      <c r="A429" s="609"/>
      <c r="B429" s="332" t="s">
        <v>155</v>
      </c>
      <c r="C429" s="343">
        <v>1</v>
      </c>
      <c r="D429" s="343">
        <v>1</v>
      </c>
      <c r="E429" s="343">
        <v>1</v>
      </c>
      <c r="F429" s="343">
        <v>1</v>
      </c>
      <c r="G429" s="343">
        <v>1</v>
      </c>
      <c r="H429" s="343">
        <v>1</v>
      </c>
      <c r="I429" s="343">
        <v>1</v>
      </c>
      <c r="J429" s="343">
        <v>1</v>
      </c>
      <c r="K429" s="339">
        <v>0</v>
      </c>
    </row>
    <row r="430" spans="1:11" x14ac:dyDescent="0.35">
      <c r="A430" s="609"/>
      <c r="B430" s="332" t="s">
        <v>156</v>
      </c>
      <c r="C430" s="343">
        <v>1</v>
      </c>
      <c r="D430" s="343">
        <v>1</v>
      </c>
      <c r="E430" s="343">
        <v>1</v>
      </c>
      <c r="F430" s="343">
        <v>1</v>
      </c>
      <c r="G430" s="343">
        <v>1</v>
      </c>
      <c r="H430" s="343">
        <v>1</v>
      </c>
      <c r="I430" s="343">
        <v>1</v>
      </c>
      <c r="J430" s="343">
        <v>1</v>
      </c>
      <c r="K430" s="339">
        <v>0</v>
      </c>
    </row>
    <row r="431" spans="1:11" x14ac:dyDescent="0.35">
      <c r="A431" s="609"/>
      <c r="B431" s="332" t="s">
        <v>157</v>
      </c>
      <c r="C431" s="339">
        <v>0</v>
      </c>
      <c r="D431" s="339">
        <v>0</v>
      </c>
      <c r="E431" s="339">
        <v>0</v>
      </c>
      <c r="F431" s="343">
        <v>1</v>
      </c>
      <c r="G431" s="339">
        <v>0</v>
      </c>
      <c r="H431" s="339">
        <v>0</v>
      </c>
      <c r="I431" s="339">
        <v>0</v>
      </c>
      <c r="J431" s="339">
        <v>0</v>
      </c>
      <c r="K431" s="339">
        <v>0</v>
      </c>
    </row>
    <row r="432" spans="1:11" ht="15" thickBot="1" x14ac:dyDescent="0.4">
      <c r="A432" s="610"/>
      <c r="B432" s="83" t="s">
        <v>158</v>
      </c>
      <c r="C432" s="339">
        <v>0</v>
      </c>
      <c r="D432" s="339">
        <v>0</v>
      </c>
      <c r="E432" s="233">
        <v>1</v>
      </c>
      <c r="F432" s="339">
        <v>0</v>
      </c>
      <c r="G432" s="339">
        <v>0</v>
      </c>
      <c r="H432" s="339">
        <v>0</v>
      </c>
      <c r="I432" s="339">
        <v>0</v>
      </c>
      <c r="J432" s="339">
        <v>0</v>
      </c>
      <c r="K432" s="234">
        <v>1</v>
      </c>
    </row>
    <row r="433" spans="1:11" x14ac:dyDescent="0.35">
      <c r="A433" s="606" t="s">
        <v>146</v>
      </c>
      <c r="B433" s="235" t="s">
        <v>149</v>
      </c>
      <c r="C433" s="232">
        <v>1</v>
      </c>
      <c r="D433" s="232">
        <v>1</v>
      </c>
      <c r="E433" s="232">
        <v>1</v>
      </c>
      <c r="F433" s="232">
        <v>1</v>
      </c>
      <c r="G433" s="232">
        <v>1</v>
      </c>
      <c r="H433" s="232">
        <v>1</v>
      </c>
      <c r="I433" s="232">
        <v>1</v>
      </c>
      <c r="J433" s="232">
        <v>1</v>
      </c>
      <c r="K433" s="339">
        <v>0</v>
      </c>
    </row>
    <row r="434" spans="1:11" x14ac:dyDescent="0.35">
      <c r="A434" s="606"/>
      <c r="B434" s="332" t="s">
        <v>150</v>
      </c>
      <c r="C434" s="343">
        <v>1</v>
      </c>
      <c r="D434" s="343">
        <v>1</v>
      </c>
      <c r="E434" s="343">
        <v>1</v>
      </c>
      <c r="F434" s="343">
        <v>1</v>
      </c>
      <c r="G434" s="343">
        <v>1</v>
      </c>
      <c r="H434" s="343">
        <v>1</v>
      </c>
      <c r="I434" s="343">
        <v>1</v>
      </c>
      <c r="J434" s="343">
        <v>1</v>
      </c>
      <c r="K434" s="339">
        <v>0</v>
      </c>
    </row>
    <row r="435" spans="1:11" x14ac:dyDescent="0.35">
      <c r="A435" s="606"/>
      <c r="B435" s="332" t="s">
        <v>151</v>
      </c>
      <c r="C435" s="343">
        <v>1</v>
      </c>
      <c r="D435" s="343">
        <v>1</v>
      </c>
      <c r="E435" s="343">
        <v>1</v>
      </c>
      <c r="F435" s="343">
        <v>1</v>
      </c>
      <c r="G435" s="343">
        <v>1</v>
      </c>
      <c r="H435" s="343">
        <v>1</v>
      </c>
      <c r="I435" s="343">
        <v>1</v>
      </c>
      <c r="J435" s="343">
        <v>1</v>
      </c>
      <c r="K435" s="339">
        <v>0</v>
      </c>
    </row>
    <row r="436" spans="1:11" x14ac:dyDescent="0.35">
      <c r="A436" s="606"/>
      <c r="B436" s="332" t="s">
        <v>152</v>
      </c>
      <c r="C436" s="343">
        <v>1</v>
      </c>
      <c r="D436" s="343">
        <v>1</v>
      </c>
      <c r="E436" s="343">
        <v>1</v>
      </c>
      <c r="F436" s="343">
        <v>1</v>
      </c>
      <c r="G436" s="343">
        <v>1</v>
      </c>
      <c r="H436" s="343">
        <v>1</v>
      </c>
      <c r="I436" s="343">
        <v>1</v>
      </c>
      <c r="J436" s="343">
        <v>1</v>
      </c>
      <c r="K436" s="339">
        <v>0</v>
      </c>
    </row>
    <row r="437" spans="1:11" x14ac:dyDescent="0.35">
      <c r="A437" s="606"/>
      <c r="B437" s="332" t="s">
        <v>153</v>
      </c>
      <c r="C437" s="343">
        <v>1</v>
      </c>
      <c r="D437" s="343">
        <v>1</v>
      </c>
      <c r="E437" s="343">
        <v>1</v>
      </c>
      <c r="F437" s="343">
        <v>1</v>
      </c>
      <c r="G437" s="343">
        <v>1</v>
      </c>
      <c r="H437" s="343">
        <v>1</v>
      </c>
      <c r="I437" s="343">
        <v>1</v>
      </c>
      <c r="J437" s="343">
        <v>1</v>
      </c>
      <c r="K437" s="339">
        <v>0</v>
      </c>
    </row>
    <row r="438" spans="1:11" x14ac:dyDescent="0.35">
      <c r="A438" s="606"/>
      <c r="B438" s="332" t="s">
        <v>154</v>
      </c>
      <c r="C438" s="343">
        <v>1</v>
      </c>
      <c r="D438" s="343">
        <v>1</v>
      </c>
      <c r="E438" s="343">
        <v>1</v>
      </c>
      <c r="F438" s="343">
        <v>1</v>
      </c>
      <c r="G438" s="343">
        <v>1</v>
      </c>
      <c r="H438" s="343">
        <v>1</v>
      </c>
      <c r="I438" s="343">
        <v>1</v>
      </c>
      <c r="J438" s="343">
        <v>1</v>
      </c>
      <c r="K438" s="339">
        <v>0</v>
      </c>
    </row>
    <row r="439" spans="1:11" x14ac:dyDescent="0.35">
      <c r="A439" s="606"/>
      <c r="B439" s="332" t="s">
        <v>155</v>
      </c>
      <c r="C439" s="343">
        <v>1</v>
      </c>
      <c r="D439" s="343">
        <v>1</v>
      </c>
      <c r="E439" s="343">
        <v>1</v>
      </c>
      <c r="F439" s="343">
        <v>1</v>
      </c>
      <c r="G439" s="343">
        <v>1</v>
      </c>
      <c r="H439" s="343">
        <v>1</v>
      </c>
      <c r="I439" s="343">
        <v>1</v>
      </c>
      <c r="J439" s="343">
        <v>1</v>
      </c>
      <c r="K439" s="339">
        <v>0</v>
      </c>
    </row>
    <row r="440" spans="1:11" x14ac:dyDescent="0.35">
      <c r="A440" s="606"/>
      <c r="B440" s="332" t="s">
        <v>156</v>
      </c>
      <c r="C440" s="343">
        <v>1</v>
      </c>
      <c r="D440" s="343">
        <v>1</v>
      </c>
      <c r="E440" s="343">
        <v>1</v>
      </c>
      <c r="F440" s="343">
        <v>1</v>
      </c>
      <c r="G440" s="343">
        <v>1</v>
      </c>
      <c r="H440" s="343">
        <v>1</v>
      </c>
      <c r="I440" s="343">
        <v>1</v>
      </c>
      <c r="J440" s="343">
        <v>1</v>
      </c>
      <c r="K440" s="339">
        <v>0</v>
      </c>
    </row>
    <row r="441" spans="1:11" x14ac:dyDescent="0.35">
      <c r="A441" s="606"/>
      <c r="B441" s="332" t="s">
        <v>157</v>
      </c>
      <c r="C441" s="339">
        <v>0</v>
      </c>
      <c r="D441" s="339">
        <v>0</v>
      </c>
      <c r="E441" s="339">
        <v>0</v>
      </c>
      <c r="F441" s="343">
        <v>1</v>
      </c>
      <c r="G441" s="339">
        <v>0</v>
      </c>
      <c r="H441" s="339">
        <v>0</v>
      </c>
      <c r="I441" s="339">
        <v>0</v>
      </c>
      <c r="J441" s="339">
        <v>0</v>
      </c>
      <c r="K441" s="339">
        <v>0</v>
      </c>
    </row>
    <row r="442" spans="1:11" ht="15" thickBot="1" x14ac:dyDescent="0.4">
      <c r="A442" s="606"/>
      <c r="B442" s="345" t="s">
        <v>158</v>
      </c>
      <c r="C442" s="339">
        <v>0</v>
      </c>
      <c r="D442" s="339">
        <v>0</v>
      </c>
      <c r="E442" s="233">
        <v>1</v>
      </c>
      <c r="F442" s="339">
        <v>0</v>
      </c>
      <c r="G442" s="339">
        <v>0</v>
      </c>
      <c r="H442" s="339">
        <v>0</v>
      </c>
      <c r="I442" s="339">
        <v>0</v>
      </c>
      <c r="J442" s="339">
        <v>0</v>
      </c>
      <c r="K442" s="234">
        <v>1</v>
      </c>
    </row>
    <row r="443" spans="1:11" x14ac:dyDescent="0.35">
      <c r="A443" s="608" t="s">
        <v>89</v>
      </c>
      <c r="B443" s="82" t="s">
        <v>149</v>
      </c>
      <c r="C443" s="232">
        <v>1</v>
      </c>
      <c r="D443" s="232">
        <v>1</v>
      </c>
      <c r="E443" s="232">
        <v>1</v>
      </c>
      <c r="F443" s="232">
        <v>1</v>
      </c>
      <c r="G443" s="232">
        <v>1</v>
      </c>
      <c r="H443" s="232">
        <v>1</v>
      </c>
      <c r="I443" s="232">
        <v>1</v>
      </c>
      <c r="J443" s="232">
        <v>1</v>
      </c>
      <c r="K443" s="339">
        <v>0</v>
      </c>
    </row>
    <row r="444" spans="1:11" x14ac:dyDescent="0.35">
      <c r="A444" s="609"/>
      <c r="B444" s="332" t="s">
        <v>150</v>
      </c>
      <c r="C444" s="343">
        <v>1</v>
      </c>
      <c r="D444" s="343">
        <v>1</v>
      </c>
      <c r="E444" s="343">
        <v>1</v>
      </c>
      <c r="F444" s="343">
        <v>1</v>
      </c>
      <c r="G444" s="343">
        <v>1</v>
      </c>
      <c r="H444" s="343">
        <v>1</v>
      </c>
      <c r="I444" s="343">
        <v>1</v>
      </c>
      <c r="J444" s="343">
        <v>1</v>
      </c>
      <c r="K444" s="339">
        <v>0</v>
      </c>
    </row>
    <row r="445" spans="1:11" x14ac:dyDescent="0.35">
      <c r="A445" s="609"/>
      <c r="B445" s="332" t="s">
        <v>151</v>
      </c>
      <c r="C445" s="343">
        <v>1</v>
      </c>
      <c r="D445" s="343">
        <v>1</v>
      </c>
      <c r="E445" s="343">
        <v>1</v>
      </c>
      <c r="F445" s="343">
        <v>1</v>
      </c>
      <c r="G445" s="343">
        <v>1</v>
      </c>
      <c r="H445" s="343">
        <v>1</v>
      </c>
      <c r="I445" s="343">
        <v>1</v>
      </c>
      <c r="J445" s="343">
        <v>1</v>
      </c>
      <c r="K445" s="339">
        <v>0</v>
      </c>
    </row>
    <row r="446" spans="1:11" x14ac:dyDescent="0.35">
      <c r="A446" s="609"/>
      <c r="B446" s="332" t="s">
        <v>152</v>
      </c>
      <c r="C446" s="343">
        <v>1</v>
      </c>
      <c r="D446" s="343">
        <v>1</v>
      </c>
      <c r="E446" s="343">
        <v>1</v>
      </c>
      <c r="F446" s="343">
        <v>1</v>
      </c>
      <c r="G446" s="343">
        <v>1</v>
      </c>
      <c r="H446" s="343">
        <v>1</v>
      </c>
      <c r="I446" s="343">
        <v>1</v>
      </c>
      <c r="J446" s="343">
        <v>1</v>
      </c>
      <c r="K446" s="339">
        <v>0</v>
      </c>
    </row>
    <row r="447" spans="1:11" x14ac:dyDescent="0.35">
      <c r="A447" s="609"/>
      <c r="B447" s="332" t="s">
        <v>153</v>
      </c>
      <c r="C447" s="343">
        <v>1</v>
      </c>
      <c r="D447" s="343">
        <v>1</v>
      </c>
      <c r="E447" s="343">
        <v>1</v>
      </c>
      <c r="F447" s="343">
        <v>1</v>
      </c>
      <c r="G447" s="343">
        <v>1</v>
      </c>
      <c r="H447" s="343">
        <v>1</v>
      </c>
      <c r="I447" s="343">
        <v>1</v>
      </c>
      <c r="J447" s="343">
        <v>1</v>
      </c>
      <c r="K447" s="339">
        <v>0</v>
      </c>
    </row>
    <row r="448" spans="1:11" x14ac:dyDescent="0.35">
      <c r="A448" s="609"/>
      <c r="B448" s="332" t="s">
        <v>154</v>
      </c>
      <c r="C448" s="343">
        <v>1</v>
      </c>
      <c r="D448" s="343">
        <v>1</v>
      </c>
      <c r="E448" s="343">
        <v>1</v>
      </c>
      <c r="F448" s="343">
        <v>1</v>
      </c>
      <c r="G448" s="343">
        <v>1</v>
      </c>
      <c r="H448" s="343">
        <v>1</v>
      </c>
      <c r="I448" s="343">
        <v>1</v>
      </c>
      <c r="J448" s="343">
        <v>1</v>
      </c>
      <c r="K448" s="339">
        <v>0</v>
      </c>
    </row>
    <row r="449" spans="1:11" x14ac:dyDescent="0.35">
      <c r="A449" s="609"/>
      <c r="B449" s="332" t="s">
        <v>155</v>
      </c>
      <c r="C449" s="343">
        <v>1</v>
      </c>
      <c r="D449" s="343">
        <v>1</v>
      </c>
      <c r="E449" s="343">
        <v>1</v>
      </c>
      <c r="F449" s="343">
        <v>1</v>
      </c>
      <c r="G449" s="343">
        <v>1</v>
      </c>
      <c r="H449" s="343">
        <v>1</v>
      </c>
      <c r="I449" s="343">
        <v>1</v>
      </c>
      <c r="J449" s="343">
        <v>1</v>
      </c>
      <c r="K449" s="339">
        <v>0</v>
      </c>
    </row>
    <row r="450" spans="1:11" x14ac:dyDescent="0.35">
      <c r="A450" s="609"/>
      <c r="B450" s="332" t="s">
        <v>156</v>
      </c>
      <c r="C450" s="343">
        <v>1</v>
      </c>
      <c r="D450" s="343">
        <v>1</v>
      </c>
      <c r="E450" s="343">
        <v>1</v>
      </c>
      <c r="F450" s="343">
        <v>1</v>
      </c>
      <c r="G450" s="343">
        <v>1</v>
      </c>
      <c r="H450" s="343">
        <v>1</v>
      </c>
      <c r="I450" s="343">
        <v>1</v>
      </c>
      <c r="J450" s="343">
        <v>1</v>
      </c>
      <c r="K450" s="339">
        <v>0</v>
      </c>
    </row>
    <row r="451" spans="1:11" x14ac:dyDescent="0.35">
      <c r="A451" s="609"/>
      <c r="B451" s="332" t="s">
        <v>157</v>
      </c>
      <c r="C451" s="339">
        <v>0</v>
      </c>
      <c r="D451" s="339">
        <v>0</v>
      </c>
      <c r="E451" s="339">
        <v>0</v>
      </c>
      <c r="F451" s="343">
        <v>1</v>
      </c>
      <c r="G451" s="339">
        <v>0</v>
      </c>
      <c r="H451" s="339">
        <v>0</v>
      </c>
      <c r="I451" s="339">
        <v>0</v>
      </c>
      <c r="J451" s="339">
        <v>0</v>
      </c>
      <c r="K451" s="339">
        <v>0</v>
      </c>
    </row>
    <row r="452" spans="1:11" ht="15" thickBot="1" x14ac:dyDescent="0.4">
      <c r="A452" s="610"/>
      <c r="B452" s="83" t="s">
        <v>158</v>
      </c>
      <c r="C452" s="339">
        <v>0</v>
      </c>
      <c r="D452" s="339">
        <v>0</v>
      </c>
      <c r="E452" s="233">
        <v>1</v>
      </c>
      <c r="F452" s="339">
        <v>0</v>
      </c>
      <c r="G452" s="339">
        <v>0</v>
      </c>
      <c r="H452" s="339">
        <v>0</v>
      </c>
      <c r="I452" s="339">
        <v>0</v>
      </c>
      <c r="J452" s="339">
        <v>0</v>
      </c>
      <c r="K452" s="234">
        <v>1</v>
      </c>
    </row>
    <row r="453" spans="1:11" x14ac:dyDescent="0.35">
      <c r="A453" s="606" t="s">
        <v>90</v>
      </c>
      <c r="B453" s="235" t="s">
        <v>149</v>
      </c>
      <c r="C453" s="232">
        <v>1</v>
      </c>
      <c r="D453" s="232">
        <v>1</v>
      </c>
      <c r="E453" s="232">
        <v>1</v>
      </c>
      <c r="F453" s="232">
        <v>1</v>
      </c>
      <c r="G453" s="232">
        <v>1</v>
      </c>
      <c r="H453" s="232">
        <v>1</v>
      </c>
      <c r="I453" s="232">
        <v>1</v>
      </c>
      <c r="J453" s="232">
        <v>1</v>
      </c>
      <c r="K453" s="339">
        <v>0</v>
      </c>
    </row>
    <row r="454" spans="1:11" x14ac:dyDescent="0.35">
      <c r="A454" s="606"/>
      <c r="B454" s="332" t="s">
        <v>150</v>
      </c>
      <c r="C454" s="343">
        <v>1</v>
      </c>
      <c r="D454" s="343">
        <v>1</v>
      </c>
      <c r="E454" s="343">
        <v>1</v>
      </c>
      <c r="F454" s="343">
        <v>1</v>
      </c>
      <c r="G454" s="343">
        <v>1</v>
      </c>
      <c r="H454" s="343">
        <v>1</v>
      </c>
      <c r="I454" s="343">
        <v>1</v>
      </c>
      <c r="J454" s="343">
        <v>1</v>
      </c>
      <c r="K454" s="339">
        <v>0</v>
      </c>
    </row>
    <row r="455" spans="1:11" x14ac:dyDescent="0.35">
      <c r="A455" s="606"/>
      <c r="B455" s="332" t="s">
        <v>151</v>
      </c>
      <c r="C455" s="343">
        <v>1</v>
      </c>
      <c r="D455" s="343">
        <v>1</v>
      </c>
      <c r="E455" s="343">
        <v>1</v>
      </c>
      <c r="F455" s="343">
        <v>1</v>
      </c>
      <c r="G455" s="343">
        <v>1</v>
      </c>
      <c r="H455" s="343">
        <v>1</v>
      </c>
      <c r="I455" s="343">
        <v>1</v>
      </c>
      <c r="J455" s="343">
        <v>1</v>
      </c>
      <c r="K455" s="339">
        <v>0</v>
      </c>
    </row>
    <row r="456" spans="1:11" x14ac:dyDescent="0.35">
      <c r="A456" s="606"/>
      <c r="B456" s="332" t="s">
        <v>152</v>
      </c>
      <c r="C456" s="343">
        <v>1</v>
      </c>
      <c r="D456" s="343">
        <v>1</v>
      </c>
      <c r="E456" s="343">
        <v>1</v>
      </c>
      <c r="F456" s="343">
        <v>1</v>
      </c>
      <c r="G456" s="343">
        <v>1</v>
      </c>
      <c r="H456" s="343">
        <v>1</v>
      </c>
      <c r="I456" s="343">
        <v>1</v>
      </c>
      <c r="J456" s="343">
        <v>1</v>
      </c>
      <c r="K456" s="339">
        <v>0</v>
      </c>
    </row>
    <row r="457" spans="1:11" x14ac:dyDescent="0.35">
      <c r="A457" s="606"/>
      <c r="B457" s="332" t="s">
        <v>153</v>
      </c>
      <c r="C457" s="343">
        <v>1</v>
      </c>
      <c r="D457" s="343">
        <v>1</v>
      </c>
      <c r="E457" s="343">
        <v>1</v>
      </c>
      <c r="F457" s="343">
        <v>1</v>
      </c>
      <c r="G457" s="343">
        <v>1</v>
      </c>
      <c r="H457" s="343">
        <v>1</v>
      </c>
      <c r="I457" s="343">
        <v>1</v>
      </c>
      <c r="J457" s="343">
        <v>1</v>
      </c>
      <c r="K457" s="339">
        <v>0</v>
      </c>
    </row>
    <row r="458" spans="1:11" x14ac:dyDescent="0.35">
      <c r="A458" s="606"/>
      <c r="B458" s="332" t="s">
        <v>154</v>
      </c>
      <c r="C458" s="343">
        <v>1</v>
      </c>
      <c r="D458" s="343">
        <v>1</v>
      </c>
      <c r="E458" s="343">
        <v>1</v>
      </c>
      <c r="F458" s="343">
        <v>1</v>
      </c>
      <c r="G458" s="343">
        <v>1</v>
      </c>
      <c r="H458" s="343">
        <v>1</v>
      </c>
      <c r="I458" s="343">
        <v>1</v>
      </c>
      <c r="J458" s="343">
        <v>1</v>
      </c>
      <c r="K458" s="339">
        <v>0</v>
      </c>
    </row>
    <row r="459" spans="1:11" x14ac:dyDescent="0.35">
      <c r="A459" s="606"/>
      <c r="B459" s="332" t="s">
        <v>155</v>
      </c>
      <c r="C459" s="343">
        <v>1</v>
      </c>
      <c r="D459" s="343">
        <v>1</v>
      </c>
      <c r="E459" s="343">
        <v>1</v>
      </c>
      <c r="F459" s="343">
        <v>1</v>
      </c>
      <c r="G459" s="343">
        <v>1</v>
      </c>
      <c r="H459" s="343">
        <v>1</v>
      </c>
      <c r="I459" s="343">
        <v>1</v>
      </c>
      <c r="J459" s="343">
        <v>1</v>
      </c>
      <c r="K459" s="339">
        <v>0</v>
      </c>
    </row>
    <row r="460" spans="1:11" x14ac:dyDescent="0.35">
      <c r="A460" s="606"/>
      <c r="B460" s="332" t="s">
        <v>156</v>
      </c>
      <c r="C460" s="343">
        <v>1</v>
      </c>
      <c r="D460" s="343">
        <v>1</v>
      </c>
      <c r="E460" s="343">
        <v>1</v>
      </c>
      <c r="F460" s="343">
        <v>1</v>
      </c>
      <c r="G460" s="343">
        <v>1</v>
      </c>
      <c r="H460" s="343">
        <v>1</v>
      </c>
      <c r="I460" s="343">
        <v>1</v>
      </c>
      <c r="J460" s="343">
        <v>1</v>
      </c>
      <c r="K460" s="339">
        <v>0</v>
      </c>
    </row>
    <row r="461" spans="1:11" x14ac:dyDescent="0.35">
      <c r="A461" s="606"/>
      <c r="B461" s="332" t="s">
        <v>157</v>
      </c>
      <c r="C461" s="339">
        <v>0</v>
      </c>
      <c r="D461" s="339">
        <v>0</v>
      </c>
      <c r="E461" s="339">
        <v>0</v>
      </c>
      <c r="F461" s="343">
        <v>1</v>
      </c>
      <c r="G461" s="339">
        <v>0</v>
      </c>
      <c r="H461" s="339">
        <v>0</v>
      </c>
      <c r="I461" s="339">
        <v>0</v>
      </c>
      <c r="J461" s="339">
        <v>0</v>
      </c>
      <c r="K461" s="339">
        <v>0</v>
      </c>
    </row>
    <row r="462" spans="1:11" ht="15" thickBot="1" x14ac:dyDescent="0.4">
      <c r="A462" s="607"/>
      <c r="B462" s="83" t="s">
        <v>158</v>
      </c>
      <c r="C462" s="339">
        <v>0</v>
      </c>
      <c r="D462" s="339">
        <v>0</v>
      </c>
      <c r="E462" s="233">
        <v>1</v>
      </c>
      <c r="F462" s="339">
        <v>0</v>
      </c>
      <c r="G462" s="339">
        <v>0</v>
      </c>
      <c r="H462" s="339">
        <v>0</v>
      </c>
      <c r="I462" s="339">
        <v>0</v>
      </c>
      <c r="J462" s="339">
        <v>0</v>
      </c>
      <c r="K462" s="234">
        <v>1</v>
      </c>
    </row>
    <row r="465" spans="1:12" x14ac:dyDescent="0.35">
      <c r="A465" s="323" t="s">
        <v>1355</v>
      </c>
      <c r="B465" s="72" t="s">
        <v>1614</v>
      </c>
      <c r="C465" s="79"/>
    </row>
    <row r="466" spans="1:12" x14ac:dyDescent="0.35">
      <c r="A466" s="340" t="s">
        <v>323</v>
      </c>
      <c r="B466" s="299" t="s">
        <v>781</v>
      </c>
      <c r="C466" s="336" t="s">
        <v>782</v>
      </c>
      <c r="D466" s="336" t="s">
        <v>783</v>
      </c>
    </row>
    <row r="467" spans="1:12" x14ac:dyDescent="0.35">
      <c r="A467" s="320" t="s">
        <v>380</v>
      </c>
      <c r="B467" s="301" t="s">
        <v>128</v>
      </c>
      <c r="C467" s="301" t="s">
        <v>322</v>
      </c>
      <c r="D467" s="301" t="s">
        <v>322</v>
      </c>
    </row>
    <row r="468" spans="1:12" x14ac:dyDescent="0.35">
      <c r="A468" s="320" t="s">
        <v>127</v>
      </c>
      <c r="B468" s="333">
        <v>0</v>
      </c>
      <c r="C468" s="333">
        <v>2025</v>
      </c>
      <c r="D468" s="333">
        <v>2050</v>
      </c>
    </row>
    <row r="469" spans="1:12" x14ac:dyDescent="0.35">
      <c r="A469" s="341" t="s">
        <v>1356</v>
      </c>
    </row>
    <row r="470" spans="1:12" x14ac:dyDescent="0.35">
      <c r="A470" s="335" t="s">
        <v>1357</v>
      </c>
      <c r="B470" s="342" t="s">
        <v>147</v>
      </c>
      <c r="C470" s="342" t="s">
        <v>159</v>
      </c>
      <c r="D470" s="342" t="s">
        <v>160</v>
      </c>
      <c r="E470" s="342" t="s">
        <v>161</v>
      </c>
      <c r="F470" s="342" t="s">
        <v>299</v>
      </c>
      <c r="G470" s="342" t="s">
        <v>300</v>
      </c>
      <c r="H470" s="342" t="s">
        <v>301</v>
      </c>
      <c r="I470" s="342" t="s">
        <v>162</v>
      </c>
      <c r="J470" s="342" t="s">
        <v>148</v>
      </c>
      <c r="L470" s="342" t="s">
        <v>1358</v>
      </c>
    </row>
    <row r="471" spans="1:12" x14ac:dyDescent="0.35">
      <c r="A471" s="332" t="s">
        <v>94</v>
      </c>
      <c r="B471" s="343">
        <v>0.57030587121895571</v>
      </c>
      <c r="C471" s="343">
        <v>7.4942697759730642E-2</v>
      </c>
      <c r="D471" s="343">
        <v>2.8938938593083659E-2</v>
      </c>
      <c r="E471" s="343">
        <v>0.14038755215670351</v>
      </c>
      <c r="F471" s="343">
        <v>1.1772790730864885E-3</v>
      </c>
      <c r="G471" s="343">
        <v>5.8289309887852074E-2</v>
      </c>
      <c r="H471" s="343">
        <v>0.12595835131058775</v>
      </c>
      <c r="I471" s="343">
        <v>0</v>
      </c>
      <c r="J471" s="343">
        <v>0</v>
      </c>
      <c r="L471" s="343">
        <f>SUM(B471:J471)</f>
        <v>0.99999999999999978</v>
      </c>
    </row>
    <row r="472" spans="1:12" x14ac:dyDescent="0.35">
      <c r="A472" s="332" t="s">
        <v>95</v>
      </c>
      <c r="B472" s="343">
        <v>0.6171422298378324</v>
      </c>
      <c r="C472" s="343">
        <v>8.7415363520880529E-2</v>
      </c>
      <c r="D472" s="343">
        <v>6.0100666705818893E-2</v>
      </c>
      <c r="E472" s="343">
        <v>6.6718668542023421E-2</v>
      </c>
      <c r="F472" s="343">
        <v>0</v>
      </c>
      <c r="G472" s="343">
        <v>7.2753793369181738E-2</v>
      </c>
      <c r="H472" s="343">
        <v>9.5609903509948468E-2</v>
      </c>
      <c r="I472" s="343">
        <v>2.593745143142864E-4</v>
      </c>
      <c r="J472" s="343">
        <v>0</v>
      </c>
      <c r="L472" s="343">
        <f t="shared" ref="L472:L505" si="0">SUM(B472:J472)</f>
        <v>0.99999999999999978</v>
      </c>
    </row>
    <row r="473" spans="1:12" x14ac:dyDescent="0.35">
      <c r="A473" s="332" t="s">
        <v>96</v>
      </c>
      <c r="B473" s="343">
        <v>0.71688915140027309</v>
      </c>
      <c r="C473" s="343">
        <v>0.15773827381414271</v>
      </c>
      <c r="D473" s="343">
        <v>1.0813444965570285E-2</v>
      </c>
      <c r="E473" s="343">
        <v>2.8872586157295741E-2</v>
      </c>
      <c r="F473" s="343">
        <v>6.8844384346065566E-4</v>
      </c>
      <c r="G473" s="343">
        <v>5.7465412383246095E-2</v>
      </c>
      <c r="H473" s="343">
        <v>2.752007644514046E-2</v>
      </c>
      <c r="I473" s="343">
        <v>1.261099087097397E-5</v>
      </c>
      <c r="J473" s="343">
        <v>0</v>
      </c>
      <c r="L473" s="343">
        <f t="shared" si="0"/>
        <v>1</v>
      </c>
    </row>
    <row r="474" spans="1:12" x14ac:dyDescent="0.35">
      <c r="A474" s="332" t="s">
        <v>97</v>
      </c>
      <c r="B474" s="343">
        <v>0.73467717683042111</v>
      </c>
      <c r="C474" s="343">
        <v>9.4002380409817982E-2</v>
      </c>
      <c r="D474" s="343">
        <v>1.823434416172932E-2</v>
      </c>
      <c r="E474" s="343">
        <v>4.2838752552495085E-2</v>
      </c>
      <c r="F474" s="343">
        <v>2.4826946018119047E-3</v>
      </c>
      <c r="G474" s="343">
        <v>1.0855621754082504E-2</v>
      </c>
      <c r="H474" s="343">
        <v>6.7905004758190501E-2</v>
      </c>
      <c r="I474" s="343">
        <v>2.9004024931451312E-2</v>
      </c>
      <c r="J474" s="343">
        <v>0</v>
      </c>
      <c r="L474" s="343">
        <f t="shared" si="0"/>
        <v>0.99999999999999978</v>
      </c>
    </row>
    <row r="475" spans="1:12" x14ac:dyDescent="0.35">
      <c r="A475" s="332" t="s">
        <v>98</v>
      </c>
      <c r="B475" s="343">
        <v>0.35166089753630564</v>
      </c>
      <c r="C475" s="343">
        <v>8.0947056924038974E-2</v>
      </c>
      <c r="D475" s="343">
        <v>8.232507751476166E-3</v>
      </c>
      <c r="E475" s="343">
        <v>0</v>
      </c>
      <c r="F475" s="343">
        <v>0</v>
      </c>
      <c r="G475" s="343">
        <v>0.39993943953395189</v>
      </c>
      <c r="H475" s="343">
        <v>0.1545109621648352</v>
      </c>
      <c r="I475" s="343">
        <v>4.7091360893923495E-3</v>
      </c>
      <c r="J475" s="343">
        <v>0</v>
      </c>
      <c r="L475" s="343">
        <f t="shared" si="0"/>
        <v>1.0000000000000002</v>
      </c>
    </row>
    <row r="476" spans="1:12" x14ac:dyDescent="0.35">
      <c r="A476" s="332" t="s">
        <v>99</v>
      </c>
      <c r="B476" s="343">
        <v>0.57573393003450546</v>
      </c>
      <c r="C476" s="343">
        <v>0.13432470168220553</v>
      </c>
      <c r="D476" s="343">
        <v>1.5554602089512476E-2</v>
      </c>
      <c r="E476" s="343">
        <v>0.14629365710883216</v>
      </c>
      <c r="F476" s="343">
        <v>3.3410035414588974E-4</v>
      </c>
      <c r="G476" s="343">
        <v>7.445988537184034E-2</v>
      </c>
      <c r="H476" s="343">
        <v>5.3299123358958284E-2</v>
      </c>
      <c r="I476" s="343">
        <v>0</v>
      </c>
      <c r="J476" s="343">
        <v>0</v>
      </c>
      <c r="L476" s="343">
        <f t="shared" si="0"/>
        <v>1.0000000000000002</v>
      </c>
    </row>
    <row r="477" spans="1:12" x14ac:dyDescent="0.35">
      <c r="A477" s="332" t="s">
        <v>100</v>
      </c>
      <c r="B477" s="343">
        <v>0.54663350922131648</v>
      </c>
      <c r="C477" s="343">
        <v>6.6865242162591904E-2</v>
      </c>
      <c r="D477" s="343">
        <v>4.1544178681496791E-2</v>
      </c>
      <c r="E477" s="343">
        <v>6.5830445964819656E-2</v>
      </c>
      <c r="F477" s="343">
        <v>3.7961929916543904E-3</v>
      </c>
      <c r="G477" s="343">
        <v>0.1203629394993873</v>
      </c>
      <c r="H477" s="343">
        <v>0.13908772178955559</v>
      </c>
      <c r="I477" s="343">
        <v>1.5879769689177894E-2</v>
      </c>
      <c r="J477" s="343">
        <v>0</v>
      </c>
      <c r="L477" s="343">
        <f t="shared" si="0"/>
        <v>1</v>
      </c>
    </row>
    <row r="478" spans="1:12" x14ac:dyDescent="0.35">
      <c r="A478" s="332" t="s">
        <v>101</v>
      </c>
      <c r="B478" s="343">
        <v>0.69359704159325564</v>
      </c>
      <c r="C478" s="343">
        <v>0.17696666436208425</v>
      </c>
      <c r="D478" s="343">
        <v>4.0925511774791397E-3</v>
      </c>
      <c r="E478" s="343">
        <v>2.5587099724116893E-2</v>
      </c>
      <c r="F478" s="343">
        <v>0</v>
      </c>
      <c r="G478" s="343">
        <v>4.7973539179322774E-2</v>
      </c>
      <c r="H478" s="343">
        <v>1.601197510125825E-2</v>
      </c>
      <c r="I478" s="343">
        <v>3.5771128862483091E-2</v>
      </c>
      <c r="J478" s="343">
        <v>0</v>
      </c>
      <c r="L478" s="343">
        <f t="shared" si="0"/>
        <v>1</v>
      </c>
    </row>
    <row r="479" spans="1:12" x14ac:dyDescent="0.35">
      <c r="A479" s="332" t="s">
        <v>102</v>
      </c>
      <c r="B479" s="343">
        <v>0.62093992188128611</v>
      </c>
      <c r="C479" s="343">
        <v>7.0622022942678858E-2</v>
      </c>
      <c r="D479" s="343">
        <v>3.5445194405130699E-2</v>
      </c>
      <c r="E479" s="343">
        <v>3.8016263805759135E-2</v>
      </c>
      <c r="F479" s="343">
        <v>1.5591158260774986E-2</v>
      </c>
      <c r="G479" s="343">
        <v>8.1422822681340476E-2</v>
      </c>
      <c r="H479" s="343">
        <v>0.11736608705075513</v>
      </c>
      <c r="I479" s="343">
        <v>2.0596528972274649E-2</v>
      </c>
      <c r="J479" s="343">
        <v>0</v>
      </c>
      <c r="L479" s="343">
        <f t="shared" si="0"/>
        <v>1</v>
      </c>
    </row>
    <row r="480" spans="1:12" x14ac:dyDescent="0.35">
      <c r="A480" s="332" t="s">
        <v>103</v>
      </c>
      <c r="B480" s="343">
        <v>0.61742901266933337</v>
      </c>
      <c r="C480" s="343">
        <v>5.9967964583182119E-2</v>
      </c>
      <c r="D480" s="343">
        <v>2.3966510856823782E-2</v>
      </c>
      <c r="E480" s="343">
        <v>4.7194634278697696E-2</v>
      </c>
      <c r="F480" s="343">
        <v>1.8342814423578532E-2</v>
      </c>
      <c r="G480" s="343">
        <v>5.0808493656348055E-2</v>
      </c>
      <c r="H480" s="343">
        <v>0.17906402362547869</v>
      </c>
      <c r="I480" s="343">
        <v>3.2265459065582663E-3</v>
      </c>
      <c r="J480" s="343">
        <v>0</v>
      </c>
      <c r="L480" s="343">
        <f t="shared" si="0"/>
        <v>1.0000000000000007</v>
      </c>
    </row>
    <row r="481" spans="1:12" x14ac:dyDescent="0.35">
      <c r="A481" s="332" t="s">
        <v>104</v>
      </c>
      <c r="B481" s="343">
        <v>0.66344663873125476</v>
      </c>
      <c r="C481" s="343">
        <v>4.652631280987253E-2</v>
      </c>
      <c r="D481" s="343">
        <v>4.8539760488702004E-2</v>
      </c>
      <c r="E481" s="343">
        <v>5.9231950132421579E-2</v>
      </c>
      <c r="F481" s="343">
        <v>7.2103017669624741E-3</v>
      </c>
      <c r="G481" s="343">
        <v>4.231699790880062E-2</v>
      </c>
      <c r="H481" s="343">
        <v>0.13213770430052738</v>
      </c>
      <c r="I481" s="343">
        <v>5.9033386145859973E-4</v>
      </c>
      <c r="J481" s="343">
        <v>0</v>
      </c>
      <c r="L481" s="343">
        <f t="shared" si="0"/>
        <v>0.99999999999999989</v>
      </c>
    </row>
    <row r="482" spans="1:12" x14ac:dyDescent="0.35">
      <c r="A482" s="332" t="s">
        <v>105</v>
      </c>
      <c r="B482" s="343">
        <v>0.56021667750123927</v>
      </c>
      <c r="C482" s="343">
        <v>0.12055477059532825</v>
      </c>
      <c r="D482" s="343">
        <v>5.1119537242126478E-2</v>
      </c>
      <c r="E482" s="343">
        <v>1.6741693707853555E-2</v>
      </c>
      <c r="F482" s="343">
        <v>1.2526975051933136E-2</v>
      </c>
      <c r="G482" s="343">
        <v>0.163601176333695</v>
      </c>
      <c r="H482" s="343">
        <v>5.9237992660437645E-2</v>
      </c>
      <c r="I482" s="343">
        <v>1.6001176907386616E-2</v>
      </c>
      <c r="J482" s="343">
        <v>0</v>
      </c>
      <c r="L482" s="343">
        <f t="shared" si="0"/>
        <v>1</v>
      </c>
    </row>
    <row r="483" spans="1:12" x14ac:dyDescent="0.35">
      <c r="A483" s="332" t="s">
        <v>106</v>
      </c>
      <c r="B483" s="343">
        <v>0.60584578897547725</v>
      </c>
      <c r="C483" s="343">
        <v>0.19764550457164112</v>
      </c>
      <c r="D483" s="343">
        <v>6.2264860350280853E-3</v>
      </c>
      <c r="E483" s="343">
        <v>0.11712007678853553</v>
      </c>
      <c r="F483" s="343">
        <v>0</v>
      </c>
      <c r="G483" s="343">
        <v>5.2421799997555883E-2</v>
      </c>
      <c r="H483" s="343">
        <v>2.0740343631762321E-2</v>
      </c>
      <c r="I483" s="343">
        <v>0</v>
      </c>
      <c r="J483" s="343">
        <v>0</v>
      </c>
      <c r="L483" s="343">
        <f t="shared" si="0"/>
        <v>1.0000000000000002</v>
      </c>
    </row>
    <row r="484" spans="1:12" x14ac:dyDescent="0.35">
      <c r="A484" s="332" t="s">
        <v>107</v>
      </c>
      <c r="B484" s="343">
        <v>0.59375757443902344</v>
      </c>
      <c r="C484" s="343">
        <v>0.12319496057475593</v>
      </c>
      <c r="D484" s="343">
        <v>6.7367952912870087E-3</v>
      </c>
      <c r="E484" s="343">
        <v>2.3991949586204944E-2</v>
      </c>
      <c r="F484" s="343">
        <v>2.4657472870193365E-4</v>
      </c>
      <c r="G484" s="343">
        <v>0.14847228685261651</v>
      </c>
      <c r="H484" s="343">
        <v>0.10157543153489976</v>
      </c>
      <c r="I484" s="343">
        <v>2.0244269925107574E-3</v>
      </c>
      <c r="J484" s="343">
        <v>0</v>
      </c>
      <c r="L484" s="343">
        <f t="shared" si="0"/>
        <v>1.0000000000000002</v>
      </c>
    </row>
    <row r="485" spans="1:12" x14ac:dyDescent="0.35">
      <c r="A485" s="332" t="s">
        <v>108</v>
      </c>
      <c r="B485" s="343">
        <v>0.65866008202673443</v>
      </c>
      <c r="C485" s="343">
        <v>9.9903149908821778E-2</v>
      </c>
      <c r="D485" s="343">
        <v>5.236425317495897E-2</v>
      </c>
      <c r="E485" s="343">
        <v>4.472777629465631E-2</v>
      </c>
      <c r="F485" s="343">
        <v>1.3725376967263168E-2</v>
      </c>
      <c r="G485" s="343">
        <v>4.361349131082936E-2</v>
      </c>
      <c r="H485" s="343">
        <v>8.3925006970591506E-2</v>
      </c>
      <c r="I485" s="343">
        <v>3.0808633461445628E-3</v>
      </c>
      <c r="J485" s="343">
        <v>0</v>
      </c>
      <c r="L485" s="343">
        <f t="shared" si="0"/>
        <v>1</v>
      </c>
    </row>
    <row r="486" spans="1:12" x14ac:dyDescent="0.35">
      <c r="A486" s="332" t="s">
        <v>109</v>
      </c>
      <c r="B486" s="343">
        <v>0.66448194259398941</v>
      </c>
      <c r="C486" s="343">
        <v>0.11353884890364403</v>
      </c>
      <c r="D486" s="343">
        <v>1.4360364212784903E-2</v>
      </c>
      <c r="E486" s="343">
        <v>3.5375496398445408E-2</v>
      </c>
      <c r="F486" s="343">
        <v>0</v>
      </c>
      <c r="G486" s="343">
        <v>0.11191126118914667</v>
      </c>
      <c r="H486" s="343">
        <v>5.4885754710501021E-2</v>
      </c>
      <c r="I486" s="343">
        <v>5.4463319914885636E-3</v>
      </c>
      <c r="J486" s="343">
        <v>0</v>
      </c>
      <c r="L486" s="343">
        <f t="shared" si="0"/>
        <v>1</v>
      </c>
    </row>
    <row r="487" spans="1:12" x14ac:dyDescent="0.35">
      <c r="A487" s="332" t="s">
        <v>110</v>
      </c>
      <c r="B487" s="343">
        <v>0.80799668705146521</v>
      </c>
      <c r="C487" s="343">
        <v>8.9217359668503624E-2</v>
      </c>
      <c r="D487" s="343">
        <v>3.9395755724592266E-3</v>
      </c>
      <c r="E487" s="343">
        <v>8.5137796906287408E-3</v>
      </c>
      <c r="F487" s="343">
        <v>0</v>
      </c>
      <c r="G487" s="343">
        <v>6.7769489677318495E-2</v>
      </c>
      <c r="H487" s="343">
        <v>2.1783220123689107E-2</v>
      </c>
      <c r="I487" s="343">
        <v>7.7988821593545817E-4</v>
      </c>
      <c r="J487" s="343">
        <v>0</v>
      </c>
      <c r="L487" s="343">
        <f t="shared" si="0"/>
        <v>0.99999999999999989</v>
      </c>
    </row>
    <row r="488" spans="1:12" x14ac:dyDescent="0.35">
      <c r="A488" s="332" t="s">
        <v>111</v>
      </c>
      <c r="B488" s="343">
        <v>0.72060982695558817</v>
      </c>
      <c r="C488" s="343">
        <v>0.10756250098846867</v>
      </c>
      <c r="D488" s="343">
        <v>7.0700583828396035E-3</v>
      </c>
      <c r="E488" s="343">
        <v>4.1141943467741957E-2</v>
      </c>
      <c r="F488" s="343">
        <v>0</v>
      </c>
      <c r="G488" s="343">
        <v>0.10414319816152572</v>
      </c>
      <c r="H488" s="343">
        <v>1.9472472043836037E-2</v>
      </c>
      <c r="I488" s="343">
        <v>0</v>
      </c>
      <c r="J488" s="343">
        <v>0</v>
      </c>
      <c r="L488" s="343">
        <f t="shared" si="0"/>
        <v>1</v>
      </c>
    </row>
    <row r="489" spans="1:12" x14ac:dyDescent="0.35">
      <c r="A489" s="332" t="s">
        <v>112</v>
      </c>
      <c r="B489" s="343">
        <v>0.37671276215414135</v>
      </c>
      <c r="C489" s="343">
        <v>6.9294019587888403E-2</v>
      </c>
      <c r="D489" s="343">
        <v>6.6223120979064243E-3</v>
      </c>
      <c r="E489" s="343">
        <v>0</v>
      </c>
      <c r="F489" s="343">
        <v>0</v>
      </c>
      <c r="G489" s="343">
        <v>0.4782077332802615</v>
      </c>
      <c r="H489" s="343">
        <v>6.1590847955836935E-2</v>
      </c>
      <c r="I489" s="343">
        <v>7.572324923965386E-3</v>
      </c>
      <c r="J489" s="343">
        <v>0</v>
      </c>
      <c r="L489" s="343">
        <f t="shared" si="0"/>
        <v>1</v>
      </c>
    </row>
    <row r="490" spans="1:12" x14ac:dyDescent="0.35">
      <c r="A490" s="332" t="s">
        <v>113</v>
      </c>
      <c r="B490" s="343">
        <v>0.47877295425763677</v>
      </c>
      <c r="C490" s="343">
        <v>1.6782326477327872E-2</v>
      </c>
      <c r="D490" s="343">
        <v>0.10024500188735438</v>
      </c>
      <c r="E490" s="343">
        <v>5.9944372845886738E-2</v>
      </c>
      <c r="F490" s="343">
        <v>0</v>
      </c>
      <c r="G490" s="343">
        <v>6.8537953616703465E-2</v>
      </c>
      <c r="H490" s="343">
        <v>0.27467269540766664</v>
      </c>
      <c r="I490" s="343">
        <v>1.0446955074240696E-3</v>
      </c>
      <c r="J490" s="343">
        <v>0</v>
      </c>
      <c r="L490" s="343">
        <f t="shared" si="0"/>
        <v>0.99999999999999989</v>
      </c>
    </row>
    <row r="491" spans="1:12" x14ac:dyDescent="0.35">
      <c r="A491" s="332" t="s">
        <v>114</v>
      </c>
      <c r="B491" s="343">
        <v>0.68621099227182891</v>
      </c>
      <c r="C491" s="343">
        <v>0.12857261349940322</v>
      </c>
      <c r="D491" s="343">
        <v>3.7098210011188341E-2</v>
      </c>
      <c r="E491" s="343">
        <v>7.1824803776530013E-2</v>
      </c>
      <c r="F491" s="343">
        <v>1.916371327452131E-3</v>
      </c>
      <c r="G491" s="343">
        <v>4.5777203967666158E-2</v>
      </c>
      <c r="H491" s="343">
        <v>2.791212299283418E-2</v>
      </c>
      <c r="I491" s="343">
        <v>6.8768215309686148E-4</v>
      </c>
      <c r="J491" s="343">
        <v>0</v>
      </c>
      <c r="L491" s="343">
        <f t="shared" si="0"/>
        <v>0.99999999999999978</v>
      </c>
    </row>
    <row r="492" spans="1:12" x14ac:dyDescent="0.35">
      <c r="A492" s="332" t="s">
        <v>115</v>
      </c>
      <c r="B492" s="343">
        <v>0.59894137121307511</v>
      </c>
      <c r="C492" s="343">
        <v>4.2877830435064761E-2</v>
      </c>
      <c r="D492" s="343">
        <v>1.5828851532022133E-2</v>
      </c>
      <c r="E492" s="343">
        <v>3.1175607563748684E-2</v>
      </c>
      <c r="F492" s="343">
        <v>2.0074884677274141E-2</v>
      </c>
      <c r="G492" s="343">
        <v>0.16816296365009878</v>
      </c>
      <c r="H492" s="343">
        <v>0.12274704038766343</v>
      </c>
      <c r="I492" s="343">
        <v>1.9145054105287776E-4</v>
      </c>
      <c r="J492" s="343">
        <v>0</v>
      </c>
      <c r="L492" s="343">
        <f t="shared" si="0"/>
        <v>0.99999999999999989</v>
      </c>
    </row>
    <row r="493" spans="1:12" x14ac:dyDescent="0.35">
      <c r="A493" s="332" t="s">
        <v>116</v>
      </c>
      <c r="B493" s="343">
        <v>0.68077069434332249</v>
      </c>
      <c r="C493" s="343">
        <v>0.13234924086738525</v>
      </c>
      <c r="D493" s="343">
        <v>6.629877560978898E-3</v>
      </c>
      <c r="E493" s="343">
        <v>9.6752590255752113E-2</v>
      </c>
      <c r="F493" s="343">
        <v>1.386789036856489E-3</v>
      </c>
      <c r="G493" s="343">
        <v>7.0301180167449545E-2</v>
      </c>
      <c r="H493" s="343">
        <v>1.1809627768255372E-2</v>
      </c>
      <c r="I493" s="343">
        <v>0</v>
      </c>
      <c r="J493" s="343">
        <v>0</v>
      </c>
      <c r="L493" s="343">
        <f t="shared" si="0"/>
        <v>1.0000000000000002</v>
      </c>
    </row>
    <row r="494" spans="1:12" x14ac:dyDescent="0.35">
      <c r="A494" s="332" t="s">
        <v>117</v>
      </c>
      <c r="B494" s="343">
        <v>0.74545140127771425</v>
      </c>
      <c r="C494" s="343">
        <v>0.14533826016103396</v>
      </c>
      <c r="D494" s="343">
        <v>3.8418681246262169E-3</v>
      </c>
      <c r="E494" s="343">
        <v>6.9533224310092984E-2</v>
      </c>
      <c r="F494" s="343">
        <v>0</v>
      </c>
      <c r="G494" s="343">
        <v>2.6120393823334781E-2</v>
      </c>
      <c r="H494" s="343">
        <v>9.7148523031977355E-3</v>
      </c>
      <c r="I494" s="343">
        <v>0</v>
      </c>
      <c r="J494" s="343">
        <v>0</v>
      </c>
      <c r="L494" s="343">
        <f t="shared" si="0"/>
        <v>0.99999999999999989</v>
      </c>
    </row>
    <row r="495" spans="1:12" x14ac:dyDescent="0.35">
      <c r="A495" s="332" t="s">
        <v>118</v>
      </c>
      <c r="B495" s="343">
        <v>0.81774448844656167</v>
      </c>
      <c r="C495" s="343">
        <v>0.11248891665124877</v>
      </c>
      <c r="D495" s="343">
        <v>2.5766390009421027E-2</v>
      </c>
      <c r="E495" s="343">
        <v>1.9565573463215413E-2</v>
      </c>
      <c r="F495" s="343">
        <v>0</v>
      </c>
      <c r="G495" s="343">
        <v>1.1600830534908251E-2</v>
      </c>
      <c r="H495" s="343">
        <v>1.2802344988755456E-2</v>
      </c>
      <c r="I495" s="343">
        <v>3.1455905889413799E-5</v>
      </c>
      <c r="J495" s="343">
        <v>0</v>
      </c>
      <c r="L495" s="343">
        <f t="shared" si="0"/>
        <v>1</v>
      </c>
    </row>
    <row r="496" spans="1:12" x14ac:dyDescent="0.35">
      <c r="A496" s="332" t="s">
        <v>119</v>
      </c>
      <c r="B496" s="343">
        <v>0.50488157273353129</v>
      </c>
      <c r="C496" s="343">
        <v>6.1978760499926358E-2</v>
      </c>
      <c r="D496" s="343">
        <v>3.620329640675489E-2</v>
      </c>
      <c r="E496" s="343">
        <v>5.3937396574527535E-2</v>
      </c>
      <c r="F496" s="343">
        <v>4.5741154146628236E-2</v>
      </c>
      <c r="G496" s="343">
        <v>0.15153183706638487</v>
      </c>
      <c r="H496" s="343">
        <v>0.11212357633615561</v>
      </c>
      <c r="I496" s="343">
        <v>3.4736247797688491E-3</v>
      </c>
      <c r="J496" s="343">
        <v>3.0128781456322563E-2</v>
      </c>
      <c r="L496" s="343">
        <f t="shared" si="0"/>
        <v>1.0000000000000002</v>
      </c>
    </row>
    <row r="497" spans="1:12" x14ac:dyDescent="0.35">
      <c r="A497" s="332" t="s">
        <v>120</v>
      </c>
      <c r="B497" s="343">
        <v>0.63851563877380835</v>
      </c>
      <c r="C497" s="343">
        <v>5.6083539636180159E-2</v>
      </c>
      <c r="D497" s="343">
        <v>2.9606725808006273E-2</v>
      </c>
      <c r="E497" s="343">
        <v>6.774864205181047E-2</v>
      </c>
      <c r="F497" s="343">
        <v>2.2242846287352156E-2</v>
      </c>
      <c r="G497" s="343">
        <v>8.1350178651549934E-2</v>
      </c>
      <c r="H497" s="343">
        <v>9.016769852489083E-2</v>
      </c>
      <c r="I497" s="343">
        <v>1.4284730266401742E-2</v>
      </c>
      <c r="J497" s="343">
        <v>0</v>
      </c>
      <c r="L497" s="343">
        <f t="shared" si="0"/>
        <v>0.99999999999999989</v>
      </c>
    </row>
    <row r="498" spans="1:12" x14ac:dyDescent="0.35">
      <c r="A498" s="332" t="s">
        <v>83</v>
      </c>
      <c r="B498" s="343">
        <v>0.56412274320743516</v>
      </c>
      <c r="C498" s="343">
        <v>3.5000472746556432E-2</v>
      </c>
      <c r="D498" s="343">
        <v>9.2692989850567398E-3</v>
      </c>
      <c r="E498" s="343">
        <v>6.4562130142372526E-2</v>
      </c>
      <c r="F498" s="343">
        <v>9.3622850990380015E-3</v>
      </c>
      <c r="G498" s="343">
        <v>7.955439059883776E-2</v>
      </c>
      <c r="H498" s="343">
        <v>0.23489302830658679</v>
      </c>
      <c r="I498" s="343">
        <v>3.2356509141166648E-3</v>
      </c>
      <c r="J498" s="343">
        <v>0</v>
      </c>
      <c r="L498" s="343">
        <f t="shared" si="0"/>
        <v>1</v>
      </c>
    </row>
    <row r="499" spans="1:12" x14ac:dyDescent="0.35">
      <c r="A499" s="332" t="s">
        <v>144</v>
      </c>
      <c r="B499" s="343">
        <v>0.22337210776252903</v>
      </c>
      <c r="C499" s="343">
        <v>0.52436680807863945</v>
      </c>
      <c r="D499" s="343">
        <v>0.13939080614888363</v>
      </c>
      <c r="E499" s="343">
        <v>6.1905011253393233E-2</v>
      </c>
      <c r="F499" s="343">
        <v>1.4322054052919725E-3</v>
      </c>
      <c r="G499" s="343">
        <v>0</v>
      </c>
      <c r="H499" s="343">
        <v>4.883861675404147E-2</v>
      </c>
      <c r="I499" s="343">
        <v>6.9444459722124187E-4</v>
      </c>
      <c r="J499" s="343">
        <v>0</v>
      </c>
      <c r="L499" s="343">
        <f t="shared" si="0"/>
        <v>1</v>
      </c>
    </row>
    <row r="500" spans="1:12" x14ac:dyDescent="0.35">
      <c r="A500" s="332" t="s">
        <v>164</v>
      </c>
      <c r="B500" s="343">
        <v>0.32899455992213383</v>
      </c>
      <c r="C500" s="343">
        <v>0.35517034282071125</v>
      </c>
      <c r="D500" s="343">
        <v>0.14663777042180173</v>
      </c>
      <c r="E500" s="343">
        <v>7.7508353549261805E-2</v>
      </c>
      <c r="F500" s="343">
        <v>2.5359426180656566E-3</v>
      </c>
      <c r="G500" s="343">
        <v>0</v>
      </c>
      <c r="H500" s="343">
        <v>8.6476373553904057E-2</v>
      </c>
      <c r="I500" s="343">
        <v>2.6766571141219777E-3</v>
      </c>
      <c r="J500" s="343">
        <v>0</v>
      </c>
      <c r="L500" s="343">
        <f t="shared" si="0"/>
        <v>1.0000000000000002</v>
      </c>
    </row>
    <row r="501" spans="1:12" x14ac:dyDescent="0.35">
      <c r="A501" s="332" t="s">
        <v>145</v>
      </c>
      <c r="B501" s="343">
        <v>9.9810940148913535E-2</v>
      </c>
      <c r="C501" s="343">
        <v>0.44190363664070159</v>
      </c>
      <c r="D501" s="343">
        <v>0.25792477326786295</v>
      </c>
      <c r="E501" s="343">
        <v>0.16493311793775906</v>
      </c>
      <c r="F501" s="343">
        <v>9.594328308542093E-4</v>
      </c>
      <c r="G501" s="343">
        <v>0</v>
      </c>
      <c r="H501" s="343">
        <v>3.2716935820935107E-2</v>
      </c>
      <c r="I501" s="343">
        <v>1.7511633529738613E-3</v>
      </c>
      <c r="J501" s="343">
        <v>0</v>
      </c>
      <c r="L501" s="343">
        <f t="shared" si="0"/>
        <v>1.0000000000000004</v>
      </c>
    </row>
    <row r="502" spans="1:12" x14ac:dyDescent="0.35">
      <c r="A502" s="332" t="s">
        <v>87</v>
      </c>
      <c r="B502" s="343">
        <v>0.44093154849269961</v>
      </c>
      <c r="C502" s="343">
        <v>0.39283896754366404</v>
      </c>
      <c r="D502" s="343">
        <v>9.3674353511442515E-2</v>
      </c>
      <c r="E502" s="343">
        <v>1.7462902151019221E-3</v>
      </c>
      <c r="F502" s="343">
        <v>1.9237327342772434E-3</v>
      </c>
      <c r="G502" s="343">
        <v>0</v>
      </c>
      <c r="H502" s="343">
        <v>6.5599840218042785E-2</v>
      </c>
      <c r="I502" s="343">
        <v>3.2852672847718794E-3</v>
      </c>
      <c r="J502" s="343">
        <v>0</v>
      </c>
      <c r="L502" s="343">
        <f t="shared" si="0"/>
        <v>1</v>
      </c>
    </row>
    <row r="503" spans="1:12" x14ac:dyDescent="0.35">
      <c r="A503" s="332" t="s">
        <v>146</v>
      </c>
      <c r="B503" s="343">
        <v>0.57586227424694325</v>
      </c>
      <c r="C503" s="343">
        <v>8.2745735452662131E-2</v>
      </c>
      <c r="D503" s="343">
        <v>5.4378937569296716E-2</v>
      </c>
      <c r="E503" s="343">
        <v>0.15799327637419447</v>
      </c>
      <c r="F503" s="343">
        <v>3.6647785498665794E-3</v>
      </c>
      <c r="G503" s="343">
        <v>0</v>
      </c>
      <c r="H503" s="343">
        <v>0.12497000390029804</v>
      </c>
      <c r="I503" s="343">
        <v>3.8499390673871295E-4</v>
      </c>
      <c r="J503" s="343">
        <v>0</v>
      </c>
      <c r="L503" s="343">
        <f t="shared" si="0"/>
        <v>0.99999999999999989</v>
      </c>
    </row>
    <row r="504" spans="1:12" x14ac:dyDescent="0.35">
      <c r="A504" s="332" t="s">
        <v>89</v>
      </c>
      <c r="B504" s="343">
        <v>0.71294302365614337</v>
      </c>
      <c r="C504" s="343">
        <v>9.946554359361906E-2</v>
      </c>
      <c r="D504" s="343">
        <v>1.2843212800148284E-2</v>
      </c>
      <c r="E504" s="343">
        <v>5.943140243474909E-3</v>
      </c>
      <c r="F504" s="343">
        <v>4.7910055047267492E-3</v>
      </c>
      <c r="G504" s="343">
        <v>0</v>
      </c>
      <c r="H504" s="343">
        <v>0.16337466738170273</v>
      </c>
      <c r="I504" s="343">
        <v>6.3940682018498376E-4</v>
      </c>
      <c r="J504" s="343">
        <v>0</v>
      </c>
      <c r="L504" s="343">
        <f t="shared" si="0"/>
        <v>1</v>
      </c>
    </row>
    <row r="505" spans="1:12" x14ac:dyDescent="0.35">
      <c r="A505" s="332" t="s">
        <v>90</v>
      </c>
      <c r="B505" s="343">
        <v>0.31472341899178308</v>
      </c>
      <c r="C505" s="343">
        <v>0.42837488183870603</v>
      </c>
      <c r="D505" s="343">
        <v>6.5238564715511829E-2</v>
      </c>
      <c r="E505" s="343">
        <v>0.10022199042074266</v>
      </c>
      <c r="F505" s="343">
        <v>2.4975056707639185E-3</v>
      </c>
      <c r="G505" s="343">
        <v>0</v>
      </c>
      <c r="H505" s="343">
        <v>8.5165662582189619E-2</v>
      </c>
      <c r="I505" s="343">
        <v>3.7779757803028001E-3</v>
      </c>
      <c r="J505" s="343">
        <v>0</v>
      </c>
      <c r="L505" s="343">
        <f t="shared" si="0"/>
        <v>0.99999999999999989</v>
      </c>
    </row>
    <row r="506" spans="1:12" ht="15" thickBot="1" x14ac:dyDescent="0.4"/>
    <row r="507" spans="1:12" x14ac:dyDescent="0.35">
      <c r="A507" s="205" t="s">
        <v>1359</v>
      </c>
      <c r="B507" s="72" t="s">
        <v>1614</v>
      </c>
    </row>
    <row r="508" spans="1:12" x14ac:dyDescent="0.35">
      <c r="A508" s="344" t="s">
        <v>128</v>
      </c>
    </row>
    <row r="509" spans="1:12" ht="15" thickBot="1" x14ac:dyDescent="0.4">
      <c r="A509" s="332" t="s">
        <v>1360</v>
      </c>
      <c r="B509" s="332" t="s">
        <v>357</v>
      </c>
      <c r="C509" s="342" t="s">
        <v>147</v>
      </c>
      <c r="D509" s="342" t="s">
        <v>159</v>
      </c>
      <c r="E509" s="342" t="s">
        <v>160</v>
      </c>
      <c r="F509" s="342" t="s">
        <v>161</v>
      </c>
      <c r="G509" s="342" t="s">
        <v>299</v>
      </c>
      <c r="H509" s="342" t="s">
        <v>300</v>
      </c>
      <c r="I509" s="342" t="s">
        <v>301</v>
      </c>
      <c r="J509" s="342" t="s">
        <v>162</v>
      </c>
      <c r="K509" s="342" t="s">
        <v>148</v>
      </c>
    </row>
    <row r="510" spans="1:12" x14ac:dyDescent="0.35">
      <c r="A510" s="608" t="s">
        <v>94</v>
      </c>
      <c r="B510" s="82" t="s">
        <v>149</v>
      </c>
      <c r="C510" s="232">
        <v>0.34059085050964916</v>
      </c>
      <c r="D510" s="232">
        <v>8.6186039713944255E-5</v>
      </c>
      <c r="E510" s="232">
        <v>0.43907208810216536</v>
      </c>
      <c r="F510" s="232">
        <v>0</v>
      </c>
      <c r="G510" s="232">
        <v>1</v>
      </c>
      <c r="H510" s="232">
        <v>1</v>
      </c>
      <c r="I510" s="232">
        <v>1</v>
      </c>
      <c r="J510" s="232">
        <v>0</v>
      </c>
      <c r="K510" s="366">
        <v>0</v>
      </c>
    </row>
    <row r="511" spans="1:12" x14ac:dyDescent="0.35">
      <c r="A511" s="609"/>
      <c r="B511" s="332" t="s">
        <v>150</v>
      </c>
      <c r="C511" s="367">
        <v>0.65512074722948388</v>
      </c>
      <c r="D511" s="367">
        <v>0.9198499129657689</v>
      </c>
      <c r="E511" s="367">
        <v>0</v>
      </c>
      <c r="F511" s="367">
        <v>8.3418977784268142E-2</v>
      </c>
      <c r="G511" s="367">
        <v>0</v>
      </c>
      <c r="H511" s="367">
        <v>0</v>
      </c>
      <c r="I511" s="367">
        <v>0</v>
      </c>
      <c r="J511" s="367">
        <v>0</v>
      </c>
      <c r="K511" s="366">
        <v>0</v>
      </c>
    </row>
    <row r="512" spans="1:12" x14ac:dyDescent="0.35">
      <c r="A512" s="609"/>
      <c r="B512" s="332" t="s">
        <v>151</v>
      </c>
      <c r="C512" s="367">
        <v>2.1019202713950238E-3</v>
      </c>
      <c r="D512" s="367">
        <v>1.5072258821689562E-2</v>
      </c>
      <c r="E512" s="367">
        <v>0</v>
      </c>
      <c r="F512" s="367">
        <v>0</v>
      </c>
      <c r="G512" s="367">
        <v>0</v>
      </c>
      <c r="H512" s="367">
        <v>0</v>
      </c>
      <c r="I512" s="367">
        <v>0</v>
      </c>
      <c r="J512" s="367">
        <v>0</v>
      </c>
      <c r="K512" s="366">
        <v>0</v>
      </c>
    </row>
    <row r="513" spans="1:12" x14ac:dyDescent="0.35">
      <c r="A513" s="609"/>
      <c r="B513" s="332" t="s">
        <v>152</v>
      </c>
      <c r="C513" s="367">
        <v>9.0159698863497711E-4</v>
      </c>
      <c r="D513" s="367">
        <v>5.4269999192095873E-2</v>
      </c>
      <c r="E513" s="367">
        <v>0</v>
      </c>
      <c r="F513" s="367">
        <v>0</v>
      </c>
      <c r="G513" s="367">
        <v>0</v>
      </c>
      <c r="H513" s="367">
        <v>0</v>
      </c>
      <c r="I513" s="367">
        <v>0</v>
      </c>
      <c r="J513" s="367">
        <v>0</v>
      </c>
      <c r="K513" s="366">
        <v>0</v>
      </c>
    </row>
    <row r="514" spans="1:12" x14ac:dyDescent="0.35">
      <c r="A514" s="609"/>
      <c r="B514" s="332" t="s">
        <v>153</v>
      </c>
      <c r="C514" s="367">
        <v>1.0032023364277809E-3</v>
      </c>
      <c r="D514" s="367">
        <v>1.0721642980731789E-2</v>
      </c>
      <c r="E514" s="367">
        <v>0</v>
      </c>
      <c r="F514" s="367">
        <v>0</v>
      </c>
      <c r="G514" s="367">
        <v>0</v>
      </c>
      <c r="H514" s="367">
        <v>0</v>
      </c>
      <c r="I514" s="367">
        <v>0</v>
      </c>
      <c r="J514" s="367">
        <v>0</v>
      </c>
      <c r="K514" s="366">
        <v>0</v>
      </c>
      <c r="L514" s="47"/>
    </row>
    <row r="515" spans="1:12" x14ac:dyDescent="0.35">
      <c r="A515" s="609"/>
      <c r="B515" s="332" t="s">
        <v>154</v>
      </c>
      <c r="C515" s="367">
        <v>2.8168266440917314E-4</v>
      </c>
      <c r="D515" s="367">
        <v>0</v>
      </c>
      <c r="E515" s="367">
        <v>0</v>
      </c>
      <c r="F515" s="367">
        <v>0</v>
      </c>
      <c r="G515" s="367">
        <v>0</v>
      </c>
      <c r="H515" s="367">
        <v>0</v>
      </c>
      <c r="I515" s="367">
        <v>0</v>
      </c>
      <c r="J515" s="367">
        <v>0</v>
      </c>
      <c r="K515" s="366">
        <v>0</v>
      </c>
      <c r="L515" s="47"/>
    </row>
    <row r="516" spans="1:12" x14ac:dyDescent="0.35">
      <c r="A516" s="609"/>
      <c r="B516" s="332" t="s">
        <v>155</v>
      </c>
      <c r="C516" s="367">
        <v>0</v>
      </c>
      <c r="D516" s="367">
        <v>0</v>
      </c>
      <c r="E516" s="367">
        <v>0</v>
      </c>
      <c r="F516" s="367">
        <v>0</v>
      </c>
      <c r="G516" s="367">
        <v>0</v>
      </c>
      <c r="H516" s="367">
        <v>0</v>
      </c>
      <c r="I516" s="367">
        <v>0</v>
      </c>
      <c r="J516" s="367">
        <v>0</v>
      </c>
      <c r="K516" s="366">
        <v>0</v>
      </c>
    </row>
    <row r="517" spans="1:12" x14ac:dyDescent="0.35">
      <c r="A517" s="609"/>
      <c r="B517" s="332" t="s">
        <v>156</v>
      </c>
      <c r="C517" s="367">
        <v>0</v>
      </c>
      <c r="D517" s="367">
        <v>0</v>
      </c>
      <c r="E517" s="367">
        <v>0</v>
      </c>
      <c r="F517" s="367">
        <v>0</v>
      </c>
      <c r="G517" s="367">
        <v>0</v>
      </c>
      <c r="H517" s="367">
        <v>0</v>
      </c>
      <c r="I517" s="367">
        <v>0</v>
      </c>
      <c r="J517" s="367">
        <v>0</v>
      </c>
      <c r="K517" s="366">
        <v>0</v>
      </c>
    </row>
    <row r="518" spans="1:12" x14ac:dyDescent="0.35">
      <c r="A518" s="609"/>
      <c r="B518" s="332" t="s">
        <v>157</v>
      </c>
      <c r="C518" s="366">
        <v>0</v>
      </c>
      <c r="D518" s="366">
        <v>0</v>
      </c>
      <c r="E518" s="366">
        <v>0</v>
      </c>
      <c r="F518" s="367">
        <v>0.91658102221573179</v>
      </c>
      <c r="G518" s="366">
        <v>0</v>
      </c>
      <c r="H518" s="366">
        <v>0</v>
      </c>
      <c r="I518" s="366">
        <v>0</v>
      </c>
      <c r="J518" s="366">
        <v>0</v>
      </c>
      <c r="K518" s="366">
        <v>0</v>
      </c>
    </row>
    <row r="519" spans="1:12" ht="15" thickBot="1" x14ac:dyDescent="0.4">
      <c r="A519" s="610"/>
      <c r="B519" s="83" t="s">
        <v>158</v>
      </c>
      <c r="C519" s="366">
        <v>0</v>
      </c>
      <c r="D519" s="366">
        <v>0</v>
      </c>
      <c r="E519" s="233">
        <v>0.56092791189783464</v>
      </c>
      <c r="F519" s="366">
        <v>0</v>
      </c>
      <c r="G519" s="366">
        <v>0</v>
      </c>
      <c r="H519" s="366">
        <v>0</v>
      </c>
      <c r="I519" s="366">
        <v>0</v>
      </c>
      <c r="J519" s="366">
        <v>0</v>
      </c>
      <c r="K519" s="233">
        <v>0</v>
      </c>
    </row>
    <row r="520" spans="1:12" x14ac:dyDescent="0.35">
      <c r="A520" s="608" t="s">
        <v>95</v>
      </c>
      <c r="B520" s="82" t="s">
        <v>149</v>
      </c>
      <c r="C520" s="232">
        <v>0.22280775068580555</v>
      </c>
      <c r="D520" s="232">
        <v>2.5041108386563956E-3</v>
      </c>
      <c r="E520" s="232">
        <v>0.1688185291127535</v>
      </c>
      <c r="F520" s="232">
        <v>0</v>
      </c>
      <c r="G520" s="232">
        <v>0</v>
      </c>
      <c r="H520" s="232">
        <v>1</v>
      </c>
      <c r="I520" s="232">
        <v>1</v>
      </c>
      <c r="J520" s="232">
        <v>0</v>
      </c>
      <c r="K520" s="366">
        <v>0</v>
      </c>
    </row>
    <row r="521" spans="1:12" x14ac:dyDescent="0.35">
      <c r="A521" s="609"/>
      <c r="B521" s="332" t="s">
        <v>150</v>
      </c>
      <c r="C521" s="367">
        <v>0.7679812560420084</v>
      </c>
      <c r="D521" s="367">
        <v>0.99649405855532225</v>
      </c>
      <c r="E521" s="367">
        <v>0</v>
      </c>
      <c r="F521" s="367">
        <v>0.10258644612334086</v>
      </c>
      <c r="G521" s="367">
        <v>0</v>
      </c>
      <c r="H521" s="367">
        <v>0</v>
      </c>
      <c r="I521" s="367">
        <v>0</v>
      </c>
      <c r="J521" s="367">
        <v>1</v>
      </c>
      <c r="K521" s="366">
        <v>0</v>
      </c>
    </row>
    <row r="522" spans="1:12" x14ac:dyDescent="0.35">
      <c r="A522" s="609"/>
      <c r="B522" s="332" t="s">
        <v>151</v>
      </c>
      <c r="C522" s="367">
        <v>7.8216187381148095E-3</v>
      </c>
      <c r="D522" s="367">
        <v>0</v>
      </c>
      <c r="E522" s="367">
        <v>0</v>
      </c>
      <c r="F522" s="367">
        <v>0</v>
      </c>
      <c r="G522" s="367">
        <v>0</v>
      </c>
      <c r="H522" s="367">
        <v>0</v>
      </c>
      <c r="I522" s="367">
        <v>0</v>
      </c>
      <c r="J522" s="367">
        <v>0</v>
      </c>
      <c r="K522" s="366">
        <v>0</v>
      </c>
    </row>
    <row r="523" spans="1:12" x14ac:dyDescent="0.35">
      <c r="A523" s="609"/>
      <c r="B523" s="332" t="s">
        <v>152</v>
      </c>
      <c r="C523" s="367">
        <v>4.4760112456134502E-4</v>
      </c>
      <c r="D523" s="367">
        <v>0</v>
      </c>
      <c r="E523" s="367">
        <v>0</v>
      </c>
      <c r="F523" s="367">
        <v>0</v>
      </c>
      <c r="G523" s="367">
        <v>0</v>
      </c>
      <c r="H523" s="367">
        <v>0</v>
      </c>
      <c r="I523" s="367">
        <v>0</v>
      </c>
      <c r="J523" s="367">
        <v>0</v>
      </c>
      <c r="K523" s="366">
        <v>0</v>
      </c>
    </row>
    <row r="524" spans="1:12" x14ac:dyDescent="0.35">
      <c r="A524" s="609"/>
      <c r="B524" s="332" t="s">
        <v>153</v>
      </c>
      <c r="C524" s="367">
        <v>5.63830686502536E-4</v>
      </c>
      <c r="D524" s="367">
        <v>1.0018306060213889E-3</v>
      </c>
      <c r="E524" s="367">
        <v>0</v>
      </c>
      <c r="F524" s="367">
        <v>0</v>
      </c>
      <c r="G524" s="367">
        <v>0</v>
      </c>
      <c r="H524" s="367">
        <v>0</v>
      </c>
      <c r="I524" s="367">
        <v>0</v>
      </c>
      <c r="J524" s="367">
        <v>0</v>
      </c>
      <c r="K524" s="366">
        <v>0</v>
      </c>
    </row>
    <row r="525" spans="1:12" x14ac:dyDescent="0.35">
      <c r="A525" s="609"/>
      <c r="B525" s="332" t="s">
        <v>154</v>
      </c>
      <c r="C525" s="367">
        <v>3.7794272300737118E-4</v>
      </c>
      <c r="D525" s="367">
        <v>0</v>
      </c>
      <c r="E525" s="367">
        <v>0</v>
      </c>
      <c r="F525" s="367">
        <v>0</v>
      </c>
      <c r="G525" s="367">
        <v>0</v>
      </c>
      <c r="H525" s="367">
        <v>0</v>
      </c>
      <c r="I525" s="367">
        <v>0</v>
      </c>
      <c r="J525" s="367">
        <v>0</v>
      </c>
      <c r="K525" s="366">
        <v>0</v>
      </c>
    </row>
    <row r="526" spans="1:12" x14ac:dyDescent="0.35">
      <c r="A526" s="609"/>
      <c r="B526" s="332" t="s">
        <v>155</v>
      </c>
      <c r="C526" s="367">
        <v>0</v>
      </c>
      <c r="D526" s="367">
        <v>0</v>
      </c>
      <c r="E526" s="367">
        <v>0</v>
      </c>
      <c r="F526" s="367">
        <v>0</v>
      </c>
      <c r="G526" s="367">
        <v>0</v>
      </c>
      <c r="H526" s="367">
        <v>0</v>
      </c>
      <c r="I526" s="367">
        <v>0</v>
      </c>
      <c r="J526" s="367">
        <v>0</v>
      </c>
      <c r="K526" s="366">
        <v>0</v>
      </c>
    </row>
    <row r="527" spans="1:12" x14ac:dyDescent="0.35">
      <c r="A527" s="609"/>
      <c r="B527" s="332" t="s">
        <v>156</v>
      </c>
      <c r="C527" s="367">
        <v>0</v>
      </c>
      <c r="D527" s="367">
        <v>0</v>
      </c>
      <c r="E527" s="367">
        <v>0</v>
      </c>
      <c r="F527" s="367">
        <v>0</v>
      </c>
      <c r="G527" s="367">
        <v>0</v>
      </c>
      <c r="H527" s="367">
        <v>0</v>
      </c>
      <c r="I527" s="367">
        <v>0</v>
      </c>
      <c r="J527" s="367">
        <v>0</v>
      </c>
      <c r="K527" s="366">
        <v>0</v>
      </c>
    </row>
    <row r="528" spans="1:12" x14ac:dyDescent="0.35">
      <c r="A528" s="609"/>
      <c r="B528" s="332" t="s">
        <v>157</v>
      </c>
      <c r="C528" s="366">
        <v>0</v>
      </c>
      <c r="D528" s="366">
        <v>0</v>
      </c>
      <c r="E528" s="366">
        <v>0</v>
      </c>
      <c r="F528" s="367">
        <v>0.89741355387665922</v>
      </c>
      <c r="G528" s="366">
        <v>0</v>
      </c>
      <c r="H528" s="366">
        <v>0</v>
      </c>
      <c r="I528" s="366">
        <v>0</v>
      </c>
      <c r="J528" s="366">
        <v>0</v>
      </c>
      <c r="K528" s="366">
        <v>0</v>
      </c>
    </row>
    <row r="529" spans="1:11" ht="15" thickBot="1" x14ac:dyDescent="0.4">
      <c r="A529" s="610"/>
      <c r="B529" s="83" t="s">
        <v>158</v>
      </c>
      <c r="C529" s="366">
        <v>0</v>
      </c>
      <c r="D529" s="366">
        <v>0</v>
      </c>
      <c r="E529" s="233">
        <v>0.83118147088724648</v>
      </c>
      <c r="F529" s="366">
        <v>0</v>
      </c>
      <c r="G529" s="366">
        <v>0</v>
      </c>
      <c r="H529" s="366">
        <v>0</v>
      </c>
      <c r="I529" s="366">
        <v>0</v>
      </c>
      <c r="J529" s="366">
        <v>0</v>
      </c>
      <c r="K529" s="233">
        <v>0</v>
      </c>
    </row>
    <row r="530" spans="1:11" x14ac:dyDescent="0.35">
      <c r="A530" s="608" t="s">
        <v>96</v>
      </c>
      <c r="B530" s="82" t="s">
        <v>149</v>
      </c>
      <c r="C530" s="232">
        <v>0.20726050472109281</v>
      </c>
      <c r="D530" s="232">
        <v>0</v>
      </c>
      <c r="E530" s="232">
        <v>0.93699709818865606</v>
      </c>
      <c r="F530" s="232">
        <v>0</v>
      </c>
      <c r="G530" s="232">
        <v>1</v>
      </c>
      <c r="H530" s="232">
        <v>1</v>
      </c>
      <c r="I530" s="232">
        <v>1</v>
      </c>
      <c r="J530" s="232">
        <v>0</v>
      </c>
      <c r="K530" s="366">
        <v>0</v>
      </c>
    </row>
    <row r="531" spans="1:11" x14ac:dyDescent="0.35">
      <c r="A531" s="609"/>
      <c r="B531" s="332" t="s">
        <v>150</v>
      </c>
      <c r="C531" s="367">
        <v>0.55565530361749327</v>
      </c>
      <c r="D531" s="367">
        <v>0.82381604315083812</v>
      </c>
      <c r="E531" s="367">
        <v>0</v>
      </c>
      <c r="F531" s="367">
        <v>0.13534357226998725</v>
      </c>
      <c r="G531" s="367">
        <v>0</v>
      </c>
      <c r="H531" s="367">
        <v>0</v>
      </c>
      <c r="I531" s="367">
        <v>0</v>
      </c>
      <c r="J531" s="367">
        <v>1</v>
      </c>
      <c r="K531" s="366">
        <v>0</v>
      </c>
    </row>
    <row r="532" spans="1:11" x14ac:dyDescent="0.35">
      <c r="A532" s="609"/>
      <c r="B532" s="332" t="s">
        <v>151</v>
      </c>
      <c r="C532" s="367">
        <v>0.21221395289808614</v>
      </c>
      <c r="D532" s="367">
        <v>0</v>
      </c>
      <c r="E532" s="367">
        <v>0</v>
      </c>
      <c r="F532" s="367">
        <v>0</v>
      </c>
      <c r="G532" s="367">
        <v>0</v>
      </c>
      <c r="H532" s="367">
        <v>0</v>
      </c>
      <c r="I532" s="367">
        <v>0</v>
      </c>
      <c r="J532" s="367">
        <v>0</v>
      </c>
      <c r="K532" s="366">
        <v>0</v>
      </c>
    </row>
    <row r="533" spans="1:11" x14ac:dyDescent="0.35">
      <c r="A533" s="609"/>
      <c r="B533" s="332" t="s">
        <v>152</v>
      </c>
      <c r="C533" s="367">
        <v>2.4865164467377143E-2</v>
      </c>
      <c r="D533" s="367">
        <v>0.13274217945283076</v>
      </c>
      <c r="E533" s="367">
        <v>0</v>
      </c>
      <c r="F533" s="367">
        <v>0</v>
      </c>
      <c r="G533" s="367">
        <v>0</v>
      </c>
      <c r="H533" s="367">
        <v>0</v>
      </c>
      <c r="I533" s="367">
        <v>0</v>
      </c>
      <c r="J533" s="367">
        <v>0</v>
      </c>
      <c r="K533" s="366">
        <v>0</v>
      </c>
    </row>
    <row r="534" spans="1:11" x14ac:dyDescent="0.35">
      <c r="A534" s="609"/>
      <c r="B534" s="332" t="s">
        <v>153</v>
      </c>
      <c r="C534" s="367">
        <v>5.0742959505587611E-6</v>
      </c>
      <c r="D534" s="367">
        <v>4.3441777396331226E-2</v>
      </c>
      <c r="E534" s="367">
        <v>0</v>
      </c>
      <c r="F534" s="367">
        <v>0</v>
      </c>
      <c r="G534" s="367">
        <v>0</v>
      </c>
      <c r="H534" s="367">
        <v>0</v>
      </c>
      <c r="I534" s="367">
        <v>0</v>
      </c>
      <c r="J534" s="367">
        <v>0</v>
      </c>
      <c r="K534" s="366">
        <v>0</v>
      </c>
    </row>
    <row r="535" spans="1:11" x14ac:dyDescent="0.35">
      <c r="A535" s="609"/>
      <c r="B535" s="332" t="s">
        <v>154</v>
      </c>
      <c r="C535" s="367">
        <v>0</v>
      </c>
      <c r="D535" s="367">
        <v>0</v>
      </c>
      <c r="E535" s="367">
        <v>0</v>
      </c>
      <c r="F535" s="367">
        <v>0</v>
      </c>
      <c r="G535" s="367">
        <v>0</v>
      </c>
      <c r="H535" s="367">
        <v>0</v>
      </c>
      <c r="I535" s="367">
        <v>0</v>
      </c>
      <c r="J535" s="367">
        <v>0</v>
      </c>
      <c r="K535" s="366">
        <v>0</v>
      </c>
    </row>
    <row r="536" spans="1:11" x14ac:dyDescent="0.35">
      <c r="A536" s="609"/>
      <c r="B536" s="332" t="s">
        <v>155</v>
      </c>
      <c r="C536" s="367">
        <v>0</v>
      </c>
      <c r="D536" s="367">
        <v>0</v>
      </c>
      <c r="E536" s="367">
        <v>0</v>
      </c>
      <c r="F536" s="367">
        <v>0</v>
      </c>
      <c r="G536" s="367">
        <v>0</v>
      </c>
      <c r="H536" s="367">
        <v>0</v>
      </c>
      <c r="I536" s="367">
        <v>0</v>
      </c>
      <c r="J536" s="367">
        <v>0</v>
      </c>
      <c r="K536" s="366">
        <v>0</v>
      </c>
    </row>
    <row r="537" spans="1:11" x14ac:dyDescent="0.35">
      <c r="A537" s="609"/>
      <c r="B537" s="332" t="s">
        <v>156</v>
      </c>
      <c r="C537" s="367">
        <v>0</v>
      </c>
      <c r="D537" s="367">
        <v>0</v>
      </c>
      <c r="E537" s="367">
        <v>0</v>
      </c>
      <c r="F537" s="367">
        <v>0</v>
      </c>
      <c r="G537" s="367">
        <v>0</v>
      </c>
      <c r="H537" s="367">
        <v>0</v>
      </c>
      <c r="I537" s="367">
        <v>0</v>
      </c>
      <c r="J537" s="367">
        <v>0</v>
      </c>
      <c r="K537" s="366">
        <v>0</v>
      </c>
    </row>
    <row r="538" spans="1:11" x14ac:dyDescent="0.35">
      <c r="A538" s="609"/>
      <c r="B538" s="332" t="s">
        <v>157</v>
      </c>
      <c r="C538" s="366">
        <v>0</v>
      </c>
      <c r="D538" s="366">
        <v>0</v>
      </c>
      <c r="E538" s="366">
        <v>0</v>
      </c>
      <c r="F538" s="367">
        <v>0.86465642773001272</v>
      </c>
      <c r="G538" s="366">
        <v>0</v>
      </c>
      <c r="H538" s="366">
        <v>0</v>
      </c>
      <c r="I538" s="366">
        <v>0</v>
      </c>
      <c r="J538" s="366">
        <v>0</v>
      </c>
      <c r="K538" s="366">
        <v>0</v>
      </c>
    </row>
    <row r="539" spans="1:11" ht="15" thickBot="1" x14ac:dyDescent="0.4">
      <c r="A539" s="610"/>
      <c r="B539" s="83" t="s">
        <v>158</v>
      </c>
      <c r="C539" s="366">
        <v>0</v>
      </c>
      <c r="D539" s="366">
        <v>0</v>
      </c>
      <c r="E539" s="233">
        <v>6.3002901811343992E-2</v>
      </c>
      <c r="F539" s="366">
        <v>0</v>
      </c>
      <c r="G539" s="366">
        <v>0</v>
      </c>
      <c r="H539" s="366">
        <v>0</v>
      </c>
      <c r="I539" s="366">
        <v>0</v>
      </c>
      <c r="J539" s="366">
        <v>0</v>
      </c>
      <c r="K539" s="233">
        <v>0</v>
      </c>
    </row>
    <row r="540" spans="1:11" x14ac:dyDescent="0.35">
      <c r="A540" s="608" t="s">
        <v>97</v>
      </c>
      <c r="B540" s="82" t="s">
        <v>149</v>
      </c>
      <c r="C540" s="232">
        <v>0.41252958372681664</v>
      </c>
      <c r="D540" s="232">
        <v>1.4067396053465471E-3</v>
      </c>
      <c r="E540" s="232">
        <v>0.41112290313830518</v>
      </c>
      <c r="F540" s="232">
        <v>0</v>
      </c>
      <c r="G540" s="232">
        <v>1</v>
      </c>
      <c r="H540" s="232">
        <v>1</v>
      </c>
      <c r="I540" s="232">
        <v>1</v>
      </c>
      <c r="J540" s="232">
        <v>0</v>
      </c>
      <c r="K540" s="366">
        <v>0</v>
      </c>
    </row>
    <row r="541" spans="1:11" x14ac:dyDescent="0.35">
      <c r="A541" s="609"/>
      <c r="B541" s="332" t="s">
        <v>150</v>
      </c>
      <c r="C541" s="367">
        <v>0.52154681614767417</v>
      </c>
      <c r="D541" s="367">
        <v>0.97197916162625675</v>
      </c>
      <c r="E541" s="367">
        <v>0</v>
      </c>
      <c r="F541" s="367">
        <v>0.2732718597856808</v>
      </c>
      <c r="G541" s="367">
        <v>0</v>
      </c>
      <c r="H541" s="367">
        <v>0</v>
      </c>
      <c r="I541" s="367">
        <v>0</v>
      </c>
      <c r="J541" s="367">
        <v>1</v>
      </c>
      <c r="K541" s="366">
        <v>0</v>
      </c>
    </row>
    <row r="542" spans="1:11" x14ac:dyDescent="0.35">
      <c r="A542" s="609"/>
      <c r="B542" s="332" t="s">
        <v>151</v>
      </c>
      <c r="C542" s="367">
        <v>6.5766877989064748E-2</v>
      </c>
      <c r="D542" s="367">
        <v>1.1987902726418977E-3</v>
      </c>
      <c r="E542" s="367">
        <v>0</v>
      </c>
      <c r="F542" s="367">
        <v>0</v>
      </c>
      <c r="G542" s="367">
        <v>0</v>
      </c>
      <c r="H542" s="367">
        <v>0</v>
      </c>
      <c r="I542" s="367">
        <v>0</v>
      </c>
      <c r="J542" s="367">
        <v>0</v>
      </c>
      <c r="K542" s="366">
        <v>0</v>
      </c>
    </row>
    <row r="543" spans="1:11" x14ac:dyDescent="0.35">
      <c r="A543" s="609"/>
      <c r="B543" s="332" t="s">
        <v>152</v>
      </c>
      <c r="C543" s="367">
        <v>4.2365961136282242E-5</v>
      </c>
      <c r="D543" s="367">
        <v>2.5123949821281601E-2</v>
      </c>
      <c r="E543" s="367">
        <v>0</v>
      </c>
      <c r="F543" s="367">
        <v>0</v>
      </c>
      <c r="G543" s="367">
        <v>0</v>
      </c>
      <c r="H543" s="367">
        <v>0</v>
      </c>
      <c r="I543" s="367">
        <v>0</v>
      </c>
      <c r="J543" s="367">
        <v>0</v>
      </c>
      <c r="K543" s="366">
        <v>0</v>
      </c>
    </row>
    <row r="544" spans="1:11" x14ac:dyDescent="0.35">
      <c r="A544" s="609"/>
      <c r="B544" s="332" t="s">
        <v>153</v>
      </c>
      <c r="C544" s="367">
        <v>2.5866347776083972E-5</v>
      </c>
      <c r="D544" s="367">
        <v>2.9135867447315422E-4</v>
      </c>
      <c r="E544" s="367">
        <v>0</v>
      </c>
      <c r="F544" s="367">
        <v>0</v>
      </c>
      <c r="G544" s="367">
        <v>0</v>
      </c>
      <c r="H544" s="367">
        <v>0</v>
      </c>
      <c r="I544" s="367">
        <v>0</v>
      </c>
      <c r="J544" s="367">
        <v>0</v>
      </c>
      <c r="K544" s="366">
        <v>0</v>
      </c>
    </row>
    <row r="545" spans="1:11" x14ac:dyDescent="0.35">
      <c r="A545" s="609"/>
      <c r="B545" s="332" t="s">
        <v>154</v>
      </c>
      <c r="C545" s="367">
        <v>8.8489827532045031E-5</v>
      </c>
      <c r="D545" s="367">
        <v>0</v>
      </c>
      <c r="E545" s="367">
        <v>0</v>
      </c>
      <c r="F545" s="367">
        <v>0</v>
      </c>
      <c r="G545" s="367">
        <v>0</v>
      </c>
      <c r="H545" s="367">
        <v>0</v>
      </c>
      <c r="I545" s="367">
        <v>0</v>
      </c>
      <c r="J545" s="367">
        <v>0</v>
      </c>
      <c r="K545" s="366">
        <v>0</v>
      </c>
    </row>
    <row r="546" spans="1:11" x14ac:dyDescent="0.35">
      <c r="A546" s="609"/>
      <c r="B546" s="332" t="s">
        <v>155</v>
      </c>
      <c r="C546" s="367">
        <v>0</v>
      </c>
      <c r="D546" s="367">
        <v>0</v>
      </c>
      <c r="E546" s="367">
        <v>0</v>
      </c>
      <c r="F546" s="367">
        <v>0</v>
      </c>
      <c r="G546" s="367">
        <v>0</v>
      </c>
      <c r="H546" s="367">
        <v>0</v>
      </c>
      <c r="I546" s="367">
        <v>0</v>
      </c>
      <c r="J546" s="367">
        <v>0</v>
      </c>
      <c r="K546" s="366">
        <v>0</v>
      </c>
    </row>
    <row r="547" spans="1:11" x14ac:dyDescent="0.35">
      <c r="A547" s="609"/>
      <c r="B547" s="332" t="s">
        <v>156</v>
      </c>
      <c r="C547" s="367">
        <v>0</v>
      </c>
      <c r="D547" s="367">
        <v>0</v>
      </c>
      <c r="E547" s="367">
        <v>0</v>
      </c>
      <c r="F547" s="367">
        <v>0</v>
      </c>
      <c r="G547" s="367">
        <v>0</v>
      </c>
      <c r="H547" s="367">
        <v>0</v>
      </c>
      <c r="I547" s="367">
        <v>0</v>
      </c>
      <c r="J547" s="367">
        <v>0</v>
      </c>
      <c r="K547" s="366">
        <v>0</v>
      </c>
    </row>
    <row r="548" spans="1:11" x14ac:dyDescent="0.35">
      <c r="A548" s="609"/>
      <c r="B548" s="332" t="s">
        <v>157</v>
      </c>
      <c r="C548" s="366">
        <v>0</v>
      </c>
      <c r="D548" s="366">
        <v>0</v>
      </c>
      <c r="E548" s="366">
        <v>0</v>
      </c>
      <c r="F548" s="367">
        <v>0.7267281402143192</v>
      </c>
      <c r="G548" s="366">
        <v>0</v>
      </c>
      <c r="H548" s="366">
        <v>0</v>
      </c>
      <c r="I548" s="366">
        <v>0</v>
      </c>
      <c r="J548" s="366">
        <v>0</v>
      </c>
      <c r="K548" s="366">
        <v>0</v>
      </c>
    </row>
    <row r="549" spans="1:11" ht="15" thickBot="1" x14ac:dyDescent="0.4">
      <c r="A549" s="610"/>
      <c r="B549" s="83" t="s">
        <v>158</v>
      </c>
      <c r="C549" s="366">
        <v>0</v>
      </c>
      <c r="D549" s="366">
        <v>0</v>
      </c>
      <c r="E549" s="233">
        <v>0.58887709686169476</v>
      </c>
      <c r="F549" s="366">
        <v>0</v>
      </c>
      <c r="G549" s="366">
        <v>0</v>
      </c>
      <c r="H549" s="366">
        <v>0</v>
      </c>
      <c r="I549" s="366">
        <v>0</v>
      </c>
      <c r="J549" s="366">
        <v>0</v>
      </c>
      <c r="K549" s="233">
        <v>0</v>
      </c>
    </row>
    <row r="550" spans="1:11" x14ac:dyDescent="0.35">
      <c r="A550" s="608" t="s">
        <v>98</v>
      </c>
      <c r="B550" s="82" t="s">
        <v>149</v>
      </c>
      <c r="C550" s="232">
        <v>0.84956912527283479</v>
      </c>
      <c r="D550" s="232">
        <v>5.9565948045430276E-3</v>
      </c>
      <c r="E550" s="232">
        <v>0.96012931854964079</v>
      </c>
      <c r="F550" s="232">
        <v>0</v>
      </c>
      <c r="G550" s="232">
        <v>0</v>
      </c>
      <c r="H550" s="232">
        <v>1</v>
      </c>
      <c r="I550" s="232">
        <v>1</v>
      </c>
      <c r="J550" s="232">
        <v>0</v>
      </c>
      <c r="K550" s="366">
        <v>0</v>
      </c>
    </row>
    <row r="551" spans="1:11" x14ac:dyDescent="0.35">
      <c r="A551" s="609"/>
      <c r="B551" s="332" t="s">
        <v>150</v>
      </c>
      <c r="C551" s="367">
        <v>0.15039037983565098</v>
      </c>
      <c r="D551" s="367">
        <v>0.99356192573086399</v>
      </c>
      <c r="E551" s="367">
        <v>0</v>
      </c>
      <c r="F551" s="367">
        <v>0</v>
      </c>
      <c r="G551" s="367">
        <v>0</v>
      </c>
      <c r="H551" s="367">
        <v>0</v>
      </c>
      <c r="I551" s="367">
        <v>0</v>
      </c>
      <c r="J551" s="367">
        <v>1</v>
      </c>
      <c r="K551" s="366">
        <v>0</v>
      </c>
    </row>
    <row r="552" spans="1:11" x14ac:dyDescent="0.35">
      <c r="A552" s="609"/>
      <c r="B552" s="332" t="s">
        <v>151</v>
      </c>
      <c r="C552" s="367">
        <v>0</v>
      </c>
      <c r="D552" s="367">
        <v>0</v>
      </c>
      <c r="E552" s="367">
        <v>0</v>
      </c>
      <c r="F552" s="367">
        <v>0</v>
      </c>
      <c r="G552" s="367">
        <v>0</v>
      </c>
      <c r="H552" s="367">
        <v>0</v>
      </c>
      <c r="I552" s="367">
        <v>0</v>
      </c>
      <c r="J552" s="367">
        <v>0</v>
      </c>
      <c r="K552" s="366">
        <v>0</v>
      </c>
    </row>
    <row r="553" spans="1:11" x14ac:dyDescent="0.35">
      <c r="A553" s="609"/>
      <c r="B553" s="332" t="s">
        <v>152</v>
      </c>
      <c r="C553" s="367">
        <v>0</v>
      </c>
      <c r="D553" s="367">
        <v>0</v>
      </c>
      <c r="E553" s="367">
        <v>0</v>
      </c>
      <c r="F553" s="367">
        <v>0</v>
      </c>
      <c r="G553" s="367">
        <v>0</v>
      </c>
      <c r="H553" s="367">
        <v>0</v>
      </c>
      <c r="I553" s="367">
        <v>0</v>
      </c>
      <c r="J553" s="367">
        <v>0</v>
      </c>
      <c r="K553" s="366">
        <v>0</v>
      </c>
    </row>
    <row r="554" spans="1:11" x14ac:dyDescent="0.35">
      <c r="A554" s="609"/>
      <c r="B554" s="332" t="s">
        <v>153</v>
      </c>
      <c r="C554" s="367">
        <v>1.8265868872853851E-6</v>
      </c>
      <c r="D554" s="367">
        <v>4.8147946459302848E-4</v>
      </c>
      <c r="E554" s="367">
        <v>0</v>
      </c>
      <c r="F554" s="367">
        <v>0</v>
      </c>
      <c r="G554" s="367">
        <v>0</v>
      </c>
      <c r="H554" s="367">
        <v>0</v>
      </c>
      <c r="I554" s="367">
        <v>0</v>
      </c>
      <c r="J554" s="367">
        <v>0</v>
      </c>
      <c r="K554" s="366">
        <v>0</v>
      </c>
    </row>
    <row r="555" spans="1:11" x14ac:dyDescent="0.35">
      <c r="A555" s="609"/>
      <c r="B555" s="332" t="s">
        <v>154</v>
      </c>
      <c r="C555" s="367">
        <v>3.8668304627044059E-5</v>
      </c>
      <c r="D555" s="367">
        <v>0</v>
      </c>
      <c r="E555" s="367">
        <v>0</v>
      </c>
      <c r="F555" s="367">
        <v>0</v>
      </c>
      <c r="G555" s="367">
        <v>0</v>
      </c>
      <c r="H555" s="367">
        <v>0</v>
      </c>
      <c r="I555" s="367">
        <v>0</v>
      </c>
      <c r="J555" s="367">
        <v>0</v>
      </c>
      <c r="K555" s="366">
        <v>0</v>
      </c>
    </row>
    <row r="556" spans="1:11" x14ac:dyDescent="0.35">
      <c r="A556" s="609"/>
      <c r="B556" s="332" t="s">
        <v>155</v>
      </c>
      <c r="C556" s="367">
        <v>0</v>
      </c>
      <c r="D556" s="367">
        <v>0</v>
      </c>
      <c r="E556" s="367">
        <v>0</v>
      </c>
      <c r="F556" s="367">
        <v>0</v>
      </c>
      <c r="G556" s="367">
        <v>0</v>
      </c>
      <c r="H556" s="367">
        <v>0</v>
      </c>
      <c r="I556" s="367">
        <v>0</v>
      </c>
      <c r="J556" s="367">
        <v>0</v>
      </c>
      <c r="K556" s="366">
        <v>0</v>
      </c>
    </row>
    <row r="557" spans="1:11" x14ac:dyDescent="0.35">
      <c r="A557" s="609"/>
      <c r="B557" s="332" t="s">
        <v>156</v>
      </c>
      <c r="C557" s="367">
        <v>0</v>
      </c>
      <c r="D557" s="367">
        <v>0</v>
      </c>
      <c r="E557" s="367">
        <v>0</v>
      </c>
      <c r="F557" s="367">
        <v>0</v>
      </c>
      <c r="G557" s="367">
        <v>0</v>
      </c>
      <c r="H557" s="367">
        <v>0</v>
      </c>
      <c r="I557" s="367">
        <v>0</v>
      </c>
      <c r="J557" s="367">
        <v>0</v>
      </c>
      <c r="K557" s="366">
        <v>0</v>
      </c>
    </row>
    <row r="558" spans="1:11" x14ac:dyDescent="0.35">
      <c r="A558" s="609"/>
      <c r="B558" s="332" t="s">
        <v>157</v>
      </c>
      <c r="C558" s="366">
        <v>0</v>
      </c>
      <c r="D558" s="366">
        <v>0</v>
      </c>
      <c r="E558" s="366">
        <v>0</v>
      </c>
      <c r="F558" s="367">
        <v>0</v>
      </c>
      <c r="G558" s="366">
        <v>0</v>
      </c>
      <c r="H558" s="366">
        <v>0</v>
      </c>
      <c r="I558" s="366">
        <v>0</v>
      </c>
      <c r="J558" s="366">
        <v>0</v>
      </c>
      <c r="K558" s="366">
        <v>0</v>
      </c>
    </row>
    <row r="559" spans="1:11" ht="15" thickBot="1" x14ac:dyDescent="0.4">
      <c r="A559" s="610"/>
      <c r="B559" s="83" t="s">
        <v>158</v>
      </c>
      <c r="C559" s="366">
        <v>0</v>
      </c>
      <c r="D559" s="366">
        <v>0</v>
      </c>
      <c r="E559" s="233">
        <v>3.9870681450359088E-2</v>
      </c>
      <c r="F559" s="366">
        <v>0</v>
      </c>
      <c r="G559" s="366">
        <v>0</v>
      </c>
      <c r="H559" s="366">
        <v>0</v>
      </c>
      <c r="I559" s="366">
        <v>0</v>
      </c>
      <c r="J559" s="366">
        <v>0</v>
      </c>
      <c r="K559" s="233">
        <v>0</v>
      </c>
    </row>
    <row r="560" spans="1:11" x14ac:dyDescent="0.35">
      <c r="A560" s="608" t="s">
        <v>163</v>
      </c>
      <c r="B560" s="82" t="s">
        <v>149</v>
      </c>
      <c r="C560" s="232">
        <v>0.50622862726727069</v>
      </c>
      <c r="D560" s="232">
        <v>1.3066373797162524E-2</v>
      </c>
      <c r="E560" s="232">
        <v>0.9582475519167446</v>
      </c>
      <c r="F560" s="232">
        <v>0</v>
      </c>
      <c r="G560" s="232">
        <v>1</v>
      </c>
      <c r="H560" s="232">
        <v>1</v>
      </c>
      <c r="I560" s="232">
        <v>1</v>
      </c>
      <c r="J560" s="232">
        <v>0</v>
      </c>
      <c r="K560" s="366">
        <v>0</v>
      </c>
    </row>
    <row r="561" spans="1:11" x14ac:dyDescent="0.35">
      <c r="A561" s="609"/>
      <c r="B561" s="332" t="s">
        <v>150</v>
      </c>
      <c r="C561" s="367">
        <v>0.46644033722580386</v>
      </c>
      <c r="D561" s="367">
        <v>0.89119363944866103</v>
      </c>
      <c r="E561" s="367">
        <v>0</v>
      </c>
      <c r="F561" s="367">
        <v>0.20113467071531077</v>
      </c>
      <c r="G561" s="367">
        <v>0</v>
      </c>
      <c r="H561" s="367">
        <v>0</v>
      </c>
      <c r="I561" s="367">
        <v>0</v>
      </c>
      <c r="J561" s="367">
        <v>0</v>
      </c>
      <c r="K561" s="366">
        <v>0</v>
      </c>
    </row>
    <row r="562" spans="1:11" x14ac:dyDescent="0.35">
      <c r="A562" s="609"/>
      <c r="B562" s="332" t="s">
        <v>151</v>
      </c>
      <c r="C562" s="367">
        <v>2.467117035884955E-2</v>
      </c>
      <c r="D562" s="367">
        <v>0</v>
      </c>
      <c r="E562" s="367">
        <v>0</v>
      </c>
      <c r="F562" s="367">
        <v>0</v>
      </c>
      <c r="G562" s="367">
        <v>0</v>
      </c>
      <c r="H562" s="367">
        <v>0</v>
      </c>
      <c r="I562" s="367">
        <v>0</v>
      </c>
      <c r="J562" s="367">
        <v>0</v>
      </c>
      <c r="K562" s="366">
        <v>0</v>
      </c>
    </row>
    <row r="563" spans="1:11" x14ac:dyDescent="0.35">
      <c r="A563" s="609"/>
      <c r="B563" s="332" t="s">
        <v>152</v>
      </c>
      <c r="C563" s="367">
        <v>2.4788539027924003E-3</v>
      </c>
      <c r="D563" s="367">
        <v>8.834207349770723E-2</v>
      </c>
      <c r="E563" s="367">
        <v>0</v>
      </c>
      <c r="F563" s="367">
        <v>0</v>
      </c>
      <c r="G563" s="367">
        <v>0</v>
      </c>
      <c r="H563" s="367">
        <v>0</v>
      </c>
      <c r="I563" s="367">
        <v>0</v>
      </c>
      <c r="J563" s="367">
        <v>0</v>
      </c>
      <c r="K563" s="366">
        <v>0</v>
      </c>
    </row>
    <row r="564" spans="1:11" x14ac:dyDescent="0.35">
      <c r="A564" s="609"/>
      <c r="B564" s="332" t="s">
        <v>153</v>
      </c>
      <c r="C564" s="367">
        <v>1.4496088651547401E-4</v>
      </c>
      <c r="D564" s="367">
        <v>7.3979132564691574E-3</v>
      </c>
      <c r="E564" s="367">
        <v>0</v>
      </c>
      <c r="F564" s="367">
        <v>0</v>
      </c>
      <c r="G564" s="367">
        <v>0</v>
      </c>
      <c r="H564" s="367">
        <v>0</v>
      </c>
      <c r="I564" s="367">
        <v>0</v>
      </c>
      <c r="J564" s="367">
        <v>0</v>
      </c>
      <c r="K564" s="366">
        <v>0</v>
      </c>
    </row>
    <row r="565" spans="1:11" x14ac:dyDescent="0.35">
      <c r="A565" s="609"/>
      <c r="B565" s="332" t="s">
        <v>154</v>
      </c>
      <c r="C565" s="367">
        <v>3.6050358767778271E-5</v>
      </c>
      <c r="D565" s="367">
        <v>0</v>
      </c>
      <c r="E565" s="367">
        <v>0</v>
      </c>
      <c r="F565" s="367">
        <v>0</v>
      </c>
      <c r="G565" s="367">
        <v>0</v>
      </c>
      <c r="H565" s="367">
        <v>0</v>
      </c>
      <c r="I565" s="367">
        <v>0</v>
      </c>
      <c r="J565" s="367">
        <v>0</v>
      </c>
      <c r="K565" s="366">
        <v>0</v>
      </c>
    </row>
    <row r="566" spans="1:11" x14ac:dyDescent="0.35">
      <c r="A566" s="609"/>
      <c r="B566" s="332" t="s">
        <v>155</v>
      </c>
      <c r="C566" s="367">
        <v>0</v>
      </c>
      <c r="D566" s="367">
        <v>0</v>
      </c>
      <c r="E566" s="367">
        <v>0</v>
      </c>
      <c r="F566" s="367">
        <v>0</v>
      </c>
      <c r="G566" s="367">
        <v>0</v>
      </c>
      <c r="H566" s="367">
        <v>0</v>
      </c>
      <c r="I566" s="367">
        <v>0</v>
      </c>
      <c r="J566" s="367">
        <v>0</v>
      </c>
      <c r="K566" s="366">
        <v>0</v>
      </c>
    </row>
    <row r="567" spans="1:11" x14ac:dyDescent="0.35">
      <c r="A567" s="609"/>
      <c r="B567" s="332" t="s">
        <v>156</v>
      </c>
      <c r="C567" s="367">
        <v>0</v>
      </c>
      <c r="D567" s="367">
        <v>0</v>
      </c>
      <c r="E567" s="367">
        <v>0</v>
      </c>
      <c r="F567" s="367">
        <v>0</v>
      </c>
      <c r="G567" s="367">
        <v>0</v>
      </c>
      <c r="H567" s="367">
        <v>0</v>
      </c>
      <c r="I567" s="367">
        <v>0</v>
      </c>
      <c r="J567" s="367">
        <v>0</v>
      </c>
      <c r="K567" s="366">
        <v>0</v>
      </c>
    </row>
    <row r="568" spans="1:11" x14ac:dyDescent="0.35">
      <c r="A568" s="609"/>
      <c r="B568" s="332" t="s">
        <v>157</v>
      </c>
      <c r="C568" s="366">
        <v>0</v>
      </c>
      <c r="D568" s="366">
        <v>0</v>
      </c>
      <c r="E568" s="366">
        <v>0</v>
      </c>
      <c r="F568" s="367">
        <v>0.79886532928468923</v>
      </c>
      <c r="G568" s="366">
        <v>0</v>
      </c>
      <c r="H568" s="366">
        <v>0</v>
      </c>
      <c r="I568" s="366">
        <v>0</v>
      </c>
      <c r="J568" s="366">
        <v>0</v>
      </c>
      <c r="K568" s="366">
        <v>0</v>
      </c>
    </row>
    <row r="569" spans="1:11" ht="15" thickBot="1" x14ac:dyDescent="0.4">
      <c r="A569" s="610"/>
      <c r="B569" s="83" t="s">
        <v>158</v>
      </c>
      <c r="C569" s="366">
        <v>0</v>
      </c>
      <c r="D569" s="366">
        <v>0</v>
      </c>
      <c r="E569" s="233">
        <v>4.1752448083255435E-2</v>
      </c>
      <c r="F569" s="366">
        <v>0</v>
      </c>
      <c r="G569" s="366">
        <v>0</v>
      </c>
      <c r="H569" s="366">
        <v>0</v>
      </c>
      <c r="I569" s="366">
        <v>0</v>
      </c>
      <c r="J569" s="366">
        <v>0</v>
      </c>
      <c r="K569" s="233">
        <v>0</v>
      </c>
    </row>
    <row r="570" spans="1:11" x14ac:dyDescent="0.35">
      <c r="A570" s="608" t="s">
        <v>100</v>
      </c>
      <c r="B570" s="82" t="s">
        <v>149</v>
      </c>
      <c r="C570" s="232">
        <v>0.53307891415272668</v>
      </c>
      <c r="D570" s="232">
        <v>5.1511450486085473E-4</v>
      </c>
      <c r="E570" s="232">
        <v>0.166308604025664</v>
      </c>
      <c r="F570" s="232">
        <v>0</v>
      </c>
      <c r="G570" s="232">
        <v>1</v>
      </c>
      <c r="H570" s="232">
        <v>1</v>
      </c>
      <c r="I570" s="232">
        <v>1</v>
      </c>
      <c r="J570" s="232">
        <v>0</v>
      </c>
      <c r="K570" s="366">
        <v>0</v>
      </c>
    </row>
    <row r="571" spans="1:11" x14ac:dyDescent="0.35">
      <c r="A571" s="609"/>
      <c r="B571" s="332" t="s">
        <v>150</v>
      </c>
      <c r="C571" s="367">
        <v>0.46287100068353682</v>
      </c>
      <c r="D571" s="367">
        <v>0.99397466722011996</v>
      </c>
      <c r="E571" s="367">
        <v>0</v>
      </c>
      <c r="F571" s="367">
        <v>0.44877010716765831</v>
      </c>
      <c r="G571" s="367">
        <v>0</v>
      </c>
      <c r="H571" s="367">
        <v>0</v>
      </c>
      <c r="I571" s="367">
        <v>0</v>
      </c>
      <c r="J571" s="367">
        <v>1</v>
      </c>
      <c r="K571" s="366">
        <v>0</v>
      </c>
    </row>
    <row r="572" spans="1:11" x14ac:dyDescent="0.35">
      <c r="A572" s="609"/>
      <c r="B572" s="332" t="s">
        <v>151</v>
      </c>
      <c r="C572" s="367">
        <v>0</v>
      </c>
      <c r="D572" s="367">
        <v>0</v>
      </c>
      <c r="E572" s="367">
        <v>0</v>
      </c>
      <c r="F572" s="367">
        <v>0</v>
      </c>
      <c r="G572" s="367">
        <v>0</v>
      </c>
      <c r="H572" s="367">
        <v>0</v>
      </c>
      <c r="I572" s="367">
        <v>0</v>
      </c>
      <c r="J572" s="367">
        <v>0</v>
      </c>
      <c r="K572" s="366">
        <v>0</v>
      </c>
    </row>
    <row r="573" spans="1:11" x14ac:dyDescent="0.35">
      <c r="A573" s="609"/>
      <c r="B573" s="332" t="s">
        <v>152</v>
      </c>
      <c r="C573" s="367">
        <v>1.1535026300719144E-6</v>
      </c>
      <c r="D573" s="367">
        <v>5.5102182750191063E-3</v>
      </c>
      <c r="E573" s="367">
        <v>0</v>
      </c>
      <c r="F573" s="367">
        <v>0</v>
      </c>
      <c r="G573" s="367">
        <v>0</v>
      </c>
      <c r="H573" s="367">
        <v>0</v>
      </c>
      <c r="I573" s="367">
        <v>0</v>
      </c>
      <c r="J573" s="367">
        <v>0</v>
      </c>
      <c r="K573" s="366">
        <v>0</v>
      </c>
    </row>
    <row r="574" spans="1:11" x14ac:dyDescent="0.35">
      <c r="A574" s="609"/>
      <c r="B574" s="332" t="s">
        <v>153</v>
      </c>
      <c r="C574" s="367">
        <v>1.3682802345783786E-3</v>
      </c>
      <c r="D574" s="367">
        <v>0</v>
      </c>
      <c r="E574" s="367">
        <v>0</v>
      </c>
      <c r="F574" s="367">
        <v>0</v>
      </c>
      <c r="G574" s="367">
        <v>0</v>
      </c>
      <c r="H574" s="367">
        <v>0</v>
      </c>
      <c r="I574" s="367">
        <v>0</v>
      </c>
      <c r="J574" s="367">
        <v>0</v>
      </c>
      <c r="K574" s="366">
        <v>0</v>
      </c>
    </row>
    <row r="575" spans="1:11" x14ac:dyDescent="0.35">
      <c r="A575" s="609"/>
      <c r="B575" s="332" t="s">
        <v>154</v>
      </c>
      <c r="C575" s="367">
        <v>2.6806514265280195E-3</v>
      </c>
      <c r="D575" s="367">
        <v>0</v>
      </c>
      <c r="E575" s="367">
        <v>0</v>
      </c>
      <c r="F575" s="367">
        <v>0</v>
      </c>
      <c r="G575" s="367">
        <v>0</v>
      </c>
      <c r="H575" s="367">
        <v>0</v>
      </c>
      <c r="I575" s="367">
        <v>0</v>
      </c>
      <c r="J575" s="367">
        <v>0</v>
      </c>
      <c r="K575" s="366">
        <v>0</v>
      </c>
    </row>
    <row r="576" spans="1:11" x14ac:dyDescent="0.35">
      <c r="A576" s="609"/>
      <c r="B576" s="332" t="s">
        <v>155</v>
      </c>
      <c r="C576" s="367">
        <v>0</v>
      </c>
      <c r="D576" s="367">
        <v>0</v>
      </c>
      <c r="E576" s="367">
        <v>0</v>
      </c>
      <c r="F576" s="367">
        <v>0</v>
      </c>
      <c r="G576" s="367">
        <v>0</v>
      </c>
      <c r="H576" s="367">
        <v>0</v>
      </c>
      <c r="I576" s="367">
        <v>0</v>
      </c>
      <c r="J576" s="367">
        <v>0</v>
      </c>
      <c r="K576" s="366">
        <v>0</v>
      </c>
    </row>
    <row r="577" spans="1:11" x14ac:dyDescent="0.35">
      <c r="A577" s="609"/>
      <c r="B577" s="332" t="s">
        <v>156</v>
      </c>
      <c r="C577" s="367">
        <v>0</v>
      </c>
      <c r="D577" s="367">
        <v>0</v>
      </c>
      <c r="E577" s="367">
        <v>0</v>
      </c>
      <c r="F577" s="367">
        <v>0</v>
      </c>
      <c r="G577" s="367">
        <v>0</v>
      </c>
      <c r="H577" s="367">
        <v>0</v>
      </c>
      <c r="I577" s="367">
        <v>0</v>
      </c>
      <c r="J577" s="367">
        <v>0</v>
      </c>
      <c r="K577" s="366">
        <v>0</v>
      </c>
    </row>
    <row r="578" spans="1:11" x14ac:dyDescent="0.35">
      <c r="A578" s="609"/>
      <c r="B578" s="332" t="s">
        <v>157</v>
      </c>
      <c r="C578" s="366">
        <v>0</v>
      </c>
      <c r="D578" s="366">
        <v>0</v>
      </c>
      <c r="E578" s="366">
        <v>0</v>
      </c>
      <c r="F578" s="367">
        <v>0.55122989283234181</v>
      </c>
      <c r="G578" s="366">
        <v>0</v>
      </c>
      <c r="H578" s="366">
        <v>0</v>
      </c>
      <c r="I578" s="366">
        <v>0</v>
      </c>
      <c r="J578" s="366">
        <v>0</v>
      </c>
      <c r="K578" s="366">
        <v>0</v>
      </c>
    </row>
    <row r="579" spans="1:11" ht="15" thickBot="1" x14ac:dyDescent="0.4">
      <c r="A579" s="610"/>
      <c r="B579" s="83" t="s">
        <v>158</v>
      </c>
      <c r="C579" s="366">
        <v>0</v>
      </c>
      <c r="D579" s="366">
        <v>0</v>
      </c>
      <c r="E579" s="233">
        <v>0.83369139597433595</v>
      </c>
      <c r="F579" s="366">
        <v>0</v>
      </c>
      <c r="G579" s="366">
        <v>0</v>
      </c>
      <c r="H579" s="366">
        <v>0</v>
      </c>
      <c r="I579" s="366">
        <v>0</v>
      </c>
      <c r="J579" s="366">
        <v>0</v>
      </c>
      <c r="K579" s="233">
        <v>0</v>
      </c>
    </row>
    <row r="580" spans="1:11" x14ac:dyDescent="0.35">
      <c r="A580" s="608" t="s">
        <v>101</v>
      </c>
      <c r="B580" s="82" t="s">
        <v>149</v>
      </c>
      <c r="C580" s="232">
        <v>0.44172916909957072</v>
      </c>
      <c r="D580" s="232">
        <v>8.9801176666139213E-3</v>
      </c>
      <c r="E580" s="232">
        <v>0.8362164938163732</v>
      </c>
      <c r="F580" s="232">
        <v>0</v>
      </c>
      <c r="G580" s="232">
        <v>0</v>
      </c>
      <c r="H580" s="232">
        <v>1</v>
      </c>
      <c r="I580" s="232">
        <v>1</v>
      </c>
      <c r="J580" s="232">
        <v>0</v>
      </c>
      <c r="K580" s="366">
        <v>0</v>
      </c>
    </row>
    <row r="581" spans="1:11" x14ac:dyDescent="0.35">
      <c r="A581" s="609"/>
      <c r="B581" s="332" t="s">
        <v>150</v>
      </c>
      <c r="C581" s="367">
        <v>0.55507555759948468</v>
      </c>
      <c r="D581" s="367">
        <v>0.93439808799372781</v>
      </c>
      <c r="E581" s="367">
        <v>0</v>
      </c>
      <c r="F581" s="367">
        <v>0.47298812800889578</v>
      </c>
      <c r="G581" s="367">
        <v>0</v>
      </c>
      <c r="H581" s="367">
        <v>0</v>
      </c>
      <c r="I581" s="367">
        <v>0</v>
      </c>
      <c r="J581" s="367">
        <v>1</v>
      </c>
      <c r="K581" s="366">
        <v>0</v>
      </c>
    </row>
    <row r="582" spans="1:11" x14ac:dyDescent="0.35">
      <c r="A582" s="609"/>
      <c r="B582" s="332" t="s">
        <v>151</v>
      </c>
      <c r="C582" s="367">
        <v>0</v>
      </c>
      <c r="D582" s="367">
        <v>0</v>
      </c>
      <c r="E582" s="367">
        <v>0</v>
      </c>
      <c r="F582" s="367">
        <v>0</v>
      </c>
      <c r="G582" s="367">
        <v>0</v>
      </c>
      <c r="H582" s="367">
        <v>0</v>
      </c>
      <c r="I582" s="367">
        <v>0</v>
      </c>
      <c r="J582" s="367">
        <v>0</v>
      </c>
      <c r="K582" s="366">
        <v>0</v>
      </c>
    </row>
    <row r="583" spans="1:11" x14ac:dyDescent="0.35">
      <c r="A583" s="609"/>
      <c r="B583" s="332" t="s">
        <v>152</v>
      </c>
      <c r="C583" s="367">
        <v>9.4269680047011394E-4</v>
      </c>
      <c r="D583" s="367">
        <v>2.8789430382393524E-2</v>
      </c>
      <c r="E583" s="367">
        <v>0</v>
      </c>
      <c r="F583" s="367">
        <v>0</v>
      </c>
      <c r="G583" s="367">
        <v>0</v>
      </c>
      <c r="H583" s="367">
        <v>0</v>
      </c>
      <c r="I583" s="367">
        <v>0</v>
      </c>
      <c r="J583" s="367">
        <v>0</v>
      </c>
      <c r="K583" s="366">
        <v>0</v>
      </c>
    </row>
    <row r="584" spans="1:11" x14ac:dyDescent="0.35">
      <c r="A584" s="609"/>
      <c r="B584" s="332" t="s">
        <v>153</v>
      </c>
      <c r="C584" s="367">
        <v>2.1988669888453509E-3</v>
      </c>
      <c r="D584" s="367">
        <v>2.7832363957264732E-2</v>
      </c>
      <c r="E584" s="367">
        <v>0</v>
      </c>
      <c r="F584" s="367">
        <v>0</v>
      </c>
      <c r="G584" s="367">
        <v>0</v>
      </c>
      <c r="H584" s="367">
        <v>0</v>
      </c>
      <c r="I584" s="367">
        <v>0</v>
      </c>
      <c r="J584" s="367">
        <v>0</v>
      </c>
      <c r="K584" s="366">
        <v>0</v>
      </c>
    </row>
    <row r="585" spans="1:11" x14ac:dyDescent="0.35">
      <c r="A585" s="609"/>
      <c r="B585" s="332" t="s">
        <v>154</v>
      </c>
      <c r="C585" s="367">
        <v>5.3709511629132693E-5</v>
      </c>
      <c r="D585" s="367">
        <v>0</v>
      </c>
      <c r="E585" s="367">
        <v>0</v>
      </c>
      <c r="F585" s="367">
        <v>0</v>
      </c>
      <c r="G585" s="367">
        <v>0</v>
      </c>
      <c r="H585" s="367">
        <v>0</v>
      </c>
      <c r="I585" s="367">
        <v>0</v>
      </c>
      <c r="J585" s="367">
        <v>0</v>
      </c>
      <c r="K585" s="366">
        <v>0</v>
      </c>
    </row>
    <row r="586" spans="1:11" x14ac:dyDescent="0.35">
      <c r="A586" s="609"/>
      <c r="B586" s="332" t="s">
        <v>155</v>
      </c>
      <c r="C586" s="367">
        <v>0</v>
      </c>
      <c r="D586" s="367">
        <v>0</v>
      </c>
      <c r="E586" s="367">
        <v>0</v>
      </c>
      <c r="F586" s="367">
        <v>0</v>
      </c>
      <c r="G586" s="367">
        <v>0</v>
      </c>
      <c r="H586" s="367">
        <v>0</v>
      </c>
      <c r="I586" s="367">
        <v>0</v>
      </c>
      <c r="J586" s="367">
        <v>0</v>
      </c>
      <c r="K586" s="366">
        <v>0</v>
      </c>
    </row>
    <row r="587" spans="1:11" x14ac:dyDescent="0.35">
      <c r="A587" s="609"/>
      <c r="B587" s="332" t="s">
        <v>156</v>
      </c>
      <c r="C587" s="367">
        <v>0</v>
      </c>
      <c r="D587" s="367">
        <v>0</v>
      </c>
      <c r="E587" s="367">
        <v>0</v>
      </c>
      <c r="F587" s="367">
        <v>0</v>
      </c>
      <c r="G587" s="367">
        <v>0</v>
      </c>
      <c r="H587" s="367">
        <v>0</v>
      </c>
      <c r="I587" s="367">
        <v>0</v>
      </c>
      <c r="J587" s="367">
        <v>0</v>
      </c>
      <c r="K587" s="366">
        <v>0</v>
      </c>
    </row>
    <row r="588" spans="1:11" x14ac:dyDescent="0.35">
      <c r="A588" s="609"/>
      <c r="B588" s="332" t="s">
        <v>157</v>
      </c>
      <c r="C588" s="366">
        <v>0</v>
      </c>
      <c r="D588" s="366">
        <v>0</v>
      </c>
      <c r="E588" s="366">
        <v>0</v>
      </c>
      <c r="F588" s="367">
        <v>0.52701187199110411</v>
      </c>
      <c r="G588" s="366">
        <v>0</v>
      </c>
      <c r="H588" s="366">
        <v>0</v>
      </c>
      <c r="I588" s="366">
        <v>0</v>
      </c>
      <c r="J588" s="366">
        <v>0</v>
      </c>
      <c r="K588" s="366">
        <v>0</v>
      </c>
    </row>
    <row r="589" spans="1:11" ht="15" thickBot="1" x14ac:dyDescent="0.4">
      <c r="A589" s="610"/>
      <c r="B589" s="83" t="s">
        <v>158</v>
      </c>
      <c r="C589" s="366">
        <v>0</v>
      </c>
      <c r="D589" s="366">
        <v>0</v>
      </c>
      <c r="E589" s="233">
        <v>0.16378350618362669</v>
      </c>
      <c r="F589" s="366">
        <v>0</v>
      </c>
      <c r="G589" s="366">
        <v>0</v>
      </c>
      <c r="H589" s="366">
        <v>0</v>
      </c>
      <c r="I589" s="366">
        <v>0</v>
      </c>
      <c r="J589" s="366">
        <v>0</v>
      </c>
      <c r="K589" s="233">
        <v>0</v>
      </c>
    </row>
    <row r="590" spans="1:11" x14ac:dyDescent="0.35">
      <c r="A590" s="608" t="s">
        <v>102</v>
      </c>
      <c r="B590" s="82" t="s">
        <v>149</v>
      </c>
      <c r="C590" s="232">
        <v>0.57678968948843734</v>
      </c>
      <c r="D590" s="232">
        <v>4.6505731574435829E-4</v>
      </c>
      <c r="E590" s="232">
        <v>0.31775928277523485</v>
      </c>
      <c r="F590" s="232">
        <v>0</v>
      </c>
      <c r="G590" s="232">
        <v>1</v>
      </c>
      <c r="H590" s="232">
        <v>1</v>
      </c>
      <c r="I590" s="232">
        <v>1</v>
      </c>
      <c r="J590" s="232">
        <v>0</v>
      </c>
      <c r="K590" s="366">
        <v>0</v>
      </c>
    </row>
    <row r="591" spans="1:11" x14ac:dyDescent="0.35">
      <c r="A591" s="609"/>
      <c r="B591" s="332" t="s">
        <v>150</v>
      </c>
      <c r="C591" s="367">
        <v>0.42238124769297597</v>
      </c>
      <c r="D591" s="367">
        <v>0.98896562856961445</v>
      </c>
      <c r="E591" s="367">
        <v>0</v>
      </c>
      <c r="F591" s="367">
        <v>5.6946644587028736E-2</v>
      </c>
      <c r="G591" s="367">
        <v>0</v>
      </c>
      <c r="H591" s="367">
        <v>0</v>
      </c>
      <c r="I591" s="367">
        <v>0</v>
      </c>
      <c r="J591" s="367">
        <v>1</v>
      </c>
      <c r="K591" s="366">
        <v>0</v>
      </c>
    </row>
    <row r="592" spans="1:11" x14ac:dyDescent="0.35">
      <c r="A592" s="609"/>
      <c r="B592" s="332" t="s">
        <v>151</v>
      </c>
      <c r="C592" s="367">
        <v>0</v>
      </c>
      <c r="D592" s="367">
        <v>0</v>
      </c>
      <c r="E592" s="367">
        <v>0</v>
      </c>
      <c r="F592" s="367">
        <v>0</v>
      </c>
      <c r="G592" s="367">
        <v>0</v>
      </c>
      <c r="H592" s="367">
        <v>0</v>
      </c>
      <c r="I592" s="367">
        <v>0</v>
      </c>
      <c r="J592" s="367">
        <v>0</v>
      </c>
      <c r="K592" s="366">
        <v>0</v>
      </c>
    </row>
    <row r="593" spans="1:11" x14ac:dyDescent="0.35">
      <c r="A593" s="609"/>
      <c r="B593" s="332" t="s">
        <v>152</v>
      </c>
      <c r="C593" s="367">
        <v>4.2794684065154454E-4</v>
      </c>
      <c r="D593" s="367">
        <v>1.0139829296118901E-2</v>
      </c>
      <c r="E593" s="367">
        <v>0</v>
      </c>
      <c r="F593" s="367">
        <v>0</v>
      </c>
      <c r="G593" s="367">
        <v>0</v>
      </c>
      <c r="H593" s="367">
        <v>0</v>
      </c>
      <c r="I593" s="367">
        <v>0</v>
      </c>
      <c r="J593" s="367">
        <v>0</v>
      </c>
      <c r="K593" s="366">
        <v>0</v>
      </c>
    </row>
    <row r="594" spans="1:11" x14ac:dyDescent="0.35">
      <c r="A594" s="609"/>
      <c r="B594" s="332" t="s">
        <v>153</v>
      </c>
      <c r="C594" s="367">
        <v>1.9180108408085083E-4</v>
      </c>
      <c r="D594" s="367">
        <v>4.2948481852235552E-4</v>
      </c>
      <c r="E594" s="367">
        <v>0</v>
      </c>
      <c r="F594" s="367">
        <v>0</v>
      </c>
      <c r="G594" s="367">
        <v>0</v>
      </c>
      <c r="H594" s="367">
        <v>0</v>
      </c>
      <c r="I594" s="367">
        <v>0</v>
      </c>
      <c r="J594" s="367">
        <v>0</v>
      </c>
      <c r="K594" s="366">
        <v>0</v>
      </c>
    </row>
    <row r="595" spans="1:11" x14ac:dyDescent="0.35">
      <c r="A595" s="609"/>
      <c r="B595" s="332" t="s">
        <v>154</v>
      </c>
      <c r="C595" s="367">
        <v>2.0931489385430578E-4</v>
      </c>
      <c r="D595" s="367">
        <v>0</v>
      </c>
      <c r="E595" s="367">
        <v>0</v>
      </c>
      <c r="F595" s="367">
        <v>0</v>
      </c>
      <c r="G595" s="367">
        <v>0</v>
      </c>
      <c r="H595" s="367">
        <v>0</v>
      </c>
      <c r="I595" s="367">
        <v>0</v>
      </c>
      <c r="J595" s="367">
        <v>0</v>
      </c>
      <c r="K595" s="366">
        <v>0</v>
      </c>
    </row>
    <row r="596" spans="1:11" x14ac:dyDescent="0.35">
      <c r="A596" s="609"/>
      <c r="B596" s="332" t="s">
        <v>155</v>
      </c>
      <c r="C596" s="367">
        <v>0</v>
      </c>
      <c r="D596" s="367">
        <v>0</v>
      </c>
      <c r="E596" s="367">
        <v>0</v>
      </c>
      <c r="F596" s="367">
        <v>0</v>
      </c>
      <c r="G596" s="367">
        <v>0</v>
      </c>
      <c r="H596" s="367">
        <v>0</v>
      </c>
      <c r="I596" s="367">
        <v>0</v>
      </c>
      <c r="J596" s="367">
        <v>0</v>
      </c>
      <c r="K596" s="366">
        <v>0</v>
      </c>
    </row>
    <row r="597" spans="1:11" x14ac:dyDescent="0.35">
      <c r="A597" s="609"/>
      <c r="B597" s="332" t="s">
        <v>156</v>
      </c>
      <c r="C597" s="367">
        <v>0</v>
      </c>
      <c r="D597" s="367">
        <v>0</v>
      </c>
      <c r="E597" s="367">
        <v>0</v>
      </c>
      <c r="F597" s="367">
        <v>0</v>
      </c>
      <c r="G597" s="367">
        <v>0</v>
      </c>
      <c r="H597" s="367">
        <v>0</v>
      </c>
      <c r="I597" s="367">
        <v>0</v>
      </c>
      <c r="J597" s="367">
        <v>0</v>
      </c>
      <c r="K597" s="366">
        <v>0</v>
      </c>
    </row>
    <row r="598" spans="1:11" x14ac:dyDescent="0.35">
      <c r="A598" s="609"/>
      <c r="B598" s="332" t="s">
        <v>157</v>
      </c>
      <c r="C598" s="366">
        <v>0</v>
      </c>
      <c r="D598" s="366">
        <v>0</v>
      </c>
      <c r="E598" s="366">
        <v>0</v>
      </c>
      <c r="F598" s="367">
        <v>0.94305335541297119</v>
      </c>
      <c r="G598" s="366">
        <v>0</v>
      </c>
      <c r="H598" s="366">
        <v>0</v>
      </c>
      <c r="I598" s="366">
        <v>0</v>
      </c>
      <c r="J598" s="366">
        <v>0</v>
      </c>
      <c r="K598" s="366">
        <v>0</v>
      </c>
    </row>
    <row r="599" spans="1:11" ht="15" thickBot="1" x14ac:dyDescent="0.4">
      <c r="A599" s="610"/>
      <c r="B599" s="83" t="s">
        <v>158</v>
      </c>
      <c r="C599" s="366">
        <v>0</v>
      </c>
      <c r="D599" s="366">
        <v>0</v>
      </c>
      <c r="E599" s="233">
        <v>0.6822407172247652</v>
      </c>
      <c r="F599" s="366">
        <v>0</v>
      </c>
      <c r="G599" s="366">
        <v>0</v>
      </c>
      <c r="H599" s="366">
        <v>0</v>
      </c>
      <c r="I599" s="366">
        <v>0</v>
      </c>
      <c r="J599" s="366">
        <v>0</v>
      </c>
      <c r="K599" s="233">
        <v>0</v>
      </c>
    </row>
    <row r="600" spans="1:11" x14ac:dyDescent="0.35">
      <c r="A600" s="608" t="s">
        <v>103</v>
      </c>
      <c r="B600" s="82" t="s">
        <v>149</v>
      </c>
      <c r="C600" s="232">
        <v>0.23588605734184051</v>
      </c>
      <c r="D600" s="232">
        <v>4.6962006285325122E-4</v>
      </c>
      <c r="E600" s="232">
        <v>0.6626081286051364</v>
      </c>
      <c r="F600" s="232">
        <v>0</v>
      </c>
      <c r="G600" s="232">
        <v>1</v>
      </c>
      <c r="H600" s="232">
        <v>1</v>
      </c>
      <c r="I600" s="232">
        <v>1</v>
      </c>
      <c r="J600" s="232">
        <v>0</v>
      </c>
      <c r="K600" s="366">
        <v>0</v>
      </c>
    </row>
    <row r="601" spans="1:11" x14ac:dyDescent="0.35">
      <c r="A601" s="609"/>
      <c r="B601" s="332" t="s">
        <v>150</v>
      </c>
      <c r="C601" s="367">
        <v>0.75995863815393083</v>
      </c>
      <c r="D601" s="367">
        <v>0.91766297285317355</v>
      </c>
      <c r="E601" s="367">
        <v>0</v>
      </c>
      <c r="F601" s="367">
        <v>0.16321963555417199</v>
      </c>
      <c r="G601" s="367">
        <v>0</v>
      </c>
      <c r="H601" s="367">
        <v>0</v>
      </c>
      <c r="I601" s="367">
        <v>0</v>
      </c>
      <c r="J601" s="367">
        <v>1</v>
      </c>
      <c r="K601" s="366">
        <v>0</v>
      </c>
    </row>
    <row r="602" spans="1:11" x14ac:dyDescent="0.35">
      <c r="A602" s="609"/>
      <c r="B602" s="332" t="s">
        <v>151</v>
      </c>
      <c r="C602" s="367">
        <v>2.6013564975678784E-3</v>
      </c>
      <c r="D602" s="367">
        <v>9.0969098885906635E-4</v>
      </c>
      <c r="E602" s="367">
        <v>0</v>
      </c>
      <c r="F602" s="367">
        <v>0</v>
      </c>
      <c r="G602" s="367">
        <v>0</v>
      </c>
      <c r="H602" s="367">
        <v>0</v>
      </c>
      <c r="I602" s="367">
        <v>0</v>
      </c>
      <c r="J602" s="367">
        <v>0</v>
      </c>
      <c r="K602" s="366">
        <v>0</v>
      </c>
    </row>
    <row r="603" spans="1:11" x14ac:dyDescent="0.35">
      <c r="A603" s="609"/>
      <c r="B603" s="332" t="s">
        <v>152</v>
      </c>
      <c r="C603" s="367">
        <v>8.3798004621272033E-5</v>
      </c>
      <c r="D603" s="367">
        <v>7.6578099798350965E-2</v>
      </c>
      <c r="E603" s="367">
        <v>0</v>
      </c>
      <c r="F603" s="367">
        <v>0</v>
      </c>
      <c r="G603" s="367">
        <v>0</v>
      </c>
      <c r="H603" s="367">
        <v>0</v>
      </c>
      <c r="I603" s="367">
        <v>0</v>
      </c>
      <c r="J603" s="367">
        <v>0</v>
      </c>
      <c r="K603" s="366">
        <v>0</v>
      </c>
    </row>
    <row r="604" spans="1:11" x14ac:dyDescent="0.35">
      <c r="A604" s="609"/>
      <c r="B604" s="332" t="s">
        <v>153</v>
      </c>
      <c r="C604" s="367">
        <v>1.2684959302472593E-3</v>
      </c>
      <c r="D604" s="367">
        <v>4.3796162967630909E-3</v>
      </c>
      <c r="E604" s="367">
        <v>0</v>
      </c>
      <c r="F604" s="367">
        <v>0</v>
      </c>
      <c r="G604" s="367">
        <v>0</v>
      </c>
      <c r="H604" s="367">
        <v>0</v>
      </c>
      <c r="I604" s="367">
        <v>0</v>
      </c>
      <c r="J604" s="367">
        <v>0</v>
      </c>
      <c r="K604" s="366">
        <v>0</v>
      </c>
    </row>
    <row r="605" spans="1:11" x14ac:dyDescent="0.35">
      <c r="A605" s="609"/>
      <c r="B605" s="332" t="s">
        <v>154</v>
      </c>
      <c r="C605" s="367">
        <v>2.0165407179237199E-4</v>
      </c>
      <c r="D605" s="367">
        <v>0</v>
      </c>
      <c r="E605" s="367">
        <v>0</v>
      </c>
      <c r="F605" s="367">
        <v>0</v>
      </c>
      <c r="G605" s="367">
        <v>0</v>
      </c>
      <c r="H605" s="367">
        <v>0</v>
      </c>
      <c r="I605" s="367">
        <v>0</v>
      </c>
      <c r="J605" s="367">
        <v>0</v>
      </c>
      <c r="K605" s="366">
        <v>0</v>
      </c>
    </row>
    <row r="606" spans="1:11" x14ac:dyDescent="0.35">
      <c r="A606" s="609"/>
      <c r="B606" s="332" t="s">
        <v>155</v>
      </c>
      <c r="C606" s="367">
        <v>0</v>
      </c>
      <c r="D606" s="367">
        <v>0</v>
      </c>
      <c r="E606" s="367">
        <v>0</v>
      </c>
      <c r="F606" s="367">
        <v>0</v>
      </c>
      <c r="G606" s="367">
        <v>0</v>
      </c>
      <c r="H606" s="367">
        <v>0</v>
      </c>
      <c r="I606" s="367">
        <v>0</v>
      </c>
      <c r="J606" s="367">
        <v>0</v>
      </c>
      <c r="K606" s="366">
        <v>0</v>
      </c>
    </row>
    <row r="607" spans="1:11" x14ac:dyDescent="0.35">
      <c r="A607" s="609"/>
      <c r="B607" s="332" t="s">
        <v>156</v>
      </c>
      <c r="C607" s="367">
        <v>0</v>
      </c>
      <c r="D607" s="367">
        <v>0</v>
      </c>
      <c r="E607" s="367">
        <v>0</v>
      </c>
      <c r="F607" s="367">
        <v>0</v>
      </c>
      <c r="G607" s="367">
        <v>0</v>
      </c>
      <c r="H607" s="367">
        <v>0</v>
      </c>
      <c r="I607" s="367">
        <v>0</v>
      </c>
      <c r="J607" s="367">
        <v>0</v>
      </c>
      <c r="K607" s="366">
        <v>0</v>
      </c>
    </row>
    <row r="608" spans="1:11" x14ac:dyDescent="0.35">
      <c r="A608" s="609"/>
      <c r="B608" s="332" t="s">
        <v>157</v>
      </c>
      <c r="C608" s="366">
        <v>0</v>
      </c>
      <c r="D608" s="366">
        <v>0</v>
      </c>
      <c r="E608" s="366">
        <v>0</v>
      </c>
      <c r="F608" s="367">
        <v>0.83678036444582804</v>
      </c>
      <c r="G608" s="366">
        <v>0</v>
      </c>
      <c r="H608" s="366">
        <v>0</v>
      </c>
      <c r="I608" s="366">
        <v>0</v>
      </c>
      <c r="J608" s="366">
        <v>0</v>
      </c>
      <c r="K608" s="366">
        <v>0</v>
      </c>
    </row>
    <row r="609" spans="1:11" ht="15" thickBot="1" x14ac:dyDescent="0.4">
      <c r="A609" s="610"/>
      <c r="B609" s="83" t="s">
        <v>158</v>
      </c>
      <c r="C609" s="366">
        <v>0</v>
      </c>
      <c r="D609" s="366">
        <v>0</v>
      </c>
      <c r="E609" s="233">
        <v>0.33739187139486365</v>
      </c>
      <c r="F609" s="366">
        <v>0</v>
      </c>
      <c r="G609" s="366">
        <v>0</v>
      </c>
      <c r="H609" s="366">
        <v>0</v>
      </c>
      <c r="I609" s="366">
        <v>0</v>
      </c>
      <c r="J609" s="366">
        <v>0</v>
      </c>
      <c r="K609" s="233">
        <v>0</v>
      </c>
    </row>
    <row r="610" spans="1:11" x14ac:dyDescent="0.35">
      <c r="A610" s="608" t="s">
        <v>104</v>
      </c>
      <c r="B610" s="82" t="s">
        <v>149</v>
      </c>
      <c r="C610" s="232">
        <v>0.46386896825261703</v>
      </c>
      <c r="D610" s="232">
        <v>0</v>
      </c>
      <c r="E610" s="232">
        <v>0.20080945137600265</v>
      </c>
      <c r="F610" s="232">
        <v>0</v>
      </c>
      <c r="G610" s="232">
        <v>1</v>
      </c>
      <c r="H610" s="232">
        <v>1</v>
      </c>
      <c r="I610" s="232">
        <v>1</v>
      </c>
      <c r="J610" s="232">
        <v>0</v>
      </c>
      <c r="K610" s="366">
        <v>0</v>
      </c>
    </row>
    <row r="611" spans="1:11" x14ac:dyDescent="0.35">
      <c r="A611" s="609"/>
      <c r="B611" s="332" t="s">
        <v>150</v>
      </c>
      <c r="C611" s="367">
        <v>0.51827903248360907</v>
      </c>
      <c r="D611" s="367">
        <v>0.98018920389380393</v>
      </c>
      <c r="E611" s="367">
        <v>0</v>
      </c>
      <c r="F611" s="367">
        <v>0.26043906302403141</v>
      </c>
      <c r="G611" s="367">
        <v>0</v>
      </c>
      <c r="H611" s="367">
        <v>0</v>
      </c>
      <c r="I611" s="367">
        <v>0</v>
      </c>
      <c r="J611" s="367">
        <v>1</v>
      </c>
      <c r="K611" s="366">
        <v>0</v>
      </c>
    </row>
    <row r="612" spans="1:11" x14ac:dyDescent="0.35">
      <c r="A612" s="609"/>
      <c r="B612" s="332" t="s">
        <v>151</v>
      </c>
      <c r="C612" s="367">
        <v>1.3116620654253482E-2</v>
      </c>
      <c r="D612" s="367">
        <v>1.5800194831460841E-4</v>
      </c>
      <c r="E612" s="367">
        <v>0</v>
      </c>
      <c r="F612" s="367">
        <v>0</v>
      </c>
      <c r="G612" s="367">
        <v>0</v>
      </c>
      <c r="H612" s="367">
        <v>0</v>
      </c>
      <c r="I612" s="367">
        <v>0</v>
      </c>
      <c r="J612" s="367">
        <v>0</v>
      </c>
      <c r="K612" s="366">
        <v>0</v>
      </c>
    </row>
    <row r="613" spans="1:11" x14ac:dyDescent="0.35">
      <c r="A613" s="609"/>
      <c r="B613" s="332" t="s">
        <v>152</v>
      </c>
      <c r="C613" s="367">
        <v>3.5274805495457639E-3</v>
      </c>
      <c r="D613" s="367">
        <v>1.8063755507711225E-2</v>
      </c>
      <c r="E613" s="367">
        <v>0</v>
      </c>
      <c r="F613" s="367">
        <v>0</v>
      </c>
      <c r="G613" s="367">
        <v>0</v>
      </c>
      <c r="H613" s="367">
        <v>0</v>
      </c>
      <c r="I613" s="367">
        <v>0</v>
      </c>
      <c r="J613" s="367">
        <v>0</v>
      </c>
      <c r="K613" s="366">
        <v>0</v>
      </c>
    </row>
    <row r="614" spans="1:11" x14ac:dyDescent="0.35">
      <c r="A614" s="609"/>
      <c r="B614" s="332" t="s">
        <v>153</v>
      </c>
      <c r="C614" s="367">
        <v>9.4438757177087943E-4</v>
      </c>
      <c r="D614" s="367">
        <v>1.5890386501702315E-3</v>
      </c>
      <c r="E614" s="367">
        <v>0</v>
      </c>
      <c r="F614" s="367">
        <v>0</v>
      </c>
      <c r="G614" s="367">
        <v>0</v>
      </c>
      <c r="H614" s="367">
        <v>0</v>
      </c>
      <c r="I614" s="367">
        <v>0</v>
      </c>
      <c r="J614" s="367">
        <v>0</v>
      </c>
      <c r="K614" s="366">
        <v>0</v>
      </c>
    </row>
    <row r="615" spans="1:11" x14ac:dyDescent="0.35">
      <c r="A615" s="609"/>
      <c r="B615" s="332" t="s">
        <v>154</v>
      </c>
      <c r="C615" s="367">
        <v>2.6351048820370891E-4</v>
      </c>
      <c r="D615" s="367">
        <v>0</v>
      </c>
      <c r="E615" s="367">
        <v>0</v>
      </c>
      <c r="F615" s="367">
        <v>0</v>
      </c>
      <c r="G615" s="367">
        <v>0</v>
      </c>
      <c r="H615" s="367">
        <v>0</v>
      </c>
      <c r="I615" s="367">
        <v>0</v>
      </c>
      <c r="J615" s="367">
        <v>0</v>
      </c>
      <c r="K615" s="366">
        <v>0</v>
      </c>
    </row>
    <row r="616" spans="1:11" x14ac:dyDescent="0.35">
      <c r="A616" s="609"/>
      <c r="B616" s="332" t="s">
        <v>155</v>
      </c>
      <c r="C616" s="367">
        <v>0</v>
      </c>
      <c r="D616" s="367">
        <v>0</v>
      </c>
      <c r="E616" s="367">
        <v>0</v>
      </c>
      <c r="F616" s="367">
        <v>0</v>
      </c>
      <c r="G616" s="367">
        <v>0</v>
      </c>
      <c r="H616" s="367">
        <v>0</v>
      </c>
      <c r="I616" s="367">
        <v>0</v>
      </c>
      <c r="J616" s="367">
        <v>0</v>
      </c>
      <c r="K616" s="366">
        <v>0</v>
      </c>
    </row>
    <row r="617" spans="1:11" x14ac:dyDescent="0.35">
      <c r="A617" s="609"/>
      <c r="B617" s="332" t="s">
        <v>156</v>
      </c>
      <c r="C617" s="367">
        <v>0</v>
      </c>
      <c r="D617" s="367">
        <v>0</v>
      </c>
      <c r="E617" s="367">
        <v>0</v>
      </c>
      <c r="F617" s="367">
        <v>0</v>
      </c>
      <c r="G617" s="367">
        <v>0</v>
      </c>
      <c r="H617" s="367">
        <v>0</v>
      </c>
      <c r="I617" s="367">
        <v>0</v>
      </c>
      <c r="J617" s="367">
        <v>0</v>
      </c>
      <c r="K617" s="366">
        <v>0</v>
      </c>
    </row>
    <row r="618" spans="1:11" x14ac:dyDescent="0.35">
      <c r="A618" s="609"/>
      <c r="B618" s="332" t="s">
        <v>157</v>
      </c>
      <c r="C618" s="366">
        <v>0</v>
      </c>
      <c r="D618" s="366">
        <v>0</v>
      </c>
      <c r="E618" s="366">
        <v>0</v>
      </c>
      <c r="F618" s="367">
        <v>0.73956093697596859</v>
      </c>
      <c r="G618" s="366">
        <v>0</v>
      </c>
      <c r="H618" s="366">
        <v>0</v>
      </c>
      <c r="I618" s="366">
        <v>0</v>
      </c>
      <c r="J618" s="366">
        <v>0</v>
      </c>
      <c r="K618" s="366">
        <v>0</v>
      </c>
    </row>
    <row r="619" spans="1:11" ht="15" thickBot="1" x14ac:dyDescent="0.4">
      <c r="A619" s="610"/>
      <c r="B619" s="83" t="s">
        <v>158</v>
      </c>
      <c r="C619" s="366">
        <v>0</v>
      </c>
      <c r="D619" s="366">
        <v>0</v>
      </c>
      <c r="E619" s="233">
        <v>0.79919054862399741</v>
      </c>
      <c r="F619" s="366">
        <v>0</v>
      </c>
      <c r="G619" s="366">
        <v>0</v>
      </c>
      <c r="H619" s="366">
        <v>0</v>
      </c>
      <c r="I619" s="366">
        <v>0</v>
      </c>
      <c r="J619" s="366">
        <v>0</v>
      </c>
      <c r="K619" s="233">
        <v>0</v>
      </c>
    </row>
    <row r="620" spans="1:11" x14ac:dyDescent="0.35">
      <c r="A620" s="608" t="s">
        <v>105</v>
      </c>
      <c r="B620" s="82" t="s">
        <v>149</v>
      </c>
      <c r="C620" s="232">
        <v>0.85474230609769841</v>
      </c>
      <c r="D620" s="232">
        <v>0</v>
      </c>
      <c r="E620" s="232">
        <v>0.95026351071769233</v>
      </c>
      <c r="F620" s="232">
        <v>0</v>
      </c>
      <c r="G620" s="232">
        <v>1</v>
      </c>
      <c r="H620" s="232">
        <v>1</v>
      </c>
      <c r="I620" s="232">
        <v>1</v>
      </c>
      <c r="J620" s="232">
        <v>0</v>
      </c>
      <c r="K620" s="366">
        <v>0</v>
      </c>
    </row>
    <row r="621" spans="1:11" x14ac:dyDescent="0.35">
      <c r="A621" s="609"/>
      <c r="B621" s="332" t="s">
        <v>150</v>
      </c>
      <c r="C621" s="367">
        <v>6.8019687982043942E-2</v>
      </c>
      <c r="D621" s="367">
        <v>0.96907019556693397</v>
      </c>
      <c r="E621" s="367">
        <v>0</v>
      </c>
      <c r="F621" s="367">
        <v>0.19774827489319771</v>
      </c>
      <c r="G621" s="367">
        <v>0</v>
      </c>
      <c r="H621" s="367">
        <v>0</v>
      </c>
      <c r="I621" s="367">
        <v>0</v>
      </c>
      <c r="J621" s="367">
        <v>1</v>
      </c>
      <c r="K621" s="366">
        <v>0</v>
      </c>
    </row>
    <row r="622" spans="1:11" x14ac:dyDescent="0.35">
      <c r="A622" s="609"/>
      <c r="B622" s="332" t="s">
        <v>151</v>
      </c>
      <c r="C622" s="367">
        <v>7.6220142886473011E-2</v>
      </c>
      <c r="D622" s="367">
        <v>0</v>
      </c>
      <c r="E622" s="367">
        <v>0</v>
      </c>
      <c r="F622" s="367">
        <v>0</v>
      </c>
      <c r="G622" s="367">
        <v>0</v>
      </c>
      <c r="H622" s="367">
        <v>0</v>
      </c>
      <c r="I622" s="367">
        <v>0</v>
      </c>
      <c r="J622" s="367">
        <v>0</v>
      </c>
      <c r="K622" s="366">
        <v>0</v>
      </c>
    </row>
    <row r="623" spans="1:11" x14ac:dyDescent="0.35">
      <c r="A623" s="609"/>
      <c r="B623" s="332" t="s">
        <v>152</v>
      </c>
      <c r="C623" s="367">
        <v>9.8637488379782912E-4</v>
      </c>
      <c r="D623" s="367">
        <v>3.0929804433065995E-2</v>
      </c>
      <c r="E623" s="367">
        <v>0</v>
      </c>
      <c r="F623" s="367">
        <v>0</v>
      </c>
      <c r="G623" s="367">
        <v>0</v>
      </c>
      <c r="H623" s="367">
        <v>0</v>
      </c>
      <c r="I623" s="367">
        <v>0</v>
      </c>
      <c r="J623" s="367">
        <v>0</v>
      </c>
      <c r="K623" s="366">
        <v>0</v>
      </c>
    </row>
    <row r="624" spans="1:11" x14ac:dyDescent="0.35">
      <c r="A624" s="609"/>
      <c r="B624" s="332" t="s">
        <v>153</v>
      </c>
      <c r="C624" s="367">
        <v>1.827021452160285E-5</v>
      </c>
      <c r="D624" s="367">
        <v>0</v>
      </c>
      <c r="E624" s="367">
        <v>0</v>
      </c>
      <c r="F624" s="367">
        <v>0</v>
      </c>
      <c r="G624" s="367">
        <v>0</v>
      </c>
      <c r="H624" s="367">
        <v>0</v>
      </c>
      <c r="I624" s="367">
        <v>0</v>
      </c>
      <c r="J624" s="367">
        <v>0</v>
      </c>
      <c r="K624" s="366">
        <v>0</v>
      </c>
    </row>
    <row r="625" spans="1:11" x14ac:dyDescent="0.35">
      <c r="A625" s="609"/>
      <c r="B625" s="332" t="s">
        <v>154</v>
      </c>
      <c r="C625" s="367">
        <v>1.3217935465081002E-5</v>
      </c>
      <c r="D625" s="367">
        <v>0</v>
      </c>
      <c r="E625" s="367">
        <v>0</v>
      </c>
      <c r="F625" s="367">
        <v>0</v>
      </c>
      <c r="G625" s="367">
        <v>0</v>
      </c>
      <c r="H625" s="367">
        <v>0</v>
      </c>
      <c r="I625" s="367">
        <v>0</v>
      </c>
      <c r="J625" s="367">
        <v>0</v>
      </c>
      <c r="K625" s="366">
        <v>0</v>
      </c>
    </row>
    <row r="626" spans="1:11" x14ac:dyDescent="0.35">
      <c r="A626" s="609"/>
      <c r="B626" s="332" t="s">
        <v>155</v>
      </c>
      <c r="C626" s="367">
        <v>0</v>
      </c>
      <c r="D626" s="367">
        <v>0</v>
      </c>
      <c r="E626" s="367">
        <v>0</v>
      </c>
      <c r="F626" s="367">
        <v>0</v>
      </c>
      <c r="G626" s="367">
        <v>0</v>
      </c>
      <c r="H626" s="367">
        <v>0</v>
      </c>
      <c r="I626" s="367">
        <v>0</v>
      </c>
      <c r="J626" s="367">
        <v>0</v>
      </c>
      <c r="K626" s="366">
        <v>0</v>
      </c>
    </row>
    <row r="627" spans="1:11" x14ac:dyDescent="0.35">
      <c r="A627" s="609"/>
      <c r="B627" s="332" t="s">
        <v>156</v>
      </c>
      <c r="C627" s="367">
        <v>0</v>
      </c>
      <c r="D627" s="367">
        <v>0</v>
      </c>
      <c r="E627" s="367">
        <v>0</v>
      </c>
      <c r="F627" s="367">
        <v>0</v>
      </c>
      <c r="G627" s="367">
        <v>0</v>
      </c>
      <c r="H627" s="367">
        <v>0</v>
      </c>
      <c r="I627" s="367">
        <v>0</v>
      </c>
      <c r="J627" s="367">
        <v>0</v>
      </c>
      <c r="K627" s="366">
        <v>0</v>
      </c>
    </row>
    <row r="628" spans="1:11" x14ac:dyDescent="0.35">
      <c r="A628" s="609"/>
      <c r="B628" s="332" t="s">
        <v>157</v>
      </c>
      <c r="C628" s="366">
        <v>0</v>
      </c>
      <c r="D628" s="366">
        <v>0</v>
      </c>
      <c r="E628" s="366">
        <v>0</v>
      </c>
      <c r="F628" s="367">
        <v>0.8022517251068022</v>
      </c>
      <c r="G628" s="366">
        <v>0</v>
      </c>
      <c r="H628" s="366">
        <v>0</v>
      </c>
      <c r="I628" s="366">
        <v>0</v>
      </c>
      <c r="J628" s="366">
        <v>0</v>
      </c>
      <c r="K628" s="366">
        <v>0</v>
      </c>
    </row>
    <row r="629" spans="1:11" ht="15" thickBot="1" x14ac:dyDescent="0.4">
      <c r="A629" s="610"/>
      <c r="B629" s="83" t="s">
        <v>158</v>
      </c>
      <c r="C629" s="366">
        <v>0</v>
      </c>
      <c r="D629" s="366">
        <v>0</v>
      </c>
      <c r="E629" s="233">
        <v>4.9736489282307672E-2</v>
      </c>
      <c r="F629" s="366">
        <v>0</v>
      </c>
      <c r="G629" s="366">
        <v>0</v>
      </c>
      <c r="H629" s="366">
        <v>0</v>
      </c>
      <c r="I629" s="366">
        <v>0</v>
      </c>
      <c r="J629" s="366">
        <v>0</v>
      </c>
      <c r="K629" s="233">
        <v>0</v>
      </c>
    </row>
    <row r="630" spans="1:11" x14ac:dyDescent="0.35">
      <c r="A630" s="608" t="s">
        <v>106</v>
      </c>
      <c r="B630" s="82" t="s">
        <v>149</v>
      </c>
      <c r="C630" s="232">
        <v>0.60628594443138395</v>
      </c>
      <c r="D630" s="232">
        <v>1.9638989314425567E-3</v>
      </c>
      <c r="E630" s="232">
        <v>0.88916801706732285</v>
      </c>
      <c r="F630" s="232">
        <v>0</v>
      </c>
      <c r="G630" s="232">
        <v>0</v>
      </c>
      <c r="H630" s="232">
        <v>1</v>
      </c>
      <c r="I630" s="232">
        <v>1</v>
      </c>
      <c r="J630" s="232">
        <v>0</v>
      </c>
      <c r="K630" s="366">
        <v>0</v>
      </c>
    </row>
    <row r="631" spans="1:11" x14ac:dyDescent="0.35">
      <c r="A631" s="609"/>
      <c r="B631" s="332" t="s">
        <v>150</v>
      </c>
      <c r="C631" s="367">
        <v>0.38057589919460444</v>
      </c>
      <c r="D631" s="367">
        <v>0.98777858059962098</v>
      </c>
      <c r="E631" s="367">
        <v>0</v>
      </c>
      <c r="F631" s="367">
        <v>0.19384882913546767</v>
      </c>
      <c r="G631" s="367">
        <v>0</v>
      </c>
      <c r="H631" s="367">
        <v>0</v>
      </c>
      <c r="I631" s="367">
        <v>0</v>
      </c>
      <c r="J631" s="367">
        <v>0</v>
      </c>
      <c r="K631" s="366">
        <v>0</v>
      </c>
    </row>
    <row r="632" spans="1:11" x14ac:dyDescent="0.35">
      <c r="A632" s="609"/>
      <c r="B632" s="332" t="s">
        <v>151</v>
      </c>
      <c r="C632" s="367">
        <v>1.2760015244451335E-2</v>
      </c>
      <c r="D632" s="367">
        <v>6.7849741490881222E-5</v>
      </c>
      <c r="E632" s="367">
        <v>0</v>
      </c>
      <c r="F632" s="367">
        <v>0</v>
      </c>
      <c r="G632" s="367">
        <v>0</v>
      </c>
      <c r="H632" s="367">
        <v>0</v>
      </c>
      <c r="I632" s="367">
        <v>0</v>
      </c>
      <c r="J632" s="367">
        <v>0</v>
      </c>
      <c r="K632" s="366">
        <v>0</v>
      </c>
    </row>
    <row r="633" spans="1:11" x14ac:dyDescent="0.35">
      <c r="A633" s="609"/>
      <c r="B633" s="332" t="s">
        <v>152</v>
      </c>
      <c r="C633" s="367">
        <v>2.2071207420160739E-4</v>
      </c>
      <c r="D633" s="367">
        <v>8.0867735858400971E-3</v>
      </c>
      <c r="E633" s="367">
        <v>0</v>
      </c>
      <c r="F633" s="367">
        <v>0</v>
      </c>
      <c r="G633" s="367">
        <v>0</v>
      </c>
      <c r="H633" s="367">
        <v>0</v>
      </c>
      <c r="I633" s="367">
        <v>0</v>
      </c>
      <c r="J633" s="367">
        <v>0</v>
      </c>
      <c r="K633" s="366">
        <v>0</v>
      </c>
    </row>
    <row r="634" spans="1:11" x14ac:dyDescent="0.35">
      <c r="A634" s="609"/>
      <c r="B634" s="332" t="s">
        <v>153</v>
      </c>
      <c r="C634" s="367">
        <v>1.3411754274425108E-4</v>
      </c>
      <c r="D634" s="367">
        <v>2.1028971416054529E-3</v>
      </c>
      <c r="E634" s="367">
        <v>0</v>
      </c>
      <c r="F634" s="367">
        <v>0</v>
      </c>
      <c r="G634" s="367">
        <v>0</v>
      </c>
      <c r="H634" s="367">
        <v>0</v>
      </c>
      <c r="I634" s="367">
        <v>0</v>
      </c>
      <c r="J634" s="367">
        <v>0</v>
      </c>
      <c r="K634" s="366">
        <v>0</v>
      </c>
    </row>
    <row r="635" spans="1:11" x14ac:dyDescent="0.35">
      <c r="A635" s="609"/>
      <c r="B635" s="332" t="s">
        <v>154</v>
      </c>
      <c r="C635" s="367">
        <v>2.3311512614159688E-5</v>
      </c>
      <c r="D635" s="367">
        <v>0</v>
      </c>
      <c r="E635" s="367">
        <v>0</v>
      </c>
      <c r="F635" s="367">
        <v>0</v>
      </c>
      <c r="G635" s="367">
        <v>0</v>
      </c>
      <c r="H635" s="367">
        <v>0</v>
      </c>
      <c r="I635" s="367">
        <v>0</v>
      </c>
      <c r="J635" s="367">
        <v>0</v>
      </c>
      <c r="K635" s="366">
        <v>0</v>
      </c>
    </row>
    <row r="636" spans="1:11" x14ac:dyDescent="0.35">
      <c r="A636" s="609"/>
      <c r="B636" s="332" t="s">
        <v>155</v>
      </c>
      <c r="C636" s="367">
        <v>0</v>
      </c>
      <c r="D636" s="367">
        <v>0</v>
      </c>
      <c r="E636" s="367">
        <v>0</v>
      </c>
      <c r="F636" s="367">
        <v>0</v>
      </c>
      <c r="G636" s="367">
        <v>0</v>
      </c>
      <c r="H636" s="367">
        <v>0</v>
      </c>
      <c r="I636" s="367">
        <v>0</v>
      </c>
      <c r="J636" s="367">
        <v>0</v>
      </c>
      <c r="K636" s="366">
        <v>0</v>
      </c>
    </row>
    <row r="637" spans="1:11" x14ac:dyDescent="0.35">
      <c r="A637" s="609"/>
      <c r="B637" s="332" t="s">
        <v>156</v>
      </c>
      <c r="C637" s="367">
        <v>0</v>
      </c>
      <c r="D637" s="367">
        <v>0</v>
      </c>
      <c r="E637" s="367">
        <v>0</v>
      </c>
      <c r="F637" s="367">
        <v>0</v>
      </c>
      <c r="G637" s="367">
        <v>0</v>
      </c>
      <c r="H637" s="367">
        <v>0</v>
      </c>
      <c r="I637" s="367">
        <v>0</v>
      </c>
      <c r="J637" s="367">
        <v>0</v>
      </c>
      <c r="K637" s="366">
        <v>0</v>
      </c>
    </row>
    <row r="638" spans="1:11" x14ac:dyDescent="0.35">
      <c r="A638" s="609"/>
      <c r="B638" s="332" t="s">
        <v>157</v>
      </c>
      <c r="C638" s="366">
        <v>0</v>
      </c>
      <c r="D638" s="366">
        <v>0</v>
      </c>
      <c r="E638" s="366">
        <v>0</v>
      </c>
      <c r="F638" s="367">
        <v>0.80615117086453236</v>
      </c>
      <c r="G638" s="366">
        <v>0</v>
      </c>
      <c r="H638" s="366">
        <v>0</v>
      </c>
      <c r="I638" s="366">
        <v>0</v>
      </c>
      <c r="J638" s="366">
        <v>0</v>
      </c>
      <c r="K638" s="366">
        <v>0</v>
      </c>
    </row>
    <row r="639" spans="1:11" ht="15" thickBot="1" x14ac:dyDescent="0.4">
      <c r="A639" s="610"/>
      <c r="B639" s="83" t="s">
        <v>158</v>
      </c>
      <c r="C639" s="366">
        <v>0</v>
      </c>
      <c r="D639" s="366">
        <v>0</v>
      </c>
      <c r="E639" s="233">
        <v>0.11083198293267724</v>
      </c>
      <c r="F639" s="366">
        <v>0</v>
      </c>
      <c r="G639" s="366">
        <v>0</v>
      </c>
      <c r="H639" s="366">
        <v>0</v>
      </c>
      <c r="I639" s="366">
        <v>0</v>
      </c>
      <c r="J639" s="366">
        <v>0</v>
      </c>
      <c r="K639" s="233">
        <v>0</v>
      </c>
    </row>
    <row r="640" spans="1:11" x14ac:dyDescent="0.35">
      <c r="A640" s="608" t="s">
        <v>107</v>
      </c>
      <c r="B640" s="82" t="s">
        <v>149</v>
      </c>
      <c r="C640" s="232">
        <v>0.45607102079105805</v>
      </c>
      <c r="D640" s="232">
        <v>5.5731113515640549E-4</v>
      </c>
      <c r="E640" s="232">
        <v>0.21685112657796743</v>
      </c>
      <c r="F640" s="232">
        <v>0</v>
      </c>
      <c r="G640" s="232">
        <v>1</v>
      </c>
      <c r="H640" s="232">
        <v>1</v>
      </c>
      <c r="I640" s="232">
        <v>1</v>
      </c>
      <c r="J640" s="232">
        <v>0</v>
      </c>
      <c r="K640" s="366">
        <v>0</v>
      </c>
    </row>
    <row r="641" spans="1:11" x14ac:dyDescent="0.35">
      <c r="A641" s="609"/>
      <c r="B641" s="332" t="s">
        <v>150</v>
      </c>
      <c r="C641" s="367">
        <v>0.54200607821403601</v>
      </c>
      <c r="D641" s="367">
        <v>0.99928207055716423</v>
      </c>
      <c r="E641" s="367">
        <v>0</v>
      </c>
      <c r="F641" s="367">
        <v>0.81550577955772097</v>
      </c>
      <c r="G641" s="367">
        <v>0</v>
      </c>
      <c r="H641" s="367">
        <v>0</v>
      </c>
      <c r="I641" s="367">
        <v>0</v>
      </c>
      <c r="J641" s="367">
        <v>1</v>
      </c>
      <c r="K641" s="366">
        <v>0</v>
      </c>
    </row>
    <row r="642" spans="1:11" x14ac:dyDescent="0.35">
      <c r="A642" s="609"/>
      <c r="B642" s="332" t="s">
        <v>151</v>
      </c>
      <c r="C642" s="367">
        <v>1.0391104775156533E-3</v>
      </c>
      <c r="D642" s="367">
        <v>5.6418952095615117E-5</v>
      </c>
      <c r="E642" s="367">
        <v>0</v>
      </c>
      <c r="F642" s="367">
        <v>0</v>
      </c>
      <c r="G642" s="367">
        <v>0</v>
      </c>
      <c r="H642" s="367">
        <v>0</v>
      </c>
      <c r="I642" s="367">
        <v>0</v>
      </c>
      <c r="J642" s="367">
        <v>0</v>
      </c>
      <c r="K642" s="366">
        <v>0</v>
      </c>
    </row>
    <row r="643" spans="1:11" x14ac:dyDescent="0.35">
      <c r="A643" s="609"/>
      <c r="B643" s="332" t="s">
        <v>152</v>
      </c>
      <c r="C643" s="367">
        <v>1.2412140300832623E-5</v>
      </c>
      <c r="D643" s="367">
        <v>0</v>
      </c>
      <c r="E643" s="367">
        <v>0</v>
      </c>
      <c r="F643" s="367">
        <v>0</v>
      </c>
      <c r="G643" s="367">
        <v>0</v>
      </c>
      <c r="H643" s="367">
        <v>0</v>
      </c>
      <c r="I643" s="367">
        <v>0</v>
      </c>
      <c r="J643" s="367">
        <v>0</v>
      </c>
      <c r="K643" s="366">
        <v>0</v>
      </c>
    </row>
    <row r="644" spans="1:11" x14ac:dyDescent="0.35">
      <c r="A644" s="609"/>
      <c r="B644" s="332" t="s">
        <v>153</v>
      </c>
      <c r="C644" s="367">
        <v>8.1952933387480177E-4</v>
      </c>
      <c r="D644" s="367">
        <v>1.0419935558369288E-4</v>
      </c>
      <c r="E644" s="367">
        <v>0</v>
      </c>
      <c r="F644" s="367">
        <v>0</v>
      </c>
      <c r="G644" s="367">
        <v>0</v>
      </c>
      <c r="H644" s="367">
        <v>0</v>
      </c>
      <c r="I644" s="367">
        <v>0</v>
      </c>
      <c r="J644" s="367">
        <v>0</v>
      </c>
      <c r="K644" s="366">
        <v>0</v>
      </c>
    </row>
    <row r="645" spans="1:11" x14ac:dyDescent="0.35">
      <c r="A645" s="609"/>
      <c r="B645" s="332" t="s">
        <v>154</v>
      </c>
      <c r="C645" s="367">
        <v>5.1849043214467545E-5</v>
      </c>
      <c r="D645" s="367">
        <v>0</v>
      </c>
      <c r="E645" s="367">
        <v>0</v>
      </c>
      <c r="F645" s="367">
        <v>0</v>
      </c>
      <c r="G645" s="367">
        <v>0</v>
      </c>
      <c r="H645" s="367">
        <v>0</v>
      </c>
      <c r="I645" s="367">
        <v>0</v>
      </c>
      <c r="J645" s="367">
        <v>0</v>
      </c>
      <c r="K645" s="366">
        <v>0</v>
      </c>
    </row>
    <row r="646" spans="1:11" x14ac:dyDescent="0.35">
      <c r="A646" s="609"/>
      <c r="B646" s="332" t="s">
        <v>155</v>
      </c>
      <c r="C646" s="367">
        <v>0</v>
      </c>
      <c r="D646" s="367">
        <v>0</v>
      </c>
      <c r="E646" s="367">
        <v>0</v>
      </c>
      <c r="F646" s="367">
        <v>0</v>
      </c>
      <c r="G646" s="367">
        <v>0</v>
      </c>
      <c r="H646" s="367">
        <v>0</v>
      </c>
      <c r="I646" s="367">
        <v>0</v>
      </c>
      <c r="J646" s="367">
        <v>0</v>
      </c>
      <c r="K646" s="366">
        <v>0</v>
      </c>
    </row>
    <row r="647" spans="1:11" x14ac:dyDescent="0.35">
      <c r="A647" s="609"/>
      <c r="B647" s="332" t="s">
        <v>156</v>
      </c>
      <c r="C647" s="367">
        <v>0</v>
      </c>
      <c r="D647" s="367">
        <v>0</v>
      </c>
      <c r="E647" s="367">
        <v>0</v>
      </c>
      <c r="F647" s="367">
        <v>0</v>
      </c>
      <c r="G647" s="367">
        <v>0</v>
      </c>
      <c r="H647" s="367">
        <v>0</v>
      </c>
      <c r="I647" s="367">
        <v>0</v>
      </c>
      <c r="J647" s="367">
        <v>0</v>
      </c>
      <c r="K647" s="366">
        <v>0</v>
      </c>
    </row>
    <row r="648" spans="1:11" x14ac:dyDescent="0.35">
      <c r="A648" s="609"/>
      <c r="B648" s="332" t="s">
        <v>157</v>
      </c>
      <c r="C648" s="366">
        <v>0</v>
      </c>
      <c r="D648" s="366">
        <v>0</v>
      </c>
      <c r="E648" s="366">
        <v>0</v>
      </c>
      <c r="F648" s="367">
        <v>0.18449422044227903</v>
      </c>
      <c r="G648" s="366">
        <v>0</v>
      </c>
      <c r="H648" s="366">
        <v>0</v>
      </c>
      <c r="I648" s="366">
        <v>0</v>
      </c>
      <c r="J648" s="366">
        <v>0</v>
      </c>
      <c r="K648" s="366">
        <v>0</v>
      </c>
    </row>
    <row r="649" spans="1:11" ht="15" thickBot="1" x14ac:dyDescent="0.4">
      <c r="A649" s="610"/>
      <c r="B649" s="83" t="s">
        <v>158</v>
      </c>
      <c r="C649" s="366">
        <v>0</v>
      </c>
      <c r="D649" s="366">
        <v>0</v>
      </c>
      <c r="E649" s="233">
        <v>0.78314887342203265</v>
      </c>
      <c r="F649" s="366">
        <v>0</v>
      </c>
      <c r="G649" s="366">
        <v>0</v>
      </c>
      <c r="H649" s="366">
        <v>0</v>
      </c>
      <c r="I649" s="366">
        <v>0</v>
      </c>
      <c r="J649" s="366">
        <v>0</v>
      </c>
      <c r="K649" s="233">
        <v>0</v>
      </c>
    </row>
    <row r="650" spans="1:11" x14ac:dyDescent="0.35">
      <c r="A650" s="608" t="s">
        <v>108</v>
      </c>
      <c r="B650" s="82" t="s">
        <v>149</v>
      </c>
      <c r="C650" s="232">
        <v>0.31918195251141485</v>
      </c>
      <c r="D650" s="232">
        <v>5.9681899138333875E-4</v>
      </c>
      <c r="E650" s="232">
        <v>0.74037242584959428</v>
      </c>
      <c r="F650" s="232">
        <v>0</v>
      </c>
      <c r="G650" s="232">
        <v>1</v>
      </c>
      <c r="H650" s="232">
        <v>1</v>
      </c>
      <c r="I650" s="232">
        <v>1</v>
      </c>
      <c r="J650" s="232">
        <v>0</v>
      </c>
      <c r="K650" s="366">
        <v>0</v>
      </c>
    </row>
    <row r="651" spans="1:11" x14ac:dyDescent="0.35">
      <c r="A651" s="609"/>
      <c r="B651" s="332" t="s">
        <v>150</v>
      </c>
      <c r="C651" s="367">
        <v>0.58132939187037147</v>
      </c>
      <c r="D651" s="367">
        <v>0.92029698841086927</v>
      </c>
      <c r="E651" s="367">
        <v>0</v>
      </c>
      <c r="F651" s="367">
        <v>2.0076443895510592E-2</v>
      </c>
      <c r="G651" s="367">
        <v>0</v>
      </c>
      <c r="H651" s="367">
        <v>0</v>
      </c>
      <c r="I651" s="367">
        <v>0</v>
      </c>
      <c r="J651" s="367">
        <v>1</v>
      </c>
      <c r="K651" s="366">
        <v>0</v>
      </c>
    </row>
    <row r="652" spans="1:11" x14ac:dyDescent="0.35">
      <c r="A652" s="609"/>
      <c r="B652" s="332" t="s">
        <v>151</v>
      </c>
      <c r="C652" s="367">
        <v>7.1068132471673401E-2</v>
      </c>
      <c r="D652" s="367">
        <v>2.2075740638239742E-3</v>
      </c>
      <c r="E652" s="367">
        <v>0</v>
      </c>
      <c r="F652" s="367">
        <v>0</v>
      </c>
      <c r="G652" s="367">
        <v>0</v>
      </c>
      <c r="H652" s="367">
        <v>0</v>
      </c>
      <c r="I652" s="367">
        <v>0</v>
      </c>
      <c r="J652" s="367">
        <v>0</v>
      </c>
      <c r="K652" s="366">
        <v>0</v>
      </c>
    </row>
    <row r="653" spans="1:11" x14ac:dyDescent="0.35">
      <c r="A653" s="609"/>
      <c r="B653" s="332" t="s">
        <v>152</v>
      </c>
      <c r="C653" s="367">
        <v>2.7208055213358982E-2</v>
      </c>
      <c r="D653" s="367">
        <v>7.1733588481682736E-2</v>
      </c>
      <c r="E653" s="367">
        <v>0</v>
      </c>
      <c r="F653" s="367">
        <v>0</v>
      </c>
      <c r="G653" s="367">
        <v>0</v>
      </c>
      <c r="H653" s="367">
        <v>0</v>
      </c>
      <c r="I653" s="367">
        <v>0</v>
      </c>
      <c r="J653" s="367">
        <v>0</v>
      </c>
      <c r="K653" s="366">
        <v>0</v>
      </c>
    </row>
    <row r="654" spans="1:11" x14ac:dyDescent="0.35">
      <c r="A654" s="609"/>
      <c r="B654" s="332" t="s">
        <v>153</v>
      </c>
      <c r="C654" s="367">
        <v>4.2007472591436989E-4</v>
      </c>
      <c r="D654" s="367">
        <v>5.1650300522406729E-3</v>
      </c>
      <c r="E654" s="367">
        <v>0</v>
      </c>
      <c r="F654" s="367">
        <v>0</v>
      </c>
      <c r="G654" s="367">
        <v>0</v>
      </c>
      <c r="H654" s="367">
        <v>0</v>
      </c>
      <c r="I654" s="367">
        <v>0</v>
      </c>
      <c r="J654" s="367">
        <v>0</v>
      </c>
      <c r="K654" s="366">
        <v>0</v>
      </c>
    </row>
    <row r="655" spans="1:11" x14ac:dyDescent="0.35">
      <c r="A655" s="609"/>
      <c r="B655" s="332" t="s">
        <v>154</v>
      </c>
      <c r="C655" s="367">
        <v>7.9239320726705439E-4</v>
      </c>
      <c r="D655" s="367">
        <v>0</v>
      </c>
      <c r="E655" s="367">
        <v>0</v>
      </c>
      <c r="F655" s="367">
        <v>0</v>
      </c>
      <c r="G655" s="367">
        <v>0</v>
      </c>
      <c r="H655" s="367">
        <v>0</v>
      </c>
      <c r="I655" s="367">
        <v>0</v>
      </c>
      <c r="J655" s="367">
        <v>0</v>
      </c>
      <c r="K655" s="366">
        <v>0</v>
      </c>
    </row>
    <row r="656" spans="1:11" x14ac:dyDescent="0.35">
      <c r="A656" s="609"/>
      <c r="B656" s="332" t="s">
        <v>155</v>
      </c>
      <c r="C656" s="367">
        <v>0</v>
      </c>
      <c r="D656" s="367">
        <v>0</v>
      </c>
      <c r="E656" s="367">
        <v>0</v>
      </c>
      <c r="F656" s="367">
        <v>0</v>
      </c>
      <c r="G656" s="367">
        <v>0</v>
      </c>
      <c r="H656" s="367">
        <v>0</v>
      </c>
      <c r="I656" s="367">
        <v>0</v>
      </c>
      <c r="J656" s="367">
        <v>0</v>
      </c>
      <c r="K656" s="366">
        <v>0</v>
      </c>
    </row>
    <row r="657" spans="1:11" x14ac:dyDescent="0.35">
      <c r="A657" s="609"/>
      <c r="B657" s="332" t="s">
        <v>156</v>
      </c>
      <c r="C657" s="367">
        <v>0</v>
      </c>
      <c r="D657" s="367">
        <v>0</v>
      </c>
      <c r="E657" s="367">
        <v>0</v>
      </c>
      <c r="F657" s="367">
        <v>0</v>
      </c>
      <c r="G657" s="367">
        <v>0</v>
      </c>
      <c r="H657" s="367">
        <v>0</v>
      </c>
      <c r="I657" s="367">
        <v>0</v>
      </c>
      <c r="J657" s="367">
        <v>0</v>
      </c>
      <c r="K657" s="366">
        <v>0</v>
      </c>
    </row>
    <row r="658" spans="1:11" x14ac:dyDescent="0.35">
      <c r="A658" s="609"/>
      <c r="B658" s="332" t="s">
        <v>157</v>
      </c>
      <c r="C658" s="366">
        <v>0</v>
      </c>
      <c r="D658" s="366">
        <v>0</v>
      </c>
      <c r="E658" s="366">
        <v>0</v>
      </c>
      <c r="F658" s="367">
        <v>0.97992355610448934</v>
      </c>
      <c r="G658" s="366">
        <v>0</v>
      </c>
      <c r="H658" s="366">
        <v>0</v>
      </c>
      <c r="I658" s="366">
        <v>0</v>
      </c>
      <c r="J658" s="366">
        <v>0</v>
      </c>
      <c r="K658" s="366">
        <v>0</v>
      </c>
    </row>
    <row r="659" spans="1:11" ht="15" thickBot="1" x14ac:dyDescent="0.4">
      <c r="A659" s="610"/>
      <c r="B659" s="83" t="s">
        <v>158</v>
      </c>
      <c r="C659" s="366">
        <v>0</v>
      </c>
      <c r="D659" s="366">
        <v>0</v>
      </c>
      <c r="E659" s="233">
        <v>0.25962757415040577</v>
      </c>
      <c r="F659" s="366">
        <v>0</v>
      </c>
      <c r="G659" s="366">
        <v>0</v>
      </c>
      <c r="H659" s="366">
        <v>0</v>
      </c>
      <c r="I659" s="366">
        <v>0</v>
      </c>
      <c r="J659" s="366">
        <v>0</v>
      </c>
      <c r="K659" s="233">
        <v>0</v>
      </c>
    </row>
    <row r="660" spans="1:11" x14ac:dyDescent="0.35">
      <c r="A660" s="608" t="s">
        <v>109</v>
      </c>
      <c r="B660" s="82" t="s">
        <v>149</v>
      </c>
      <c r="C660" s="232">
        <v>0.32001541240981585</v>
      </c>
      <c r="D660" s="232">
        <v>4.1853329771681684E-3</v>
      </c>
      <c r="E660" s="232">
        <v>0.29991676414604374</v>
      </c>
      <c r="F660" s="232">
        <v>0</v>
      </c>
      <c r="G660" s="232">
        <v>0</v>
      </c>
      <c r="H660" s="232">
        <v>1</v>
      </c>
      <c r="I660" s="232">
        <v>1</v>
      </c>
      <c r="J660" s="232">
        <v>0</v>
      </c>
      <c r="K660" s="366">
        <v>0</v>
      </c>
    </row>
    <row r="661" spans="1:11" x14ac:dyDescent="0.35">
      <c r="A661" s="609"/>
      <c r="B661" s="332" t="s">
        <v>150</v>
      </c>
      <c r="C661" s="367">
        <v>0.5691251292468763</v>
      </c>
      <c r="D661" s="367">
        <v>0.90651043135207543</v>
      </c>
      <c r="E661" s="367">
        <v>0</v>
      </c>
      <c r="F661" s="367">
        <v>0.50194199714359677</v>
      </c>
      <c r="G661" s="367">
        <v>0</v>
      </c>
      <c r="H661" s="367">
        <v>0</v>
      </c>
      <c r="I661" s="367">
        <v>0</v>
      </c>
      <c r="J661" s="367">
        <v>1</v>
      </c>
      <c r="K661" s="366">
        <v>0</v>
      </c>
    </row>
    <row r="662" spans="1:11" x14ac:dyDescent="0.35">
      <c r="A662" s="609"/>
      <c r="B662" s="332" t="s">
        <v>151</v>
      </c>
      <c r="C662" s="367">
        <v>0.11058150031055121</v>
      </c>
      <c r="D662" s="367">
        <v>0</v>
      </c>
      <c r="E662" s="367">
        <v>0</v>
      </c>
      <c r="F662" s="367">
        <v>0</v>
      </c>
      <c r="G662" s="367">
        <v>0</v>
      </c>
      <c r="H662" s="367">
        <v>0</v>
      </c>
      <c r="I662" s="367">
        <v>0</v>
      </c>
      <c r="J662" s="367">
        <v>0</v>
      </c>
      <c r="K662" s="366">
        <v>0</v>
      </c>
    </row>
    <row r="663" spans="1:11" x14ac:dyDescent="0.35">
      <c r="A663" s="609"/>
      <c r="B663" s="332" t="s">
        <v>152</v>
      </c>
      <c r="C663" s="367">
        <v>0</v>
      </c>
      <c r="D663" s="367">
        <v>0</v>
      </c>
      <c r="E663" s="367">
        <v>0</v>
      </c>
      <c r="F663" s="367">
        <v>0</v>
      </c>
      <c r="G663" s="367">
        <v>0</v>
      </c>
      <c r="H663" s="367">
        <v>0</v>
      </c>
      <c r="I663" s="367">
        <v>0</v>
      </c>
      <c r="J663" s="367">
        <v>0</v>
      </c>
      <c r="K663" s="366">
        <v>0</v>
      </c>
    </row>
    <row r="664" spans="1:11" x14ac:dyDescent="0.35">
      <c r="A664" s="609"/>
      <c r="B664" s="332" t="s">
        <v>153</v>
      </c>
      <c r="C664" s="367">
        <v>2.6305289752977359E-4</v>
      </c>
      <c r="D664" s="367">
        <v>8.9304235670756363E-2</v>
      </c>
      <c r="E664" s="367">
        <v>0</v>
      </c>
      <c r="F664" s="367">
        <v>0</v>
      </c>
      <c r="G664" s="367">
        <v>0</v>
      </c>
      <c r="H664" s="367">
        <v>0</v>
      </c>
      <c r="I664" s="367">
        <v>0</v>
      </c>
      <c r="J664" s="367">
        <v>0</v>
      </c>
      <c r="K664" s="366">
        <v>0</v>
      </c>
    </row>
    <row r="665" spans="1:11" x14ac:dyDescent="0.35">
      <c r="A665" s="609"/>
      <c r="B665" s="332" t="s">
        <v>154</v>
      </c>
      <c r="C665" s="367">
        <v>1.490513522677876E-5</v>
      </c>
      <c r="D665" s="367">
        <v>0</v>
      </c>
      <c r="E665" s="367">
        <v>0</v>
      </c>
      <c r="F665" s="367">
        <v>0</v>
      </c>
      <c r="G665" s="367">
        <v>0</v>
      </c>
      <c r="H665" s="367">
        <v>0</v>
      </c>
      <c r="I665" s="367">
        <v>0</v>
      </c>
      <c r="J665" s="367">
        <v>0</v>
      </c>
      <c r="K665" s="366">
        <v>0</v>
      </c>
    </row>
    <row r="666" spans="1:11" x14ac:dyDescent="0.35">
      <c r="A666" s="609"/>
      <c r="B666" s="332" t="s">
        <v>155</v>
      </c>
      <c r="C666" s="367">
        <v>0</v>
      </c>
      <c r="D666" s="367">
        <v>0</v>
      </c>
      <c r="E666" s="367">
        <v>0</v>
      </c>
      <c r="F666" s="367">
        <v>0</v>
      </c>
      <c r="G666" s="367">
        <v>0</v>
      </c>
      <c r="H666" s="367">
        <v>0</v>
      </c>
      <c r="I666" s="367">
        <v>0</v>
      </c>
      <c r="J666" s="367">
        <v>0</v>
      </c>
      <c r="K666" s="366">
        <v>0</v>
      </c>
    </row>
    <row r="667" spans="1:11" x14ac:dyDescent="0.35">
      <c r="A667" s="609"/>
      <c r="B667" s="332" t="s">
        <v>156</v>
      </c>
      <c r="C667" s="367">
        <v>0</v>
      </c>
      <c r="D667" s="367">
        <v>0</v>
      </c>
      <c r="E667" s="367">
        <v>0</v>
      </c>
      <c r="F667" s="367">
        <v>0</v>
      </c>
      <c r="G667" s="367">
        <v>0</v>
      </c>
      <c r="H667" s="367">
        <v>0</v>
      </c>
      <c r="I667" s="367">
        <v>0</v>
      </c>
      <c r="J667" s="367">
        <v>0</v>
      </c>
      <c r="K667" s="366">
        <v>0</v>
      </c>
    </row>
    <row r="668" spans="1:11" x14ac:dyDescent="0.35">
      <c r="A668" s="609"/>
      <c r="B668" s="332" t="s">
        <v>157</v>
      </c>
      <c r="C668" s="366">
        <v>0</v>
      </c>
      <c r="D668" s="366">
        <v>0</v>
      </c>
      <c r="E668" s="366">
        <v>0</v>
      </c>
      <c r="F668" s="367">
        <v>0.49805800285640317</v>
      </c>
      <c r="G668" s="366">
        <v>0</v>
      </c>
      <c r="H668" s="366">
        <v>0</v>
      </c>
      <c r="I668" s="366">
        <v>0</v>
      </c>
      <c r="J668" s="366">
        <v>0</v>
      </c>
      <c r="K668" s="366">
        <v>0</v>
      </c>
    </row>
    <row r="669" spans="1:11" ht="15" thickBot="1" x14ac:dyDescent="0.4">
      <c r="A669" s="610"/>
      <c r="B669" s="83" t="s">
        <v>158</v>
      </c>
      <c r="C669" s="366">
        <v>0</v>
      </c>
      <c r="D669" s="366">
        <v>0</v>
      </c>
      <c r="E669" s="233">
        <v>0.70008323585395626</v>
      </c>
      <c r="F669" s="366">
        <v>0</v>
      </c>
      <c r="G669" s="366">
        <v>0</v>
      </c>
      <c r="H669" s="366">
        <v>0</v>
      </c>
      <c r="I669" s="366">
        <v>0</v>
      </c>
      <c r="J669" s="366">
        <v>0</v>
      </c>
      <c r="K669" s="233">
        <v>0</v>
      </c>
    </row>
    <row r="670" spans="1:11" x14ac:dyDescent="0.35">
      <c r="A670" s="608" t="s">
        <v>110</v>
      </c>
      <c r="B670" s="82" t="s">
        <v>149</v>
      </c>
      <c r="C670" s="232">
        <v>0.14708763523356533</v>
      </c>
      <c r="D670" s="232">
        <v>5.1455019541434945E-3</v>
      </c>
      <c r="E670" s="232">
        <v>0.82807558557917904</v>
      </c>
      <c r="F670" s="232">
        <v>0</v>
      </c>
      <c r="G670" s="232">
        <v>0</v>
      </c>
      <c r="H670" s="232">
        <v>1</v>
      </c>
      <c r="I670" s="232">
        <v>1</v>
      </c>
      <c r="J670" s="232">
        <v>0</v>
      </c>
      <c r="K670" s="366">
        <v>0</v>
      </c>
    </row>
    <row r="671" spans="1:11" x14ac:dyDescent="0.35">
      <c r="A671" s="609"/>
      <c r="B671" s="332" t="s">
        <v>150</v>
      </c>
      <c r="C671" s="367">
        <v>0.73471833042554902</v>
      </c>
      <c r="D671" s="367">
        <v>0.61833713992675365</v>
      </c>
      <c r="E671" s="367">
        <v>0</v>
      </c>
      <c r="F671" s="367">
        <v>0.86261909928392466</v>
      </c>
      <c r="G671" s="367">
        <v>0</v>
      </c>
      <c r="H671" s="367">
        <v>0</v>
      </c>
      <c r="I671" s="367">
        <v>0</v>
      </c>
      <c r="J671" s="367">
        <v>1</v>
      </c>
      <c r="K671" s="366">
        <v>0</v>
      </c>
    </row>
    <row r="672" spans="1:11" x14ac:dyDescent="0.35">
      <c r="A672" s="609"/>
      <c r="B672" s="332" t="s">
        <v>151</v>
      </c>
      <c r="C672" s="367">
        <v>0.11553543138545658</v>
      </c>
      <c r="D672" s="367">
        <v>1.9893327675372913E-2</v>
      </c>
      <c r="E672" s="367">
        <v>0</v>
      </c>
      <c r="F672" s="367">
        <v>0</v>
      </c>
      <c r="G672" s="367">
        <v>0</v>
      </c>
      <c r="H672" s="367">
        <v>0</v>
      </c>
      <c r="I672" s="367">
        <v>0</v>
      </c>
      <c r="J672" s="367">
        <v>0</v>
      </c>
      <c r="K672" s="366">
        <v>0</v>
      </c>
    </row>
    <row r="673" spans="1:11" x14ac:dyDescent="0.35">
      <c r="A673" s="609"/>
      <c r="B673" s="332" t="s">
        <v>152</v>
      </c>
      <c r="C673" s="367">
        <v>1.6502734926034921E-5</v>
      </c>
      <c r="D673" s="367">
        <v>0.17640801937808395</v>
      </c>
      <c r="E673" s="367">
        <v>0</v>
      </c>
      <c r="F673" s="367">
        <v>0</v>
      </c>
      <c r="G673" s="367">
        <v>0</v>
      </c>
      <c r="H673" s="367">
        <v>0</v>
      </c>
      <c r="I673" s="367">
        <v>0</v>
      </c>
      <c r="J673" s="367">
        <v>0</v>
      </c>
      <c r="K673" s="366">
        <v>0</v>
      </c>
    </row>
    <row r="674" spans="1:11" x14ac:dyDescent="0.35">
      <c r="A674" s="609"/>
      <c r="B674" s="332" t="s">
        <v>153</v>
      </c>
      <c r="C674" s="367">
        <v>1.0220630550225829E-4</v>
      </c>
      <c r="D674" s="367">
        <v>0.18021601106564591</v>
      </c>
      <c r="E674" s="367">
        <v>0</v>
      </c>
      <c r="F674" s="367">
        <v>0</v>
      </c>
      <c r="G674" s="367">
        <v>0</v>
      </c>
      <c r="H674" s="367">
        <v>0</v>
      </c>
      <c r="I674" s="367">
        <v>0</v>
      </c>
      <c r="J674" s="367">
        <v>0</v>
      </c>
      <c r="K674" s="366">
        <v>0</v>
      </c>
    </row>
    <row r="675" spans="1:11" x14ac:dyDescent="0.35">
      <c r="A675" s="609"/>
      <c r="B675" s="332" t="s">
        <v>154</v>
      </c>
      <c r="C675" s="367">
        <v>2.539893915000853E-3</v>
      </c>
      <c r="D675" s="367">
        <v>0</v>
      </c>
      <c r="E675" s="367">
        <v>0</v>
      </c>
      <c r="F675" s="367">
        <v>0</v>
      </c>
      <c r="G675" s="367">
        <v>0</v>
      </c>
      <c r="H675" s="367">
        <v>0</v>
      </c>
      <c r="I675" s="367">
        <v>0</v>
      </c>
      <c r="J675" s="367">
        <v>0</v>
      </c>
      <c r="K675" s="366">
        <v>0</v>
      </c>
    </row>
    <row r="676" spans="1:11" x14ac:dyDescent="0.35">
      <c r="A676" s="609"/>
      <c r="B676" s="332" t="s">
        <v>155</v>
      </c>
      <c r="C676" s="367">
        <v>0</v>
      </c>
      <c r="D676" s="367">
        <v>0</v>
      </c>
      <c r="E676" s="367">
        <v>0</v>
      </c>
      <c r="F676" s="367">
        <v>0</v>
      </c>
      <c r="G676" s="367">
        <v>0</v>
      </c>
      <c r="H676" s="367">
        <v>0</v>
      </c>
      <c r="I676" s="367">
        <v>0</v>
      </c>
      <c r="J676" s="367">
        <v>0</v>
      </c>
      <c r="K676" s="366">
        <v>0</v>
      </c>
    </row>
    <row r="677" spans="1:11" x14ac:dyDescent="0.35">
      <c r="A677" s="609"/>
      <c r="B677" s="332" t="s">
        <v>156</v>
      </c>
      <c r="C677" s="367">
        <v>0</v>
      </c>
      <c r="D677" s="367">
        <v>0</v>
      </c>
      <c r="E677" s="367">
        <v>0</v>
      </c>
      <c r="F677" s="367">
        <v>0</v>
      </c>
      <c r="G677" s="367">
        <v>0</v>
      </c>
      <c r="H677" s="367">
        <v>0</v>
      </c>
      <c r="I677" s="367">
        <v>0</v>
      </c>
      <c r="J677" s="367">
        <v>0</v>
      </c>
      <c r="K677" s="366">
        <v>0</v>
      </c>
    </row>
    <row r="678" spans="1:11" x14ac:dyDescent="0.35">
      <c r="A678" s="609"/>
      <c r="B678" s="332" t="s">
        <v>157</v>
      </c>
      <c r="C678" s="366">
        <v>0</v>
      </c>
      <c r="D678" s="366">
        <v>0</v>
      </c>
      <c r="E678" s="366">
        <v>0</v>
      </c>
      <c r="F678" s="367">
        <v>0.13738090071607534</v>
      </c>
      <c r="G678" s="366">
        <v>0</v>
      </c>
      <c r="H678" s="366">
        <v>0</v>
      </c>
      <c r="I678" s="366">
        <v>0</v>
      </c>
      <c r="J678" s="366">
        <v>0</v>
      </c>
      <c r="K678" s="366">
        <v>0</v>
      </c>
    </row>
    <row r="679" spans="1:11" ht="15" thickBot="1" x14ac:dyDescent="0.4">
      <c r="A679" s="610"/>
      <c r="B679" s="83" t="s">
        <v>158</v>
      </c>
      <c r="C679" s="366">
        <v>0</v>
      </c>
      <c r="D679" s="366">
        <v>0</v>
      </c>
      <c r="E679" s="233">
        <v>0.17192441442082088</v>
      </c>
      <c r="F679" s="366">
        <v>0</v>
      </c>
      <c r="G679" s="366">
        <v>0</v>
      </c>
      <c r="H679" s="366">
        <v>0</v>
      </c>
      <c r="I679" s="366">
        <v>0</v>
      </c>
      <c r="J679" s="366">
        <v>0</v>
      </c>
      <c r="K679" s="233">
        <v>0</v>
      </c>
    </row>
    <row r="680" spans="1:11" x14ac:dyDescent="0.35">
      <c r="A680" s="608" t="s">
        <v>111</v>
      </c>
      <c r="B680" s="82" t="s">
        <v>149</v>
      </c>
      <c r="C680" s="232">
        <v>0.32416508712776365</v>
      </c>
      <c r="D680" s="232">
        <v>0</v>
      </c>
      <c r="E680" s="232">
        <v>0.90770547029799886</v>
      </c>
      <c r="F680" s="232">
        <v>0</v>
      </c>
      <c r="G680" s="232">
        <v>0</v>
      </c>
      <c r="H680" s="232">
        <v>1</v>
      </c>
      <c r="I680" s="232">
        <v>1</v>
      </c>
      <c r="J680" s="232">
        <v>0</v>
      </c>
      <c r="K680" s="366">
        <v>0</v>
      </c>
    </row>
    <row r="681" spans="1:11" x14ac:dyDescent="0.35">
      <c r="A681" s="609"/>
      <c r="B681" s="332" t="s">
        <v>150</v>
      </c>
      <c r="C681" s="367">
        <v>0.66913919092933283</v>
      </c>
      <c r="D681" s="367">
        <v>0.99786517430819766</v>
      </c>
      <c r="E681" s="367">
        <v>0</v>
      </c>
      <c r="F681" s="367">
        <v>0.21076067608481397</v>
      </c>
      <c r="G681" s="367">
        <v>0</v>
      </c>
      <c r="H681" s="367">
        <v>0</v>
      </c>
      <c r="I681" s="367">
        <v>0</v>
      </c>
      <c r="J681" s="367">
        <v>0</v>
      </c>
      <c r="K681" s="366">
        <v>0</v>
      </c>
    </row>
    <row r="682" spans="1:11" x14ac:dyDescent="0.35">
      <c r="A682" s="609"/>
      <c r="B682" s="332" t="s">
        <v>151</v>
      </c>
      <c r="C682" s="367">
        <v>2.7333573563511973E-3</v>
      </c>
      <c r="D682" s="367">
        <v>0</v>
      </c>
      <c r="E682" s="367">
        <v>0</v>
      </c>
      <c r="F682" s="367">
        <v>0</v>
      </c>
      <c r="G682" s="367">
        <v>0</v>
      </c>
      <c r="H682" s="367">
        <v>0</v>
      </c>
      <c r="I682" s="367">
        <v>0</v>
      </c>
      <c r="J682" s="367">
        <v>0</v>
      </c>
      <c r="K682" s="366">
        <v>0</v>
      </c>
    </row>
    <row r="683" spans="1:11" x14ac:dyDescent="0.35">
      <c r="A683" s="609"/>
      <c r="B683" s="332" t="s">
        <v>152</v>
      </c>
      <c r="C683" s="367">
        <v>0</v>
      </c>
      <c r="D683" s="367">
        <v>0</v>
      </c>
      <c r="E683" s="367">
        <v>0</v>
      </c>
      <c r="F683" s="367">
        <v>0</v>
      </c>
      <c r="G683" s="367">
        <v>0</v>
      </c>
      <c r="H683" s="367">
        <v>0</v>
      </c>
      <c r="I683" s="367">
        <v>0</v>
      </c>
      <c r="J683" s="367">
        <v>0</v>
      </c>
      <c r="K683" s="366">
        <v>0</v>
      </c>
    </row>
    <row r="684" spans="1:11" x14ac:dyDescent="0.35">
      <c r="A684" s="609"/>
      <c r="B684" s="332" t="s">
        <v>153</v>
      </c>
      <c r="C684" s="367">
        <v>2.1416425946302457E-3</v>
      </c>
      <c r="D684" s="367">
        <v>2.1348256918023545E-3</v>
      </c>
      <c r="E684" s="367">
        <v>0</v>
      </c>
      <c r="F684" s="367">
        <v>0</v>
      </c>
      <c r="G684" s="367">
        <v>0</v>
      </c>
      <c r="H684" s="367">
        <v>0</v>
      </c>
      <c r="I684" s="367">
        <v>0</v>
      </c>
      <c r="J684" s="367">
        <v>0</v>
      </c>
      <c r="K684" s="366">
        <v>0</v>
      </c>
    </row>
    <row r="685" spans="1:11" x14ac:dyDescent="0.35">
      <c r="A685" s="609"/>
      <c r="B685" s="332" t="s">
        <v>154</v>
      </c>
      <c r="C685" s="367">
        <v>1.8207219919218276E-3</v>
      </c>
      <c r="D685" s="367">
        <v>0</v>
      </c>
      <c r="E685" s="367">
        <v>0</v>
      </c>
      <c r="F685" s="367">
        <v>0</v>
      </c>
      <c r="G685" s="367">
        <v>0</v>
      </c>
      <c r="H685" s="367">
        <v>0</v>
      </c>
      <c r="I685" s="367">
        <v>0</v>
      </c>
      <c r="J685" s="367">
        <v>0</v>
      </c>
      <c r="K685" s="366">
        <v>0</v>
      </c>
    </row>
    <row r="686" spans="1:11" x14ac:dyDescent="0.35">
      <c r="A686" s="609"/>
      <c r="B686" s="332" t="s">
        <v>155</v>
      </c>
      <c r="C686" s="367">
        <v>0</v>
      </c>
      <c r="D686" s="367">
        <v>0</v>
      </c>
      <c r="E686" s="367">
        <v>0</v>
      </c>
      <c r="F686" s="367">
        <v>0</v>
      </c>
      <c r="G686" s="367">
        <v>0</v>
      </c>
      <c r="H686" s="367">
        <v>0</v>
      </c>
      <c r="I686" s="367">
        <v>0</v>
      </c>
      <c r="J686" s="367">
        <v>0</v>
      </c>
      <c r="K686" s="366">
        <v>0</v>
      </c>
    </row>
    <row r="687" spans="1:11" x14ac:dyDescent="0.35">
      <c r="A687" s="609"/>
      <c r="B687" s="332" t="s">
        <v>156</v>
      </c>
      <c r="C687" s="367">
        <v>0</v>
      </c>
      <c r="D687" s="367">
        <v>0</v>
      </c>
      <c r="E687" s="367">
        <v>0</v>
      </c>
      <c r="F687" s="367">
        <v>0</v>
      </c>
      <c r="G687" s="367">
        <v>0</v>
      </c>
      <c r="H687" s="367">
        <v>0</v>
      </c>
      <c r="I687" s="367">
        <v>0</v>
      </c>
      <c r="J687" s="367">
        <v>0</v>
      </c>
      <c r="K687" s="366">
        <v>0</v>
      </c>
    </row>
    <row r="688" spans="1:11" x14ac:dyDescent="0.35">
      <c r="A688" s="609"/>
      <c r="B688" s="332" t="s">
        <v>157</v>
      </c>
      <c r="C688" s="366">
        <v>0</v>
      </c>
      <c r="D688" s="366">
        <v>0</v>
      </c>
      <c r="E688" s="366">
        <v>0</v>
      </c>
      <c r="F688" s="367">
        <v>0.78923932391518603</v>
      </c>
      <c r="G688" s="366">
        <v>0</v>
      </c>
      <c r="H688" s="366">
        <v>0</v>
      </c>
      <c r="I688" s="366">
        <v>0</v>
      </c>
      <c r="J688" s="366">
        <v>0</v>
      </c>
      <c r="K688" s="366">
        <v>0</v>
      </c>
    </row>
    <row r="689" spans="1:11" ht="15" thickBot="1" x14ac:dyDescent="0.4">
      <c r="A689" s="610"/>
      <c r="B689" s="83" t="s">
        <v>158</v>
      </c>
      <c r="C689" s="366">
        <v>0</v>
      </c>
      <c r="D689" s="366">
        <v>0</v>
      </c>
      <c r="E689" s="233">
        <v>9.2294529702001096E-2</v>
      </c>
      <c r="F689" s="366">
        <v>0</v>
      </c>
      <c r="G689" s="366">
        <v>0</v>
      </c>
      <c r="H689" s="366">
        <v>0</v>
      </c>
      <c r="I689" s="366">
        <v>0</v>
      </c>
      <c r="J689" s="366">
        <v>0</v>
      </c>
      <c r="K689" s="233">
        <v>0</v>
      </c>
    </row>
    <row r="690" spans="1:11" x14ac:dyDescent="0.35">
      <c r="A690" s="608" t="s">
        <v>112</v>
      </c>
      <c r="B690" s="82" t="s">
        <v>149</v>
      </c>
      <c r="C690" s="232">
        <v>0.60079109116391571</v>
      </c>
      <c r="D690" s="232">
        <v>2.2367622042535028E-3</v>
      </c>
      <c r="E690" s="232">
        <v>0.94910944594629243</v>
      </c>
      <c r="F690" s="232">
        <v>0</v>
      </c>
      <c r="G690" s="232">
        <v>0</v>
      </c>
      <c r="H690" s="232">
        <v>1</v>
      </c>
      <c r="I690" s="232">
        <v>1</v>
      </c>
      <c r="J690" s="232">
        <v>0</v>
      </c>
      <c r="K690" s="366">
        <v>0</v>
      </c>
    </row>
    <row r="691" spans="1:11" x14ac:dyDescent="0.35">
      <c r="A691" s="609"/>
      <c r="B691" s="332" t="s">
        <v>150</v>
      </c>
      <c r="C691" s="367">
        <v>0.39445114312329332</v>
      </c>
      <c r="D691" s="367">
        <v>0.99776323779574649</v>
      </c>
      <c r="E691" s="367">
        <v>0</v>
      </c>
      <c r="F691" s="367">
        <v>0</v>
      </c>
      <c r="G691" s="367">
        <v>0</v>
      </c>
      <c r="H691" s="367">
        <v>0</v>
      </c>
      <c r="I691" s="367">
        <v>0</v>
      </c>
      <c r="J691" s="367">
        <v>1</v>
      </c>
      <c r="K691" s="366">
        <v>0</v>
      </c>
    </row>
    <row r="692" spans="1:11" x14ac:dyDescent="0.35">
      <c r="A692" s="609"/>
      <c r="B692" s="332" t="s">
        <v>151</v>
      </c>
      <c r="C692" s="367">
        <v>0</v>
      </c>
      <c r="D692" s="367">
        <v>0</v>
      </c>
      <c r="E692" s="367">
        <v>0</v>
      </c>
      <c r="F692" s="367">
        <v>0</v>
      </c>
      <c r="G692" s="367">
        <v>0</v>
      </c>
      <c r="H692" s="367">
        <v>0</v>
      </c>
      <c r="I692" s="367">
        <v>0</v>
      </c>
      <c r="J692" s="367">
        <v>0</v>
      </c>
      <c r="K692" s="366">
        <v>0</v>
      </c>
    </row>
    <row r="693" spans="1:11" x14ac:dyDescent="0.35">
      <c r="A693" s="609"/>
      <c r="B693" s="332" t="s">
        <v>152</v>
      </c>
      <c r="C693" s="367">
        <v>0</v>
      </c>
      <c r="D693" s="367">
        <v>0</v>
      </c>
      <c r="E693" s="367">
        <v>0</v>
      </c>
      <c r="F693" s="367">
        <v>0</v>
      </c>
      <c r="G693" s="367">
        <v>0</v>
      </c>
      <c r="H693" s="367">
        <v>0</v>
      </c>
      <c r="I693" s="367">
        <v>0</v>
      </c>
      <c r="J693" s="367">
        <v>0</v>
      </c>
      <c r="K693" s="366">
        <v>0</v>
      </c>
    </row>
    <row r="694" spans="1:11" x14ac:dyDescent="0.35">
      <c r="A694" s="609"/>
      <c r="B694" s="332" t="s">
        <v>153</v>
      </c>
      <c r="C694" s="367">
        <v>4.2098905474688029E-4</v>
      </c>
      <c r="D694" s="367">
        <v>0</v>
      </c>
      <c r="E694" s="367">
        <v>0</v>
      </c>
      <c r="F694" s="367">
        <v>0</v>
      </c>
      <c r="G694" s="367">
        <v>0</v>
      </c>
      <c r="H694" s="367">
        <v>0</v>
      </c>
      <c r="I694" s="367">
        <v>0</v>
      </c>
      <c r="J694" s="367">
        <v>0</v>
      </c>
      <c r="K694" s="366">
        <v>0</v>
      </c>
    </row>
    <row r="695" spans="1:11" x14ac:dyDescent="0.35">
      <c r="A695" s="609"/>
      <c r="B695" s="332" t="s">
        <v>154</v>
      </c>
      <c r="C695" s="367">
        <v>4.3367766580440156E-3</v>
      </c>
      <c r="D695" s="367">
        <v>0</v>
      </c>
      <c r="E695" s="367">
        <v>0</v>
      </c>
      <c r="F695" s="367">
        <v>0</v>
      </c>
      <c r="G695" s="367">
        <v>0</v>
      </c>
      <c r="H695" s="367">
        <v>0</v>
      </c>
      <c r="I695" s="367">
        <v>0</v>
      </c>
      <c r="J695" s="367">
        <v>0</v>
      </c>
      <c r="K695" s="366">
        <v>0</v>
      </c>
    </row>
    <row r="696" spans="1:11" x14ac:dyDescent="0.35">
      <c r="A696" s="609"/>
      <c r="B696" s="332" t="s">
        <v>155</v>
      </c>
      <c r="C696" s="367">
        <v>0</v>
      </c>
      <c r="D696" s="367">
        <v>0</v>
      </c>
      <c r="E696" s="367">
        <v>0</v>
      </c>
      <c r="F696" s="367">
        <v>0</v>
      </c>
      <c r="G696" s="367">
        <v>0</v>
      </c>
      <c r="H696" s="367">
        <v>0</v>
      </c>
      <c r="I696" s="367">
        <v>0</v>
      </c>
      <c r="J696" s="367">
        <v>0</v>
      </c>
      <c r="K696" s="366">
        <v>0</v>
      </c>
    </row>
    <row r="697" spans="1:11" x14ac:dyDescent="0.35">
      <c r="A697" s="609"/>
      <c r="B697" s="332" t="s">
        <v>156</v>
      </c>
      <c r="C697" s="367">
        <v>0</v>
      </c>
      <c r="D697" s="367">
        <v>0</v>
      </c>
      <c r="E697" s="367">
        <v>0</v>
      </c>
      <c r="F697" s="367">
        <v>0</v>
      </c>
      <c r="G697" s="367">
        <v>0</v>
      </c>
      <c r="H697" s="367">
        <v>0</v>
      </c>
      <c r="I697" s="367">
        <v>0</v>
      </c>
      <c r="J697" s="367">
        <v>0</v>
      </c>
      <c r="K697" s="366">
        <v>0</v>
      </c>
    </row>
    <row r="698" spans="1:11" x14ac:dyDescent="0.35">
      <c r="A698" s="609"/>
      <c r="B698" s="332" t="s">
        <v>157</v>
      </c>
      <c r="C698" s="366">
        <v>0</v>
      </c>
      <c r="D698" s="366">
        <v>0</v>
      </c>
      <c r="E698" s="366">
        <v>0</v>
      </c>
      <c r="F698" s="367">
        <v>0</v>
      </c>
      <c r="G698" s="366">
        <v>0</v>
      </c>
      <c r="H698" s="366">
        <v>0</v>
      </c>
      <c r="I698" s="366">
        <v>0</v>
      </c>
      <c r="J698" s="366">
        <v>0</v>
      </c>
      <c r="K698" s="366">
        <v>0</v>
      </c>
    </row>
    <row r="699" spans="1:11" ht="15" thickBot="1" x14ac:dyDescent="0.4">
      <c r="A699" s="610"/>
      <c r="B699" s="83" t="s">
        <v>158</v>
      </c>
      <c r="C699" s="366">
        <v>0</v>
      </c>
      <c r="D699" s="366">
        <v>0</v>
      </c>
      <c r="E699" s="233">
        <v>5.0890554053707529E-2</v>
      </c>
      <c r="F699" s="366">
        <v>0</v>
      </c>
      <c r="G699" s="366">
        <v>0</v>
      </c>
      <c r="H699" s="366">
        <v>0</v>
      </c>
      <c r="I699" s="366">
        <v>0</v>
      </c>
      <c r="J699" s="366">
        <v>0</v>
      </c>
      <c r="K699" s="233">
        <v>0</v>
      </c>
    </row>
    <row r="700" spans="1:11" x14ac:dyDescent="0.35">
      <c r="A700" s="608" t="s">
        <v>113</v>
      </c>
      <c r="B700" s="82" t="s">
        <v>149</v>
      </c>
      <c r="C700" s="232">
        <v>0.63833142606429927</v>
      </c>
      <c r="D700" s="232">
        <v>7.936289178191294E-4</v>
      </c>
      <c r="E700" s="232">
        <v>0.17293937243840071</v>
      </c>
      <c r="F700" s="232">
        <v>0</v>
      </c>
      <c r="G700" s="232">
        <v>0</v>
      </c>
      <c r="H700" s="232">
        <v>1</v>
      </c>
      <c r="I700" s="232">
        <v>1</v>
      </c>
      <c r="J700" s="232">
        <v>0</v>
      </c>
      <c r="K700" s="366">
        <v>0</v>
      </c>
    </row>
    <row r="701" spans="1:11" x14ac:dyDescent="0.35">
      <c r="A701" s="609"/>
      <c r="B701" s="332" t="s">
        <v>150</v>
      </c>
      <c r="C701" s="367">
        <v>0.32689729963700853</v>
      </c>
      <c r="D701" s="367">
        <v>0.89115594735925785</v>
      </c>
      <c r="E701" s="367">
        <v>0</v>
      </c>
      <c r="F701" s="367">
        <v>0.11496199676667407</v>
      </c>
      <c r="G701" s="367">
        <v>0</v>
      </c>
      <c r="H701" s="367">
        <v>0</v>
      </c>
      <c r="I701" s="367">
        <v>0</v>
      </c>
      <c r="J701" s="367">
        <v>1</v>
      </c>
      <c r="K701" s="366">
        <v>0</v>
      </c>
    </row>
    <row r="702" spans="1:11" x14ac:dyDescent="0.35">
      <c r="A702" s="609"/>
      <c r="B702" s="332" t="s">
        <v>151</v>
      </c>
      <c r="C702" s="367">
        <v>2.555227139324439E-2</v>
      </c>
      <c r="D702" s="367">
        <v>4.8005071815578754E-3</v>
      </c>
      <c r="E702" s="367">
        <v>0</v>
      </c>
      <c r="F702" s="367">
        <v>0</v>
      </c>
      <c r="G702" s="367">
        <v>0</v>
      </c>
      <c r="H702" s="367">
        <v>0</v>
      </c>
      <c r="I702" s="367">
        <v>0</v>
      </c>
      <c r="J702" s="367">
        <v>0</v>
      </c>
      <c r="K702" s="366">
        <v>0</v>
      </c>
    </row>
    <row r="703" spans="1:11" x14ac:dyDescent="0.35">
      <c r="A703" s="609"/>
      <c r="B703" s="332" t="s">
        <v>152</v>
      </c>
      <c r="C703" s="367">
        <v>9.3247418516627443E-4</v>
      </c>
      <c r="D703" s="367">
        <v>9.8562720658776831E-2</v>
      </c>
      <c r="E703" s="367">
        <v>0</v>
      </c>
      <c r="F703" s="367">
        <v>0</v>
      </c>
      <c r="G703" s="367">
        <v>0</v>
      </c>
      <c r="H703" s="367">
        <v>0</v>
      </c>
      <c r="I703" s="367">
        <v>0</v>
      </c>
      <c r="J703" s="367">
        <v>0</v>
      </c>
      <c r="K703" s="366">
        <v>0</v>
      </c>
    </row>
    <row r="704" spans="1:11" x14ac:dyDescent="0.35">
      <c r="A704" s="609"/>
      <c r="B704" s="332" t="s">
        <v>153</v>
      </c>
      <c r="C704" s="367">
        <v>1.5931805240766536E-3</v>
      </c>
      <c r="D704" s="367">
        <v>4.6871958825884345E-3</v>
      </c>
      <c r="E704" s="367">
        <v>0</v>
      </c>
      <c r="F704" s="367">
        <v>0</v>
      </c>
      <c r="G704" s="367">
        <v>0</v>
      </c>
      <c r="H704" s="367">
        <v>0</v>
      </c>
      <c r="I704" s="367">
        <v>0</v>
      </c>
      <c r="J704" s="367">
        <v>0</v>
      </c>
      <c r="K704" s="366">
        <v>0</v>
      </c>
    </row>
    <row r="705" spans="1:11" x14ac:dyDescent="0.35">
      <c r="A705" s="609"/>
      <c r="B705" s="332" t="s">
        <v>154</v>
      </c>
      <c r="C705" s="367">
        <v>6.693348196204916E-3</v>
      </c>
      <c r="D705" s="367">
        <v>0</v>
      </c>
      <c r="E705" s="367">
        <v>0</v>
      </c>
      <c r="F705" s="367">
        <v>0</v>
      </c>
      <c r="G705" s="367">
        <v>0</v>
      </c>
      <c r="H705" s="367">
        <v>0</v>
      </c>
      <c r="I705" s="367">
        <v>0</v>
      </c>
      <c r="J705" s="367">
        <v>0</v>
      </c>
      <c r="K705" s="366">
        <v>0</v>
      </c>
    </row>
    <row r="706" spans="1:11" x14ac:dyDescent="0.35">
      <c r="A706" s="609"/>
      <c r="B706" s="332" t="s">
        <v>155</v>
      </c>
      <c r="C706" s="367">
        <v>0</v>
      </c>
      <c r="D706" s="367">
        <v>0</v>
      </c>
      <c r="E706" s="367">
        <v>0</v>
      </c>
      <c r="F706" s="367">
        <v>0</v>
      </c>
      <c r="G706" s="367">
        <v>0</v>
      </c>
      <c r="H706" s="367">
        <v>0</v>
      </c>
      <c r="I706" s="367">
        <v>0</v>
      </c>
      <c r="J706" s="367">
        <v>0</v>
      </c>
      <c r="K706" s="366">
        <v>0</v>
      </c>
    </row>
    <row r="707" spans="1:11" x14ac:dyDescent="0.35">
      <c r="A707" s="609"/>
      <c r="B707" s="332" t="s">
        <v>156</v>
      </c>
      <c r="C707" s="367">
        <v>0</v>
      </c>
      <c r="D707" s="367">
        <v>0</v>
      </c>
      <c r="E707" s="367">
        <v>0</v>
      </c>
      <c r="F707" s="367">
        <v>0</v>
      </c>
      <c r="G707" s="367">
        <v>0</v>
      </c>
      <c r="H707" s="367">
        <v>0</v>
      </c>
      <c r="I707" s="367">
        <v>0</v>
      </c>
      <c r="J707" s="367">
        <v>0</v>
      </c>
      <c r="K707" s="366">
        <v>0</v>
      </c>
    </row>
    <row r="708" spans="1:11" x14ac:dyDescent="0.35">
      <c r="A708" s="609"/>
      <c r="B708" s="332" t="s">
        <v>157</v>
      </c>
      <c r="C708" s="366">
        <v>0</v>
      </c>
      <c r="D708" s="366">
        <v>0</v>
      </c>
      <c r="E708" s="366">
        <v>0</v>
      </c>
      <c r="F708" s="367">
        <v>0.88503800323332593</v>
      </c>
      <c r="G708" s="366">
        <v>0</v>
      </c>
      <c r="H708" s="366">
        <v>0</v>
      </c>
      <c r="I708" s="366">
        <v>0</v>
      </c>
      <c r="J708" s="366">
        <v>0</v>
      </c>
      <c r="K708" s="366">
        <v>0</v>
      </c>
    </row>
    <row r="709" spans="1:11" ht="15" thickBot="1" x14ac:dyDescent="0.4">
      <c r="A709" s="610"/>
      <c r="B709" s="83" t="s">
        <v>158</v>
      </c>
      <c r="C709" s="366">
        <v>0</v>
      </c>
      <c r="D709" s="366">
        <v>0</v>
      </c>
      <c r="E709" s="233">
        <v>0.82706062756159926</v>
      </c>
      <c r="F709" s="366">
        <v>0</v>
      </c>
      <c r="G709" s="366">
        <v>0</v>
      </c>
      <c r="H709" s="366">
        <v>0</v>
      </c>
      <c r="I709" s="366">
        <v>0</v>
      </c>
      <c r="J709" s="366">
        <v>0</v>
      </c>
      <c r="K709" s="233">
        <v>0</v>
      </c>
    </row>
    <row r="710" spans="1:11" x14ac:dyDescent="0.35">
      <c r="A710" s="608" t="s">
        <v>114</v>
      </c>
      <c r="B710" s="82" t="s">
        <v>149</v>
      </c>
      <c r="C710" s="232">
        <v>0.35810499505064991</v>
      </c>
      <c r="D710" s="232">
        <v>0</v>
      </c>
      <c r="E710" s="232">
        <v>0.27272982709364307</v>
      </c>
      <c r="F710" s="232">
        <v>0</v>
      </c>
      <c r="G710" s="232">
        <v>1</v>
      </c>
      <c r="H710" s="232">
        <v>1</v>
      </c>
      <c r="I710" s="232">
        <v>1</v>
      </c>
      <c r="J710" s="232">
        <v>0</v>
      </c>
      <c r="K710" s="366">
        <v>0</v>
      </c>
    </row>
    <row r="711" spans="1:11" x14ac:dyDescent="0.35">
      <c r="A711" s="609"/>
      <c r="B711" s="332" t="s">
        <v>150</v>
      </c>
      <c r="C711" s="367">
        <v>0.48628097416903393</v>
      </c>
      <c r="D711" s="367">
        <v>0.96409205125820763</v>
      </c>
      <c r="E711" s="367">
        <v>0</v>
      </c>
      <c r="F711" s="367">
        <v>9.7873160426022926E-2</v>
      </c>
      <c r="G711" s="367">
        <v>0</v>
      </c>
      <c r="H711" s="367">
        <v>0</v>
      </c>
      <c r="I711" s="367">
        <v>0</v>
      </c>
      <c r="J711" s="367">
        <v>1</v>
      </c>
      <c r="K711" s="366">
        <v>0</v>
      </c>
    </row>
    <row r="712" spans="1:11" x14ac:dyDescent="0.35">
      <c r="A712" s="609"/>
      <c r="B712" s="332" t="s">
        <v>151</v>
      </c>
      <c r="C712" s="367">
        <v>0.15533229311560517</v>
      </c>
      <c r="D712" s="367">
        <v>1.0095218313292747E-2</v>
      </c>
      <c r="E712" s="367">
        <v>0</v>
      </c>
      <c r="F712" s="367">
        <v>0</v>
      </c>
      <c r="G712" s="367">
        <v>0</v>
      </c>
      <c r="H712" s="367">
        <v>0</v>
      </c>
      <c r="I712" s="367">
        <v>0</v>
      </c>
      <c r="J712" s="367">
        <v>0</v>
      </c>
      <c r="K712" s="366">
        <v>0</v>
      </c>
    </row>
    <row r="713" spans="1:11" x14ac:dyDescent="0.35">
      <c r="A713" s="609"/>
      <c r="B713" s="332" t="s">
        <v>152</v>
      </c>
      <c r="C713" s="367">
        <v>2.0678796165856883E-4</v>
      </c>
      <c r="D713" s="367">
        <v>1.447364695528352E-2</v>
      </c>
      <c r="E713" s="367">
        <v>0</v>
      </c>
      <c r="F713" s="367">
        <v>0</v>
      </c>
      <c r="G713" s="367">
        <v>0</v>
      </c>
      <c r="H713" s="367">
        <v>0</v>
      </c>
      <c r="I713" s="367">
        <v>0</v>
      </c>
      <c r="J713" s="367">
        <v>0</v>
      </c>
      <c r="K713" s="366">
        <v>0</v>
      </c>
    </row>
    <row r="714" spans="1:11" x14ac:dyDescent="0.35">
      <c r="A714" s="609"/>
      <c r="B714" s="332" t="s">
        <v>153</v>
      </c>
      <c r="C714" s="367">
        <v>1.9094971511734925E-5</v>
      </c>
      <c r="D714" s="367">
        <v>1.1339083473216192E-2</v>
      </c>
      <c r="E714" s="367">
        <v>0</v>
      </c>
      <c r="F714" s="367">
        <v>0</v>
      </c>
      <c r="G714" s="367">
        <v>0</v>
      </c>
      <c r="H714" s="367">
        <v>0</v>
      </c>
      <c r="I714" s="367">
        <v>0</v>
      </c>
      <c r="J714" s="367">
        <v>0</v>
      </c>
      <c r="K714" s="366">
        <v>0</v>
      </c>
    </row>
    <row r="715" spans="1:11" x14ac:dyDescent="0.35">
      <c r="A715" s="609"/>
      <c r="B715" s="332" t="s">
        <v>154</v>
      </c>
      <c r="C715" s="367">
        <v>5.5854731540598542E-5</v>
      </c>
      <c r="D715" s="367">
        <v>0</v>
      </c>
      <c r="E715" s="367">
        <v>0</v>
      </c>
      <c r="F715" s="367">
        <v>0</v>
      </c>
      <c r="G715" s="367">
        <v>0</v>
      </c>
      <c r="H715" s="367">
        <v>0</v>
      </c>
      <c r="I715" s="367">
        <v>0</v>
      </c>
      <c r="J715" s="367">
        <v>0</v>
      </c>
      <c r="K715" s="366">
        <v>0</v>
      </c>
    </row>
    <row r="716" spans="1:11" x14ac:dyDescent="0.35">
      <c r="A716" s="609"/>
      <c r="B716" s="332" t="s">
        <v>155</v>
      </c>
      <c r="C716" s="367">
        <v>0</v>
      </c>
      <c r="D716" s="367">
        <v>0</v>
      </c>
      <c r="E716" s="367">
        <v>0</v>
      </c>
      <c r="F716" s="367">
        <v>0</v>
      </c>
      <c r="G716" s="367">
        <v>0</v>
      </c>
      <c r="H716" s="367">
        <v>0</v>
      </c>
      <c r="I716" s="367">
        <v>0</v>
      </c>
      <c r="J716" s="367">
        <v>0</v>
      </c>
      <c r="K716" s="366">
        <v>0</v>
      </c>
    </row>
    <row r="717" spans="1:11" x14ac:dyDescent="0.35">
      <c r="A717" s="609"/>
      <c r="B717" s="332" t="s">
        <v>156</v>
      </c>
      <c r="C717" s="367">
        <v>0</v>
      </c>
      <c r="D717" s="367">
        <v>0</v>
      </c>
      <c r="E717" s="367">
        <v>0</v>
      </c>
      <c r="F717" s="367">
        <v>0</v>
      </c>
      <c r="G717" s="367">
        <v>0</v>
      </c>
      <c r="H717" s="367">
        <v>0</v>
      </c>
      <c r="I717" s="367">
        <v>0</v>
      </c>
      <c r="J717" s="367">
        <v>0</v>
      </c>
      <c r="K717" s="366">
        <v>0</v>
      </c>
    </row>
    <row r="718" spans="1:11" x14ac:dyDescent="0.35">
      <c r="A718" s="609"/>
      <c r="B718" s="332" t="s">
        <v>157</v>
      </c>
      <c r="C718" s="366">
        <v>0</v>
      </c>
      <c r="D718" s="366">
        <v>0</v>
      </c>
      <c r="E718" s="366">
        <v>0</v>
      </c>
      <c r="F718" s="367">
        <v>0.9021268395739771</v>
      </c>
      <c r="G718" s="366">
        <v>0</v>
      </c>
      <c r="H718" s="366">
        <v>0</v>
      </c>
      <c r="I718" s="366">
        <v>0</v>
      </c>
      <c r="J718" s="366">
        <v>0</v>
      </c>
      <c r="K718" s="366">
        <v>0</v>
      </c>
    </row>
    <row r="719" spans="1:11" ht="15" thickBot="1" x14ac:dyDescent="0.4">
      <c r="A719" s="610"/>
      <c r="B719" s="83" t="s">
        <v>158</v>
      </c>
      <c r="C719" s="366">
        <v>0</v>
      </c>
      <c r="D719" s="366">
        <v>0</v>
      </c>
      <c r="E719" s="233">
        <v>0.72727017290635698</v>
      </c>
      <c r="F719" s="366">
        <v>0</v>
      </c>
      <c r="G719" s="366">
        <v>0</v>
      </c>
      <c r="H719" s="366">
        <v>0</v>
      </c>
      <c r="I719" s="366">
        <v>0</v>
      </c>
      <c r="J719" s="366">
        <v>0</v>
      </c>
      <c r="K719" s="233">
        <v>0</v>
      </c>
    </row>
    <row r="720" spans="1:11" x14ac:dyDescent="0.35">
      <c r="A720" s="608" t="s">
        <v>115</v>
      </c>
      <c r="B720" s="82" t="s">
        <v>149</v>
      </c>
      <c r="C720" s="232">
        <v>0.27876637782287178</v>
      </c>
      <c r="D720" s="232">
        <v>1.0479376238275411E-4</v>
      </c>
      <c r="E720" s="232">
        <v>0.82386879543290814</v>
      </c>
      <c r="F720" s="232">
        <v>0</v>
      </c>
      <c r="G720" s="232">
        <v>1</v>
      </c>
      <c r="H720" s="232">
        <v>1</v>
      </c>
      <c r="I720" s="232">
        <v>1</v>
      </c>
      <c r="J720" s="232">
        <v>0</v>
      </c>
      <c r="K720" s="366">
        <v>0</v>
      </c>
    </row>
    <row r="721" spans="1:11" x14ac:dyDescent="0.35">
      <c r="A721" s="609"/>
      <c r="B721" s="332" t="s">
        <v>150</v>
      </c>
      <c r="C721" s="367">
        <v>0.71023294806679316</v>
      </c>
      <c r="D721" s="367">
        <v>0.92631844823746812</v>
      </c>
      <c r="E721" s="367">
        <v>0</v>
      </c>
      <c r="F721" s="367">
        <v>0.15516343628955812</v>
      </c>
      <c r="G721" s="367">
        <v>0</v>
      </c>
      <c r="H721" s="367">
        <v>0</v>
      </c>
      <c r="I721" s="367">
        <v>0</v>
      </c>
      <c r="J721" s="367">
        <v>1</v>
      </c>
      <c r="K721" s="366">
        <v>0</v>
      </c>
    </row>
    <row r="722" spans="1:11" x14ac:dyDescent="0.35">
      <c r="A722" s="609"/>
      <c r="B722" s="332" t="s">
        <v>151</v>
      </c>
      <c r="C722" s="367">
        <v>1.0539191397913728E-2</v>
      </c>
      <c r="D722" s="367">
        <v>1.9334414461380682E-4</v>
      </c>
      <c r="E722" s="367">
        <v>0</v>
      </c>
      <c r="F722" s="367">
        <v>0</v>
      </c>
      <c r="G722" s="367">
        <v>0</v>
      </c>
      <c r="H722" s="367">
        <v>0</v>
      </c>
      <c r="I722" s="367">
        <v>0</v>
      </c>
      <c r="J722" s="367">
        <v>0</v>
      </c>
      <c r="K722" s="366">
        <v>0</v>
      </c>
    </row>
    <row r="723" spans="1:11" x14ac:dyDescent="0.35">
      <c r="A723" s="609"/>
      <c r="B723" s="332" t="s">
        <v>152</v>
      </c>
      <c r="C723" s="367">
        <v>5.9293069134920229E-6</v>
      </c>
      <c r="D723" s="367">
        <v>7.2082484686653209E-2</v>
      </c>
      <c r="E723" s="367">
        <v>0</v>
      </c>
      <c r="F723" s="367">
        <v>0</v>
      </c>
      <c r="G723" s="367">
        <v>0</v>
      </c>
      <c r="H723" s="367">
        <v>0</v>
      </c>
      <c r="I723" s="367">
        <v>0</v>
      </c>
      <c r="J723" s="367">
        <v>0</v>
      </c>
      <c r="K723" s="366">
        <v>0</v>
      </c>
    </row>
    <row r="724" spans="1:11" x14ac:dyDescent="0.35">
      <c r="A724" s="609"/>
      <c r="B724" s="332" t="s">
        <v>153</v>
      </c>
      <c r="C724" s="367">
        <v>3.5839884347766597E-4</v>
      </c>
      <c r="D724" s="367">
        <v>1.3009291688821365E-3</v>
      </c>
      <c r="E724" s="367">
        <v>0</v>
      </c>
      <c r="F724" s="367">
        <v>0</v>
      </c>
      <c r="G724" s="367">
        <v>0</v>
      </c>
      <c r="H724" s="367">
        <v>0</v>
      </c>
      <c r="I724" s="367">
        <v>0</v>
      </c>
      <c r="J724" s="367">
        <v>0</v>
      </c>
      <c r="K724" s="366">
        <v>0</v>
      </c>
    </row>
    <row r="725" spans="1:11" x14ac:dyDescent="0.35">
      <c r="A725" s="609"/>
      <c r="B725" s="332" t="s">
        <v>154</v>
      </c>
      <c r="C725" s="367">
        <v>9.7154562030256074E-5</v>
      </c>
      <c r="D725" s="367">
        <v>0</v>
      </c>
      <c r="E725" s="367">
        <v>0</v>
      </c>
      <c r="F725" s="367">
        <v>0</v>
      </c>
      <c r="G725" s="367">
        <v>0</v>
      </c>
      <c r="H725" s="367">
        <v>0</v>
      </c>
      <c r="I725" s="367">
        <v>0</v>
      </c>
      <c r="J725" s="367">
        <v>0</v>
      </c>
      <c r="K725" s="366">
        <v>0</v>
      </c>
    </row>
    <row r="726" spans="1:11" x14ac:dyDescent="0.35">
      <c r="A726" s="609"/>
      <c r="B726" s="332" t="s">
        <v>155</v>
      </c>
      <c r="C726" s="367">
        <v>0</v>
      </c>
      <c r="D726" s="367">
        <v>0</v>
      </c>
      <c r="E726" s="367">
        <v>0</v>
      </c>
      <c r="F726" s="367">
        <v>0</v>
      </c>
      <c r="G726" s="367">
        <v>0</v>
      </c>
      <c r="H726" s="367">
        <v>0</v>
      </c>
      <c r="I726" s="367">
        <v>0</v>
      </c>
      <c r="J726" s="367">
        <v>0</v>
      </c>
      <c r="K726" s="366">
        <v>0</v>
      </c>
    </row>
    <row r="727" spans="1:11" x14ac:dyDescent="0.35">
      <c r="A727" s="609"/>
      <c r="B727" s="332" t="s">
        <v>156</v>
      </c>
      <c r="C727" s="367">
        <v>0</v>
      </c>
      <c r="D727" s="367">
        <v>0</v>
      </c>
      <c r="E727" s="367">
        <v>0</v>
      </c>
      <c r="F727" s="367">
        <v>0</v>
      </c>
      <c r="G727" s="367">
        <v>0</v>
      </c>
      <c r="H727" s="367">
        <v>0</v>
      </c>
      <c r="I727" s="367">
        <v>0</v>
      </c>
      <c r="J727" s="367">
        <v>0</v>
      </c>
      <c r="K727" s="366">
        <v>0</v>
      </c>
    </row>
    <row r="728" spans="1:11" x14ac:dyDescent="0.35">
      <c r="A728" s="609"/>
      <c r="B728" s="332" t="s">
        <v>157</v>
      </c>
      <c r="C728" s="366">
        <v>0</v>
      </c>
      <c r="D728" s="366">
        <v>0</v>
      </c>
      <c r="E728" s="366">
        <v>0</v>
      </c>
      <c r="F728" s="367">
        <v>0.84483656371044191</v>
      </c>
      <c r="G728" s="366">
        <v>0</v>
      </c>
      <c r="H728" s="366">
        <v>0</v>
      </c>
      <c r="I728" s="366">
        <v>0</v>
      </c>
      <c r="J728" s="366">
        <v>0</v>
      </c>
      <c r="K728" s="366">
        <v>0</v>
      </c>
    </row>
    <row r="729" spans="1:11" ht="15" thickBot="1" x14ac:dyDescent="0.4">
      <c r="A729" s="610"/>
      <c r="B729" s="83" t="s">
        <v>158</v>
      </c>
      <c r="C729" s="366">
        <v>0</v>
      </c>
      <c r="D729" s="366">
        <v>0</v>
      </c>
      <c r="E729" s="233">
        <v>0.17613120456709191</v>
      </c>
      <c r="F729" s="366">
        <v>0</v>
      </c>
      <c r="G729" s="366">
        <v>0</v>
      </c>
      <c r="H729" s="366">
        <v>0</v>
      </c>
      <c r="I729" s="366">
        <v>0</v>
      </c>
      <c r="J729" s="366">
        <v>0</v>
      </c>
      <c r="K729" s="233">
        <v>0</v>
      </c>
    </row>
    <row r="730" spans="1:11" x14ac:dyDescent="0.35">
      <c r="A730" s="608" t="s">
        <v>116</v>
      </c>
      <c r="B730" s="82" t="s">
        <v>149</v>
      </c>
      <c r="C730" s="232">
        <v>0.4078853947431802</v>
      </c>
      <c r="D730" s="232">
        <v>1.7294186118712847E-3</v>
      </c>
      <c r="E730" s="232">
        <v>0.72684307384429447</v>
      </c>
      <c r="F730" s="232">
        <v>0</v>
      </c>
      <c r="G730" s="232">
        <v>1</v>
      </c>
      <c r="H730" s="232">
        <v>1</v>
      </c>
      <c r="I730" s="232">
        <v>1</v>
      </c>
      <c r="J730" s="232">
        <v>0</v>
      </c>
      <c r="K730" s="366">
        <v>0</v>
      </c>
    </row>
    <row r="731" spans="1:11" x14ac:dyDescent="0.35">
      <c r="A731" s="609"/>
      <c r="B731" s="332" t="s">
        <v>150</v>
      </c>
      <c r="C731" s="367">
        <v>0.57477584999123876</v>
      </c>
      <c r="D731" s="367">
        <v>0.99701042919268557</v>
      </c>
      <c r="E731" s="367">
        <v>0</v>
      </c>
      <c r="F731" s="367">
        <v>0.26113702383748827</v>
      </c>
      <c r="G731" s="367">
        <v>0</v>
      </c>
      <c r="H731" s="367">
        <v>0</v>
      </c>
      <c r="I731" s="367">
        <v>0</v>
      </c>
      <c r="J731" s="367">
        <v>1</v>
      </c>
      <c r="K731" s="366">
        <v>0</v>
      </c>
    </row>
    <row r="732" spans="1:11" x14ac:dyDescent="0.35">
      <c r="A732" s="609"/>
      <c r="B732" s="332" t="s">
        <v>151</v>
      </c>
      <c r="C732" s="367">
        <v>1.7037127104607887E-2</v>
      </c>
      <c r="D732" s="367">
        <v>1.1664750585822913E-3</v>
      </c>
      <c r="E732" s="367">
        <v>0</v>
      </c>
      <c r="F732" s="367">
        <v>0</v>
      </c>
      <c r="G732" s="367">
        <v>0</v>
      </c>
      <c r="H732" s="367">
        <v>0</v>
      </c>
      <c r="I732" s="367">
        <v>0</v>
      </c>
      <c r="J732" s="367">
        <v>0</v>
      </c>
      <c r="K732" s="366">
        <v>0</v>
      </c>
    </row>
    <row r="733" spans="1:11" x14ac:dyDescent="0.35">
      <c r="A733" s="609"/>
      <c r="B733" s="332" t="s">
        <v>152</v>
      </c>
      <c r="C733" s="367">
        <v>0</v>
      </c>
      <c r="D733" s="367">
        <v>0</v>
      </c>
      <c r="E733" s="367">
        <v>0</v>
      </c>
      <c r="F733" s="367">
        <v>0</v>
      </c>
      <c r="G733" s="367">
        <v>0</v>
      </c>
      <c r="H733" s="367">
        <v>0</v>
      </c>
      <c r="I733" s="367">
        <v>0</v>
      </c>
      <c r="J733" s="367">
        <v>0</v>
      </c>
      <c r="K733" s="366">
        <v>0</v>
      </c>
    </row>
    <row r="734" spans="1:11" x14ac:dyDescent="0.35">
      <c r="A734" s="609"/>
      <c r="B734" s="332" t="s">
        <v>153</v>
      </c>
      <c r="C734" s="367">
        <v>2.7001033759834099E-4</v>
      </c>
      <c r="D734" s="367">
        <v>9.367713686096278E-5</v>
      </c>
      <c r="E734" s="367">
        <v>0</v>
      </c>
      <c r="F734" s="367">
        <v>0</v>
      </c>
      <c r="G734" s="367">
        <v>0</v>
      </c>
      <c r="H734" s="367">
        <v>0</v>
      </c>
      <c r="I734" s="367">
        <v>0</v>
      </c>
      <c r="J734" s="367">
        <v>0</v>
      </c>
      <c r="K734" s="366">
        <v>0</v>
      </c>
    </row>
    <row r="735" spans="1:11" x14ac:dyDescent="0.35">
      <c r="A735" s="609"/>
      <c r="B735" s="332" t="s">
        <v>154</v>
      </c>
      <c r="C735" s="367">
        <v>3.1617823374965138E-5</v>
      </c>
      <c r="D735" s="367">
        <v>0</v>
      </c>
      <c r="E735" s="367">
        <v>0</v>
      </c>
      <c r="F735" s="367">
        <v>0</v>
      </c>
      <c r="G735" s="367">
        <v>0</v>
      </c>
      <c r="H735" s="367">
        <v>0</v>
      </c>
      <c r="I735" s="367">
        <v>0</v>
      </c>
      <c r="J735" s="367">
        <v>0</v>
      </c>
      <c r="K735" s="366">
        <v>0</v>
      </c>
    </row>
    <row r="736" spans="1:11" x14ac:dyDescent="0.35">
      <c r="A736" s="609"/>
      <c r="B736" s="332" t="s">
        <v>155</v>
      </c>
      <c r="C736" s="367">
        <v>0</v>
      </c>
      <c r="D736" s="367">
        <v>0</v>
      </c>
      <c r="E736" s="367">
        <v>0</v>
      </c>
      <c r="F736" s="367">
        <v>0</v>
      </c>
      <c r="G736" s="367">
        <v>0</v>
      </c>
      <c r="H736" s="367">
        <v>0</v>
      </c>
      <c r="I736" s="367">
        <v>0</v>
      </c>
      <c r="J736" s="367">
        <v>0</v>
      </c>
      <c r="K736" s="366">
        <v>0</v>
      </c>
    </row>
    <row r="737" spans="1:11" x14ac:dyDescent="0.35">
      <c r="A737" s="609"/>
      <c r="B737" s="332" t="s">
        <v>156</v>
      </c>
      <c r="C737" s="367">
        <v>0</v>
      </c>
      <c r="D737" s="367">
        <v>0</v>
      </c>
      <c r="E737" s="367">
        <v>0</v>
      </c>
      <c r="F737" s="367">
        <v>0</v>
      </c>
      <c r="G737" s="367">
        <v>0</v>
      </c>
      <c r="H737" s="367">
        <v>0</v>
      </c>
      <c r="I737" s="367">
        <v>0</v>
      </c>
      <c r="J737" s="367">
        <v>0</v>
      </c>
      <c r="K737" s="366">
        <v>0</v>
      </c>
    </row>
    <row r="738" spans="1:11" x14ac:dyDescent="0.35">
      <c r="A738" s="609"/>
      <c r="B738" s="332" t="s">
        <v>157</v>
      </c>
      <c r="C738" s="366">
        <v>0</v>
      </c>
      <c r="D738" s="366">
        <v>0</v>
      </c>
      <c r="E738" s="366">
        <v>0</v>
      </c>
      <c r="F738" s="367">
        <v>0.73886297616251173</v>
      </c>
      <c r="G738" s="366">
        <v>0</v>
      </c>
      <c r="H738" s="366">
        <v>0</v>
      </c>
      <c r="I738" s="366">
        <v>0</v>
      </c>
      <c r="J738" s="366">
        <v>0</v>
      </c>
      <c r="K738" s="366">
        <v>0</v>
      </c>
    </row>
    <row r="739" spans="1:11" ht="15" thickBot="1" x14ac:dyDescent="0.4">
      <c r="A739" s="610"/>
      <c r="B739" s="83" t="s">
        <v>158</v>
      </c>
      <c r="C739" s="366">
        <v>0</v>
      </c>
      <c r="D739" s="366">
        <v>0</v>
      </c>
      <c r="E739" s="233">
        <v>0.27315692615570558</v>
      </c>
      <c r="F739" s="366">
        <v>0</v>
      </c>
      <c r="G739" s="366">
        <v>0</v>
      </c>
      <c r="H739" s="366">
        <v>0</v>
      </c>
      <c r="I739" s="366">
        <v>0</v>
      </c>
      <c r="J739" s="366">
        <v>0</v>
      </c>
      <c r="K739" s="233">
        <v>0</v>
      </c>
    </row>
    <row r="740" spans="1:11" x14ac:dyDescent="0.35">
      <c r="A740" s="608" t="s">
        <v>117</v>
      </c>
      <c r="B740" s="82" t="s">
        <v>149</v>
      </c>
      <c r="C740" s="232">
        <v>0.63777287368872071</v>
      </c>
      <c r="D740" s="232">
        <v>0</v>
      </c>
      <c r="E740" s="232">
        <v>0.826132413017859</v>
      </c>
      <c r="F740" s="232">
        <v>0</v>
      </c>
      <c r="G740" s="232">
        <v>0</v>
      </c>
      <c r="H740" s="232">
        <v>1</v>
      </c>
      <c r="I740" s="232">
        <v>1</v>
      </c>
      <c r="J740" s="232">
        <v>0</v>
      </c>
      <c r="K740" s="366">
        <v>0</v>
      </c>
    </row>
    <row r="741" spans="1:11" x14ac:dyDescent="0.35">
      <c r="A741" s="609"/>
      <c r="B741" s="332" t="s">
        <v>150</v>
      </c>
      <c r="C741" s="367">
        <v>0.32185078598451111</v>
      </c>
      <c r="D741" s="367">
        <v>0.9341778879320245</v>
      </c>
      <c r="E741" s="367">
        <v>0</v>
      </c>
      <c r="F741" s="367">
        <v>0</v>
      </c>
      <c r="G741" s="367">
        <v>0</v>
      </c>
      <c r="H741" s="367">
        <v>0</v>
      </c>
      <c r="I741" s="367">
        <v>0</v>
      </c>
      <c r="J741" s="367">
        <v>0</v>
      </c>
      <c r="K741" s="366">
        <v>0</v>
      </c>
    </row>
    <row r="742" spans="1:11" x14ac:dyDescent="0.35">
      <c r="A742" s="609"/>
      <c r="B742" s="332" t="s">
        <v>151</v>
      </c>
      <c r="C742" s="367">
        <v>3.291746054397323E-2</v>
      </c>
      <c r="D742" s="367">
        <v>0</v>
      </c>
      <c r="E742" s="367">
        <v>0</v>
      </c>
      <c r="F742" s="367">
        <v>0</v>
      </c>
      <c r="G742" s="367">
        <v>0</v>
      </c>
      <c r="H742" s="367">
        <v>0</v>
      </c>
      <c r="I742" s="367">
        <v>0</v>
      </c>
      <c r="J742" s="367">
        <v>0</v>
      </c>
      <c r="K742" s="366">
        <v>0</v>
      </c>
    </row>
    <row r="743" spans="1:11" x14ac:dyDescent="0.35">
      <c r="A743" s="609"/>
      <c r="B743" s="332" t="s">
        <v>152</v>
      </c>
      <c r="C743" s="367">
        <v>7.3851116238244216E-3</v>
      </c>
      <c r="D743" s="367">
        <v>0</v>
      </c>
      <c r="E743" s="367">
        <v>0</v>
      </c>
      <c r="F743" s="367">
        <v>0</v>
      </c>
      <c r="G743" s="367">
        <v>0</v>
      </c>
      <c r="H743" s="367">
        <v>0</v>
      </c>
      <c r="I743" s="367">
        <v>0</v>
      </c>
      <c r="J743" s="367">
        <v>0</v>
      </c>
      <c r="K743" s="366">
        <v>0</v>
      </c>
    </row>
    <row r="744" spans="1:11" x14ac:dyDescent="0.35">
      <c r="A744" s="609"/>
      <c r="B744" s="332" t="s">
        <v>153</v>
      </c>
      <c r="C744" s="367">
        <v>5.0740445662252455E-5</v>
      </c>
      <c r="D744" s="367">
        <v>6.5822112067975572E-2</v>
      </c>
      <c r="E744" s="367">
        <v>0</v>
      </c>
      <c r="F744" s="367">
        <v>0</v>
      </c>
      <c r="G744" s="367">
        <v>0</v>
      </c>
      <c r="H744" s="367">
        <v>0</v>
      </c>
      <c r="I744" s="367">
        <v>0</v>
      </c>
      <c r="J744" s="367">
        <v>0</v>
      </c>
      <c r="K744" s="366">
        <v>0</v>
      </c>
    </row>
    <row r="745" spans="1:11" x14ac:dyDescent="0.35">
      <c r="A745" s="609"/>
      <c r="B745" s="332" t="s">
        <v>154</v>
      </c>
      <c r="C745" s="367">
        <v>2.3027713308263616E-5</v>
      </c>
      <c r="D745" s="367">
        <v>0</v>
      </c>
      <c r="E745" s="367">
        <v>0</v>
      </c>
      <c r="F745" s="367">
        <v>0</v>
      </c>
      <c r="G745" s="367">
        <v>0</v>
      </c>
      <c r="H745" s="367">
        <v>0</v>
      </c>
      <c r="I745" s="367">
        <v>0</v>
      </c>
      <c r="J745" s="367">
        <v>0</v>
      </c>
      <c r="K745" s="366">
        <v>0</v>
      </c>
    </row>
    <row r="746" spans="1:11" x14ac:dyDescent="0.35">
      <c r="A746" s="609"/>
      <c r="B746" s="332" t="s">
        <v>155</v>
      </c>
      <c r="C746" s="367">
        <v>0</v>
      </c>
      <c r="D746" s="367">
        <v>0</v>
      </c>
      <c r="E746" s="367">
        <v>0</v>
      </c>
      <c r="F746" s="367">
        <v>0</v>
      </c>
      <c r="G746" s="367">
        <v>0</v>
      </c>
      <c r="H746" s="367">
        <v>0</v>
      </c>
      <c r="I746" s="367">
        <v>0</v>
      </c>
      <c r="J746" s="367">
        <v>0</v>
      </c>
      <c r="K746" s="366">
        <v>0</v>
      </c>
    </row>
    <row r="747" spans="1:11" x14ac:dyDescent="0.35">
      <c r="A747" s="609"/>
      <c r="B747" s="332" t="s">
        <v>156</v>
      </c>
      <c r="C747" s="367">
        <v>0</v>
      </c>
      <c r="D747" s="367">
        <v>0</v>
      </c>
      <c r="E747" s="367">
        <v>0</v>
      </c>
      <c r="F747" s="367">
        <v>0</v>
      </c>
      <c r="G747" s="367">
        <v>0</v>
      </c>
      <c r="H747" s="367">
        <v>0</v>
      </c>
      <c r="I747" s="367">
        <v>0</v>
      </c>
      <c r="J747" s="367">
        <v>0</v>
      </c>
      <c r="K747" s="366">
        <v>0</v>
      </c>
    </row>
    <row r="748" spans="1:11" x14ac:dyDescent="0.35">
      <c r="A748" s="609"/>
      <c r="B748" s="332" t="s">
        <v>157</v>
      </c>
      <c r="C748" s="366">
        <v>0</v>
      </c>
      <c r="D748" s="366">
        <v>0</v>
      </c>
      <c r="E748" s="366">
        <v>0</v>
      </c>
      <c r="F748" s="367">
        <v>1</v>
      </c>
      <c r="G748" s="366">
        <v>0</v>
      </c>
      <c r="H748" s="366">
        <v>0</v>
      </c>
      <c r="I748" s="366">
        <v>0</v>
      </c>
      <c r="J748" s="366">
        <v>0</v>
      </c>
      <c r="K748" s="366">
        <v>0</v>
      </c>
    </row>
    <row r="749" spans="1:11" ht="15" thickBot="1" x14ac:dyDescent="0.4">
      <c r="A749" s="610"/>
      <c r="B749" s="83" t="s">
        <v>158</v>
      </c>
      <c r="C749" s="366">
        <v>0</v>
      </c>
      <c r="D749" s="366">
        <v>0</v>
      </c>
      <c r="E749" s="233">
        <v>0.17386758698214114</v>
      </c>
      <c r="F749" s="366">
        <v>0</v>
      </c>
      <c r="G749" s="366">
        <v>0</v>
      </c>
      <c r="H749" s="366">
        <v>0</v>
      </c>
      <c r="I749" s="366">
        <v>0</v>
      </c>
      <c r="J749" s="366">
        <v>0</v>
      </c>
      <c r="K749" s="233">
        <v>0</v>
      </c>
    </row>
    <row r="750" spans="1:11" x14ac:dyDescent="0.35">
      <c r="A750" s="608" t="s">
        <v>118</v>
      </c>
      <c r="B750" s="82" t="s">
        <v>149</v>
      </c>
      <c r="C750" s="232">
        <v>0.38093753775807898</v>
      </c>
      <c r="D750" s="232">
        <v>5.177693200927616E-4</v>
      </c>
      <c r="E750" s="232">
        <v>0.32085694742913812</v>
      </c>
      <c r="F750" s="232">
        <v>0</v>
      </c>
      <c r="G750" s="232">
        <v>0</v>
      </c>
      <c r="H750" s="232">
        <v>1</v>
      </c>
      <c r="I750" s="232">
        <v>1</v>
      </c>
      <c r="J750" s="232">
        <v>0</v>
      </c>
      <c r="K750" s="366">
        <v>0</v>
      </c>
    </row>
    <row r="751" spans="1:11" x14ac:dyDescent="0.35">
      <c r="A751" s="609"/>
      <c r="B751" s="332" t="s">
        <v>150</v>
      </c>
      <c r="C751" s="367">
        <v>0.608827080457785</v>
      </c>
      <c r="D751" s="367">
        <v>0.97120867464118898</v>
      </c>
      <c r="E751" s="367">
        <v>0</v>
      </c>
      <c r="F751" s="367">
        <v>0.36378690280577652</v>
      </c>
      <c r="G751" s="367">
        <v>0</v>
      </c>
      <c r="H751" s="367">
        <v>0</v>
      </c>
      <c r="I751" s="367">
        <v>0</v>
      </c>
      <c r="J751" s="367">
        <v>1</v>
      </c>
      <c r="K751" s="366">
        <v>0</v>
      </c>
    </row>
    <row r="752" spans="1:11" x14ac:dyDescent="0.35">
      <c r="A752" s="609"/>
      <c r="B752" s="332" t="s">
        <v>151</v>
      </c>
      <c r="C752" s="367">
        <v>9.9480009642305203E-3</v>
      </c>
      <c r="D752" s="367">
        <v>0</v>
      </c>
      <c r="E752" s="367">
        <v>0</v>
      </c>
      <c r="F752" s="367">
        <v>0</v>
      </c>
      <c r="G752" s="367">
        <v>0</v>
      </c>
      <c r="H752" s="367">
        <v>0</v>
      </c>
      <c r="I752" s="367">
        <v>0</v>
      </c>
      <c r="J752" s="367">
        <v>0</v>
      </c>
      <c r="K752" s="366">
        <v>0</v>
      </c>
    </row>
    <row r="753" spans="1:11" x14ac:dyDescent="0.35">
      <c r="A753" s="609"/>
      <c r="B753" s="332" t="s">
        <v>152</v>
      </c>
      <c r="C753" s="367">
        <v>1.593751176735518E-4</v>
      </c>
      <c r="D753" s="367">
        <v>2.7485266177380493E-2</v>
      </c>
      <c r="E753" s="367">
        <v>0</v>
      </c>
      <c r="F753" s="367">
        <v>0</v>
      </c>
      <c r="G753" s="367">
        <v>0</v>
      </c>
      <c r="H753" s="367">
        <v>0</v>
      </c>
      <c r="I753" s="367">
        <v>0</v>
      </c>
      <c r="J753" s="367">
        <v>0</v>
      </c>
      <c r="K753" s="366">
        <v>0</v>
      </c>
    </row>
    <row r="754" spans="1:11" x14ac:dyDescent="0.35">
      <c r="A754" s="609"/>
      <c r="B754" s="332" t="s">
        <v>153</v>
      </c>
      <c r="C754" s="367">
        <v>1.0017691632143024E-4</v>
      </c>
      <c r="D754" s="367">
        <v>7.8828986133774501E-4</v>
      </c>
      <c r="E754" s="367">
        <v>0</v>
      </c>
      <c r="F754" s="367">
        <v>0</v>
      </c>
      <c r="G754" s="367">
        <v>0</v>
      </c>
      <c r="H754" s="367">
        <v>0</v>
      </c>
      <c r="I754" s="367">
        <v>0</v>
      </c>
      <c r="J754" s="367">
        <v>0</v>
      </c>
      <c r="K754" s="366">
        <v>0</v>
      </c>
    </row>
    <row r="755" spans="1:11" x14ac:dyDescent="0.35">
      <c r="A755" s="609"/>
      <c r="B755" s="332" t="s">
        <v>154</v>
      </c>
      <c r="C755" s="367">
        <v>2.7828785910381653E-5</v>
      </c>
      <c r="D755" s="367">
        <v>0</v>
      </c>
      <c r="E755" s="367">
        <v>0</v>
      </c>
      <c r="F755" s="367">
        <v>0</v>
      </c>
      <c r="G755" s="367">
        <v>0</v>
      </c>
      <c r="H755" s="367">
        <v>0</v>
      </c>
      <c r="I755" s="367">
        <v>0</v>
      </c>
      <c r="J755" s="367">
        <v>0</v>
      </c>
      <c r="K755" s="366">
        <v>0</v>
      </c>
    </row>
    <row r="756" spans="1:11" x14ac:dyDescent="0.35">
      <c r="A756" s="609"/>
      <c r="B756" s="332" t="s">
        <v>155</v>
      </c>
      <c r="C756" s="367">
        <v>0</v>
      </c>
      <c r="D756" s="367">
        <v>0</v>
      </c>
      <c r="E756" s="367">
        <v>0</v>
      </c>
      <c r="F756" s="367">
        <v>0</v>
      </c>
      <c r="G756" s="367">
        <v>0</v>
      </c>
      <c r="H756" s="367">
        <v>0</v>
      </c>
      <c r="I756" s="367">
        <v>0</v>
      </c>
      <c r="J756" s="367">
        <v>0</v>
      </c>
      <c r="K756" s="366">
        <v>0</v>
      </c>
    </row>
    <row r="757" spans="1:11" x14ac:dyDescent="0.35">
      <c r="A757" s="609"/>
      <c r="B757" s="332" t="s">
        <v>156</v>
      </c>
      <c r="C757" s="367">
        <v>0</v>
      </c>
      <c r="D757" s="367">
        <v>0</v>
      </c>
      <c r="E757" s="367">
        <v>0</v>
      </c>
      <c r="F757" s="367">
        <v>0</v>
      </c>
      <c r="G757" s="367">
        <v>0</v>
      </c>
      <c r="H757" s="367">
        <v>0</v>
      </c>
      <c r="I757" s="367">
        <v>0</v>
      </c>
      <c r="J757" s="367">
        <v>0</v>
      </c>
      <c r="K757" s="366">
        <v>0</v>
      </c>
    </row>
    <row r="758" spans="1:11" x14ac:dyDescent="0.35">
      <c r="A758" s="609"/>
      <c r="B758" s="332" t="s">
        <v>157</v>
      </c>
      <c r="C758" s="366">
        <v>0</v>
      </c>
      <c r="D758" s="366">
        <v>0</v>
      </c>
      <c r="E758" s="366">
        <v>0</v>
      </c>
      <c r="F758" s="367">
        <v>0.63621309719422348</v>
      </c>
      <c r="G758" s="366">
        <v>0</v>
      </c>
      <c r="H758" s="366">
        <v>0</v>
      </c>
      <c r="I758" s="366">
        <v>0</v>
      </c>
      <c r="J758" s="366">
        <v>0</v>
      </c>
      <c r="K758" s="366">
        <v>0</v>
      </c>
    </row>
    <row r="759" spans="1:11" ht="15" thickBot="1" x14ac:dyDescent="0.4">
      <c r="A759" s="610"/>
      <c r="B759" s="83" t="s">
        <v>158</v>
      </c>
      <c r="C759" s="366">
        <v>0</v>
      </c>
      <c r="D759" s="366">
        <v>0</v>
      </c>
      <c r="E759" s="233">
        <v>0.67914305257086183</v>
      </c>
      <c r="F759" s="366">
        <v>0</v>
      </c>
      <c r="G759" s="366">
        <v>0</v>
      </c>
      <c r="H759" s="366">
        <v>0</v>
      </c>
      <c r="I759" s="366">
        <v>0</v>
      </c>
      <c r="J759" s="366">
        <v>0</v>
      </c>
      <c r="K759" s="233">
        <v>0</v>
      </c>
    </row>
    <row r="760" spans="1:11" x14ac:dyDescent="0.35">
      <c r="A760" s="608" t="s">
        <v>119</v>
      </c>
      <c r="B760" s="82" t="s">
        <v>149</v>
      </c>
      <c r="C760" s="367">
        <v>0.23712752855815616</v>
      </c>
      <c r="D760" s="232">
        <v>2.2231303397573132E-3</v>
      </c>
      <c r="E760" s="232">
        <v>0.98209561431071835</v>
      </c>
      <c r="F760" s="232">
        <v>0</v>
      </c>
      <c r="G760" s="232">
        <v>1</v>
      </c>
      <c r="H760" s="232">
        <v>1</v>
      </c>
      <c r="I760" s="232">
        <v>1</v>
      </c>
      <c r="J760" s="232">
        <v>0</v>
      </c>
      <c r="K760" s="366">
        <v>0</v>
      </c>
    </row>
    <row r="761" spans="1:11" x14ac:dyDescent="0.35">
      <c r="A761" s="609"/>
      <c r="B761" s="332" t="s">
        <v>150</v>
      </c>
      <c r="C761" s="367">
        <v>0.75528886754740943</v>
      </c>
      <c r="D761" s="367">
        <v>0.76841283158979079</v>
      </c>
      <c r="E761" s="367">
        <v>0</v>
      </c>
      <c r="F761" s="367">
        <v>0.16193547662758162</v>
      </c>
      <c r="G761" s="367">
        <v>0</v>
      </c>
      <c r="H761" s="367">
        <v>0</v>
      </c>
      <c r="I761" s="367">
        <v>0</v>
      </c>
      <c r="J761" s="367">
        <v>1</v>
      </c>
      <c r="K761" s="366">
        <v>0</v>
      </c>
    </row>
    <row r="762" spans="1:11" x14ac:dyDescent="0.35">
      <c r="A762" s="609"/>
      <c r="B762" s="332" t="s">
        <v>151</v>
      </c>
      <c r="C762" s="367">
        <v>2.7626947869823317E-3</v>
      </c>
      <c r="D762" s="367">
        <v>8.8972958487572502E-4</v>
      </c>
      <c r="E762" s="367">
        <v>0</v>
      </c>
      <c r="F762" s="367">
        <v>0</v>
      </c>
      <c r="G762" s="367">
        <v>0</v>
      </c>
      <c r="H762" s="367">
        <v>0</v>
      </c>
      <c r="I762" s="367">
        <v>0</v>
      </c>
      <c r="J762" s="367">
        <v>0</v>
      </c>
      <c r="K762" s="366">
        <v>0</v>
      </c>
    </row>
    <row r="763" spans="1:11" x14ac:dyDescent="0.35">
      <c r="A763" s="609"/>
      <c r="B763" s="332" t="s">
        <v>152</v>
      </c>
      <c r="C763" s="367">
        <v>4.554679308332271E-3</v>
      </c>
      <c r="D763" s="367">
        <v>0.22599026515971243</v>
      </c>
      <c r="E763" s="367">
        <v>0</v>
      </c>
      <c r="F763" s="367">
        <v>0</v>
      </c>
      <c r="G763" s="367">
        <v>0</v>
      </c>
      <c r="H763" s="367">
        <v>0</v>
      </c>
      <c r="I763" s="367">
        <v>0</v>
      </c>
      <c r="J763" s="367">
        <v>0</v>
      </c>
      <c r="K763" s="366">
        <v>0</v>
      </c>
    </row>
    <row r="764" spans="1:11" x14ac:dyDescent="0.35">
      <c r="A764" s="609"/>
      <c r="B764" s="332" t="s">
        <v>153</v>
      </c>
      <c r="C764" s="367">
        <v>2.1858212701534999E-4</v>
      </c>
      <c r="D764" s="367">
        <v>2.4840433258635024E-3</v>
      </c>
      <c r="E764" s="367">
        <v>0</v>
      </c>
      <c r="F764" s="367">
        <v>0</v>
      </c>
      <c r="G764" s="367">
        <v>0</v>
      </c>
      <c r="H764" s="367">
        <v>0</v>
      </c>
      <c r="I764" s="367">
        <v>0</v>
      </c>
      <c r="J764" s="367">
        <v>0</v>
      </c>
      <c r="K764" s="366">
        <v>0</v>
      </c>
    </row>
    <row r="765" spans="1:11" x14ac:dyDescent="0.35">
      <c r="A765" s="609"/>
      <c r="B765" s="332" t="s">
        <v>154</v>
      </c>
      <c r="C765" s="367">
        <v>4.7647672104161537E-5</v>
      </c>
      <c r="D765" s="367">
        <v>0</v>
      </c>
      <c r="E765" s="367">
        <v>0</v>
      </c>
      <c r="F765" s="367">
        <v>0</v>
      </c>
      <c r="G765" s="367">
        <v>0</v>
      </c>
      <c r="H765" s="367">
        <v>0</v>
      </c>
      <c r="I765" s="367">
        <v>0</v>
      </c>
      <c r="J765" s="367">
        <v>0</v>
      </c>
      <c r="K765" s="366">
        <v>0</v>
      </c>
    </row>
    <row r="766" spans="1:11" x14ac:dyDescent="0.35">
      <c r="A766" s="609"/>
      <c r="B766" s="332" t="s">
        <v>155</v>
      </c>
      <c r="C766" s="367">
        <v>0</v>
      </c>
      <c r="D766" s="367">
        <v>0</v>
      </c>
      <c r="E766" s="367">
        <v>0</v>
      </c>
      <c r="F766" s="367">
        <v>0</v>
      </c>
      <c r="G766" s="367">
        <v>0</v>
      </c>
      <c r="H766" s="367">
        <v>0</v>
      </c>
      <c r="I766" s="367">
        <v>0</v>
      </c>
      <c r="J766" s="367">
        <v>0</v>
      </c>
      <c r="K766" s="366">
        <v>0</v>
      </c>
    </row>
    <row r="767" spans="1:11" x14ac:dyDescent="0.35">
      <c r="A767" s="609"/>
      <c r="B767" s="332" t="s">
        <v>156</v>
      </c>
      <c r="C767" s="367">
        <v>0</v>
      </c>
      <c r="D767" s="367">
        <v>0</v>
      </c>
      <c r="E767" s="367">
        <v>0</v>
      </c>
      <c r="F767" s="367">
        <v>0</v>
      </c>
      <c r="G767" s="367">
        <v>0</v>
      </c>
      <c r="H767" s="367">
        <v>0</v>
      </c>
      <c r="I767" s="367">
        <v>0</v>
      </c>
      <c r="J767" s="367">
        <v>0</v>
      </c>
      <c r="K767" s="366">
        <v>0</v>
      </c>
    </row>
    <row r="768" spans="1:11" x14ac:dyDescent="0.35">
      <c r="A768" s="609"/>
      <c r="B768" s="332" t="s">
        <v>157</v>
      </c>
      <c r="C768" s="366">
        <v>0</v>
      </c>
      <c r="D768" s="366">
        <v>0</v>
      </c>
      <c r="E768" s="366">
        <v>0</v>
      </c>
      <c r="F768" s="367">
        <v>0.83806452337241832</v>
      </c>
      <c r="G768" s="366">
        <v>0</v>
      </c>
      <c r="H768" s="366">
        <v>0</v>
      </c>
      <c r="I768" s="366">
        <v>0</v>
      </c>
      <c r="J768" s="366">
        <v>0</v>
      </c>
      <c r="K768" s="366">
        <v>0</v>
      </c>
    </row>
    <row r="769" spans="1:11" ht="15" thickBot="1" x14ac:dyDescent="0.4">
      <c r="A769" s="610"/>
      <c r="B769" s="83" t="s">
        <v>158</v>
      </c>
      <c r="C769" s="366">
        <v>0</v>
      </c>
      <c r="D769" s="366">
        <v>0</v>
      </c>
      <c r="E769" s="233">
        <v>1.7904385689281644E-2</v>
      </c>
      <c r="F769" s="366">
        <v>0</v>
      </c>
      <c r="G769" s="366">
        <v>0</v>
      </c>
      <c r="H769" s="366">
        <v>0</v>
      </c>
      <c r="I769" s="366">
        <v>0</v>
      </c>
      <c r="J769" s="366">
        <v>0</v>
      </c>
      <c r="K769" s="233">
        <v>0</v>
      </c>
    </row>
    <row r="770" spans="1:11" x14ac:dyDescent="0.35">
      <c r="A770" s="608" t="s">
        <v>120</v>
      </c>
      <c r="B770" s="82" t="s">
        <v>149</v>
      </c>
      <c r="C770" s="232">
        <v>0.49186306980289596</v>
      </c>
      <c r="D770" s="232">
        <v>1.5894459600843355E-3</v>
      </c>
      <c r="E770" s="232">
        <v>0.14808223377406735</v>
      </c>
      <c r="F770" s="232">
        <v>0</v>
      </c>
      <c r="G770" s="232">
        <v>1</v>
      </c>
      <c r="H770" s="232">
        <v>1</v>
      </c>
      <c r="I770" s="232">
        <v>1</v>
      </c>
      <c r="J770" s="232">
        <v>0</v>
      </c>
      <c r="K770" s="366">
        <v>0</v>
      </c>
    </row>
    <row r="771" spans="1:11" x14ac:dyDescent="0.35">
      <c r="A771" s="609"/>
      <c r="B771" s="332" t="s">
        <v>150</v>
      </c>
      <c r="C771" s="367">
        <v>0.49741128964416442</v>
      </c>
      <c r="D771" s="367">
        <v>0.79826825140209756</v>
      </c>
      <c r="E771" s="367">
        <v>0</v>
      </c>
      <c r="F771" s="367">
        <v>3.9884944010852045E-3</v>
      </c>
      <c r="G771" s="367">
        <v>0</v>
      </c>
      <c r="H771" s="367">
        <v>0</v>
      </c>
      <c r="I771" s="367">
        <v>0</v>
      </c>
      <c r="J771" s="367">
        <v>1</v>
      </c>
      <c r="K771" s="366">
        <v>0</v>
      </c>
    </row>
    <row r="772" spans="1:11" x14ac:dyDescent="0.35">
      <c r="A772" s="609"/>
      <c r="B772" s="332" t="s">
        <v>151</v>
      </c>
      <c r="C772" s="367">
        <v>0</v>
      </c>
      <c r="D772" s="367">
        <v>0</v>
      </c>
      <c r="E772" s="367">
        <v>0</v>
      </c>
      <c r="F772" s="367">
        <v>0</v>
      </c>
      <c r="G772" s="367">
        <v>0</v>
      </c>
      <c r="H772" s="367">
        <v>0</v>
      </c>
      <c r="I772" s="367">
        <v>0</v>
      </c>
      <c r="J772" s="367">
        <v>0</v>
      </c>
      <c r="K772" s="366">
        <v>0</v>
      </c>
    </row>
    <row r="773" spans="1:11" x14ac:dyDescent="0.35">
      <c r="A773" s="609"/>
      <c r="B773" s="332" t="s">
        <v>152</v>
      </c>
      <c r="C773" s="367">
        <v>8.1264032732058563E-3</v>
      </c>
      <c r="D773" s="367">
        <v>0.19913106489077617</v>
      </c>
      <c r="E773" s="367">
        <v>0</v>
      </c>
      <c r="F773" s="367">
        <v>0</v>
      </c>
      <c r="G773" s="367">
        <v>0</v>
      </c>
      <c r="H773" s="367">
        <v>0</v>
      </c>
      <c r="I773" s="367">
        <v>0</v>
      </c>
      <c r="J773" s="367">
        <v>0</v>
      </c>
      <c r="K773" s="366">
        <v>0</v>
      </c>
    </row>
    <row r="774" spans="1:11" x14ac:dyDescent="0.35">
      <c r="A774" s="609"/>
      <c r="B774" s="332" t="s">
        <v>153</v>
      </c>
      <c r="C774" s="367">
        <v>1.0772076562197332E-3</v>
      </c>
      <c r="D774" s="367">
        <v>1.0112377470420052E-3</v>
      </c>
      <c r="E774" s="367">
        <v>0</v>
      </c>
      <c r="F774" s="367">
        <v>0</v>
      </c>
      <c r="G774" s="367">
        <v>0</v>
      </c>
      <c r="H774" s="367">
        <v>0</v>
      </c>
      <c r="I774" s="367">
        <v>0</v>
      </c>
      <c r="J774" s="367">
        <v>0</v>
      </c>
      <c r="K774" s="366">
        <v>0</v>
      </c>
    </row>
    <row r="775" spans="1:11" x14ac:dyDescent="0.35">
      <c r="A775" s="609"/>
      <c r="B775" s="332" t="s">
        <v>154</v>
      </c>
      <c r="C775" s="367">
        <v>1.5220296235140417E-3</v>
      </c>
      <c r="D775" s="367">
        <v>0</v>
      </c>
      <c r="E775" s="367">
        <v>0</v>
      </c>
      <c r="F775" s="367">
        <v>0</v>
      </c>
      <c r="G775" s="367">
        <v>0</v>
      </c>
      <c r="H775" s="367">
        <v>0</v>
      </c>
      <c r="I775" s="367">
        <v>0</v>
      </c>
      <c r="J775" s="367">
        <v>0</v>
      </c>
      <c r="K775" s="366">
        <v>0</v>
      </c>
    </row>
    <row r="776" spans="1:11" x14ac:dyDescent="0.35">
      <c r="A776" s="609"/>
      <c r="B776" s="332" t="s">
        <v>155</v>
      </c>
      <c r="C776" s="367">
        <v>0</v>
      </c>
      <c r="D776" s="367">
        <v>0</v>
      </c>
      <c r="E776" s="367">
        <v>0</v>
      </c>
      <c r="F776" s="367">
        <v>0</v>
      </c>
      <c r="G776" s="367">
        <v>0</v>
      </c>
      <c r="H776" s="367">
        <v>0</v>
      </c>
      <c r="I776" s="367">
        <v>0</v>
      </c>
      <c r="J776" s="367">
        <v>0</v>
      </c>
      <c r="K776" s="366">
        <v>0</v>
      </c>
    </row>
    <row r="777" spans="1:11" x14ac:dyDescent="0.35">
      <c r="A777" s="609"/>
      <c r="B777" s="332" t="s">
        <v>156</v>
      </c>
      <c r="C777" s="367">
        <v>0</v>
      </c>
      <c r="D777" s="367">
        <v>0</v>
      </c>
      <c r="E777" s="367">
        <v>0</v>
      </c>
      <c r="F777" s="367">
        <v>0</v>
      </c>
      <c r="G777" s="367">
        <v>0</v>
      </c>
      <c r="H777" s="367">
        <v>0</v>
      </c>
      <c r="I777" s="367">
        <v>0</v>
      </c>
      <c r="J777" s="367">
        <v>0</v>
      </c>
      <c r="K777" s="366">
        <v>0</v>
      </c>
    </row>
    <row r="778" spans="1:11" x14ac:dyDescent="0.35">
      <c r="A778" s="609"/>
      <c r="B778" s="332" t="s">
        <v>157</v>
      </c>
      <c r="C778" s="366">
        <v>0</v>
      </c>
      <c r="D778" s="366">
        <v>0</v>
      </c>
      <c r="E778" s="366">
        <v>0</v>
      </c>
      <c r="F778" s="367">
        <v>0.99601150559891471</v>
      </c>
      <c r="G778" s="366">
        <v>0</v>
      </c>
      <c r="H778" s="366">
        <v>0</v>
      </c>
      <c r="I778" s="366">
        <v>0</v>
      </c>
      <c r="J778" s="366">
        <v>0</v>
      </c>
      <c r="K778" s="366">
        <v>0</v>
      </c>
    </row>
    <row r="779" spans="1:11" ht="15" thickBot="1" x14ac:dyDescent="0.4">
      <c r="A779" s="610"/>
      <c r="B779" s="83" t="s">
        <v>158</v>
      </c>
      <c r="C779" s="366">
        <v>0</v>
      </c>
      <c r="D779" s="366">
        <v>0</v>
      </c>
      <c r="E779" s="233">
        <v>0.85191776622593263</v>
      </c>
      <c r="F779" s="366">
        <v>0</v>
      </c>
      <c r="G779" s="366">
        <v>0</v>
      </c>
      <c r="H779" s="366">
        <v>0</v>
      </c>
      <c r="I779" s="366">
        <v>0</v>
      </c>
      <c r="J779" s="366">
        <v>0</v>
      </c>
      <c r="K779" s="233">
        <v>0</v>
      </c>
    </row>
    <row r="780" spans="1:11" x14ac:dyDescent="0.35">
      <c r="A780" s="608" t="s">
        <v>83</v>
      </c>
      <c r="B780" s="82" t="s">
        <v>149</v>
      </c>
      <c r="C780" s="232">
        <v>0.52842809095357757</v>
      </c>
      <c r="D780" s="232">
        <v>0</v>
      </c>
      <c r="E780" s="232">
        <v>0.48074913657488177</v>
      </c>
      <c r="F780" s="232">
        <v>0</v>
      </c>
      <c r="G780" s="232">
        <v>1</v>
      </c>
      <c r="H780" s="232">
        <v>1</v>
      </c>
      <c r="I780" s="232">
        <v>1</v>
      </c>
      <c r="J780" s="232">
        <v>0</v>
      </c>
      <c r="K780" s="366">
        <v>0</v>
      </c>
    </row>
    <row r="781" spans="1:11" x14ac:dyDescent="0.35">
      <c r="A781" s="609"/>
      <c r="B781" s="332" t="s">
        <v>150</v>
      </c>
      <c r="C781" s="367">
        <v>0.46995940440735351</v>
      </c>
      <c r="D781" s="367">
        <v>0.99577119808844339</v>
      </c>
      <c r="E781" s="367">
        <v>0</v>
      </c>
      <c r="F781" s="367">
        <v>0.52326576124557145</v>
      </c>
      <c r="G781" s="367">
        <v>0</v>
      </c>
      <c r="H781" s="367">
        <v>0</v>
      </c>
      <c r="I781" s="367">
        <v>0</v>
      </c>
      <c r="J781" s="367">
        <v>1</v>
      </c>
      <c r="K781" s="366">
        <v>0</v>
      </c>
    </row>
    <row r="782" spans="1:11" x14ac:dyDescent="0.35">
      <c r="A782" s="609"/>
      <c r="B782" s="332" t="s">
        <v>151</v>
      </c>
      <c r="C782" s="367">
        <v>3.3782527681831332E-4</v>
      </c>
      <c r="D782" s="367">
        <v>0</v>
      </c>
      <c r="E782" s="367">
        <v>0</v>
      </c>
      <c r="F782" s="367">
        <v>0</v>
      </c>
      <c r="G782" s="367">
        <v>0</v>
      </c>
      <c r="H782" s="367">
        <v>0</v>
      </c>
      <c r="I782" s="367">
        <v>0</v>
      </c>
      <c r="J782" s="367">
        <v>0</v>
      </c>
      <c r="K782" s="366">
        <v>0</v>
      </c>
    </row>
    <row r="783" spans="1:11" x14ac:dyDescent="0.35">
      <c r="A783" s="609"/>
      <c r="B783" s="332" t="s">
        <v>152</v>
      </c>
      <c r="C783" s="367">
        <v>0</v>
      </c>
      <c r="D783" s="367">
        <v>0</v>
      </c>
      <c r="E783" s="367">
        <v>0</v>
      </c>
      <c r="F783" s="367">
        <v>0</v>
      </c>
      <c r="G783" s="367">
        <v>0</v>
      </c>
      <c r="H783" s="367">
        <v>0</v>
      </c>
      <c r="I783" s="367">
        <v>0</v>
      </c>
      <c r="J783" s="367">
        <v>0</v>
      </c>
      <c r="K783" s="366">
        <v>0</v>
      </c>
    </row>
    <row r="784" spans="1:11" x14ac:dyDescent="0.35">
      <c r="A784" s="609"/>
      <c r="B784" s="332" t="s">
        <v>153</v>
      </c>
      <c r="C784" s="367">
        <v>5.1380859164132798E-4</v>
      </c>
      <c r="D784" s="367">
        <v>4.2288019115566408E-3</v>
      </c>
      <c r="E784" s="367">
        <v>0</v>
      </c>
      <c r="F784" s="367">
        <v>0</v>
      </c>
      <c r="G784" s="367">
        <v>0</v>
      </c>
      <c r="H784" s="367">
        <v>0</v>
      </c>
      <c r="I784" s="367">
        <v>0</v>
      </c>
      <c r="J784" s="367">
        <v>0</v>
      </c>
      <c r="K784" s="366">
        <v>0</v>
      </c>
    </row>
    <row r="785" spans="1:11" x14ac:dyDescent="0.35">
      <c r="A785" s="609"/>
      <c r="B785" s="332" t="s">
        <v>154</v>
      </c>
      <c r="C785" s="367">
        <v>7.6087077060914298E-4</v>
      </c>
      <c r="D785" s="367">
        <v>0</v>
      </c>
      <c r="E785" s="367">
        <v>0</v>
      </c>
      <c r="F785" s="367">
        <v>0</v>
      </c>
      <c r="G785" s="367">
        <v>0</v>
      </c>
      <c r="H785" s="367">
        <v>0</v>
      </c>
      <c r="I785" s="367">
        <v>0</v>
      </c>
      <c r="J785" s="367">
        <v>0</v>
      </c>
      <c r="K785" s="366">
        <v>0</v>
      </c>
    </row>
    <row r="786" spans="1:11" x14ac:dyDescent="0.35">
      <c r="A786" s="609"/>
      <c r="B786" s="332" t="s">
        <v>155</v>
      </c>
      <c r="C786" s="367">
        <v>0</v>
      </c>
      <c r="D786" s="367">
        <v>0</v>
      </c>
      <c r="E786" s="367">
        <v>0</v>
      </c>
      <c r="F786" s="367">
        <v>0</v>
      </c>
      <c r="G786" s="367">
        <v>0</v>
      </c>
      <c r="H786" s="367">
        <v>0</v>
      </c>
      <c r="I786" s="367">
        <v>0</v>
      </c>
      <c r="J786" s="367">
        <v>0</v>
      </c>
      <c r="K786" s="366">
        <v>0</v>
      </c>
    </row>
    <row r="787" spans="1:11" x14ac:dyDescent="0.35">
      <c r="A787" s="609"/>
      <c r="B787" s="332" t="s">
        <v>156</v>
      </c>
      <c r="C787" s="367">
        <v>0</v>
      </c>
      <c r="D787" s="367">
        <v>0</v>
      </c>
      <c r="E787" s="367">
        <v>0</v>
      </c>
      <c r="F787" s="367">
        <v>0</v>
      </c>
      <c r="G787" s="367">
        <v>0</v>
      </c>
      <c r="H787" s="367">
        <v>0</v>
      </c>
      <c r="I787" s="367">
        <v>0</v>
      </c>
      <c r="J787" s="367">
        <v>0</v>
      </c>
      <c r="K787" s="366">
        <v>0</v>
      </c>
    </row>
    <row r="788" spans="1:11" x14ac:dyDescent="0.35">
      <c r="A788" s="609"/>
      <c r="B788" s="332" t="s">
        <v>157</v>
      </c>
      <c r="C788" s="366">
        <v>0</v>
      </c>
      <c r="D788" s="366">
        <v>0</v>
      </c>
      <c r="E788" s="366">
        <v>0</v>
      </c>
      <c r="F788" s="367">
        <v>0.47673423875442861</v>
      </c>
      <c r="G788" s="366">
        <v>0</v>
      </c>
      <c r="H788" s="366">
        <v>0</v>
      </c>
      <c r="I788" s="366">
        <v>0</v>
      </c>
      <c r="J788" s="366">
        <v>0</v>
      </c>
      <c r="K788" s="366">
        <v>0</v>
      </c>
    </row>
    <row r="789" spans="1:11" ht="15" thickBot="1" x14ac:dyDescent="0.4">
      <c r="A789" s="610"/>
      <c r="B789" s="83" t="s">
        <v>158</v>
      </c>
      <c r="C789" s="366">
        <v>0</v>
      </c>
      <c r="D789" s="366">
        <v>0</v>
      </c>
      <c r="E789" s="233">
        <v>0.51925086342511828</v>
      </c>
      <c r="F789" s="366">
        <v>0</v>
      </c>
      <c r="G789" s="366">
        <v>0</v>
      </c>
      <c r="H789" s="366">
        <v>0</v>
      </c>
      <c r="I789" s="366">
        <v>0</v>
      </c>
      <c r="J789" s="366">
        <v>0</v>
      </c>
      <c r="K789" s="233">
        <v>0</v>
      </c>
    </row>
    <row r="790" spans="1:11" x14ac:dyDescent="0.35">
      <c r="A790" s="608" t="s">
        <v>144</v>
      </c>
      <c r="B790" s="82" t="s">
        <v>149</v>
      </c>
      <c r="C790" s="232">
        <v>0.44206778701550659</v>
      </c>
      <c r="D790" s="232">
        <v>1.9676331336089237E-3</v>
      </c>
      <c r="E790" s="232">
        <v>0.42350546868549183</v>
      </c>
      <c r="F790" s="232">
        <v>0</v>
      </c>
      <c r="G790" s="232">
        <v>1</v>
      </c>
      <c r="H790" s="232">
        <v>0</v>
      </c>
      <c r="I790" s="232">
        <v>1</v>
      </c>
      <c r="J790" s="232">
        <v>0</v>
      </c>
      <c r="K790" s="366">
        <v>0</v>
      </c>
    </row>
    <row r="791" spans="1:11" x14ac:dyDescent="0.35">
      <c r="A791" s="609"/>
      <c r="B791" s="332" t="s">
        <v>150</v>
      </c>
      <c r="C791" s="367">
        <v>0.51880687454202934</v>
      </c>
      <c r="D791" s="367">
        <v>0.93055017286523845</v>
      </c>
      <c r="E791" s="367">
        <v>0</v>
      </c>
      <c r="F791" s="367">
        <v>0.25252338022821197</v>
      </c>
      <c r="G791" s="367">
        <v>0</v>
      </c>
      <c r="H791" s="367">
        <v>0</v>
      </c>
      <c r="I791" s="367">
        <v>0</v>
      </c>
      <c r="J791" s="367">
        <v>1</v>
      </c>
      <c r="K791" s="366">
        <v>0</v>
      </c>
    </row>
    <row r="792" spans="1:11" x14ac:dyDescent="0.35">
      <c r="A792" s="609"/>
      <c r="B792" s="332" t="s">
        <v>151</v>
      </c>
      <c r="C792" s="367">
        <v>3.4737826748751602E-2</v>
      </c>
      <c r="D792" s="367">
        <v>2.0253280981146768E-3</v>
      </c>
      <c r="E792" s="367">
        <v>0</v>
      </c>
      <c r="F792" s="367">
        <v>0</v>
      </c>
      <c r="G792" s="367">
        <v>0</v>
      </c>
      <c r="H792" s="367">
        <v>0</v>
      </c>
      <c r="I792" s="367">
        <v>0</v>
      </c>
      <c r="J792" s="367">
        <v>0</v>
      </c>
      <c r="K792" s="366">
        <v>0</v>
      </c>
    </row>
    <row r="793" spans="1:11" x14ac:dyDescent="0.35">
      <c r="A793" s="609"/>
      <c r="B793" s="332" t="s">
        <v>152</v>
      </c>
      <c r="C793" s="367">
        <v>2.9833429335580047E-3</v>
      </c>
      <c r="D793" s="367">
        <v>4.8730113201098733E-2</v>
      </c>
      <c r="E793" s="367">
        <v>0</v>
      </c>
      <c r="F793" s="367">
        <v>0</v>
      </c>
      <c r="G793" s="367">
        <v>0</v>
      </c>
      <c r="H793" s="367">
        <v>0</v>
      </c>
      <c r="I793" s="367">
        <v>0</v>
      </c>
      <c r="J793" s="367">
        <v>0</v>
      </c>
      <c r="K793" s="366">
        <v>0</v>
      </c>
    </row>
    <row r="794" spans="1:11" x14ac:dyDescent="0.35">
      <c r="A794" s="609"/>
      <c r="B794" s="332" t="s">
        <v>153</v>
      </c>
      <c r="C794" s="367">
        <v>8.5328807091857061E-4</v>
      </c>
      <c r="D794" s="367">
        <v>1.6726752701939206E-2</v>
      </c>
      <c r="E794" s="367">
        <v>0</v>
      </c>
      <c r="F794" s="367">
        <v>0</v>
      </c>
      <c r="G794" s="367">
        <v>0</v>
      </c>
      <c r="H794" s="367">
        <v>0</v>
      </c>
      <c r="I794" s="367">
        <v>0</v>
      </c>
      <c r="J794" s="367">
        <v>0</v>
      </c>
      <c r="K794" s="366">
        <v>0</v>
      </c>
    </row>
    <row r="795" spans="1:11" x14ac:dyDescent="0.35">
      <c r="A795" s="609"/>
      <c r="B795" s="332" t="s">
        <v>154</v>
      </c>
      <c r="C795" s="367">
        <v>5.5088068923580332E-4</v>
      </c>
      <c r="D795" s="367">
        <v>0</v>
      </c>
      <c r="E795" s="367">
        <v>0</v>
      </c>
      <c r="F795" s="367">
        <v>0</v>
      </c>
      <c r="G795" s="367">
        <v>0</v>
      </c>
      <c r="H795" s="367">
        <v>0</v>
      </c>
      <c r="I795" s="367">
        <v>0</v>
      </c>
      <c r="J795" s="367">
        <v>0</v>
      </c>
      <c r="K795" s="366">
        <v>0</v>
      </c>
    </row>
    <row r="796" spans="1:11" x14ac:dyDescent="0.35">
      <c r="A796" s="609"/>
      <c r="B796" s="332" t="s">
        <v>155</v>
      </c>
      <c r="C796" s="367">
        <v>0</v>
      </c>
      <c r="D796" s="367">
        <v>0</v>
      </c>
      <c r="E796" s="367">
        <v>0</v>
      </c>
      <c r="F796" s="367">
        <v>0</v>
      </c>
      <c r="G796" s="367">
        <v>0</v>
      </c>
      <c r="H796" s="367">
        <v>0</v>
      </c>
      <c r="I796" s="367">
        <v>0</v>
      </c>
      <c r="J796" s="367">
        <v>0</v>
      </c>
      <c r="K796" s="366">
        <v>0</v>
      </c>
    </row>
    <row r="797" spans="1:11" x14ac:dyDescent="0.35">
      <c r="A797" s="609"/>
      <c r="B797" s="332" t="s">
        <v>156</v>
      </c>
      <c r="C797" s="367">
        <v>0</v>
      </c>
      <c r="D797" s="367">
        <v>0</v>
      </c>
      <c r="E797" s="367">
        <v>0</v>
      </c>
      <c r="F797" s="367">
        <v>0</v>
      </c>
      <c r="G797" s="367">
        <v>0</v>
      </c>
      <c r="H797" s="367">
        <v>0</v>
      </c>
      <c r="I797" s="367">
        <v>0</v>
      </c>
      <c r="J797" s="367">
        <v>0</v>
      </c>
      <c r="K797" s="366">
        <v>0</v>
      </c>
    </row>
    <row r="798" spans="1:11" x14ac:dyDescent="0.35">
      <c r="A798" s="609"/>
      <c r="B798" s="332" t="s">
        <v>157</v>
      </c>
      <c r="C798" s="366">
        <v>0</v>
      </c>
      <c r="D798" s="366">
        <v>0</v>
      </c>
      <c r="E798" s="366">
        <v>0</v>
      </c>
      <c r="F798" s="367">
        <v>0.74747661977178792</v>
      </c>
      <c r="G798" s="366">
        <v>0</v>
      </c>
      <c r="H798" s="366">
        <v>0</v>
      </c>
      <c r="I798" s="366">
        <v>0</v>
      </c>
      <c r="J798" s="366">
        <v>0</v>
      </c>
      <c r="K798" s="366">
        <v>0</v>
      </c>
    </row>
    <row r="799" spans="1:11" ht="15" thickBot="1" x14ac:dyDescent="0.4">
      <c r="A799" s="610"/>
      <c r="B799" s="83" t="s">
        <v>158</v>
      </c>
      <c r="C799" s="366">
        <v>0</v>
      </c>
      <c r="D799" s="366">
        <v>0</v>
      </c>
      <c r="E799" s="233">
        <v>0.57649453131450823</v>
      </c>
      <c r="F799" s="366">
        <v>0</v>
      </c>
      <c r="G799" s="366">
        <v>0</v>
      </c>
      <c r="H799" s="366">
        <v>0</v>
      </c>
      <c r="I799" s="366">
        <v>0</v>
      </c>
      <c r="J799" s="366">
        <v>0</v>
      </c>
      <c r="K799" s="233">
        <v>0</v>
      </c>
    </row>
    <row r="800" spans="1:11" x14ac:dyDescent="0.35">
      <c r="A800" s="608" t="s">
        <v>164</v>
      </c>
      <c r="B800" s="82" t="s">
        <v>149</v>
      </c>
      <c r="C800" s="232">
        <v>0.44206778701550697</v>
      </c>
      <c r="D800" s="232">
        <v>1.9676331336089207E-3</v>
      </c>
      <c r="E800" s="232">
        <v>0.89458946394848626</v>
      </c>
      <c r="F800" s="232">
        <v>0</v>
      </c>
      <c r="G800" s="232">
        <v>1</v>
      </c>
      <c r="H800" s="232">
        <v>0</v>
      </c>
      <c r="I800" s="232">
        <v>1</v>
      </c>
      <c r="J800" s="232">
        <v>0</v>
      </c>
      <c r="K800" s="366">
        <v>0</v>
      </c>
    </row>
    <row r="801" spans="1:11" x14ac:dyDescent="0.35">
      <c r="A801" s="609"/>
      <c r="B801" s="332" t="s">
        <v>150</v>
      </c>
      <c r="C801" s="367">
        <v>0.51880687454202901</v>
      </c>
      <c r="D801" s="367">
        <v>0.93055017286523845</v>
      </c>
      <c r="E801" s="367">
        <v>0</v>
      </c>
      <c r="F801" s="367">
        <v>0.25252338022821202</v>
      </c>
      <c r="G801" s="367">
        <v>0</v>
      </c>
      <c r="H801" s="367">
        <v>0</v>
      </c>
      <c r="I801" s="367">
        <v>0</v>
      </c>
      <c r="J801" s="367">
        <v>1</v>
      </c>
      <c r="K801" s="366">
        <v>0</v>
      </c>
    </row>
    <row r="802" spans="1:11" x14ac:dyDescent="0.35">
      <c r="A802" s="609"/>
      <c r="B802" s="332" t="s">
        <v>151</v>
      </c>
      <c r="C802" s="367">
        <v>3.4737826748751595E-2</v>
      </c>
      <c r="D802" s="367">
        <v>2.0253280981146812E-3</v>
      </c>
      <c r="E802" s="367">
        <v>0</v>
      </c>
      <c r="F802" s="367">
        <v>0</v>
      </c>
      <c r="G802" s="367">
        <v>0</v>
      </c>
      <c r="H802" s="367">
        <v>0</v>
      </c>
      <c r="I802" s="367">
        <v>0</v>
      </c>
      <c r="J802" s="367">
        <v>0</v>
      </c>
      <c r="K802" s="366">
        <v>0</v>
      </c>
    </row>
    <row r="803" spans="1:11" x14ac:dyDescent="0.35">
      <c r="A803" s="609"/>
      <c r="B803" s="332" t="s">
        <v>152</v>
      </c>
      <c r="C803" s="367">
        <v>2.9833429335580099E-3</v>
      </c>
      <c r="D803" s="367">
        <v>4.873011320109872E-2</v>
      </c>
      <c r="E803" s="367">
        <v>0</v>
      </c>
      <c r="F803" s="367">
        <v>0</v>
      </c>
      <c r="G803" s="367">
        <v>0</v>
      </c>
      <c r="H803" s="367">
        <v>0</v>
      </c>
      <c r="I803" s="367">
        <v>0</v>
      </c>
      <c r="J803" s="367">
        <v>0</v>
      </c>
      <c r="K803" s="366">
        <v>0</v>
      </c>
    </row>
    <row r="804" spans="1:11" x14ac:dyDescent="0.35">
      <c r="A804" s="609"/>
      <c r="B804" s="332" t="s">
        <v>153</v>
      </c>
      <c r="C804" s="367">
        <v>8.5328807091857094E-4</v>
      </c>
      <c r="D804" s="367">
        <v>1.6726752701939206E-2</v>
      </c>
      <c r="E804" s="367">
        <v>0</v>
      </c>
      <c r="F804" s="367">
        <v>0</v>
      </c>
      <c r="G804" s="367">
        <v>0</v>
      </c>
      <c r="H804" s="367">
        <v>0</v>
      </c>
      <c r="I804" s="367">
        <v>0</v>
      </c>
      <c r="J804" s="367">
        <v>0</v>
      </c>
      <c r="K804" s="366">
        <v>0</v>
      </c>
    </row>
    <row r="805" spans="1:11" x14ac:dyDescent="0.35">
      <c r="A805" s="609"/>
      <c r="B805" s="332" t="s">
        <v>154</v>
      </c>
      <c r="C805" s="367">
        <v>5.5088068923580299E-4</v>
      </c>
      <c r="D805" s="367">
        <v>0</v>
      </c>
      <c r="E805" s="367">
        <v>0</v>
      </c>
      <c r="F805" s="367">
        <v>0</v>
      </c>
      <c r="G805" s="367">
        <v>0</v>
      </c>
      <c r="H805" s="367">
        <v>0</v>
      </c>
      <c r="I805" s="367">
        <v>0</v>
      </c>
      <c r="J805" s="367">
        <v>0</v>
      </c>
      <c r="K805" s="366">
        <v>0</v>
      </c>
    </row>
    <row r="806" spans="1:11" x14ac:dyDescent="0.35">
      <c r="A806" s="609"/>
      <c r="B806" s="332" t="s">
        <v>155</v>
      </c>
      <c r="C806" s="367">
        <v>0</v>
      </c>
      <c r="D806" s="367">
        <v>0</v>
      </c>
      <c r="E806" s="367">
        <v>0</v>
      </c>
      <c r="F806" s="367">
        <v>0</v>
      </c>
      <c r="G806" s="367">
        <v>0</v>
      </c>
      <c r="H806" s="367">
        <v>0</v>
      </c>
      <c r="I806" s="367">
        <v>0</v>
      </c>
      <c r="J806" s="367">
        <v>0</v>
      </c>
      <c r="K806" s="366">
        <v>0</v>
      </c>
    </row>
    <row r="807" spans="1:11" x14ac:dyDescent="0.35">
      <c r="A807" s="609"/>
      <c r="B807" s="332" t="s">
        <v>156</v>
      </c>
      <c r="C807" s="367">
        <v>0</v>
      </c>
      <c r="D807" s="367">
        <v>0</v>
      </c>
      <c r="E807" s="367">
        <v>0</v>
      </c>
      <c r="F807" s="367">
        <v>0</v>
      </c>
      <c r="G807" s="367">
        <v>0</v>
      </c>
      <c r="H807" s="367">
        <v>0</v>
      </c>
      <c r="I807" s="367">
        <v>0</v>
      </c>
      <c r="J807" s="367">
        <v>0</v>
      </c>
      <c r="K807" s="366">
        <v>0</v>
      </c>
    </row>
    <row r="808" spans="1:11" x14ac:dyDescent="0.35">
      <c r="A808" s="609"/>
      <c r="B808" s="332" t="s">
        <v>157</v>
      </c>
      <c r="C808" s="366">
        <v>0</v>
      </c>
      <c r="D808" s="366">
        <v>0</v>
      </c>
      <c r="E808" s="366">
        <v>0</v>
      </c>
      <c r="F808" s="367">
        <v>0.74747661977178792</v>
      </c>
      <c r="G808" s="366">
        <v>0</v>
      </c>
      <c r="H808" s="366">
        <v>0</v>
      </c>
      <c r="I808" s="366">
        <v>0</v>
      </c>
      <c r="J808" s="366">
        <v>0</v>
      </c>
      <c r="K808" s="366">
        <v>0</v>
      </c>
    </row>
    <row r="809" spans="1:11" ht="15" thickBot="1" x14ac:dyDescent="0.4">
      <c r="A809" s="610"/>
      <c r="B809" s="83" t="s">
        <v>158</v>
      </c>
      <c r="C809" s="366">
        <v>0</v>
      </c>
      <c r="D809" s="366">
        <v>0</v>
      </c>
      <c r="E809" s="233">
        <v>0.10541053605151375</v>
      </c>
      <c r="F809" s="366">
        <v>0</v>
      </c>
      <c r="G809" s="366">
        <v>0</v>
      </c>
      <c r="H809" s="366">
        <v>0</v>
      </c>
      <c r="I809" s="366">
        <v>0</v>
      </c>
      <c r="J809" s="366">
        <v>0</v>
      </c>
      <c r="K809" s="233">
        <v>0</v>
      </c>
    </row>
    <row r="810" spans="1:11" x14ac:dyDescent="0.35">
      <c r="A810" s="608" t="s">
        <v>145</v>
      </c>
      <c r="B810" s="82" t="s">
        <v>149</v>
      </c>
      <c r="C810" s="232">
        <v>0.44206778701550697</v>
      </c>
      <c r="D810" s="232">
        <v>1.9676331336089207E-3</v>
      </c>
      <c r="E810" s="232">
        <v>0.94755685120850497</v>
      </c>
      <c r="F810" s="232">
        <v>0</v>
      </c>
      <c r="G810" s="232">
        <v>1</v>
      </c>
      <c r="H810" s="232">
        <v>0</v>
      </c>
      <c r="I810" s="232">
        <v>1</v>
      </c>
      <c r="J810" s="232">
        <v>0</v>
      </c>
      <c r="K810" s="366">
        <v>0</v>
      </c>
    </row>
    <row r="811" spans="1:11" x14ac:dyDescent="0.35">
      <c r="A811" s="609"/>
      <c r="B811" s="332" t="s">
        <v>150</v>
      </c>
      <c r="C811" s="367">
        <v>0.51880687454202901</v>
      </c>
      <c r="D811" s="367">
        <v>0.93055017286523845</v>
      </c>
      <c r="E811" s="367">
        <v>0</v>
      </c>
      <c r="F811" s="367">
        <v>0.25252338022821202</v>
      </c>
      <c r="G811" s="367">
        <v>0</v>
      </c>
      <c r="H811" s="367">
        <v>0</v>
      </c>
      <c r="I811" s="367">
        <v>0</v>
      </c>
      <c r="J811" s="367">
        <v>1</v>
      </c>
      <c r="K811" s="366">
        <v>0</v>
      </c>
    </row>
    <row r="812" spans="1:11" x14ac:dyDescent="0.35">
      <c r="A812" s="609"/>
      <c r="B812" s="332" t="s">
        <v>151</v>
      </c>
      <c r="C812" s="367">
        <v>3.4737826748751602E-2</v>
      </c>
      <c r="D812" s="367">
        <v>2.0253280981146807E-3</v>
      </c>
      <c r="E812" s="367">
        <v>0</v>
      </c>
      <c r="F812" s="367">
        <v>0</v>
      </c>
      <c r="G812" s="367">
        <v>0</v>
      </c>
      <c r="H812" s="367">
        <v>0</v>
      </c>
      <c r="I812" s="367">
        <v>0</v>
      </c>
      <c r="J812" s="367">
        <v>0</v>
      </c>
      <c r="K812" s="366">
        <v>0</v>
      </c>
    </row>
    <row r="813" spans="1:11" x14ac:dyDescent="0.35">
      <c r="A813" s="609"/>
      <c r="B813" s="332" t="s">
        <v>152</v>
      </c>
      <c r="C813" s="367">
        <v>2.9833429335580099E-3</v>
      </c>
      <c r="D813" s="367">
        <v>4.8730113201098713E-2</v>
      </c>
      <c r="E813" s="367">
        <v>0</v>
      </c>
      <c r="F813" s="367">
        <v>0</v>
      </c>
      <c r="G813" s="367">
        <v>0</v>
      </c>
      <c r="H813" s="367">
        <v>0</v>
      </c>
      <c r="I813" s="367">
        <v>0</v>
      </c>
      <c r="J813" s="367">
        <v>0</v>
      </c>
      <c r="K813" s="366">
        <v>0</v>
      </c>
    </row>
    <row r="814" spans="1:11" x14ac:dyDescent="0.35">
      <c r="A814" s="609"/>
      <c r="B814" s="332" t="s">
        <v>153</v>
      </c>
      <c r="C814" s="367">
        <v>8.5328807091857094E-4</v>
      </c>
      <c r="D814" s="367">
        <v>1.6726752701939206E-2</v>
      </c>
      <c r="E814" s="367">
        <v>0</v>
      </c>
      <c r="F814" s="367">
        <v>0</v>
      </c>
      <c r="G814" s="367">
        <v>0</v>
      </c>
      <c r="H814" s="367">
        <v>0</v>
      </c>
      <c r="I814" s="367">
        <v>0</v>
      </c>
      <c r="J814" s="367">
        <v>0</v>
      </c>
      <c r="K814" s="366">
        <v>0</v>
      </c>
    </row>
    <row r="815" spans="1:11" x14ac:dyDescent="0.35">
      <c r="A815" s="609"/>
      <c r="B815" s="332" t="s">
        <v>154</v>
      </c>
      <c r="C815" s="367">
        <v>5.5088068923580299E-4</v>
      </c>
      <c r="D815" s="367">
        <v>0</v>
      </c>
      <c r="E815" s="367">
        <v>0</v>
      </c>
      <c r="F815" s="367">
        <v>0</v>
      </c>
      <c r="G815" s="367">
        <v>0</v>
      </c>
      <c r="H815" s="367">
        <v>0</v>
      </c>
      <c r="I815" s="367">
        <v>0</v>
      </c>
      <c r="J815" s="367">
        <v>0</v>
      </c>
      <c r="K815" s="366">
        <v>0</v>
      </c>
    </row>
    <row r="816" spans="1:11" x14ac:dyDescent="0.35">
      <c r="A816" s="609"/>
      <c r="B816" s="332" t="s">
        <v>155</v>
      </c>
      <c r="C816" s="367">
        <v>0</v>
      </c>
      <c r="D816" s="367">
        <v>0</v>
      </c>
      <c r="E816" s="367">
        <v>0</v>
      </c>
      <c r="F816" s="367">
        <v>0</v>
      </c>
      <c r="G816" s="367">
        <v>0</v>
      </c>
      <c r="H816" s="367">
        <v>0</v>
      </c>
      <c r="I816" s="367">
        <v>0</v>
      </c>
      <c r="J816" s="367">
        <v>0</v>
      </c>
      <c r="K816" s="366">
        <v>0</v>
      </c>
    </row>
    <row r="817" spans="1:11" x14ac:dyDescent="0.35">
      <c r="A817" s="609"/>
      <c r="B817" s="332" t="s">
        <v>156</v>
      </c>
      <c r="C817" s="367">
        <v>0</v>
      </c>
      <c r="D817" s="367">
        <v>0</v>
      </c>
      <c r="E817" s="367">
        <v>0</v>
      </c>
      <c r="F817" s="367">
        <v>0</v>
      </c>
      <c r="G817" s="367">
        <v>0</v>
      </c>
      <c r="H817" s="367">
        <v>0</v>
      </c>
      <c r="I817" s="367">
        <v>0</v>
      </c>
      <c r="J817" s="367">
        <v>0</v>
      </c>
      <c r="K817" s="366">
        <v>0</v>
      </c>
    </row>
    <row r="818" spans="1:11" x14ac:dyDescent="0.35">
      <c r="A818" s="609"/>
      <c r="B818" s="332" t="s">
        <v>157</v>
      </c>
      <c r="C818" s="366">
        <v>0</v>
      </c>
      <c r="D818" s="366">
        <v>0</v>
      </c>
      <c r="E818" s="366">
        <v>0</v>
      </c>
      <c r="F818" s="367">
        <v>0.74747661977178803</v>
      </c>
      <c r="G818" s="366">
        <v>0</v>
      </c>
      <c r="H818" s="366">
        <v>0</v>
      </c>
      <c r="I818" s="366">
        <v>0</v>
      </c>
      <c r="J818" s="366">
        <v>0</v>
      </c>
      <c r="K818" s="366">
        <v>0</v>
      </c>
    </row>
    <row r="819" spans="1:11" ht="15" thickBot="1" x14ac:dyDescent="0.4">
      <c r="A819" s="610"/>
      <c r="B819" s="83" t="s">
        <v>158</v>
      </c>
      <c r="C819" s="366">
        <v>0</v>
      </c>
      <c r="D819" s="366">
        <v>0</v>
      </c>
      <c r="E819" s="233">
        <v>5.2443148791494934E-2</v>
      </c>
      <c r="F819" s="366">
        <v>0</v>
      </c>
      <c r="G819" s="366">
        <v>0</v>
      </c>
      <c r="H819" s="366">
        <v>0</v>
      </c>
      <c r="I819" s="366">
        <v>0</v>
      </c>
      <c r="J819" s="366">
        <v>0</v>
      </c>
      <c r="K819" s="233">
        <v>0</v>
      </c>
    </row>
    <row r="820" spans="1:11" x14ac:dyDescent="0.35">
      <c r="A820" s="608" t="s">
        <v>87</v>
      </c>
      <c r="B820" s="82" t="s">
        <v>149</v>
      </c>
      <c r="C820" s="232">
        <v>0.44206778701550697</v>
      </c>
      <c r="D820" s="232">
        <v>1.9676331336089207E-3</v>
      </c>
      <c r="E820" s="232">
        <v>0.75830955408619249</v>
      </c>
      <c r="F820" s="232">
        <v>0</v>
      </c>
      <c r="G820" s="232">
        <v>1</v>
      </c>
      <c r="H820" s="232">
        <v>0</v>
      </c>
      <c r="I820" s="232">
        <v>1</v>
      </c>
      <c r="J820" s="232">
        <v>0</v>
      </c>
      <c r="K820" s="366">
        <v>0</v>
      </c>
    </row>
    <row r="821" spans="1:11" x14ac:dyDescent="0.35">
      <c r="A821" s="609"/>
      <c r="B821" s="332" t="s">
        <v>150</v>
      </c>
      <c r="C821" s="367">
        <v>0.51880687454202901</v>
      </c>
      <c r="D821" s="367">
        <v>0.93055017286523845</v>
      </c>
      <c r="E821" s="367">
        <v>0</v>
      </c>
      <c r="F821" s="367">
        <v>0.25252338022821197</v>
      </c>
      <c r="G821" s="367">
        <v>0</v>
      </c>
      <c r="H821" s="367">
        <v>0</v>
      </c>
      <c r="I821" s="367">
        <v>0</v>
      </c>
      <c r="J821" s="367">
        <v>1</v>
      </c>
      <c r="K821" s="366">
        <v>0</v>
      </c>
    </row>
    <row r="822" spans="1:11" x14ac:dyDescent="0.35">
      <c r="A822" s="609"/>
      <c r="B822" s="332" t="s">
        <v>151</v>
      </c>
      <c r="C822" s="367">
        <v>3.4737826748751602E-2</v>
      </c>
      <c r="D822" s="367">
        <v>2.0253280981146807E-3</v>
      </c>
      <c r="E822" s="367">
        <v>0</v>
      </c>
      <c r="F822" s="367">
        <v>0</v>
      </c>
      <c r="G822" s="367">
        <v>0</v>
      </c>
      <c r="H822" s="367">
        <v>0</v>
      </c>
      <c r="I822" s="367">
        <v>0</v>
      </c>
      <c r="J822" s="367">
        <v>0</v>
      </c>
      <c r="K822" s="366">
        <v>0</v>
      </c>
    </row>
    <row r="823" spans="1:11" x14ac:dyDescent="0.35">
      <c r="A823" s="609"/>
      <c r="B823" s="332" t="s">
        <v>152</v>
      </c>
      <c r="C823" s="367">
        <v>2.9833429335580099E-3</v>
      </c>
      <c r="D823" s="367">
        <v>4.8730113201098713E-2</v>
      </c>
      <c r="E823" s="367">
        <v>0</v>
      </c>
      <c r="F823" s="367">
        <v>0</v>
      </c>
      <c r="G823" s="367">
        <v>0</v>
      </c>
      <c r="H823" s="367">
        <v>0</v>
      </c>
      <c r="I823" s="367">
        <v>0</v>
      </c>
      <c r="J823" s="367">
        <v>0</v>
      </c>
      <c r="K823" s="366">
        <v>0</v>
      </c>
    </row>
    <row r="824" spans="1:11" x14ac:dyDescent="0.35">
      <c r="A824" s="609"/>
      <c r="B824" s="332" t="s">
        <v>153</v>
      </c>
      <c r="C824" s="367">
        <v>8.5328807091857104E-4</v>
      </c>
      <c r="D824" s="367">
        <v>1.6726752701939206E-2</v>
      </c>
      <c r="E824" s="367">
        <v>0</v>
      </c>
      <c r="F824" s="367">
        <v>0</v>
      </c>
      <c r="G824" s="367">
        <v>0</v>
      </c>
      <c r="H824" s="367">
        <v>0</v>
      </c>
      <c r="I824" s="367">
        <v>0</v>
      </c>
      <c r="J824" s="367">
        <v>0</v>
      </c>
      <c r="K824" s="366">
        <v>0</v>
      </c>
    </row>
    <row r="825" spans="1:11" x14ac:dyDescent="0.35">
      <c r="A825" s="609"/>
      <c r="B825" s="332" t="s">
        <v>154</v>
      </c>
      <c r="C825" s="367">
        <v>5.5088068923580299E-4</v>
      </c>
      <c r="D825" s="367">
        <v>0</v>
      </c>
      <c r="E825" s="367">
        <v>0</v>
      </c>
      <c r="F825" s="367">
        <v>0</v>
      </c>
      <c r="G825" s="367">
        <v>0</v>
      </c>
      <c r="H825" s="367">
        <v>0</v>
      </c>
      <c r="I825" s="367">
        <v>0</v>
      </c>
      <c r="J825" s="367">
        <v>0</v>
      </c>
      <c r="K825" s="366">
        <v>0</v>
      </c>
    </row>
    <row r="826" spans="1:11" x14ac:dyDescent="0.35">
      <c r="A826" s="609"/>
      <c r="B826" s="332" t="s">
        <v>155</v>
      </c>
      <c r="C826" s="367">
        <v>0</v>
      </c>
      <c r="D826" s="367">
        <v>0</v>
      </c>
      <c r="E826" s="367">
        <v>0</v>
      </c>
      <c r="F826" s="367">
        <v>0</v>
      </c>
      <c r="G826" s="367">
        <v>0</v>
      </c>
      <c r="H826" s="367">
        <v>0</v>
      </c>
      <c r="I826" s="367">
        <v>0</v>
      </c>
      <c r="J826" s="367">
        <v>0</v>
      </c>
      <c r="K826" s="366">
        <v>0</v>
      </c>
    </row>
    <row r="827" spans="1:11" x14ac:dyDescent="0.35">
      <c r="A827" s="609"/>
      <c r="B827" s="332" t="s">
        <v>156</v>
      </c>
      <c r="C827" s="367">
        <v>0</v>
      </c>
      <c r="D827" s="367">
        <v>0</v>
      </c>
      <c r="E827" s="367">
        <v>0</v>
      </c>
      <c r="F827" s="367">
        <v>0</v>
      </c>
      <c r="G827" s="367">
        <v>0</v>
      </c>
      <c r="H827" s="367">
        <v>0</v>
      </c>
      <c r="I827" s="367">
        <v>0</v>
      </c>
      <c r="J827" s="367">
        <v>0</v>
      </c>
      <c r="K827" s="366">
        <v>0</v>
      </c>
    </row>
    <row r="828" spans="1:11" x14ac:dyDescent="0.35">
      <c r="A828" s="609"/>
      <c r="B828" s="332" t="s">
        <v>157</v>
      </c>
      <c r="C828" s="366">
        <v>0</v>
      </c>
      <c r="D828" s="366">
        <v>0</v>
      </c>
      <c r="E828" s="366">
        <v>0</v>
      </c>
      <c r="F828" s="367">
        <v>0.74747661977178792</v>
      </c>
      <c r="G828" s="366">
        <v>0</v>
      </c>
      <c r="H828" s="366">
        <v>0</v>
      </c>
      <c r="I828" s="366">
        <v>0</v>
      </c>
      <c r="J828" s="366">
        <v>0</v>
      </c>
      <c r="K828" s="366">
        <v>0</v>
      </c>
    </row>
    <row r="829" spans="1:11" ht="15" thickBot="1" x14ac:dyDescent="0.4">
      <c r="A829" s="610"/>
      <c r="B829" s="83" t="s">
        <v>158</v>
      </c>
      <c r="C829" s="366">
        <v>0</v>
      </c>
      <c r="D829" s="366">
        <v>0</v>
      </c>
      <c r="E829" s="233">
        <v>0.24169044591380737</v>
      </c>
      <c r="F829" s="366">
        <v>0</v>
      </c>
      <c r="G829" s="366">
        <v>0</v>
      </c>
      <c r="H829" s="366">
        <v>0</v>
      </c>
      <c r="I829" s="366">
        <v>0</v>
      </c>
      <c r="J829" s="366">
        <v>0</v>
      </c>
      <c r="K829" s="233">
        <v>0</v>
      </c>
    </row>
    <row r="830" spans="1:11" x14ac:dyDescent="0.35">
      <c r="A830" s="606" t="s">
        <v>146</v>
      </c>
      <c r="B830" s="235" t="s">
        <v>149</v>
      </c>
      <c r="C830" s="232">
        <v>0.44206778701550697</v>
      </c>
      <c r="D830" s="232">
        <v>1.9676331336089207E-3</v>
      </c>
      <c r="E830" s="232">
        <v>0.50710267737609982</v>
      </c>
      <c r="F830" s="232">
        <v>0</v>
      </c>
      <c r="G830" s="232">
        <v>1</v>
      </c>
      <c r="H830" s="232">
        <v>0</v>
      </c>
      <c r="I830" s="232">
        <v>1</v>
      </c>
      <c r="J830" s="232">
        <v>0</v>
      </c>
      <c r="K830" s="366">
        <v>0</v>
      </c>
    </row>
    <row r="831" spans="1:11" x14ac:dyDescent="0.35">
      <c r="A831" s="606"/>
      <c r="B831" s="332" t="s">
        <v>150</v>
      </c>
      <c r="C831" s="367">
        <v>0.51880687454202901</v>
      </c>
      <c r="D831" s="367">
        <v>0.93055017286523845</v>
      </c>
      <c r="E831" s="367">
        <v>0</v>
      </c>
      <c r="F831" s="367">
        <v>0.25252338022821202</v>
      </c>
      <c r="G831" s="367">
        <v>0</v>
      </c>
      <c r="H831" s="367">
        <v>0</v>
      </c>
      <c r="I831" s="367">
        <v>0</v>
      </c>
      <c r="J831" s="367">
        <v>1</v>
      </c>
      <c r="K831" s="366">
        <v>0</v>
      </c>
    </row>
    <row r="832" spans="1:11" x14ac:dyDescent="0.35">
      <c r="A832" s="606"/>
      <c r="B832" s="332" t="s">
        <v>151</v>
      </c>
      <c r="C832" s="367">
        <v>3.4737826748751602E-2</v>
      </c>
      <c r="D832" s="367">
        <v>2.0253280981146807E-3</v>
      </c>
      <c r="E832" s="367">
        <v>0</v>
      </c>
      <c r="F832" s="367">
        <v>0</v>
      </c>
      <c r="G832" s="367">
        <v>0</v>
      </c>
      <c r="H832" s="367">
        <v>0</v>
      </c>
      <c r="I832" s="367">
        <v>0</v>
      </c>
      <c r="J832" s="367">
        <v>0</v>
      </c>
      <c r="K832" s="366">
        <v>0</v>
      </c>
    </row>
    <row r="833" spans="1:11" x14ac:dyDescent="0.35">
      <c r="A833" s="606"/>
      <c r="B833" s="332" t="s">
        <v>152</v>
      </c>
      <c r="C833" s="367">
        <v>2.9833429335580099E-3</v>
      </c>
      <c r="D833" s="367">
        <v>4.8730113201098726E-2</v>
      </c>
      <c r="E833" s="367">
        <v>0</v>
      </c>
      <c r="F833" s="367">
        <v>0</v>
      </c>
      <c r="G833" s="367">
        <v>0</v>
      </c>
      <c r="H833" s="367">
        <v>0</v>
      </c>
      <c r="I833" s="367">
        <v>0</v>
      </c>
      <c r="J833" s="367">
        <v>0</v>
      </c>
      <c r="K833" s="366">
        <v>0</v>
      </c>
    </row>
    <row r="834" spans="1:11" x14ac:dyDescent="0.35">
      <c r="A834" s="606"/>
      <c r="B834" s="332" t="s">
        <v>153</v>
      </c>
      <c r="C834" s="367">
        <v>8.5328807091857104E-4</v>
      </c>
      <c r="D834" s="367">
        <v>1.6726752701939209E-2</v>
      </c>
      <c r="E834" s="367">
        <v>0</v>
      </c>
      <c r="F834" s="367">
        <v>0</v>
      </c>
      <c r="G834" s="367">
        <v>0</v>
      </c>
      <c r="H834" s="367">
        <v>0</v>
      </c>
      <c r="I834" s="367">
        <v>0</v>
      </c>
      <c r="J834" s="367">
        <v>0</v>
      </c>
      <c r="K834" s="366">
        <v>0</v>
      </c>
    </row>
    <row r="835" spans="1:11" x14ac:dyDescent="0.35">
      <c r="A835" s="606"/>
      <c r="B835" s="332" t="s">
        <v>154</v>
      </c>
      <c r="C835" s="367">
        <v>5.5088068923580299E-4</v>
      </c>
      <c r="D835" s="367">
        <v>0</v>
      </c>
      <c r="E835" s="367">
        <v>0</v>
      </c>
      <c r="F835" s="367">
        <v>0</v>
      </c>
      <c r="G835" s="367">
        <v>0</v>
      </c>
      <c r="H835" s="367">
        <v>0</v>
      </c>
      <c r="I835" s="367">
        <v>0</v>
      </c>
      <c r="J835" s="367">
        <v>0</v>
      </c>
      <c r="K835" s="366">
        <v>0</v>
      </c>
    </row>
    <row r="836" spans="1:11" x14ac:dyDescent="0.35">
      <c r="A836" s="606"/>
      <c r="B836" s="332" t="s">
        <v>155</v>
      </c>
      <c r="C836" s="367">
        <v>0</v>
      </c>
      <c r="D836" s="367">
        <v>0</v>
      </c>
      <c r="E836" s="367">
        <v>0</v>
      </c>
      <c r="F836" s="367">
        <v>0</v>
      </c>
      <c r="G836" s="367">
        <v>0</v>
      </c>
      <c r="H836" s="367">
        <v>0</v>
      </c>
      <c r="I836" s="367">
        <v>0</v>
      </c>
      <c r="J836" s="367">
        <v>0</v>
      </c>
      <c r="K836" s="366">
        <v>0</v>
      </c>
    </row>
    <row r="837" spans="1:11" x14ac:dyDescent="0.35">
      <c r="A837" s="606"/>
      <c r="B837" s="332" t="s">
        <v>156</v>
      </c>
      <c r="C837" s="367">
        <v>0</v>
      </c>
      <c r="D837" s="367">
        <v>0</v>
      </c>
      <c r="E837" s="367">
        <v>0</v>
      </c>
      <c r="F837" s="367">
        <v>0</v>
      </c>
      <c r="G837" s="367">
        <v>0</v>
      </c>
      <c r="H837" s="367">
        <v>0</v>
      </c>
      <c r="I837" s="367">
        <v>0</v>
      </c>
      <c r="J837" s="367">
        <v>0</v>
      </c>
      <c r="K837" s="366">
        <v>0</v>
      </c>
    </row>
    <row r="838" spans="1:11" x14ac:dyDescent="0.35">
      <c r="A838" s="606"/>
      <c r="B838" s="332" t="s">
        <v>157</v>
      </c>
      <c r="C838" s="366">
        <v>0</v>
      </c>
      <c r="D838" s="366">
        <v>0</v>
      </c>
      <c r="E838" s="366">
        <v>0</v>
      </c>
      <c r="F838" s="367">
        <v>0.74747661977178803</v>
      </c>
      <c r="G838" s="366">
        <v>0</v>
      </c>
      <c r="H838" s="366">
        <v>0</v>
      </c>
      <c r="I838" s="366">
        <v>0</v>
      </c>
      <c r="J838" s="366">
        <v>0</v>
      </c>
      <c r="K838" s="366">
        <v>0</v>
      </c>
    </row>
    <row r="839" spans="1:11" ht="15" thickBot="1" x14ac:dyDescent="0.4">
      <c r="A839" s="606"/>
      <c r="B839" s="345" t="s">
        <v>158</v>
      </c>
      <c r="C839" s="366">
        <v>0</v>
      </c>
      <c r="D839" s="366">
        <v>0</v>
      </c>
      <c r="E839" s="233">
        <v>0.49289732262390024</v>
      </c>
      <c r="F839" s="366">
        <v>0</v>
      </c>
      <c r="G839" s="366">
        <v>0</v>
      </c>
      <c r="H839" s="366">
        <v>0</v>
      </c>
      <c r="I839" s="366">
        <v>0</v>
      </c>
      <c r="J839" s="366">
        <v>0</v>
      </c>
      <c r="K839" s="233">
        <v>0</v>
      </c>
    </row>
    <row r="840" spans="1:11" x14ac:dyDescent="0.35">
      <c r="A840" s="608" t="s">
        <v>89</v>
      </c>
      <c r="B840" s="82" t="s">
        <v>149</v>
      </c>
      <c r="C840" s="232">
        <v>0.44206778701550692</v>
      </c>
      <c r="D840" s="232">
        <v>1.9676331336089207E-3</v>
      </c>
      <c r="E840" s="232">
        <v>0.40250717061131558</v>
      </c>
      <c r="F840" s="232">
        <v>0</v>
      </c>
      <c r="G840" s="232">
        <v>1</v>
      </c>
      <c r="H840" s="232">
        <v>0</v>
      </c>
      <c r="I840" s="232">
        <v>1</v>
      </c>
      <c r="J840" s="232">
        <v>0</v>
      </c>
      <c r="K840" s="366">
        <v>0</v>
      </c>
    </row>
    <row r="841" spans="1:11" x14ac:dyDescent="0.35">
      <c r="A841" s="609"/>
      <c r="B841" s="332" t="s">
        <v>150</v>
      </c>
      <c r="C841" s="367">
        <v>0.5188068745420289</v>
      </c>
      <c r="D841" s="367">
        <v>0.93055017286523845</v>
      </c>
      <c r="E841" s="367">
        <v>0</v>
      </c>
      <c r="F841" s="367">
        <v>0.25252338022821202</v>
      </c>
      <c r="G841" s="367">
        <v>0</v>
      </c>
      <c r="H841" s="367">
        <v>0</v>
      </c>
      <c r="I841" s="367">
        <v>0</v>
      </c>
      <c r="J841" s="367">
        <v>1</v>
      </c>
      <c r="K841" s="366">
        <v>0</v>
      </c>
    </row>
    <row r="842" spans="1:11" x14ac:dyDescent="0.35">
      <c r="A842" s="609"/>
      <c r="B842" s="332" t="s">
        <v>151</v>
      </c>
      <c r="C842" s="367">
        <v>3.4737826748751595E-2</v>
      </c>
      <c r="D842" s="367">
        <v>2.0253280981146807E-3</v>
      </c>
      <c r="E842" s="367">
        <v>0</v>
      </c>
      <c r="F842" s="367">
        <v>0</v>
      </c>
      <c r="G842" s="367">
        <v>0</v>
      </c>
      <c r="H842" s="367">
        <v>0</v>
      </c>
      <c r="I842" s="367">
        <v>0</v>
      </c>
      <c r="J842" s="367">
        <v>0</v>
      </c>
      <c r="K842" s="366">
        <v>0</v>
      </c>
    </row>
    <row r="843" spans="1:11" x14ac:dyDescent="0.35">
      <c r="A843" s="609"/>
      <c r="B843" s="332" t="s">
        <v>152</v>
      </c>
      <c r="C843" s="367">
        <v>2.9833429335580095E-3</v>
      </c>
      <c r="D843" s="367">
        <v>4.873011320109872E-2</v>
      </c>
      <c r="E843" s="367">
        <v>0</v>
      </c>
      <c r="F843" s="367">
        <v>0</v>
      </c>
      <c r="G843" s="367">
        <v>0</v>
      </c>
      <c r="H843" s="367">
        <v>0</v>
      </c>
      <c r="I843" s="367">
        <v>0</v>
      </c>
      <c r="J843" s="367">
        <v>0</v>
      </c>
      <c r="K843" s="366">
        <v>0</v>
      </c>
    </row>
    <row r="844" spans="1:11" x14ac:dyDescent="0.35">
      <c r="A844" s="609"/>
      <c r="B844" s="332" t="s">
        <v>153</v>
      </c>
      <c r="C844" s="367">
        <v>8.5328807091857094E-4</v>
      </c>
      <c r="D844" s="367">
        <v>1.6726752701939209E-2</v>
      </c>
      <c r="E844" s="367">
        <v>0</v>
      </c>
      <c r="F844" s="367">
        <v>0</v>
      </c>
      <c r="G844" s="367">
        <v>0</v>
      </c>
      <c r="H844" s="367">
        <v>0</v>
      </c>
      <c r="I844" s="367">
        <v>0</v>
      </c>
      <c r="J844" s="367">
        <v>0</v>
      </c>
      <c r="K844" s="366">
        <v>0</v>
      </c>
    </row>
    <row r="845" spans="1:11" x14ac:dyDescent="0.35">
      <c r="A845" s="609"/>
      <c r="B845" s="332" t="s">
        <v>154</v>
      </c>
      <c r="C845" s="367">
        <v>5.5088068923580299E-4</v>
      </c>
      <c r="D845" s="367">
        <v>0</v>
      </c>
      <c r="E845" s="367">
        <v>0</v>
      </c>
      <c r="F845" s="367">
        <v>0</v>
      </c>
      <c r="G845" s="367">
        <v>0</v>
      </c>
      <c r="H845" s="367">
        <v>0</v>
      </c>
      <c r="I845" s="367">
        <v>0</v>
      </c>
      <c r="J845" s="367">
        <v>0</v>
      </c>
      <c r="K845" s="366">
        <v>0</v>
      </c>
    </row>
    <row r="846" spans="1:11" x14ac:dyDescent="0.35">
      <c r="A846" s="609"/>
      <c r="B846" s="332" t="s">
        <v>155</v>
      </c>
      <c r="C846" s="367">
        <v>0</v>
      </c>
      <c r="D846" s="367">
        <v>0</v>
      </c>
      <c r="E846" s="367">
        <v>0</v>
      </c>
      <c r="F846" s="367">
        <v>0</v>
      </c>
      <c r="G846" s="367">
        <v>0</v>
      </c>
      <c r="H846" s="367">
        <v>0</v>
      </c>
      <c r="I846" s="367">
        <v>0</v>
      </c>
      <c r="J846" s="367">
        <v>0</v>
      </c>
      <c r="K846" s="366">
        <v>0</v>
      </c>
    </row>
    <row r="847" spans="1:11" x14ac:dyDescent="0.35">
      <c r="A847" s="609"/>
      <c r="B847" s="332" t="s">
        <v>156</v>
      </c>
      <c r="C847" s="367">
        <v>0</v>
      </c>
      <c r="D847" s="367">
        <v>0</v>
      </c>
      <c r="E847" s="367">
        <v>0</v>
      </c>
      <c r="F847" s="367">
        <v>0</v>
      </c>
      <c r="G847" s="367">
        <v>0</v>
      </c>
      <c r="H847" s="367">
        <v>0</v>
      </c>
      <c r="I847" s="367">
        <v>0</v>
      </c>
      <c r="J847" s="367">
        <v>0</v>
      </c>
      <c r="K847" s="366">
        <v>0</v>
      </c>
    </row>
    <row r="848" spans="1:11" x14ac:dyDescent="0.35">
      <c r="A848" s="609"/>
      <c r="B848" s="332" t="s">
        <v>157</v>
      </c>
      <c r="C848" s="366">
        <v>0</v>
      </c>
      <c r="D848" s="366">
        <v>0</v>
      </c>
      <c r="E848" s="366">
        <v>0</v>
      </c>
      <c r="F848" s="367">
        <v>0.74747661977178803</v>
      </c>
      <c r="G848" s="366">
        <v>0</v>
      </c>
      <c r="H848" s="366">
        <v>0</v>
      </c>
      <c r="I848" s="366">
        <v>0</v>
      </c>
      <c r="J848" s="366">
        <v>0</v>
      </c>
      <c r="K848" s="366">
        <v>0</v>
      </c>
    </row>
    <row r="849" spans="1:11" ht="15" thickBot="1" x14ac:dyDescent="0.4">
      <c r="A849" s="610"/>
      <c r="B849" s="83" t="s">
        <v>158</v>
      </c>
      <c r="C849" s="366">
        <v>0</v>
      </c>
      <c r="D849" s="366">
        <v>0</v>
      </c>
      <c r="E849" s="233">
        <v>0.59749282938868442</v>
      </c>
      <c r="F849" s="366">
        <v>0</v>
      </c>
      <c r="G849" s="366">
        <v>0</v>
      </c>
      <c r="H849" s="366">
        <v>0</v>
      </c>
      <c r="I849" s="366">
        <v>0</v>
      </c>
      <c r="J849" s="366">
        <v>0</v>
      </c>
      <c r="K849" s="233">
        <v>0</v>
      </c>
    </row>
    <row r="850" spans="1:11" x14ac:dyDescent="0.35">
      <c r="A850" s="606" t="s">
        <v>90</v>
      </c>
      <c r="B850" s="235" t="s">
        <v>149</v>
      </c>
      <c r="C850" s="232">
        <v>0.44206778701550697</v>
      </c>
      <c r="D850" s="232">
        <v>1.9676331336089207E-3</v>
      </c>
      <c r="E850" s="232">
        <v>0.95057083257046393</v>
      </c>
      <c r="F850" s="232">
        <v>0</v>
      </c>
      <c r="G850" s="232">
        <v>1</v>
      </c>
      <c r="H850" s="232">
        <v>0</v>
      </c>
      <c r="I850" s="232">
        <v>1</v>
      </c>
      <c r="J850" s="232">
        <v>0</v>
      </c>
      <c r="K850" s="366">
        <v>0</v>
      </c>
    </row>
    <row r="851" spans="1:11" x14ac:dyDescent="0.35">
      <c r="A851" s="606"/>
      <c r="B851" s="332" t="s">
        <v>150</v>
      </c>
      <c r="C851" s="367">
        <v>0.51880687454202901</v>
      </c>
      <c r="D851" s="367">
        <v>0.93055017286523845</v>
      </c>
      <c r="E851" s="367">
        <v>0</v>
      </c>
      <c r="F851" s="367">
        <v>0.25252338022821202</v>
      </c>
      <c r="G851" s="367">
        <v>0</v>
      </c>
      <c r="H851" s="367">
        <v>0</v>
      </c>
      <c r="I851" s="367">
        <v>0</v>
      </c>
      <c r="J851" s="367">
        <v>1</v>
      </c>
      <c r="K851" s="366">
        <v>0</v>
      </c>
    </row>
    <row r="852" spans="1:11" x14ac:dyDescent="0.35">
      <c r="A852" s="606"/>
      <c r="B852" s="332" t="s">
        <v>151</v>
      </c>
      <c r="C852" s="367">
        <v>3.4737826748751602E-2</v>
      </c>
      <c r="D852" s="367">
        <v>2.0253280981146807E-3</v>
      </c>
      <c r="E852" s="367">
        <v>0</v>
      </c>
      <c r="F852" s="367">
        <v>0</v>
      </c>
      <c r="G852" s="367">
        <v>0</v>
      </c>
      <c r="H852" s="367">
        <v>0</v>
      </c>
      <c r="I852" s="367">
        <v>0</v>
      </c>
      <c r="J852" s="367">
        <v>0</v>
      </c>
      <c r="K852" s="366">
        <v>0</v>
      </c>
    </row>
    <row r="853" spans="1:11" x14ac:dyDescent="0.35">
      <c r="A853" s="606"/>
      <c r="B853" s="332" t="s">
        <v>152</v>
      </c>
      <c r="C853" s="367">
        <v>2.9833429335580099E-3</v>
      </c>
      <c r="D853" s="367">
        <v>4.873011320109872E-2</v>
      </c>
      <c r="E853" s="367">
        <v>0</v>
      </c>
      <c r="F853" s="367">
        <v>0</v>
      </c>
      <c r="G853" s="367">
        <v>0</v>
      </c>
      <c r="H853" s="367">
        <v>0</v>
      </c>
      <c r="I853" s="367">
        <v>0</v>
      </c>
      <c r="J853" s="367">
        <v>0</v>
      </c>
      <c r="K853" s="366">
        <v>0</v>
      </c>
    </row>
    <row r="854" spans="1:11" x14ac:dyDescent="0.35">
      <c r="A854" s="606"/>
      <c r="B854" s="332" t="s">
        <v>153</v>
      </c>
      <c r="C854" s="367">
        <v>8.5328807091857104E-4</v>
      </c>
      <c r="D854" s="367">
        <v>1.6726752701939206E-2</v>
      </c>
      <c r="E854" s="367">
        <v>0</v>
      </c>
      <c r="F854" s="367">
        <v>0</v>
      </c>
      <c r="G854" s="367">
        <v>0</v>
      </c>
      <c r="H854" s="367">
        <v>0</v>
      </c>
      <c r="I854" s="367">
        <v>0</v>
      </c>
      <c r="J854" s="367">
        <v>0</v>
      </c>
      <c r="K854" s="366">
        <v>0</v>
      </c>
    </row>
    <row r="855" spans="1:11" x14ac:dyDescent="0.35">
      <c r="A855" s="606"/>
      <c r="B855" s="332" t="s">
        <v>154</v>
      </c>
      <c r="C855" s="367">
        <v>5.5088068923580299E-4</v>
      </c>
      <c r="D855" s="367">
        <v>0</v>
      </c>
      <c r="E855" s="367">
        <v>0</v>
      </c>
      <c r="F855" s="367">
        <v>0</v>
      </c>
      <c r="G855" s="367">
        <v>0</v>
      </c>
      <c r="H855" s="367">
        <v>0</v>
      </c>
      <c r="I855" s="367">
        <v>0</v>
      </c>
      <c r="J855" s="367">
        <v>0</v>
      </c>
      <c r="K855" s="366">
        <v>0</v>
      </c>
    </row>
    <row r="856" spans="1:11" x14ac:dyDescent="0.35">
      <c r="A856" s="606"/>
      <c r="B856" s="332" t="s">
        <v>155</v>
      </c>
      <c r="C856" s="367">
        <v>0</v>
      </c>
      <c r="D856" s="367">
        <v>0</v>
      </c>
      <c r="E856" s="367">
        <v>0</v>
      </c>
      <c r="F856" s="367">
        <v>0</v>
      </c>
      <c r="G856" s="367">
        <v>0</v>
      </c>
      <c r="H856" s="367">
        <v>0</v>
      </c>
      <c r="I856" s="367">
        <v>0</v>
      </c>
      <c r="J856" s="367">
        <v>0</v>
      </c>
      <c r="K856" s="366">
        <v>0</v>
      </c>
    </row>
    <row r="857" spans="1:11" x14ac:dyDescent="0.35">
      <c r="A857" s="606"/>
      <c r="B857" s="332" t="s">
        <v>156</v>
      </c>
      <c r="C857" s="367">
        <v>0</v>
      </c>
      <c r="D857" s="367">
        <v>0</v>
      </c>
      <c r="E857" s="367">
        <v>0</v>
      </c>
      <c r="F857" s="367">
        <v>0</v>
      </c>
      <c r="G857" s="367">
        <v>0</v>
      </c>
      <c r="H857" s="367">
        <v>0</v>
      </c>
      <c r="I857" s="367">
        <v>0</v>
      </c>
      <c r="J857" s="367">
        <v>0</v>
      </c>
      <c r="K857" s="366">
        <v>0</v>
      </c>
    </row>
    <row r="858" spans="1:11" x14ac:dyDescent="0.35">
      <c r="A858" s="606"/>
      <c r="B858" s="332" t="s">
        <v>157</v>
      </c>
      <c r="C858" s="366">
        <v>0</v>
      </c>
      <c r="D858" s="366">
        <v>0</v>
      </c>
      <c r="E858" s="366">
        <v>0</v>
      </c>
      <c r="F858" s="367">
        <v>0.74747661977178803</v>
      </c>
      <c r="G858" s="366">
        <v>0</v>
      </c>
      <c r="H858" s="366">
        <v>0</v>
      </c>
      <c r="I858" s="366">
        <v>0</v>
      </c>
      <c r="J858" s="366">
        <v>0</v>
      </c>
      <c r="K858" s="366">
        <v>0</v>
      </c>
    </row>
    <row r="859" spans="1:11" ht="15" thickBot="1" x14ac:dyDescent="0.4">
      <c r="A859" s="607"/>
      <c r="B859" s="83" t="s">
        <v>158</v>
      </c>
      <c r="C859" s="366">
        <v>0</v>
      </c>
      <c r="D859" s="366">
        <v>0</v>
      </c>
      <c r="E859" s="233">
        <v>4.9429167429536104E-2</v>
      </c>
      <c r="F859" s="366">
        <v>0</v>
      </c>
      <c r="G859" s="366">
        <v>0</v>
      </c>
      <c r="H859" s="366">
        <v>0</v>
      </c>
      <c r="I859" s="366">
        <v>0</v>
      </c>
      <c r="J859" s="366">
        <v>0</v>
      </c>
      <c r="K859" s="233">
        <v>0</v>
      </c>
    </row>
    <row r="861" spans="1:11" x14ac:dyDescent="0.35">
      <c r="A861" s="80"/>
      <c r="B861" s="80"/>
    </row>
    <row r="862" spans="1:11" x14ac:dyDescent="0.35">
      <c r="A862" s="80"/>
      <c r="B862" s="342" t="s">
        <v>1358</v>
      </c>
      <c r="C862" s="343">
        <f t="shared" ref="C862:J862" si="1">IF(COUNTIF(B471:B505,"&gt;0")=0,0,SUM(C510:C859)/COUNTIF(B471:B505,"&gt;0"))</f>
        <v>1.0000000000000007</v>
      </c>
      <c r="D862" s="343">
        <f t="shared" si="1"/>
        <v>1.0000000000000002</v>
      </c>
      <c r="E862" s="343">
        <f t="shared" si="1"/>
        <v>1</v>
      </c>
      <c r="F862" s="343">
        <f t="shared" si="1"/>
        <v>1</v>
      </c>
      <c r="G862" s="343">
        <f t="shared" si="1"/>
        <v>1</v>
      </c>
      <c r="H862" s="343">
        <f t="shared" si="1"/>
        <v>1</v>
      </c>
      <c r="I862" s="343">
        <f t="shared" si="1"/>
        <v>1</v>
      </c>
      <c r="J862" s="343">
        <f t="shared" si="1"/>
        <v>1.0344827586206897</v>
      </c>
      <c r="K862" s="343">
        <f>IF(COUNTIF(J471:J505,"&gt;0")=0,0,SUM(K510:K859)/COUNTIF(J471:J505,"&gt;0"))</f>
        <v>0</v>
      </c>
    </row>
    <row r="863" spans="1:11" x14ac:dyDescent="0.35">
      <c r="A863" s="80"/>
      <c r="B863" s="80" t="s">
        <v>1361</v>
      </c>
    </row>
    <row r="864" spans="1:11" x14ac:dyDescent="0.35">
      <c r="A864" s="80"/>
      <c r="B864" s="80"/>
    </row>
    <row r="865" spans="1:2" x14ac:dyDescent="0.35">
      <c r="A865" s="80"/>
      <c r="B865" s="80"/>
    </row>
    <row r="866" spans="1:2" x14ac:dyDescent="0.35">
      <c r="A866" s="80"/>
      <c r="B866" s="80"/>
    </row>
    <row r="867" spans="1:2" x14ac:dyDescent="0.35">
      <c r="A867" s="80"/>
      <c r="B867" s="80"/>
    </row>
    <row r="868" spans="1:2" x14ac:dyDescent="0.35">
      <c r="A868" s="80"/>
      <c r="B868" s="80"/>
    </row>
  </sheetData>
  <mergeCells count="71">
    <mergeCell ref="A610:A619"/>
    <mergeCell ref="A1:C1"/>
    <mergeCell ref="A510:A519"/>
    <mergeCell ref="A520:A529"/>
    <mergeCell ref="A530:A539"/>
    <mergeCell ref="A540:A549"/>
    <mergeCell ref="A550:A559"/>
    <mergeCell ref="A560:A569"/>
    <mergeCell ref="A570:A579"/>
    <mergeCell ref="A580:A589"/>
    <mergeCell ref="A590:A599"/>
    <mergeCell ref="A600:A609"/>
    <mergeCell ref="A113:A122"/>
    <mergeCell ref="A123:A132"/>
    <mergeCell ref="A133:A142"/>
    <mergeCell ref="A143:A152"/>
    <mergeCell ref="A730:A739"/>
    <mergeCell ref="A620:A629"/>
    <mergeCell ref="A630:A639"/>
    <mergeCell ref="A640:A649"/>
    <mergeCell ref="A650:A659"/>
    <mergeCell ref="A660:A669"/>
    <mergeCell ref="A670:A679"/>
    <mergeCell ref="A680:A689"/>
    <mergeCell ref="A690:A699"/>
    <mergeCell ref="A700:A709"/>
    <mergeCell ref="A710:A719"/>
    <mergeCell ref="A720:A729"/>
    <mergeCell ref="A850:A859"/>
    <mergeCell ref="A740:A749"/>
    <mergeCell ref="A750:A759"/>
    <mergeCell ref="A760:A769"/>
    <mergeCell ref="A770:A779"/>
    <mergeCell ref="A780:A789"/>
    <mergeCell ref="A790:A799"/>
    <mergeCell ref="A800:A809"/>
    <mergeCell ref="A810:A819"/>
    <mergeCell ref="A820:A829"/>
    <mergeCell ref="A830:A839"/>
    <mergeCell ref="A840:A849"/>
    <mergeCell ref="A153:A162"/>
    <mergeCell ref="A163:A172"/>
    <mergeCell ref="A173:A182"/>
    <mergeCell ref="A183:A192"/>
    <mergeCell ref="A193:A202"/>
    <mergeCell ref="A203:A212"/>
    <mergeCell ref="A213:A222"/>
    <mergeCell ref="A223:A232"/>
    <mergeCell ref="A233:A242"/>
    <mergeCell ref="A243:A252"/>
    <mergeCell ref="A253:A262"/>
    <mergeCell ref="A263:A272"/>
    <mergeCell ref="A273:A282"/>
    <mergeCell ref="A283:A292"/>
    <mergeCell ref="A293:A302"/>
    <mergeCell ref="A303:A312"/>
    <mergeCell ref="A313:A322"/>
    <mergeCell ref="A323:A332"/>
    <mergeCell ref="A333:A342"/>
    <mergeCell ref="A343:A352"/>
    <mergeCell ref="A353:A362"/>
    <mergeCell ref="A363:A372"/>
    <mergeCell ref="A373:A382"/>
    <mergeCell ref="A383:A392"/>
    <mergeCell ref="A393:A402"/>
    <mergeCell ref="A453:A462"/>
    <mergeCell ref="A403:A412"/>
    <mergeCell ref="A413:A422"/>
    <mergeCell ref="A423:A432"/>
    <mergeCell ref="A433:A442"/>
    <mergeCell ref="A443:A452"/>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247D-9539-45A0-9EA5-747A51F7CB60}">
  <sheetPr>
    <tabColor theme="1" tint="0.499984740745262"/>
  </sheetPr>
  <dimension ref="A1:AF305"/>
  <sheetViews>
    <sheetView zoomScale="55" zoomScaleNormal="55" workbookViewId="0">
      <pane xSplit="1" ySplit="1" topLeftCell="B28" activePane="bottomRight" state="frozen"/>
      <selection pane="topRight" activeCell="B1" sqref="B1"/>
      <selection pane="bottomLeft" activeCell="A2" sqref="A2"/>
      <selection pane="bottomRight" activeCell="C54" sqref="C54"/>
    </sheetView>
  </sheetViews>
  <sheetFormatPr baseColWidth="10" defaultColWidth="11.453125" defaultRowHeight="14.5" x14ac:dyDescent="0.35"/>
  <cols>
    <col min="1" max="1" width="76.54296875" customWidth="1"/>
    <col min="2" max="2" width="79.54296875" customWidth="1"/>
    <col min="3" max="3" width="61.54296875" customWidth="1"/>
    <col min="4" max="4" width="64" customWidth="1"/>
    <col min="5" max="5" width="60" customWidth="1"/>
    <col min="6" max="6" width="52.453125" customWidth="1"/>
    <col min="7" max="7" width="43.54296875" customWidth="1"/>
    <col min="8" max="8" width="46.54296875" customWidth="1"/>
    <col min="9" max="9" width="46.453125" customWidth="1"/>
  </cols>
  <sheetData>
    <row r="1" spans="1:6" s="214" customFormat="1" ht="26.25" customHeight="1" x14ac:dyDescent="0.7">
      <c r="A1" s="611" t="s">
        <v>599</v>
      </c>
      <c r="B1" s="611"/>
      <c r="C1" s="611"/>
    </row>
    <row r="2" spans="1:6" x14ac:dyDescent="0.35">
      <c r="A2" s="79"/>
    </row>
    <row r="3" spans="1:6" x14ac:dyDescent="0.35">
      <c r="A3" s="388" t="s">
        <v>1152</v>
      </c>
      <c r="B3" s="2"/>
    </row>
    <row r="4" spans="1:6" x14ac:dyDescent="0.35">
      <c r="A4" s="309" t="s">
        <v>168</v>
      </c>
      <c r="B4" s="310" t="s">
        <v>169</v>
      </c>
    </row>
    <row r="5" spans="1:6" x14ac:dyDescent="0.35">
      <c r="A5" s="351">
        <v>0</v>
      </c>
      <c r="B5" s="389" t="s">
        <v>1060</v>
      </c>
    </row>
    <row r="6" spans="1:6" x14ac:dyDescent="0.35">
      <c r="A6" s="351">
        <v>1</v>
      </c>
      <c r="B6" s="358" t="s">
        <v>1061</v>
      </c>
    </row>
    <row r="7" spans="1:6" x14ac:dyDescent="0.35">
      <c r="A7" s="352" t="s">
        <v>170</v>
      </c>
      <c r="B7" s="353">
        <v>0</v>
      </c>
    </row>
    <row r="9" spans="1:6" x14ac:dyDescent="0.35">
      <c r="A9" s="390" t="s">
        <v>1062</v>
      </c>
      <c r="B9" s="391" t="s">
        <v>1063</v>
      </c>
    </row>
    <row r="10" spans="1:6" ht="15.5" x14ac:dyDescent="0.35">
      <c r="A10" s="392" t="s">
        <v>1064</v>
      </c>
      <c r="B10" s="393">
        <v>6000000</v>
      </c>
    </row>
    <row r="11" spans="1:6" ht="15.5" x14ac:dyDescent="0.35">
      <c r="A11" s="392" t="s">
        <v>1065</v>
      </c>
      <c r="B11" s="393">
        <v>3000000</v>
      </c>
    </row>
    <row r="13" spans="1:6" x14ac:dyDescent="0.35">
      <c r="A13" s="349" t="s">
        <v>501</v>
      </c>
      <c r="B13" s="355">
        <v>2025</v>
      </c>
      <c r="C13" s="355">
        <v>2030</v>
      </c>
      <c r="D13" s="355">
        <v>2040</v>
      </c>
      <c r="E13" s="355">
        <v>2050</v>
      </c>
      <c r="F13" s="146"/>
    </row>
    <row r="14" spans="1:6" x14ac:dyDescent="0.35">
      <c r="A14" s="300" t="s">
        <v>380</v>
      </c>
      <c r="B14" s="391" t="s">
        <v>491</v>
      </c>
      <c r="C14" s="391" t="s">
        <v>491</v>
      </c>
      <c r="D14" s="391" t="s">
        <v>491</v>
      </c>
      <c r="E14" s="391" t="s">
        <v>491</v>
      </c>
      <c r="F14" s="147"/>
    </row>
    <row r="15" spans="1:6" x14ac:dyDescent="0.35">
      <c r="A15" s="332" t="s">
        <v>830</v>
      </c>
      <c r="B15" s="353">
        <v>67</v>
      </c>
      <c r="C15" s="353">
        <v>80</v>
      </c>
      <c r="D15" s="353">
        <v>90</v>
      </c>
      <c r="E15" s="353">
        <v>100</v>
      </c>
    </row>
    <row r="16" spans="1:6" x14ac:dyDescent="0.35">
      <c r="A16" s="332" t="s">
        <v>500</v>
      </c>
      <c r="B16" s="353">
        <f>0.5*B15</f>
        <v>33.5</v>
      </c>
      <c r="C16" s="353">
        <f>0.5*C15</f>
        <v>40</v>
      </c>
      <c r="D16" s="353">
        <v>95</v>
      </c>
      <c r="E16" s="353">
        <f>0.5*E15</f>
        <v>50</v>
      </c>
      <c r="F16" s="147"/>
    </row>
    <row r="17" spans="1:9" x14ac:dyDescent="0.35">
      <c r="A17" s="332" t="s">
        <v>492</v>
      </c>
      <c r="B17" s="353">
        <f>1.5*B15</f>
        <v>100.5</v>
      </c>
      <c r="C17" s="353">
        <f>1.5*C15</f>
        <v>120</v>
      </c>
      <c r="D17" s="353">
        <f>1.5*D15</f>
        <v>135</v>
      </c>
      <c r="E17" s="353">
        <f>1.5*E15</f>
        <v>150</v>
      </c>
      <c r="F17" s="147"/>
    </row>
    <row r="18" spans="1:9" x14ac:dyDescent="0.35">
      <c r="A18" s="332" t="s">
        <v>493</v>
      </c>
      <c r="B18" s="353">
        <v>83.422600000000003</v>
      </c>
      <c r="C18" s="353">
        <v>105.93600000000001</v>
      </c>
      <c r="D18" s="353">
        <v>105.02800000000001</v>
      </c>
      <c r="E18" s="353">
        <v>119.105</v>
      </c>
      <c r="F18" s="147"/>
    </row>
    <row r="21" spans="1:9" x14ac:dyDescent="0.35">
      <c r="A21" s="349" t="s">
        <v>869</v>
      </c>
      <c r="B21" s="394">
        <v>0</v>
      </c>
      <c r="E21" s="47"/>
    </row>
    <row r="22" spans="1:9" x14ac:dyDescent="0.35">
      <c r="A22" s="346"/>
      <c r="B22" s="394"/>
      <c r="E22" s="47"/>
    </row>
    <row r="23" spans="1:9" x14ac:dyDescent="0.35">
      <c r="A23" s="349" t="s">
        <v>925</v>
      </c>
      <c r="B23" s="355" t="s">
        <v>791</v>
      </c>
      <c r="C23" s="355" t="s">
        <v>495</v>
      </c>
      <c r="D23" s="355" t="s">
        <v>496</v>
      </c>
      <c r="E23" s="355" t="s">
        <v>497</v>
      </c>
      <c r="F23" s="355" t="s">
        <v>675</v>
      </c>
      <c r="G23" s="355" t="s">
        <v>676</v>
      </c>
      <c r="H23" s="355" t="s">
        <v>677</v>
      </c>
      <c r="I23" s="355" t="s">
        <v>678</v>
      </c>
    </row>
    <row r="24" spans="1:9" x14ac:dyDescent="0.35">
      <c r="A24" s="300" t="s">
        <v>380</v>
      </c>
      <c r="B24" s="354" t="s">
        <v>12</v>
      </c>
      <c r="C24" s="310" t="s">
        <v>862</v>
      </c>
      <c r="D24" s="310" t="s">
        <v>863</v>
      </c>
      <c r="E24" s="310" t="s">
        <v>864</v>
      </c>
      <c r="F24" s="310" t="s">
        <v>864</v>
      </c>
      <c r="G24" s="310" t="s">
        <v>864</v>
      </c>
      <c r="H24" s="310" t="s">
        <v>864</v>
      </c>
      <c r="I24" s="310" t="s">
        <v>864</v>
      </c>
    </row>
    <row r="25" spans="1:9" x14ac:dyDescent="0.35">
      <c r="A25" s="332" t="s">
        <v>679</v>
      </c>
      <c r="B25" s="353">
        <v>2025</v>
      </c>
      <c r="C25" s="330">
        <v>0.2</v>
      </c>
      <c r="D25" s="330">
        <v>0.2</v>
      </c>
      <c r="E25" s="330">
        <v>0.2</v>
      </c>
      <c r="F25" s="330">
        <v>0.2</v>
      </c>
      <c r="G25" s="330">
        <v>0.2</v>
      </c>
      <c r="H25" s="330">
        <v>0.2</v>
      </c>
      <c r="I25" s="330">
        <v>0.2</v>
      </c>
    </row>
    <row r="26" spans="1:9" x14ac:dyDescent="0.35">
      <c r="A26" s="332" t="s">
        <v>680</v>
      </c>
      <c r="B26" s="353">
        <v>2025</v>
      </c>
      <c r="C26" s="330">
        <v>0.35</v>
      </c>
      <c r="D26" s="330">
        <v>0.35</v>
      </c>
      <c r="E26" s="330">
        <v>0.35</v>
      </c>
      <c r="F26" s="330">
        <v>0.35</v>
      </c>
      <c r="G26" s="330">
        <v>0.35</v>
      </c>
      <c r="H26" s="330">
        <v>0.35</v>
      </c>
      <c r="I26" s="330">
        <v>0.35</v>
      </c>
    </row>
    <row r="27" spans="1:9" x14ac:dyDescent="0.35">
      <c r="A27" s="332" t="s">
        <v>681</v>
      </c>
      <c r="B27" s="353">
        <v>2025</v>
      </c>
      <c r="C27" s="330">
        <v>0.5</v>
      </c>
      <c r="D27" s="330">
        <v>0.5</v>
      </c>
      <c r="E27" s="330">
        <v>0.5</v>
      </c>
      <c r="F27" s="330">
        <v>0.5</v>
      </c>
      <c r="G27" s="330">
        <v>0.5</v>
      </c>
      <c r="H27" s="330">
        <v>0.5</v>
      </c>
      <c r="I27" s="330">
        <v>0.5</v>
      </c>
    </row>
    <row r="28" spans="1:9" x14ac:dyDescent="0.35">
      <c r="A28" s="332" t="s">
        <v>682</v>
      </c>
      <c r="B28" s="353">
        <v>2025</v>
      </c>
      <c r="C28" s="330">
        <v>0</v>
      </c>
      <c r="D28" s="330">
        <v>0</v>
      </c>
      <c r="E28" s="330">
        <v>0</v>
      </c>
      <c r="F28" s="330">
        <v>0</v>
      </c>
      <c r="G28" s="330">
        <v>0</v>
      </c>
      <c r="H28" s="330">
        <v>0</v>
      </c>
      <c r="I28" s="330">
        <v>0</v>
      </c>
    </row>
    <row r="29" spans="1:9" x14ac:dyDescent="0.35">
      <c r="B29" s="353" t="s">
        <v>494</v>
      </c>
      <c r="C29" s="353" t="s">
        <v>494</v>
      </c>
      <c r="D29" s="353" t="s">
        <v>494</v>
      </c>
      <c r="E29" s="353" t="s">
        <v>494</v>
      </c>
      <c r="F29" s="353" t="s">
        <v>494</v>
      </c>
      <c r="G29" s="353" t="s">
        <v>494</v>
      </c>
      <c r="H29" s="353" t="s">
        <v>494</v>
      </c>
      <c r="I29" s="353" t="s">
        <v>494</v>
      </c>
    </row>
    <row r="31" spans="1:9" x14ac:dyDescent="0.35">
      <c r="A31" s="388" t="s">
        <v>1423</v>
      </c>
      <c r="B31" s="2"/>
    </row>
    <row r="32" spans="1:9" x14ac:dyDescent="0.35">
      <c r="A32" s="309" t="s">
        <v>168</v>
      </c>
      <c r="B32" s="310" t="s">
        <v>169</v>
      </c>
    </row>
    <row r="33" spans="1:10" x14ac:dyDescent="0.35">
      <c r="A33" s="351">
        <v>0</v>
      </c>
      <c r="B33" s="389" t="s">
        <v>1419</v>
      </c>
    </row>
    <row r="34" spans="1:10" x14ac:dyDescent="0.35">
      <c r="A34" s="351">
        <v>1</v>
      </c>
      <c r="B34" s="358" t="s">
        <v>1420</v>
      </c>
    </row>
    <row r="35" spans="1:10" x14ac:dyDescent="0.35">
      <c r="A35" s="352" t="s">
        <v>170</v>
      </c>
      <c r="B35" s="353">
        <v>0</v>
      </c>
    </row>
    <row r="36" spans="1:10" x14ac:dyDescent="0.35">
      <c r="B36" s="146"/>
    </row>
    <row r="37" spans="1:10" ht="15.5" x14ac:dyDescent="0.35">
      <c r="A37" s="395" t="s">
        <v>1114</v>
      </c>
      <c r="B37" s="396" t="s">
        <v>1113</v>
      </c>
    </row>
    <row r="38" spans="1:10" x14ac:dyDescent="0.35">
      <c r="A38" s="329" t="s">
        <v>1115</v>
      </c>
      <c r="B38" s="391" t="s">
        <v>244</v>
      </c>
    </row>
    <row r="39" spans="1:10" x14ac:dyDescent="0.35">
      <c r="A39" s="329" t="s">
        <v>1116</v>
      </c>
      <c r="B39" s="397">
        <v>-1.1591453590388601E-2</v>
      </c>
    </row>
    <row r="40" spans="1:10" ht="61.5" customHeight="1" x14ac:dyDescent="0.35">
      <c r="A40" s="329" t="s">
        <v>1117</v>
      </c>
      <c r="B40" s="398">
        <v>1.4636247000152425E-2</v>
      </c>
    </row>
    <row r="41" spans="1:10" x14ac:dyDescent="0.35">
      <c r="A41" s="329" t="s">
        <v>1118</v>
      </c>
      <c r="B41" s="398">
        <v>-1.2969861504041891E-4</v>
      </c>
    </row>
    <row r="42" spans="1:10" x14ac:dyDescent="0.35">
      <c r="A42" s="329" t="s">
        <v>1119</v>
      </c>
      <c r="B42" s="398">
        <v>6.3179348025905746E-3</v>
      </c>
    </row>
    <row r="43" spans="1:10" x14ac:dyDescent="0.35">
      <c r="B43" s="146"/>
    </row>
    <row r="44" spans="1:10" x14ac:dyDescent="0.35">
      <c r="A44" s="388" t="s">
        <v>1421</v>
      </c>
      <c r="B44" s="13"/>
    </row>
    <row r="45" spans="1:10" x14ac:dyDescent="0.35">
      <c r="A45" s="309" t="s">
        <v>168</v>
      </c>
      <c r="B45" s="310" t="s">
        <v>169</v>
      </c>
    </row>
    <row r="46" spans="1:10" x14ac:dyDescent="0.35">
      <c r="A46" s="351">
        <v>0</v>
      </c>
      <c r="B46" s="399" t="s">
        <v>1490</v>
      </c>
    </row>
    <row r="47" spans="1:10" x14ac:dyDescent="0.35">
      <c r="A47" s="351">
        <v>1</v>
      </c>
      <c r="B47" s="358" t="s">
        <v>1491</v>
      </c>
    </row>
    <row r="48" spans="1:10" x14ac:dyDescent="0.35">
      <c r="A48" s="352" t="s">
        <v>170</v>
      </c>
      <c r="B48" s="353">
        <v>1</v>
      </c>
      <c r="E48" s="1"/>
      <c r="F48" s="249"/>
      <c r="G48" s="1"/>
      <c r="H48" s="250"/>
      <c r="I48" s="1"/>
      <c r="J48" s="1"/>
    </row>
    <row r="50" spans="1:32" x14ac:dyDescent="0.35">
      <c r="A50" s="388" t="s">
        <v>831</v>
      </c>
      <c r="B50" s="2"/>
      <c r="D50">
        <f>INITIAL_OIL_RESERVES_2005_SP+OIL_RESOURCE_ESTIMATION_LOW_SP</f>
        <v>2377466320216.2109</v>
      </c>
    </row>
    <row r="51" spans="1:32" x14ac:dyDescent="0.35">
      <c r="A51" s="309" t="s">
        <v>168</v>
      </c>
      <c r="B51" s="310" t="s">
        <v>169</v>
      </c>
      <c r="D51">
        <f>INITIAL_OIL_RESERVES_2005_SP+OIL_RESOURCE_ESTIMATION_MED_SP</f>
        <v>2709130000000</v>
      </c>
    </row>
    <row r="52" spans="1:32" x14ac:dyDescent="0.35">
      <c r="A52" s="351">
        <v>0</v>
      </c>
      <c r="B52" s="389" t="s">
        <v>636</v>
      </c>
      <c r="D52">
        <f>INITIAL_OIL_RESERVES_2005_SP+OIL_RESOURCE_ESTIMATION_HIGH_SP</f>
        <v>6384516409299.7188</v>
      </c>
    </row>
    <row r="53" spans="1:32" x14ac:dyDescent="0.35">
      <c r="A53" s="351">
        <v>1</v>
      </c>
      <c r="B53" s="358" t="s">
        <v>637</v>
      </c>
    </row>
    <row r="54" spans="1:32" x14ac:dyDescent="0.35">
      <c r="A54" s="351">
        <v>2</v>
      </c>
      <c r="B54" s="358" t="s">
        <v>638</v>
      </c>
    </row>
    <row r="55" spans="1:32" x14ac:dyDescent="0.35">
      <c r="A55" s="351">
        <v>3</v>
      </c>
      <c r="B55" s="358" t="s">
        <v>639</v>
      </c>
    </row>
    <row r="56" spans="1:32" x14ac:dyDescent="0.35">
      <c r="A56" s="351">
        <v>4</v>
      </c>
      <c r="B56" s="358" t="s">
        <v>645</v>
      </c>
    </row>
    <row r="57" spans="1:32" x14ac:dyDescent="0.35">
      <c r="A57" s="352" t="s">
        <v>170</v>
      </c>
      <c r="B57" s="353">
        <v>2</v>
      </c>
    </row>
    <row r="59" spans="1:32" x14ac:dyDescent="0.35">
      <c r="A59" s="364" t="s">
        <v>640</v>
      </c>
    </row>
    <row r="60" spans="1:32" x14ac:dyDescent="0.35">
      <c r="A60" s="357" t="s">
        <v>642</v>
      </c>
      <c r="B60" s="329" t="s">
        <v>641</v>
      </c>
      <c r="C60" s="353">
        <v>0</v>
      </c>
      <c r="D60" s="353">
        <v>500</v>
      </c>
      <c r="E60" s="353">
        <v>1000</v>
      </c>
      <c r="F60" s="353">
        <v>1500</v>
      </c>
      <c r="G60" s="353">
        <v>2000</v>
      </c>
      <c r="H60" s="353">
        <v>2500</v>
      </c>
      <c r="I60" s="353">
        <v>3000</v>
      </c>
      <c r="J60" s="353">
        <v>3500</v>
      </c>
      <c r="K60" s="353">
        <v>4000</v>
      </c>
      <c r="L60" s="353">
        <v>4500</v>
      </c>
      <c r="M60" s="353">
        <v>5000</v>
      </c>
      <c r="N60" s="353">
        <v>5500</v>
      </c>
      <c r="O60" s="353">
        <v>6000</v>
      </c>
      <c r="P60" s="353">
        <v>6500</v>
      </c>
      <c r="Q60" s="353">
        <v>7000</v>
      </c>
      <c r="R60" s="353">
        <v>7500</v>
      </c>
      <c r="S60" s="353">
        <v>8000</v>
      </c>
      <c r="T60" s="353">
        <v>8500</v>
      </c>
      <c r="U60" s="353">
        <v>9000</v>
      </c>
      <c r="V60" s="353">
        <v>9500</v>
      </c>
      <c r="W60" s="353">
        <v>10000</v>
      </c>
      <c r="X60" s="353">
        <v>10500</v>
      </c>
      <c r="Y60" s="353">
        <v>11000</v>
      </c>
      <c r="Z60" s="353">
        <v>11500</v>
      </c>
      <c r="AA60" s="353">
        <v>12000</v>
      </c>
      <c r="AB60" s="353">
        <v>12500</v>
      </c>
      <c r="AC60" s="353">
        <v>13000</v>
      </c>
      <c r="AD60" s="353">
        <v>13500</v>
      </c>
      <c r="AE60" s="353">
        <v>14000</v>
      </c>
      <c r="AF60" s="353">
        <v>14500</v>
      </c>
    </row>
    <row r="61" spans="1:32" x14ac:dyDescent="0.35">
      <c r="A61" s="357" t="s">
        <v>643</v>
      </c>
      <c r="B61" s="329" t="s">
        <v>644</v>
      </c>
      <c r="C61" s="353">
        <v>0</v>
      </c>
      <c r="D61" s="400">
        <v>29.4861</v>
      </c>
      <c r="E61" s="400">
        <v>56.059699999999999</v>
      </c>
      <c r="F61" s="400">
        <v>77</v>
      </c>
      <c r="G61" s="400">
        <v>94.709800000000001</v>
      </c>
      <c r="H61" s="400">
        <v>111.19799999999999</v>
      </c>
      <c r="I61" s="400">
        <v>124.131</v>
      </c>
      <c r="J61" s="400">
        <v>136.26</v>
      </c>
      <c r="K61" s="400">
        <v>147.07300000000001</v>
      </c>
      <c r="L61" s="400">
        <v>154.041</v>
      </c>
      <c r="M61" s="400">
        <v>160.5</v>
      </c>
      <c r="N61" s="400">
        <v>165.566</v>
      </c>
      <c r="O61" s="400">
        <v>167.49600000000001</v>
      </c>
      <c r="P61" s="400">
        <v>169.17599999999999</v>
      </c>
      <c r="Q61" s="400">
        <v>169.47399999999999</v>
      </c>
      <c r="R61" s="400">
        <v>169.47399999999999</v>
      </c>
      <c r="S61" s="400">
        <v>169.47399999999999</v>
      </c>
      <c r="T61" s="400">
        <v>169.47399999999999</v>
      </c>
      <c r="U61" s="400">
        <v>169.47399999999999</v>
      </c>
      <c r="V61" s="400">
        <v>169.47399999999999</v>
      </c>
      <c r="W61" s="400">
        <v>169.47399999999999</v>
      </c>
      <c r="X61" s="400">
        <v>169.47399999999999</v>
      </c>
      <c r="Y61" s="400">
        <v>169.47399999999999</v>
      </c>
      <c r="Z61" s="400">
        <v>169.47399999999999</v>
      </c>
      <c r="AA61" s="400">
        <v>169.47399999999999</v>
      </c>
      <c r="AB61" s="400">
        <v>169.47399999999999</v>
      </c>
      <c r="AC61" s="400">
        <v>169.47399999999999</v>
      </c>
      <c r="AD61" s="400">
        <v>169.47399999999999</v>
      </c>
      <c r="AE61" s="400">
        <v>169.47399999999999</v>
      </c>
      <c r="AF61" s="400">
        <v>169.47399999999999</v>
      </c>
    </row>
    <row r="64" spans="1:32" x14ac:dyDescent="0.35">
      <c r="A64" s="388" t="s">
        <v>991</v>
      </c>
      <c r="B64" s="355" t="s">
        <v>15</v>
      </c>
      <c r="C64" s="355" t="s">
        <v>14</v>
      </c>
      <c r="D64" s="355" t="s">
        <v>907</v>
      </c>
      <c r="E64" s="355" t="s">
        <v>908</v>
      </c>
      <c r="G64" s="2"/>
      <c r="H64" s="2"/>
      <c r="I64" s="2"/>
    </row>
    <row r="65" spans="1:9" x14ac:dyDescent="0.35">
      <c r="A65" s="300" t="s">
        <v>380</v>
      </c>
      <c r="B65" s="391" t="s">
        <v>909</v>
      </c>
      <c r="C65" s="391" t="s">
        <v>910</v>
      </c>
      <c r="D65" s="391" t="s">
        <v>910</v>
      </c>
      <c r="E65" s="391" t="s">
        <v>641</v>
      </c>
      <c r="F65" s="53"/>
      <c r="G65" s="218"/>
      <c r="H65" s="218"/>
      <c r="I65" s="146"/>
    </row>
    <row r="66" spans="1:9" x14ac:dyDescent="0.35">
      <c r="A66" s="351" t="s">
        <v>992</v>
      </c>
      <c r="B66" s="353">
        <v>1118336320216.2109</v>
      </c>
      <c r="C66" s="353">
        <v>1141.5450000000001</v>
      </c>
      <c r="D66" s="353">
        <v>5001.4700000000012</v>
      </c>
      <c r="E66" s="353">
        <v>216.30299999999988</v>
      </c>
      <c r="F66" s="13"/>
      <c r="G66" s="2"/>
      <c r="H66" s="2"/>
      <c r="I66" s="2"/>
    </row>
    <row r="67" spans="1:9" x14ac:dyDescent="0.35">
      <c r="A67" s="351" t="s">
        <v>993</v>
      </c>
      <c r="B67" s="536">
        <v>1450000000000</v>
      </c>
      <c r="C67" s="353">
        <v>11566.039999999999</v>
      </c>
      <c r="D67" s="353">
        <v>33314.97</v>
      </c>
      <c r="E67" s="353">
        <v>3396.1729999999998</v>
      </c>
      <c r="F67" s="13"/>
      <c r="G67" s="2"/>
      <c r="H67" s="2"/>
      <c r="I67" s="2"/>
    </row>
    <row r="68" spans="1:9" x14ac:dyDescent="0.35">
      <c r="A68" s="351" t="s">
        <v>994</v>
      </c>
      <c r="B68" s="353">
        <v>5125386409299.7188</v>
      </c>
      <c r="C68" s="353">
        <v>26526.739999999998</v>
      </c>
      <c r="D68" s="353">
        <v>61628.47</v>
      </c>
      <c r="E68" s="353">
        <v>6576.0429999999997</v>
      </c>
      <c r="F68" s="13"/>
      <c r="G68" s="2"/>
      <c r="H68" s="2"/>
      <c r="I68" s="2"/>
    </row>
    <row r="69" spans="1:9" x14ac:dyDescent="0.35">
      <c r="A69" s="351" t="s">
        <v>995</v>
      </c>
      <c r="B69" s="401" t="s">
        <v>990</v>
      </c>
      <c r="C69" s="401" t="s">
        <v>990</v>
      </c>
      <c r="D69" s="401" t="s">
        <v>990</v>
      </c>
      <c r="E69" s="401" t="s">
        <v>990</v>
      </c>
      <c r="G69" s="53"/>
      <c r="H69" s="13"/>
    </row>
    <row r="70" spans="1:9" x14ac:dyDescent="0.35">
      <c r="A70" s="351" t="s">
        <v>911</v>
      </c>
      <c r="B70" s="353">
        <v>1</v>
      </c>
      <c r="C70" s="353">
        <v>1</v>
      </c>
      <c r="D70" s="353">
        <v>1</v>
      </c>
      <c r="E70" s="353">
        <v>1</v>
      </c>
    </row>
    <row r="71" spans="1:9" x14ac:dyDescent="0.35">
      <c r="A71" s="351" t="s">
        <v>996</v>
      </c>
      <c r="B71" s="353">
        <f>+(OIL_RESOURCE_ESTIMATION_HIGH_SP+OIL_RESOURCE_ESTIMATION_LOW_SP)/2</f>
        <v>3121861364757.9648</v>
      </c>
      <c r="C71" s="353">
        <v>0</v>
      </c>
      <c r="D71" s="353"/>
      <c r="E71" s="353"/>
    </row>
    <row r="72" spans="1:9" ht="16.5" customHeight="1" x14ac:dyDescent="0.35">
      <c r="F72">
        <f>HARD_COAL_RESOURCE_ESTIMATION_MED_SP*1.3</f>
        <v>43309.461000000003</v>
      </c>
    </row>
    <row r="73" spans="1:9" ht="15.5" x14ac:dyDescent="0.35">
      <c r="A73" s="402" t="s">
        <v>1417</v>
      </c>
      <c r="B73" s="355" t="s">
        <v>15</v>
      </c>
      <c r="C73" s="355" t="s">
        <v>14</v>
      </c>
      <c r="D73" s="355" t="s">
        <v>907</v>
      </c>
      <c r="E73" s="355" t="s">
        <v>908</v>
      </c>
    </row>
    <row r="74" spans="1:9" ht="15.5" x14ac:dyDescent="0.35">
      <c r="A74" s="392" t="s">
        <v>126</v>
      </c>
      <c r="B74" s="391" t="s">
        <v>1418</v>
      </c>
      <c r="C74" s="2" t="s">
        <v>641</v>
      </c>
      <c r="D74" s="403" t="s">
        <v>641</v>
      </c>
      <c r="E74" s="391" t="s">
        <v>641</v>
      </c>
    </row>
    <row r="75" spans="1:9" ht="15.5" x14ac:dyDescent="0.35">
      <c r="B75" s="404">
        <v>1259130000000</v>
      </c>
      <c r="C75" s="405">
        <v>8678.58</v>
      </c>
      <c r="D75" s="406">
        <v>18246</v>
      </c>
      <c r="E75" s="393">
        <v>2775</v>
      </c>
    </row>
    <row r="79" spans="1:9" x14ac:dyDescent="0.35">
      <c r="A79" s="349" t="s">
        <v>503</v>
      </c>
    </row>
    <row r="80" spans="1:9" x14ac:dyDescent="0.35">
      <c r="A80" s="332" t="s">
        <v>125</v>
      </c>
      <c r="B80" s="336" t="s">
        <v>247</v>
      </c>
      <c r="C80" s="336" t="s">
        <v>924</v>
      </c>
      <c r="D80" s="336" t="s">
        <v>923</v>
      </c>
      <c r="E80" s="336" t="s">
        <v>246</v>
      </c>
    </row>
    <row r="81" spans="1:6" x14ac:dyDescent="0.35">
      <c r="A81" s="300" t="s">
        <v>126</v>
      </c>
      <c r="B81" s="354" t="s">
        <v>244</v>
      </c>
      <c r="C81" s="354" t="s">
        <v>244</v>
      </c>
      <c r="D81" s="354" t="s">
        <v>244</v>
      </c>
      <c r="E81" s="354" t="s">
        <v>12</v>
      </c>
    </row>
    <row r="82" spans="1:6" x14ac:dyDescent="0.35">
      <c r="A82" s="300" t="s">
        <v>127</v>
      </c>
      <c r="B82" s="333">
        <v>0</v>
      </c>
      <c r="C82" s="333">
        <v>0</v>
      </c>
      <c r="D82" s="333">
        <v>0</v>
      </c>
      <c r="E82" s="333">
        <v>2025</v>
      </c>
    </row>
    <row r="84" spans="1:6" x14ac:dyDescent="0.35">
      <c r="A84" s="349" t="s">
        <v>1575</v>
      </c>
    </row>
    <row r="85" spans="1:6" x14ac:dyDescent="0.35">
      <c r="A85" s="332" t="s">
        <v>125</v>
      </c>
      <c r="B85" s="336" t="s">
        <v>1571</v>
      </c>
      <c r="C85" s="336" t="s">
        <v>1572</v>
      </c>
      <c r="D85" s="336" t="s">
        <v>1573</v>
      </c>
      <c r="E85" s="336" t="s">
        <v>1574</v>
      </c>
      <c r="F85" s="336" t="s">
        <v>1570</v>
      </c>
    </row>
    <row r="86" spans="1:6" x14ac:dyDescent="0.35">
      <c r="A86" s="300" t="s">
        <v>126</v>
      </c>
      <c r="B86" s="354" t="s">
        <v>244</v>
      </c>
      <c r="C86" s="354" t="s">
        <v>244</v>
      </c>
      <c r="D86" s="354" t="s">
        <v>244</v>
      </c>
      <c r="E86" s="354" t="s">
        <v>244</v>
      </c>
      <c r="F86" s="354" t="s">
        <v>12</v>
      </c>
    </row>
    <row r="87" spans="1:6" x14ac:dyDescent="0.35">
      <c r="A87" s="300" t="s">
        <v>127</v>
      </c>
      <c r="B87" s="333">
        <v>0</v>
      </c>
      <c r="C87" s="333">
        <v>0</v>
      </c>
      <c r="D87" s="333">
        <v>0</v>
      </c>
      <c r="E87" s="333">
        <v>0</v>
      </c>
      <c r="F87" s="333">
        <v>2025</v>
      </c>
    </row>
    <row r="89" spans="1:6" x14ac:dyDescent="0.35">
      <c r="A89" s="388" t="s">
        <v>1820</v>
      </c>
      <c r="B89" t="s">
        <v>1427</v>
      </c>
    </row>
    <row r="90" spans="1:6" x14ac:dyDescent="0.35">
      <c r="A90" s="198" t="s">
        <v>11</v>
      </c>
      <c r="B90" s="6"/>
      <c r="C90" s="6"/>
      <c r="D90" s="6"/>
    </row>
    <row r="91" spans="1:6" x14ac:dyDescent="0.35">
      <c r="A91" s="612" t="s">
        <v>17</v>
      </c>
      <c r="B91" s="612"/>
      <c r="C91" s="613"/>
      <c r="D91" s="407">
        <v>1</v>
      </c>
    </row>
    <row r="92" spans="1:6" x14ac:dyDescent="0.35">
      <c r="A92" s="408" t="s">
        <v>10</v>
      </c>
      <c r="B92" s="409"/>
      <c r="C92" s="8"/>
      <c r="D92" s="6"/>
    </row>
    <row r="93" spans="1:6" x14ac:dyDescent="0.35">
      <c r="A93" s="390" t="s">
        <v>18</v>
      </c>
      <c r="B93" s="407">
        <v>2050</v>
      </c>
      <c r="D93" s="349" t="s">
        <v>792</v>
      </c>
    </row>
    <row r="94" spans="1:6" x14ac:dyDescent="0.35">
      <c r="A94" s="410" t="s">
        <v>19</v>
      </c>
      <c r="B94" s="411">
        <v>2020</v>
      </c>
      <c r="D94" s="365" t="s">
        <v>1166</v>
      </c>
    </row>
    <row r="95" spans="1:6" x14ac:dyDescent="0.35">
      <c r="A95" s="329" t="s">
        <v>1116</v>
      </c>
      <c r="B95" s="19" t="s">
        <v>8</v>
      </c>
      <c r="C95" s="329" t="s">
        <v>6</v>
      </c>
      <c r="D95" s="412">
        <v>0.31</v>
      </c>
    </row>
    <row r="96" spans="1:6" x14ac:dyDescent="0.35">
      <c r="A96" s="329" t="s">
        <v>1117</v>
      </c>
      <c r="B96" s="19" t="s">
        <v>9</v>
      </c>
      <c r="C96" s="329" t="s">
        <v>6</v>
      </c>
      <c r="D96" s="412">
        <v>0.7</v>
      </c>
    </row>
    <row r="97" spans="1:6" x14ac:dyDescent="0.35">
      <c r="A97" s="329" t="s">
        <v>1118</v>
      </c>
      <c r="B97" s="19" t="s">
        <v>22</v>
      </c>
      <c r="C97" s="329" t="s">
        <v>6</v>
      </c>
      <c r="D97" s="412">
        <v>0.3</v>
      </c>
    </row>
    <row r="98" spans="1:6" x14ac:dyDescent="0.35">
      <c r="A98" s="329" t="s">
        <v>1119</v>
      </c>
      <c r="B98" s="19" t="s">
        <v>7</v>
      </c>
      <c r="C98" s="329" t="s">
        <v>6</v>
      </c>
      <c r="D98" s="412">
        <v>0.18</v>
      </c>
    </row>
    <row r="99" spans="1:6" x14ac:dyDescent="0.35">
      <c r="A99" s="408" t="s">
        <v>5</v>
      </c>
      <c r="B99" s="409"/>
      <c r="C99" s="8"/>
      <c r="D99" s="6"/>
    </row>
    <row r="100" spans="1:6" x14ac:dyDescent="0.35">
      <c r="A100" s="413" t="s">
        <v>4</v>
      </c>
      <c r="B100" s="414" t="s">
        <v>2</v>
      </c>
      <c r="C100" s="415">
        <v>0.05</v>
      </c>
      <c r="D100" s="416" t="s">
        <v>3</v>
      </c>
      <c r="E100" s="329" t="s">
        <v>0</v>
      </c>
      <c r="F100" s="417">
        <v>2020</v>
      </c>
    </row>
    <row r="101" spans="1:6" x14ac:dyDescent="0.35">
      <c r="A101" s="413" t="s">
        <v>20</v>
      </c>
      <c r="B101" s="414" t="s">
        <v>2</v>
      </c>
      <c r="C101" s="418">
        <v>0.05</v>
      </c>
      <c r="D101" s="416" t="s">
        <v>1</v>
      </c>
      <c r="E101" s="329" t="s">
        <v>0</v>
      </c>
      <c r="F101" s="417">
        <v>2020</v>
      </c>
    </row>
    <row r="103" spans="1:6" ht="38.4" customHeight="1" x14ac:dyDescent="0.35">
      <c r="B103" s="13" t="s">
        <v>1523</v>
      </c>
    </row>
    <row r="104" spans="1:6" x14ac:dyDescent="0.35">
      <c r="A104" s="419" t="s">
        <v>1821</v>
      </c>
      <c r="B104" t="s">
        <v>1524</v>
      </c>
    </row>
    <row r="105" spans="1:6" x14ac:dyDescent="0.35">
      <c r="A105" s="304" t="s">
        <v>1822</v>
      </c>
      <c r="B105" s="304" t="s">
        <v>1823</v>
      </c>
    </row>
    <row r="106" spans="1:6" x14ac:dyDescent="0.35">
      <c r="A106" s="301" t="s">
        <v>322</v>
      </c>
      <c r="B106" s="301" t="s">
        <v>322</v>
      </c>
    </row>
    <row r="107" spans="1:6" x14ac:dyDescent="0.35">
      <c r="A107" s="333">
        <v>2025</v>
      </c>
      <c r="B107" s="333">
        <v>2035</v>
      </c>
    </row>
    <row r="108" spans="1:6" x14ac:dyDescent="0.35">
      <c r="A108" s="420"/>
      <c r="B108" s="420" t="s">
        <v>1824</v>
      </c>
    </row>
    <row r="109" spans="1:6" x14ac:dyDescent="0.35">
      <c r="A109" s="309" t="s">
        <v>168</v>
      </c>
      <c r="B109" s="48" t="s">
        <v>128</v>
      </c>
    </row>
    <row r="110" spans="1:6" x14ac:dyDescent="0.35">
      <c r="A110" s="421">
        <v>0</v>
      </c>
      <c r="B110" s="422" t="s">
        <v>250</v>
      </c>
    </row>
    <row r="111" spans="1:6" x14ac:dyDescent="0.35">
      <c r="A111" s="421">
        <v>1</v>
      </c>
      <c r="B111" s="422" t="s">
        <v>1825</v>
      </c>
      <c r="C111" s="423">
        <v>0.01</v>
      </c>
    </row>
    <row r="112" spans="1:6" x14ac:dyDescent="0.35">
      <c r="A112" s="421">
        <v>2</v>
      </c>
      <c r="B112" s="422" t="s">
        <v>1826</v>
      </c>
      <c r="C112" s="356">
        <v>0.02</v>
      </c>
    </row>
    <row r="113" spans="1:11" x14ac:dyDescent="0.35">
      <c r="A113" s="421">
        <v>3</v>
      </c>
      <c r="B113" s="424" t="s">
        <v>1827</v>
      </c>
    </row>
    <row r="114" spans="1:11" ht="15" thickBot="1" x14ac:dyDescent="0.4">
      <c r="A114" s="352" t="s">
        <v>170</v>
      </c>
      <c r="B114" s="425">
        <v>0</v>
      </c>
    </row>
    <row r="115" spans="1:11" x14ac:dyDescent="0.35">
      <c r="A115" s="121"/>
    </row>
    <row r="117" spans="1:11" x14ac:dyDescent="0.35">
      <c r="A117" s="329" t="s">
        <v>1828</v>
      </c>
      <c r="B117" s="420" t="s">
        <v>1829</v>
      </c>
    </row>
    <row r="118" spans="1:11" x14ac:dyDescent="0.35">
      <c r="A118" s="426" t="s">
        <v>380</v>
      </c>
      <c r="B118" s="310" t="s">
        <v>13</v>
      </c>
      <c r="C118" s="3" t="s">
        <v>1830</v>
      </c>
    </row>
    <row r="119" spans="1:11" x14ac:dyDescent="0.35">
      <c r="A119" s="413" t="s">
        <v>1831</v>
      </c>
      <c r="B119" s="356">
        <v>0.56000000000000005</v>
      </c>
      <c r="C119" s="427"/>
      <c r="E119">
        <v>2005</v>
      </c>
    </row>
    <row r="120" spans="1:11" x14ac:dyDescent="0.35">
      <c r="A120" s="413" t="s">
        <v>1832</v>
      </c>
      <c r="B120" s="356">
        <v>0</v>
      </c>
      <c r="C120" s="427"/>
    </row>
    <row r="121" spans="1:11" x14ac:dyDescent="0.35">
      <c r="A121" s="413" t="s">
        <v>1833</v>
      </c>
      <c r="B121" s="356">
        <v>0</v>
      </c>
      <c r="C121" s="427"/>
      <c r="F121" s="114"/>
      <c r="G121" s="114"/>
      <c r="H121" s="114"/>
      <c r="I121" s="114"/>
      <c r="J121" s="114"/>
      <c r="K121" s="114"/>
    </row>
    <row r="122" spans="1:11" x14ac:dyDescent="0.35">
      <c r="A122" s="413" t="s">
        <v>1834</v>
      </c>
      <c r="B122" s="356">
        <v>0</v>
      </c>
      <c r="C122" s="427"/>
    </row>
    <row r="123" spans="1:11" x14ac:dyDescent="0.35">
      <c r="A123" s="413" t="s">
        <v>1835</v>
      </c>
      <c r="B123" s="356">
        <v>0</v>
      </c>
      <c r="C123" s="427"/>
    </row>
    <row r="124" spans="1:11" x14ac:dyDescent="0.35">
      <c r="A124" s="413" t="s">
        <v>1836</v>
      </c>
      <c r="B124" s="356">
        <v>0</v>
      </c>
      <c r="C124" s="427"/>
    </row>
    <row r="125" spans="1:11" x14ac:dyDescent="0.35">
      <c r="A125" s="413" t="s">
        <v>1837</v>
      </c>
      <c r="B125" s="356">
        <v>0</v>
      </c>
      <c r="C125" s="427"/>
    </row>
    <row r="126" spans="1:11" x14ac:dyDescent="0.35">
      <c r="A126" s="413" t="s">
        <v>1838</v>
      </c>
      <c r="B126" s="356">
        <v>0</v>
      </c>
      <c r="C126" s="427"/>
    </row>
    <row r="127" spans="1:11" x14ac:dyDescent="0.35">
      <c r="A127" s="413" t="s">
        <v>1839</v>
      </c>
      <c r="B127" s="356">
        <v>0</v>
      </c>
      <c r="C127" s="427"/>
    </row>
    <row r="128" spans="1:11" x14ac:dyDescent="0.35">
      <c r="A128" s="413" t="s">
        <v>1840</v>
      </c>
      <c r="B128" s="356">
        <v>0.15</v>
      </c>
      <c r="C128" s="427"/>
    </row>
    <row r="129" spans="1:3" x14ac:dyDescent="0.35">
      <c r="A129" s="413" t="s">
        <v>1841</v>
      </c>
      <c r="B129" s="356">
        <v>0.9</v>
      </c>
      <c r="C129" s="427"/>
    </row>
    <row r="130" spans="1:3" x14ac:dyDescent="0.35">
      <c r="A130" s="413" t="s">
        <v>1842</v>
      </c>
      <c r="B130" s="356">
        <v>0</v>
      </c>
      <c r="C130" s="427"/>
    </row>
    <row r="131" spans="1:3" x14ac:dyDescent="0.35">
      <c r="A131" s="413" t="s">
        <v>1843</v>
      </c>
      <c r="B131" s="356">
        <v>0.32</v>
      </c>
      <c r="C131" s="427"/>
    </row>
    <row r="132" spans="1:3" x14ac:dyDescent="0.35">
      <c r="A132" s="413" t="s">
        <v>1844</v>
      </c>
      <c r="B132" s="356">
        <v>0.48</v>
      </c>
      <c r="C132" s="427"/>
    </row>
    <row r="133" spans="1:3" x14ac:dyDescent="0.35">
      <c r="A133" s="413" t="s">
        <v>1845</v>
      </c>
      <c r="B133" s="356">
        <v>0</v>
      </c>
      <c r="C133" s="427"/>
    </row>
    <row r="134" spans="1:3" x14ac:dyDescent="0.35">
      <c r="A134" s="413" t="s">
        <v>1846</v>
      </c>
      <c r="B134" s="356">
        <v>0</v>
      </c>
      <c r="C134" s="427"/>
    </row>
    <row r="135" spans="1:3" x14ac:dyDescent="0.35">
      <c r="A135" s="413" t="s">
        <v>1847</v>
      </c>
      <c r="B135" s="356">
        <v>0</v>
      </c>
      <c r="C135" s="427"/>
    </row>
    <row r="136" spans="1:3" x14ac:dyDescent="0.35">
      <c r="A136" s="413" t="s">
        <v>1848</v>
      </c>
      <c r="B136" s="356">
        <v>0</v>
      </c>
      <c r="C136" s="427"/>
    </row>
    <row r="137" spans="1:3" x14ac:dyDescent="0.35">
      <c r="A137" s="413" t="s">
        <v>1849</v>
      </c>
      <c r="B137" s="356">
        <v>5.0000000000000001E-3</v>
      </c>
      <c r="C137" s="427"/>
    </row>
    <row r="138" spans="1:3" x14ac:dyDescent="0.35">
      <c r="A138" s="413" t="s">
        <v>1850</v>
      </c>
      <c r="B138" s="356">
        <v>0</v>
      </c>
      <c r="C138" s="427"/>
    </row>
    <row r="139" spans="1:3" x14ac:dyDescent="0.35">
      <c r="A139" s="413" t="s">
        <v>1851</v>
      </c>
      <c r="B139" s="356">
        <v>0</v>
      </c>
      <c r="C139" s="427"/>
    </row>
    <row r="140" spans="1:3" x14ac:dyDescent="0.35">
      <c r="A140" s="413" t="s">
        <v>1852</v>
      </c>
      <c r="B140" s="356">
        <v>0</v>
      </c>
      <c r="C140" s="427"/>
    </row>
    <row r="141" spans="1:3" x14ac:dyDescent="0.35">
      <c r="A141" s="413" t="s">
        <v>1853</v>
      </c>
      <c r="B141" s="356">
        <v>0</v>
      </c>
      <c r="C141" s="427"/>
    </row>
    <row r="142" spans="1:3" x14ac:dyDescent="0.35">
      <c r="A142" s="413" t="s">
        <v>1854</v>
      </c>
      <c r="B142" s="356">
        <v>0</v>
      </c>
      <c r="C142" s="427"/>
    </row>
    <row r="143" spans="1:3" x14ac:dyDescent="0.35">
      <c r="A143" s="413" t="s">
        <v>1855</v>
      </c>
      <c r="B143" s="356">
        <v>0</v>
      </c>
      <c r="C143" s="427"/>
    </row>
    <row r="144" spans="1:3" x14ac:dyDescent="0.35">
      <c r="A144" s="413" t="s">
        <v>1856</v>
      </c>
      <c r="B144" s="356">
        <v>0</v>
      </c>
      <c r="C144" s="427"/>
    </row>
    <row r="145" spans="1:4" x14ac:dyDescent="0.35">
      <c r="A145" s="413" t="s">
        <v>1857</v>
      </c>
      <c r="B145" s="356">
        <v>5.0000000000000001E-3</v>
      </c>
      <c r="C145" s="427"/>
    </row>
    <row r="146" spans="1:4" x14ac:dyDescent="0.35">
      <c r="A146" s="413" t="s">
        <v>1858</v>
      </c>
      <c r="B146" s="356">
        <v>0</v>
      </c>
      <c r="C146" s="427"/>
    </row>
    <row r="147" spans="1:4" x14ac:dyDescent="0.35">
      <c r="A147" s="413" t="s">
        <v>1859</v>
      </c>
      <c r="B147" s="356">
        <v>0.71</v>
      </c>
      <c r="C147" s="427"/>
    </row>
    <row r="148" spans="1:4" x14ac:dyDescent="0.35">
      <c r="A148" s="413" t="s">
        <v>1860</v>
      </c>
      <c r="B148" s="356">
        <v>0</v>
      </c>
      <c r="C148" s="427"/>
    </row>
    <row r="149" spans="1:4" x14ac:dyDescent="0.35">
      <c r="A149" s="413" t="s">
        <v>1861</v>
      </c>
      <c r="B149" s="356">
        <v>0</v>
      </c>
      <c r="C149" s="427"/>
    </row>
    <row r="150" spans="1:4" x14ac:dyDescent="0.35">
      <c r="A150" s="413" t="s">
        <v>1862</v>
      </c>
      <c r="B150" s="356">
        <v>0.73499999999999999</v>
      </c>
      <c r="C150" s="427"/>
    </row>
    <row r="151" spans="1:4" x14ac:dyDescent="0.35">
      <c r="A151" s="413" t="s">
        <v>1863</v>
      </c>
      <c r="B151" s="356">
        <v>0</v>
      </c>
      <c r="C151" s="427"/>
      <c r="D151" s="114"/>
    </row>
    <row r="152" spans="1:4" x14ac:dyDescent="0.35">
      <c r="A152" s="413" t="s">
        <v>1864</v>
      </c>
      <c r="B152" s="356">
        <v>0.15</v>
      </c>
      <c r="C152" s="427"/>
      <c r="D152" s="114"/>
    </row>
    <row r="153" spans="1:4" x14ac:dyDescent="0.35">
      <c r="A153" s="413" t="s">
        <v>1865</v>
      </c>
      <c r="B153" s="356">
        <v>0.39</v>
      </c>
      <c r="C153" s="427"/>
    </row>
    <row r="154" spans="1:4" x14ac:dyDescent="0.35">
      <c r="A154" s="413" t="s">
        <v>1866</v>
      </c>
      <c r="B154" s="356">
        <v>0.53</v>
      </c>
      <c r="C154" s="427"/>
    </row>
    <row r="155" spans="1:4" x14ac:dyDescent="0.35">
      <c r="A155" s="413" t="s">
        <v>1867</v>
      </c>
      <c r="B155" s="356">
        <v>0</v>
      </c>
      <c r="C155" s="427"/>
    </row>
    <row r="156" spans="1:4" x14ac:dyDescent="0.35">
      <c r="A156" s="413" t="s">
        <v>1868</v>
      </c>
      <c r="B156" s="356">
        <v>0.3</v>
      </c>
      <c r="C156" s="427"/>
    </row>
    <row r="157" spans="1:4" x14ac:dyDescent="0.35">
      <c r="A157" s="413" t="s">
        <v>1869</v>
      </c>
      <c r="B157" s="356">
        <v>0</v>
      </c>
      <c r="C157" s="427"/>
    </row>
    <row r="158" spans="1:4" x14ac:dyDescent="0.35">
      <c r="A158" s="413" t="s">
        <v>1870</v>
      </c>
      <c r="B158" s="356">
        <v>0</v>
      </c>
      <c r="C158" s="427"/>
    </row>
    <row r="159" spans="1:4" x14ac:dyDescent="0.35">
      <c r="A159" s="413" t="s">
        <v>1871</v>
      </c>
      <c r="B159" s="356">
        <v>0.6</v>
      </c>
      <c r="C159" s="427"/>
    </row>
    <row r="160" spans="1:4" x14ac:dyDescent="0.35">
      <c r="A160" s="413" t="s">
        <v>1872</v>
      </c>
      <c r="B160" s="356">
        <v>0</v>
      </c>
      <c r="C160" s="427"/>
    </row>
    <row r="161" spans="1:3" x14ac:dyDescent="0.35">
      <c r="A161" s="413" t="s">
        <v>1873</v>
      </c>
      <c r="B161" s="356">
        <v>0</v>
      </c>
      <c r="C161" s="427"/>
    </row>
    <row r="162" spans="1:3" x14ac:dyDescent="0.35">
      <c r="A162" s="413" t="s">
        <v>1874</v>
      </c>
      <c r="B162" s="356">
        <v>0</v>
      </c>
      <c r="C162" s="427"/>
    </row>
    <row r="163" spans="1:3" x14ac:dyDescent="0.35">
      <c r="A163" s="413" t="s">
        <v>1875</v>
      </c>
      <c r="B163" s="356">
        <v>0</v>
      </c>
      <c r="C163" s="427"/>
    </row>
    <row r="164" spans="1:3" x14ac:dyDescent="0.35">
      <c r="A164" s="413" t="s">
        <v>1876</v>
      </c>
      <c r="B164" s="356">
        <v>0</v>
      </c>
      <c r="C164" s="427"/>
    </row>
    <row r="165" spans="1:3" x14ac:dyDescent="0.35">
      <c r="A165" s="413" t="s">
        <v>1877</v>
      </c>
      <c r="B165" s="356">
        <v>0</v>
      </c>
      <c r="C165" s="427"/>
    </row>
    <row r="166" spans="1:3" x14ac:dyDescent="0.35">
      <c r="A166" s="413" t="s">
        <v>1878</v>
      </c>
      <c r="B166" s="356">
        <v>0</v>
      </c>
      <c r="C166" s="427"/>
    </row>
    <row r="167" spans="1:3" x14ac:dyDescent="0.35">
      <c r="A167" s="413" t="s">
        <v>1879</v>
      </c>
      <c r="B167" s="356">
        <v>0</v>
      </c>
      <c r="C167" s="427"/>
    </row>
    <row r="168" spans="1:3" x14ac:dyDescent="0.35">
      <c r="A168" s="413" t="s">
        <v>1880</v>
      </c>
      <c r="B168" s="356">
        <v>0</v>
      </c>
      <c r="C168" s="427"/>
    </row>
    <row r="169" spans="1:3" x14ac:dyDescent="0.35">
      <c r="A169" s="413" t="s">
        <v>1881</v>
      </c>
      <c r="B169" s="356">
        <v>0</v>
      </c>
      <c r="C169" s="427"/>
    </row>
    <row r="170" spans="1:3" x14ac:dyDescent="0.35">
      <c r="A170" s="413" t="s">
        <v>1882</v>
      </c>
      <c r="B170" s="356">
        <v>0</v>
      </c>
      <c r="C170" s="427"/>
    </row>
    <row r="171" spans="1:3" x14ac:dyDescent="0.35">
      <c r="A171" s="413" t="s">
        <v>1883</v>
      </c>
      <c r="B171" s="356">
        <v>0</v>
      </c>
      <c r="C171" s="427"/>
    </row>
    <row r="172" spans="1:3" x14ac:dyDescent="0.35">
      <c r="A172" s="413" t="s">
        <v>1884</v>
      </c>
      <c r="B172" s="356">
        <v>0.63500000000000001</v>
      </c>
      <c r="C172" s="427"/>
    </row>
    <row r="173" spans="1:3" x14ac:dyDescent="0.35">
      <c r="A173" s="413" t="s">
        <v>1885</v>
      </c>
      <c r="B173" s="356">
        <v>0</v>
      </c>
      <c r="C173" s="427"/>
    </row>
    <row r="174" spans="1:3" x14ac:dyDescent="0.35">
      <c r="A174" s="413" t="s">
        <v>1886</v>
      </c>
      <c r="B174" s="356">
        <v>0</v>
      </c>
      <c r="C174" s="427"/>
    </row>
    <row r="175" spans="1:3" x14ac:dyDescent="0.35">
      <c r="A175" s="413" t="s">
        <v>1887</v>
      </c>
      <c r="B175" s="356">
        <v>0</v>
      </c>
      <c r="C175" s="427"/>
    </row>
    <row r="176" spans="1:3" x14ac:dyDescent="0.35">
      <c r="A176" s="413" t="s">
        <v>1888</v>
      </c>
      <c r="B176" s="356">
        <v>0</v>
      </c>
      <c r="C176" s="427"/>
    </row>
    <row r="177" spans="1:3" x14ac:dyDescent="0.35">
      <c r="A177" s="413" t="s">
        <v>1889</v>
      </c>
      <c r="B177" s="356">
        <v>0</v>
      </c>
      <c r="C177" s="427"/>
    </row>
    <row r="178" spans="1:3" x14ac:dyDescent="0.35">
      <c r="A178" s="413" t="s">
        <v>1890</v>
      </c>
      <c r="B178" s="356">
        <v>0</v>
      </c>
      <c r="C178" s="427"/>
    </row>
    <row r="179" spans="1:3" x14ac:dyDescent="0.35">
      <c r="A179" s="413" t="s">
        <v>1891</v>
      </c>
      <c r="B179" s="356">
        <v>0.75</v>
      </c>
      <c r="C179" s="427"/>
    </row>
    <row r="180" spans="1:3" x14ac:dyDescent="0.35">
      <c r="A180" s="413" t="s">
        <v>1892</v>
      </c>
      <c r="B180" s="356">
        <v>5.0000000000000001E-3</v>
      </c>
      <c r="C180" s="427"/>
    </row>
    <row r="181" spans="1:3" x14ac:dyDescent="0.35">
      <c r="A181" s="413" t="s">
        <v>1893</v>
      </c>
      <c r="B181" s="356">
        <v>0</v>
      </c>
      <c r="C181" s="427"/>
    </row>
    <row r="182" spans="1:3" x14ac:dyDescent="0.35">
      <c r="A182" s="413" t="s">
        <v>1894</v>
      </c>
      <c r="B182" s="356">
        <v>0.91</v>
      </c>
      <c r="C182" s="427"/>
    </row>
    <row r="183" spans="1:3" x14ac:dyDescent="0.35">
      <c r="A183" s="413" t="s">
        <v>1895</v>
      </c>
      <c r="B183" s="356">
        <v>0</v>
      </c>
      <c r="C183" s="427"/>
    </row>
    <row r="184" spans="1:3" x14ac:dyDescent="0.35">
      <c r="A184" s="413" t="s">
        <v>1896</v>
      </c>
      <c r="B184" s="356">
        <v>0</v>
      </c>
      <c r="C184" s="427"/>
    </row>
    <row r="185" spans="1:3" x14ac:dyDescent="0.35">
      <c r="A185" s="413" t="s">
        <v>1897</v>
      </c>
      <c r="B185" s="356">
        <v>0</v>
      </c>
      <c r="C185" s="427"/>
    </row>
    <row r="186" spans="1:3" x14ac:dyDescent="0.35">
      <c r="A186" s="413" t="s">
        <v>1898</v>
      </c>
      <c r="B186" s="356">
        <v>0</v>
      </c>
      <c r="C186" s="427"/>
    </row>
    <row r="187" spans="1:3" x14ac:dyDescent="0.35">
      <c r="A187" s="413" t="s">
        <v>1899</v>
      </c>
      <c r="B187" s="356">
        <v>0</v>
      </c>
      <c r="C187" s="427"/>
    </row>
    <row r="188" spans="1:3" x14ac:dyDescent="0.35">
      <c r="A188" s="413" t="s">
        <v>1900</v>
      </c>
      <c r="B188" s="356">
        <v>0.39500000000000002</v>
      </c>
      <c r="C188" s="427"/>
    </row>
    <row r="189" spans="1:3" x14ac:dyDescent="0.35">
      <c r="A189" s="413" t="s">
        <v>1901</v>
      </c>
      <c r="B189" s="356">
        <v>0</v>
      </c>
      <c r="C189" s="427"/>
    </row>
    <row r="190" spans="1:3" x14ac:dyDescent="0.35">
      <c r="A190" s="413" t="s">
        <v>1902</v>
      </c>
      <c r="B190" s="356">
        <v>0</v>
      </c>
      <c r="C190" s="427"/>
    </row>
    <row r="191" spans="1:3" x14ac:dyDescent="0.35">
      <c r="A191" s="413" t="s">
        <v>1903</v>
      </c>
      <c r="B191" s="356">
        <v>0</v>
      </c>
      <c r="C191" s="427"/>
    </row>
    <row r="192" spans="1:3" x14ac:dyDescent="0.35">
      <c r="A192" s="413" t="s">
        <v>1904</v>
      </c>
      <c r="B192" s="356">
        <v>0</v>
      </c>
      <c r="C192" s="427"/>
    </row>
    <row r="193" spans="1:3" x14ac:dyDescent="0.35">
      <c r="A193" s="413" t="s">
        <v>1905</v>
      </c>
      <c r="B193" s="356">
        <v>0</v>
      </c>
      <c r="C193" s="427"/>
    </row>
    <row r="194" spans="1:3" x14ac:dyDescent="0.35">
      <c r="A194" s="413" t="s">
        <v>1906</v>
      </c>
      <c r="B194" s="356">
        <v>0</v>
      </c>
      <c r="C194" s="427"/>
    </row>
    <row r="195" spans="1:3" x14ac:dyDescent="0.35">
      <c r="A195" s="413" t="s">
        <v>1907</v>
      </c>
      <c r="B195" s="356">
        <v>0</v>
      </c>
      <c r="C195" s="427"/>
    </row>
    <row r="196" spans="1:3" x14ac:dyDescent="0.35">
      <c r="A196" s="413" t="s">
        <v>1908</v>
      </c>
      <c r="B196" s="356">
        <v>0</v>
      </c>
      <c r="C196" s="427"/>
    </row>
    <row r="197" spans="1:3" x14ac:dyDescent="0.35">
      <c r="A197" s="413" t="s">
        <v>1909</v>
      </c>
      <c r="B197" s="356">
        <v>0</v>
      </c>
      <c r="C197" s="427"/>
    </row>
    <row r="198" spans="1:3" x14ac:dyDescent="0.35">
      <c r="A198" s="413" t="s">
        <v>1910</v>
      </c>
      <c r="B198" s="356">
        <v>0</v>
      </c>
      <c r="C198" s="427"/>
    </row>
    <row r="199" spans="1:3" x14ac:dyDescent="0.35">
      <c r="A199" s="413" t="s">
        <v>1911</v>
      </c>
      <c r="B199" s="356">
        <v>0</v>
      </c>
      <c r="C199" s="427"/>
    </row>
    <row r="200" spans="1:3" x14ac:dyDescent="0.35">
      <c r="A200" s="413" t="s">
        <v>1912</v>
      </c>
      <c r="B200" s="356">
        <v>0.71</v>
      </c>
      <c r="C200" s="427"/>
    </row>
    <row r="201" spans="1:3" x14ac:dyDescent="0.35">
      <c r="A201" s="413" t="s">
        <v>1913</v>
      </c>
      <c r="B201" s="356">
        <v>0</v>
      </c>
      <c r="C201" s="427"/>
    </row>
    <row r="202" spans="1:3" x14ac:dyDescent="0.35">
      <c r="A202" s="413" t="s">
        <v>1914</v>
      </c>
      <c r="B202" s="356">
        <v>0</v>
      </c>
      <c r="C202" s="427"/>
    </row>
    <row r="203" spans="1:3" x14ac:dyDescent="0.35">
      <c r="A203" s="413" t="s">
        <v>1915</v>
      </c>
      <c r="B203" s="356">
        <v>0</v>
      </c>
      <c r="C203" s="427"/>
    </row>
    <row r="204" spans="1:3" x14ac:dyDescent="0.35">
      <c r="A204" s="413" t="s">
        <v>1916</v>
      </c>
      <c r="B204" s="356">
        <v>0</v>
      </c>
      <c r="C204" s="427"/>
    </row>
    <row r="205" spans="1:3" x14ac:dyDescent="0.35">
      <c r="A205" s="413" t="s">
        <v>1917</v>
      </c>
      <c r="B205" s="356">
        <v>0</v>
      </c>
      <c r="C205" s="427"/>
    </row>
    <row r="206" spans="1:3" x14ac:dyDescent="0.35">
      <c r="A206" s="413" t="s">
        <v>1918</v>
      </c>
      <c r="B206" s="356">
        <v>0</v>
      </c>
      <c r="C206" s="427"/>
    </row>
    <row r="207" spans="1:3" x14ac:dyDescent="0.35">
      <c r="A207" s="413" t="s">
        <v>1919</v>
      </c>
      <c r="B207" s="356">
        <v>0</v>
      </c>
      <c r="C207" s="427"/>
    </row>
    <row r="209" spans="1:3" x14ac:dyDescent="0.35">
      <c r="A209" s="419" t="s">
        <v>1920</v>
      </c>
    </row>
    <row r="210" spans="1:3" x14ac:dyDescent="0.35">
      <c r="A210" s="304" t="s">
        <v>1921</v>
      </c>
      <c r="B210" s="304" t="s">
        <v>1922</v>
      </c>
      <c r="C210" t="s">
        <v>1923</v>
      </c>
    </row>
    <row r="211" spans="1:3" x14ac:dyDescent="0.35">
      <c r="A211" s="301" t="s">
        <v>322</v>
      </c>
      <c r="B211" s="301" t="s">
        <v>322</v>
      </c>
      <c r="C211" t="s">
        <v>1924</v>
      </c>
    </row>
    <row r="212" spans="1:3" x14ac:dyDescent="0.35">
      <c r="A212" s="333">
        <v>2015</v>
      </c>
      <c r="B212" s="333">
        <v>2045</v>
      </c>
      <c r="C212" t="s">
        <v>1925</v>
      </c>
    </row>
    <row r="213" spans="1:3" x14ac:dyDescent="0.35">
      <c r="A213" s="420"/>
      <c r="B213" s="420" t="s">
        <v>1926</v>
      </c>
    </row>
    <row r="214" spans="1:3" x14ac:dyDescent="0.35">
      <c r="A214" s="309" t="s">
        <v>168</v>
      </c>
      <c r="B214" s="48" t="s">
        <v>128</v>
      </c>
    </row>
    <row r="215" spans="1:3" x14ac:dyDescent="0.35">
      <c r="A215" s="421">
        <v>0</v>
      </c>
      <c r="B215" s="422" t="s">
        <v>250</v>
      </c>
    </row>
    <row r="216" spans="1:3" x14ac:dyDescent="0.35">
      <c r="A216" s="421">
        <v>1</v>
      </c>
      <c r="B216" s="422" t="s">
        <v>1927</v>
      </c>
      <c r="C216" s="428">
        <v>5.0000000000000001E-3</v>
      </c>
    </row>
    <row r="217" spans="1:3" x14ac:dyDescent="0.35">
      <c r="A217" s="421">
        <v>2</v>
      </c>
      <c r="B217" s="422" t="s">
        <v>1928</v>
      </c>
      <c r="C217" s="356">
        <v>0.02</v>
      </c>
    </row>
    <row r="218" spans="1:3" x14ac:dyDescent="0.35">
      <c r="A218" s="421">
        <v>3</v>
      </c>
      <c r="B218" s="424" t="s">
        <v>1929</v>
      </c>
    </row>
    <row r="219" spans="1:3" ht="15" thickBot="1" x14ac:dyDescent="0.4">
      <c r="A219" s="352" t="s">
        <v>170</v>
      </c>
      <c r="B219" s="425">
        <v>0</v>
      </c>
    </row>
    <row r="220" spans="1:3" x14ac:dyDescent="0.35">
      <c r="A220" s="121"/>
    </row>
    <row r="222" spans="1:3" x14ac:dyDescent="0.35">
      <c r="A222" s="429" t="s">
        <v>1930</v>
      </c>
      <c r="B222" s="420" t="s">
        <v>1931</v>
      </c>
    </row>
    <row r="223" spans="1:3" x14ac:dyDescent="0.35">
      <c r="A223" s="426" t="s">
        <v>380</v>
      </c>
      <c r="B223" s="310" t="s">
        <v>1932</v>
      </c>
      <c r="C223" s="3" t="s">
        <v>1933</v>
      </c>
    </row>
    <row r="224" spans="1:3" x14ac:dyDescent="0.35">
      <c r="A224" s="413" t="s">
        <v>1934</v>
      </c>
      <c r="B224" s="360">
        <v>218</v>
      </c>
      <c r="C224" s="430"/>
    </row>
    <row r="225" spans="1:11" x14ac:dyDescent="0.35">
      <c r="A225" s="413" t="s">
        <v>1935</v>
      </c>
      <c r="B225" s="360">
        <v>0</v>
      </c>
      <c r="C225" s="430"/>
    </row>
    <row r="226" spans="1:11" x14ac:dyDescent="0.35">
      <c r="A226" s="413" t="s">
        <v>1936</v>
      </c>
      <c r="B226" s="360">
        <v>0</v>
      </c>
      <c r="C226" s="430"/>
      <c r="F226" s="114"/>
      <c r="G226" s="114"/>
      <c r="H226" s="114"/>
      <c r="I226" s="114"/>
      <c r="J226" s="114"/>
      <c r="K226" s="114"/>
    </row>
    <row r="227" spans="1:11" x14ac:dyDescent="0.35">
      <c r="A227" s="413" t="s">
        <v>1937</v>
      </c>
      <c r="B227" s="360">
        <v>0</v>
      </c>
      <c r="C227" s="430"/>
    </row>
    <row r="228" spans="1:11" x14ac:dyDescent="0.35">
      <c r="A228" s="413" t="s">
        <v>1938</v>
      </c>
      <c r="B228" s="360">
        <v>0</v>
      </c>
      <c r="C228" s="430"/>
    </row>
    <row r="229" spans="1:11" x14ac:dyDescent="0.35">
      <c r="A229" s="413" t="s">
        <v>1939</v>
      </c>
      <c r="B229" s="360">
        <v>0</v>
      </c>
      <c r="C229" s="430"/>
    </row>
    <row r="230" spans="1:11" x14ac:dyDescent="0.35">
      <c r="A230" s="413" t="s">
        <v>1940</v>
      </c>
      <c r="B230" s="360">
        <v>0</v>
      </c>
      <c r="C230" s="430"/>
    </row>
    <row r="231" spans="1:11" x14ac:dyDescent="0.35">
      <c r="A231" s="413" t="s">
        <v>1941</v>
      </c>
      <c r="B231" s="360">
        <v>0</v>
      </c>
      <c r="C231" s="430"/>
    </row>
    <row r="232" spans="1:11" x14ac:dyDescent="0.35">
      <c r="A232" s="413" t="s">
        <v>1942</v>
      </c>
      <c r="B232" s="360">
        <v>0</v>
      </c>
      <c r="C232" s="430"/>
    </row>
    <row r="233" spans="1:11" x14ac:dyDescent="0.35">
      <c r="A233" s="413" t="s">
        <v>1943</v>
      </c>
      <c r="B233" s="360">
        <v>264</v>
      </c>
      <c r="C233" s="430"/>
    </row>
    <row r="234" spans="1:11" x14ac:dyDescent="0.35">
      <c r="A234" s="413" t="s">
        <v>1944</v>
      </c>
      <c r="B234" s="360">
        <v>83</v>
      </c>
      <c r="C234" s="430"/>
    </row>
    <row r="235" spans="1:11" x14ac:dyDescent="0.35">
      <c r="A235" s="413" t="s">
        <v>1945</v>
      </c>
      <c r="B235" s="360">
        <v>0</v>
      </c>
      <c r="C235" s="430"/>
    </row>
    <row r="236" spans="1:11" x14ac:dyDescent="0.35">
      <c r="A236" s="413" t="s">
        <v>1946</v>
      </c>
      <c r="B236" s="360">
        <v>285</v>
      </c>
      <c r="C236" s="430"/>
    </row>
    <row r="237" spans="1:11" x14ac:dyDescent="0.35">
      <c r="A237" s="413" t="s">
        <v>1947</v>
      </c>
      <c r="B237" s="360">
        <v>57</v>
      </c>
      <c r="C237" s="430"/>
    </row>
    <row r="238" spans="1:11" x14ac:dyDescent="0.35">
      <c r="A238" s="413" t="s">
        <v>1948</v>
      </c>
      <c r="B238" s="360">
        <v>0</v>
      </c>
      <c r="C238" s="430"/>
    </row>
    <row r="239" spans="1:11" x14ac:dyDescent="0.35">
      <c r="A239" s="413" t="s">
        <v>1949</v>
      </c>
      <c r="B239" s="360">
        <v>384.2</v>
      </c>
      <c r="C239" s="430"/>
    </row>
    <row r="240" spans="1:11" x14ac:dyDescent="0.35">
      <c r="A240" s="413" t="s">
        <v>1950</v>
      </c>
      <c r="B240" s="360">
        <v>0</v>
      </c>
      <c r="C240" s="430"/>
    </row>
    <row r="241" spans="1:4" x14ac:dyDescent="0.35">
      <c r="A241" s="413" t="s">
        <v>1951</v>
      </c>
      <c r="B241" s="360">
        <v>0</v>
      </c>
      <c r="C241" s="430"/>
    </row>
    <row r="242" spans="1:4" x14ac:dyDescent="0.35">
      <c r="A242" s="413" t="s">
        <v>1952</v>
      </c>
      <c r="B242" s="360">
        <v>0</v>
      </c>
      <c r="C242" s="430"/>
    </row>
    <row r="243" spans="1:4" x14ac:dyDescent="0.35">
      <c r="A243" s="413" t="s">
        <v>21</v>
      </c>
      <c r="B243" s="360">
        <v>23.5</v>
      </c>
      <c r="C243" s="430"/>
    </row>
    <row r="244" spans="1:4" x14ac:dyDescent="0.35">
      <c r="A244" s="413" t="s">
        <v>1953</v>
      </c>
      <c r="B244" s="360">
        <v>0</v>
      </c>
      <c r="C244" s="430"/>
    </row>
    <row r="245" spans="1:4" x14ac:dyDescent="0.35">
      <c r="A245" s="413" t="s">
        <v>1954</v>
      </c>
      <c r="B245" s="360">
        <v>0</v>
      </c>
      <c r="C245" s="430"/>
    </row>
    <row r="246" spans="1:4" x14ac:dyDescent="0.35">
      <c r="A246" s="413" t="s">
        <v>1955</v>
      </c>
      <c r="B246" s="360">
        <v>68</v>
      </c>
      <c r="C246" s="430"/>
    </row>
    <row r="247" spans="1:4" x14ac:dyDescent="0.35">
      <c r="A247" s="413" t="s">
        <v>1956</v>
      </c>
      <c r="B247" s="360">
        <v>8.3000000000000004E-2</v>
      </c>
      <c r="C247" s="430"/>
    </row>
    <row r="248" spans="1:4" x14ac:dyDescent="0.35">
      <c r="A248" s="413" t="s">
        <v>1957</v>
      </c>
      <c r="B248" s="360">
        <v>0</v>
      </c>
      <c r="C248" s="430"/>
    </row>
    <row r="249" spans="1:4" x14ac:dyDescent="0.35">
      <c r="A249" s="413" t="s">
        <v>1958</v>
      </c>
      <c r="B249" s="360">
        <v>0</v>
      </c>
      <c r="C249" s="430"/>
    </row>
    <row r="250" spans="1:4" x14ac:dyDescent="0.35">
      <c r="A250" s="413" t="s">
        <v>1959</v>
      </c>
      <c r="B250" s="360">
        <v>3320</v>
      </c>
      <c r="C250" s="430"/>
    </row>
    <row r="251" spans="1:4" x14ac:dyDescent="0.35">
      <c r="A251" s="413" t="s">
        <v>1960</v>
      </c>
      <c r="B251" s="360">
        <v>2100</v>
      </c>
      <c r="C251" s="430"/>
    </row>
    <row r="252" spans="1:4" x14ac:dyDescent="0.35">
      <c r="A252" s="413" t="s">
        <v>1961</v>
      </c>
      <c r="B252" s="360">
        <v>25</v>
      </c>
      <c r="C252" s="430"/>
    </row>
    <row r="253" spans="1:4" x14ac:dyDescent="0.35">
      <c r="A253" s="413" t="s">
        <v>1962</v>
      </c>
      <c r="B253" s="360">
        <v>21.5</v>
      </c>
      <c r="C253" s="430"/>
    </row>
    <row r="254" spans="1:4" x14ac:dyDescent="0.35">
      <c r="A254" s="413" t="s">
        <v>1963</v>
      </c>
      <c r="B254" s="360">
        <v>0</v>
      </c>
      <c r="C254" s="430"/>
    </row>
    <row r="255" spans="1:4" x14ac:dyDescent="0.35">
      <c r="A255" s="413" t="s">
        <v>1964</v>
      </c>
      <c r="B255" s="360">
        <v>49</v>
      </c>
      <c r="C255" s="430"/>
    </row>
    <row r="256" spans="1:4" x14ac:dyDescent="0.35">
      <c r="A256" s="413" t="s">
        <v>23</v>
      </c>
      <c r="B256" s="360">
        <v>0.85</v>
      </c>
      <c r="C256" s="431"/>
      <c r="D256" s="114"/>
    </row>
    <row r="257" spans="1:4" x14ac:dyDescent="0.35">
      <c r="A257" s="413" t="s">
        <v>1965</v>
      </c>
      <c r="B257" s="360">
        <v>853</v>
      </c>
      <c r="C257" s="431"/>
      <c r="D257" s="114"/>
    </row>
    <row r="258" spans="1:4" x14ac:dyDescent="0.35">
      <c r="A258" s="413" t="s">
        <v>1966</v>
      </c>
      <c r="B258" s="360">
        <v>220</v>
      </c>
      <c r="C258" s="430"/>
    </row>
    <row r="259" spans="1:4" x14ac:dyDescent="0.35">
      <c r="A259" s="413" t="s">
        <v>1967</v>
      </c>
      <c r="B259" s="360">
        <v>57.6</v>
      </c>
      <c r="C259" s="430"/>
    </row>
    <row r="260" spans="1:4" x14ac:dyDescent="0.35">
      <c r="A260" s="413" t="s">
        <v>1968</v>
      </c>
      <c r="B260" s="360">
        <v>0</v>
      </c>
      <c r="C260" s="430"/>
    </row>
    <row r="261" spans="1:4" x14ac:dyDescent="0.35">
      <c r="A261" s="413" t="s">
        <v>1969</v>
      </c>
      <c r="B261" s="360">
        <v>378</v>
      </c>
      <c r="C261" s="430"/>
    </row>
    <row r="262" spans="1:4" x14ac:dyDescent="0.35">
      <c r="A262" s="413" t="s">
        <v>1970</v>
      </c>
      <c r="B262" s="360">
        <v>21.5</v>
      </c>
      <c r="C262" s="430"/>
    </row>
    <row r="263" spans="1:4" x14ac:dyDescent="0.35">
      <c r="A263" s="413" t="s">
        <v>1971</v>
      </c>
      <c r="B263" s="360">
        <v>384.2</v>
      </c>
      <c r="C263" s="430"/>
    </row>
    <row r="264" spans="1:4" x14ac:dyDescent="0.35">
      <c r="A264" s="413" t="s">
        <v>1972</v>
      </c>
      <c r="B264" s="360">
        <v>164</v>
      </c>
      <c r="C264" s="430"/>
    </row>
    <row r="265" spans="1:4" x14ac:dyDescent="0.35">
      <c r="A265" s="413" t="s">
        <v>1973</v>
      </c>
      <c r="B265" s="360">
        <v>0</v>
      </c>
      <c r="C265" s="430"/>
    </row>
    <row r="266" spans="1:4" x14ac:dyDescent="0.35">
      <c r="A266" s="413" t="s">
        <v>1974</v>
      </c>
      <c r="B266" s="360">
        <v>0</v>
      </c>
      <c r="C266" s="430"/>
    </row>
    <row r="267" spans="1:4" x14ac:dyDescent="0.35">
      <c r="A267" s="413" t="s">
        <v>1975</v>
      </c>
      <c r="B267" s="360">
        <v>0</v>
      </c>
      <c r="C267" s="430"/>
    </row>
    <row r="268" spans="1:4" x14ac:dyDescent="0.35">
      <c r="A268" s="413" t="s">
        <v>1976</v>
      </c>
      <c r="B268" s="360">
        <v>0</v>
      </c>
      <c r="C268" s="430"/>
    </row>
    <row r="269" spans="1:4" x14ac:dyDescent="0.35">
      <c r="A269" s="413" t="s">
        <v>1977</v>
      </c>
      <c r="B269" s="360">
        <v>270500</v>
      </c>
      <c r="C269" s="430"/>
    </row>
    <row r="270" spans="1:4" x14ac:dyDescent="0.35">
      <c r="A270" s="413" t="s">
        <v>1978</v>
      </c>
      <c r="B270" s="360">
        <v>0</v>
      </c>
      <c r="C270" s="430"/>
    </row>
    <row r="271" spans="1:4" x14ac:dyDescent="0.35">
      <c r="A271" s="413" t="s">
        <v>1979</v>
      </c>
      <c r="B271" s="360">
        <v>0</v>
      </c>
      <c r="C271" s="430"/>
    </row>
    <row r="272" spans="1:4" x14ac:dyDescent="0.35">
      <c r="A272" s="413" t="s">
        <v>1980</v>
      </c>
      <c r="B272" s="360">
        <v>0</v>
      </c>
      <c r="C272" s="430"/>
    </row>
    <row r="273" spans="1:3" x14ac:dyDescent="0.35">
      <c r="A273" s="413" t="s">
        <v>1981</v>
      </c>
      <c r="B273" s="360">
        <v>0</v>
      </c>
      <c r="C273" s="430"/>
    </row>
    <row r="274" spans="1:3" x14ac:dyDescent="0.35">
      <c r="A274" s="413" t="s">
        <v>1982</v>
      </c>
      <c r="B274" s="360">
        <v>0</v>
      </c>
      <c r="C274" s="430"/>
    </row>
    <row r="275" spans="1:3" x14ac:dyDescent="0.35">
      <c r="A275" s="413" t="s">
        <v>24</v>
      </c>
      <c r="B275" s="360">
        <v>1</v>
      </c>
      <c r="C275" s="430"/>
    </row>
    <row r="276" spans="1:3" x14ac:dyDescent="0.35">
      <c r="A276" s="413" t="s">
        <v>1983</v>
      </c>
      <c r="B276" s="360">
        <v>0</v>
      </c>
      <c r="C276" s="430"/>
    </row>
    <row r="277" spans="1:3" x14ac:dyDescent="0.35">
      <c r="A277" s="413" t="s">
        <v>25</v>
      </c>
      <c r="B277" s="360">
        <v>8.1000000000000003E-2</v>
      </c>
      <c r="C277" s="430"/>
    </row>
    <row r="278" spans="1:3" x14ac:dyDescent="0.35">
      <c r="A278" s="413" t="s">
        <v>1984</v>
      </c>
      <c r="B278" s="360">
        <v>22.8</v>
      </c>
      <c r="C278" s="430"/>
    </row>
    <row r="279" spans="1:3" x14ac:dyDescent="0.35">
      <c r="A279" s="413" t="s">
        <v>1985</v>
      </c>
      <c r="B279" s="360">
        <v>1580</v>
      </c>
      <c r="C279" s="430"/>
    </row>
    <row r="280" spans="1:3" x14ac:dyDescent="0.35">
      <c r="A280" s="413" t="s">
        <v>1986</v>
      </c>
      <c r="B280" s="360">
        <v>0</v>
      </c>
      <c r="C280" s="430"/>
    </row>
    <row r="281" spans="1:3" x14ac:dyDescent="0.35">
      <c r="A281" s="413" t="s">
        <v>1987</v>
      </c>
      <c r="B281" s="360">
        <v>0</v>
      </c>
      <c r="C281" s="430"/>
    </row>
    <row r="282" spans="1:3" x14ac:dyDescent="0.35">
      <c r="A282" s="413" t="s">
        <v>1988</v>
      </c>
      <c r="B282" s="360">
        <v>0</v>
      </c>
      <c r="C282" s="430"/>
    </row>
    <row r="283" spans="1:3" x14ac:dyDescent="0.35">
      <c r="A283" s="413" t="s">
        <v>1989</v>
      </c>
      <c r="B283" s="360">
        <v>0</v>
      </c>
      <c r="C283" s="430"/>
    </row>
    <row r="284" spans="1:3" x14ac:dyDescent="0.35">
      <c r="A284" s="413" t="s">
        <v>1990</v>
      </c>
      <c r="B284" s="360">
        <v>0</v>
      </c>
      <c r="C284" s="430"/>
    </row>
    <row r="285" spans="1:3" x14ac:dyDescent="0.35">
      <c r="A285" s="413" t="s">
        <v>1991</v>
      </c>
      <c r="B285" s="360">
        <v>0</v>
      </c>
      <c r="C285" s="430"/>
    </row>
    <row r="286" spans="1:3" x14ac:dyDescent="0.35">
      <c r="A286" s="413" t="s">
        <v>1992</v>
      </c>
      <c r="B286" s="360">
        <v>250</v>
      </c>
      <c r="C286" s="430"/>
    </row>
    <row r="287" spans="1:3" x14ac:dyDescent="0.35">
      <c r="A287" s="413" t="s">
        <v>1993</v>
      </c>
      <c r="B287" s="360">
        <v>57</v>
      </c>
      <c r="C287" s="430"/>
    </row>
    <row r="288" spans="1:3" x14ac:dyDescent="0.35">
      <c r="A288" s="413" t="s">
        <v>1994</v>
      </c>
      <c r="B288" s="360">
        <v>400</v>
      </c>
      <c r="C288" s="430"/>
    </row>
    <row r="289" spans="1:3" x14ac:dyDescent="0.35">
      <c r="A289" s="413" t="s">
        <v>1995</v>
      </c>
      <c r="B289" s="360">
        <v>60</v>
      </c>
      <c r="C289" s="430"/>
    </row>
    <row r="290" spans="1:3" x14ac:dyDescent="0.35">
      <c r="A290" s="413" t="s">
        <v>1996</v>
      </c>
      <c r="B290" s="360">
        <v>0</v>
      </c>
      <c r="C290" s="430"/>
    </row>
    <row r="291" spans="1:3" x14ac:dyDescent="0.35">
      <c r="A291" s="413" t="s">
        <v>1997</v>
      </c>
      <c r="B291" s="360">
        <v>0</v>
      </c>
      <c r="C291" s="430"/>
    </row>
    <row r="292" spans="1:3" x14ac:dyDescent="0.35">
      <c r="A292" s="413" t="s">
        <v>1998</v>
      </c>
      <c r="B292" s="360">
        <v>3710</v>
      </c>
      <c r="C292" s="430"/>
    </row>
    <row r="293" spans="1:3" x14ac:dyDescent="0.35">
      <c r="A293" s="413" t="s">
        <v>1999</v>
      </c>
      <c r="B293" s="360">
        <v>0</v>
      </c>
      <c r="C293" s="430"/>
    </row>
    <row r="294" spans="1:3" x14ac:dyDescent="0.35">
      <c r="A294" s="413" t="s">
        <v>2000</v>
      </c>
      <c r="B294" s="360">
        <v>0</v>
      </c>
      <c r="C294" s="430"/>
    </row>
    <row r="295" spans="1:3" x14ac:dyDescent="0.35">
      <c r="A295" s="413" t="s">
        <v>2001</v>
      </c>
      <c r="B295" s="360">
        <v>72</v>
      </c>
      <c r="C295" s="430"/>
    </row>
    <row r="296" spans="1:3" x14ac:dyDescent="0.35">
      <c r="A296" s="413" t="s">
        <v>2002</v>
      </c>
      <c r="B296" s="360">
        <v>0</v>
      </c>
      <c r="C296" s="430"/>
    </row>
    <row r="297" spans="1:3" x14ac:dyDescent="0.35">
      <c r="A297" s="413" t="s">
        <v>2003</v>
      </c>
      <c r="B297" s="360">
        <v>0</v>
      </c>
      <c r="C297" s="430"/>
    </row>
    <row r="298" spans="1:3" x14ac:dyDescent="0.35">
      <c r="A298" s="413" t="s">
        <v>2004</v>
      </c>
      <c r="B298" s="360">
        <v>0</v>
      </c>
      <c r="C298" s="430"/>
    </row>
    <row r="299" spans="1:3" x14ac:dyDescent="0.35">
      <c r="A299" s="413" t="s">
        <v>15</v>
      </c>
      <c r="B299" s="360">
        <v>0</v>
      </c>
      <c r="C299" s="430"/>
    </row>
    <row r="300" spans="1:3" x14ac:dyDescent="0.35">
      <c r="A300" s="413" t="s">
        <v>2005</v>
      </c>
      <c r="B300" s="360">
        <v>0</v>
      </c>
      <c r="C300" s="430"/>
    </row>
    <row r="301" spans="1:3" x14ac:dyDescent="0.35">
      <c r="A301" s="413" t="s">
        <v>2006</v>
      </c>
      <c r="B301" s="360">
        <v>0</v>
      </c>
      <c r="C301" s="430"/>
    </row>
    <row r="302" spans="1:3" x14ac:dyDescent="0.35">
      <c r="A302" s="413" t="s">
        <v>2007</v>
      </c>
      <c r="B302" s="360">
        <v>0</v>
      </c>
      <c r="C302" s="430"/>
    </row>
    <row r="303" spans="1:3" x14ac:dyDescent="0.35">
      <c r="A303" s="413" t="s">
        <v>2008</v>
      </c>
      <c r="B303" s="360">
        <v>0</v>
      </c>
      <c r="C303" s="430"/>
    </row>
    <row r="304" spans="1:3" x14ac:dyDescent="0.35">
      <c r="A304" s="413" t="s">
        <v>2009</v>
      </c>
      <c r="B304" s="360">
        <v>0</v>
      </c>
      <c r="C304" s="430"/>
    </row>
    <row r="305" spans="1:3" x14ac:dyDescent="0.35">
      <c r="A305" s="413" t="s">
        <v>2010</v>
      </c>
      <c r="B305" s="360">
        <v>0</v>
      </c>
      <c r="C305" s="430"/>
    </row>
  </sheetData>
  <mergeCells count="2">
    <mergeCell ref="A1:C1"/>
    <mergeCell ref="A91:C91"/>
  </mergeCells>
  <conditionalFormatting sqref="A222">
    <cfRule type="colorScale" priority="4">
      <colorScale>
        <cfvo type="min"/>
        <cfvo type="percentile" val="50"/>
        <cfvo type="max"/>
        <color rgb="FFFF0000"/>
        <color rgb="FFFF0000"/>
        <color rgb="FFFF0000"/>
      </colorScale>
    </cfRule>
  </conditionalFormatting>
  <conditionalFormatting sqref="B118">
    <cfRule type="colorScale" priority="5">
      <colorScale>
        <cfvo type="min"/>
        <cfvo type="percentile" val="50"/>
        <cfvo type="max"/>
        <color rgb="FFFF0000"/>
        <color rgb="FFFF0000"/>
        <color rgb="FFFF0000"/>
      </colorScale>
    </cfRule>
  </conditionalFormatting>
  <conditionalFormatting sqref="B119:B207">
    <cfRule type="colorScale" priority="2">
      <colorScale>
        <cfvo type="min"/>
        <cfvo type="percentile" val="50"/>
        <cfvo type="max"/>
        <color rgb="FFF8696B"/>
        <color rgb="FFFFEB84"/>
        <color rgb="FF63BE7B"/>
      </colorScale>
    </cfRule>
  </conditionalFormatting>
  <conditionalFormatting sqref="B223">
    <cfRule type="colorScale" priority="3">
      <colorScale>
        <cfvo type="min"/>
        <cfvo type="percentile" val="50"/>
        <cfvo type="max"/>
        <color rgb="FFFF0000"/>
        <color rgb="FFFF0000"/>
        <color rgb="FFFF0000"/>
      </colorScale>
    </cfRule>
  </conditionalFormatting>
  <conditionalFormatting sqref="B224:B305">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5CBE-B7D9-4FDA-8288-98F563D83D5B}">
  <sheetPr>
    <tabColor rgb="FF00B050"/>
  </sheetPr>
  <dimension ref="A1:CG632"/>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baseColWidth="10" defaultColWidth="11.453125" defaultRowHeight="14.5" x14ac:dyDescent="0.35"/>
  <cols>
    <col min="1" max="1" width="76.08984375" customWidth="1"/>
    <col min="2" max="2" width="74.54296875" customWidth="1"/>
    <col min="3" max="3" width="49.54296875" customWidth="1"/>
    <col min="4" max="4" width="55.453125" customWidth="1"/>
    <col min="5" max="5" width="59.81640625" customWidth="1"/>
    <col min="6" max="6" width="52.453125" customWidth="1"/>
    <col min="7" max="7" width="25.453125" customWidth="1"/>
    <col min="8" max="8" width="17.453125" customWidth="1"/>
    <col min="9" max="9" width="19.1796875" customWidth="1"/>
    <col min="10" max="10" width="20.453125" customWidth="1"/>
    <col min="11" max="11" width="21.453125" customWidth="1"/>
    <col min="12" max="12" width="27" customWidth="1"/>
    <col min="13" max="13" width="21.54296875" customWidth="1"/>
    <col min="14" max="14" width="22.81640625" customWidth="1"/>
    <col min="15" max="15" width="21.453125" customWidth="1"/>
    <col min="16" max="16" width="13.81640625" customWidth="1"/>
    <col min="17" max="17" width="16.453125" customWidth="1"/>
  </cols>
  <sheetData>
    <row r="1" spans="1:11" s="6" customFormat="1" ht="31" x14ac:dyDescent="0.7">
      <c r="A1" s="614" t="s">
        <v>2087</v>
      </c>
      <c r="B1" s="614"/>
      <c r="C1" s="614"/>
    </row>
    <row r="3" spans="1:11" s="508" customFormat="1" x14ac:dyDescent="0.35">
      <c r="A3" s="508" t="s">
        <v>2056</v>
      </c>
    </row>
    <row r="5" spans="1:11" x14ac:dyDescent="0.35">
      <c r="A5" s="298" t="s">
        <v>305</v>
      </c>
    </row>
    <row r="6" spans="1:11" x14ac:dyDescent="0.35">
      <c r="A6" s="299" t="s">
        <v>323</v>
      </c>
      <c r="B6" s="299" t="s">
        <v>308</v>
      </c>
      <c r="C6" s="299" t="s">
        <v>1016</v>
      </c>
      <c r="D6" s="299" t="s">
        <v>309</v>
      </c>
      <c r="E6" s="299" t="s">
        <v>310</v>
      </c>
    </row>
    <row r="7" spans="1:11" ht="15" customHeight="1" x14ac:dyDescent="0.35">
      <c r="A7" s="300" t="s">
        <v>378</v>
      </c>
      <c r="B7" s="301" t="s">
        <v>128</v>
      </c>
      <c r="C7" s="301" t="s">
        <v>322</v>
      </c>
      <c r="D7" s="301" t="s">
        <v>322</v>
      </c>
      <c r="E7" s="301" t="s">
        <v>128</v>
      </c>
      <c r="G7" s="56"/>
      <c r="H7" s="56"/>
      <c r="I7" s="56"/>
      <c r="J7" s="56"/>
      <c r="K7" s="56"/>
    </row>
    <row r="8" spans="1:11" x14ac:dyDescent="0.35">
      <c r="A8" s="302" t="s">
        <v>143</v>
      </c>
      <c r="B8" s="303">
        <v>0</v>
      </c>
      <c r="C8" s="303">
        <v>2015</v>
      </c>
      <c r="D8" s="303">
        <v>2030</v>
      </c>
      <c r="E8" s="303">
        <v>1</v>
      </c>
      <c r="G8" s="51"/>
      <c r="H8" s="51"/>
      <c r="I8" s="51"/>
      <c r="J8" s="51"/>
      <c r="K8" s="51"/>
    </row>
    <row r="9" spans="1:11" x14ac:dyDescent="0.35">
      <c r="A9" s="302" t="s">
        <v>83</v>
      </c>
      <c r="B9" s="303">
        <v>0</v>
      </c>
      <c r="C9" s="303">
        <v>2015</v>
      </c>
      <c r="D9" s="303">
        <v>2030</v>
      </c>
      <c r="E9" s="303">
        <v>1</v>
      </c>
      <c r="G9" s="51"/>
      <c r="H9" s="51"/>
      <c r="I9" s="51"/>
      <c r="J9" s="51"/>
      <c r="K9" s="51"/>
    </row>
    <row r="10" spans="1:11" x14ac:dyDescent="0.35">
      <c r="A10" s="302" t="s">
        <v>144</v>
      </c>
      <c r="B10" s="303">
        <v>0</v>
      </c>
      <c r="C10" s="303">
        <v>2015</v>
      </c>
      <c r="D10" s="303">
        <v>2030</v>
      </c>
      <c r="E10" s="303">
        <v>1</v>
      </c>
      <c r="G10" s="51"/>
      <c r="H10" s="51"/>
      <c r="I10" s="51"/>
      <c r="J10" s="51"/>
      <c r="K10" s="51"/>
    </row>
    <row r="11" spans="1:11" x14ac:dyDescent="0.35">
      <c r="A11" s="302" t="s">
        <v>164</v>
      </c>
      <c r="B11" s="303">
        <v>0</v>
      </c>
      <c r="C11" s="303">
        <v>2015</v>
      </c>
      <c r="D11" s="303">
        <v>2030</v>
      </c>
      <c r="E11" s="303">
        <v>1</v>
      </c>
      <c r="G11" s="51"/>
      <c r="H11" s="51"/>
      <c r="I11" s="51"/>
      <c r="J11" s="51"/>
      <c r="K11" s="51"/>
    </row>
    <row r="12" spans="1:11" x14ac:dyDescent="0.35">
      <c r="A12" s="302" t="s">
        <v>145</v>
      </c>
      <c r="B12" s="303">
        <v>0</v>
      </c>
      <c r="C12" s="303">
        <v>2015</v>
      </c>
      <c r="D12" s="303">
        <v>2030</v>
      </c>
      <c r="E12" s="303">
        <v>1</v>
      </c>
    </row>
    <row r="13" spans="1:11" x14ac:dyDescent="0.35">
      <c r="A13" s="302" t="s">
        <v>87</v>
      </c>
      <c r="B13" s="303">
        <v>0</v>
      </c>
      <c r="C13" s="303">
        <v>2015</v>
      </c>
      <c r="D13" s="303">
        <v>2030</v>
      </c>
      <c r="E13" s="303">
        <v>1</v>
      </c>
    </row>
    <row r="14" spans="1:11" x14ac:dyDescent="0.35">
      <c r="A14" s="302" t="s">
        <v>146</v>
      </c>
      <c r="B14" s="303">
        <v>0</v>
      </c>
      <c r="C14" s="303">
        <v>2015</v>
      </c>
      <c r="D14" s="303">
        <v>2030</v>
      </c>
      <c r="E14" s="303">
        <v>1</v>
      </c>
      <c r="F14" s="56"/>
      <c r="G14" s="56"/>
      <c r="H14" s="56"/>
      <c r="I14" s="56"/>
      <c r="J14" s="56"/>
      <c r="K14" s="56"/>
    </row>
    <row r="15" spans="1:11" x14ac:dyDescent="0.35">
      <c r="A15" s="302" t="s">
        <v>89</v>
      </c>
      <c r="B15" s="303">
        <v>0</v>
      </c>
      <c r="C15" s="303">
        <v>2015</v>
      </c>
      <c r="D15" s="303">
        <v>2030</v>
      </c>
      <c r="E15" s="303">
        <v>1</v>
      </c>
      <c r="F15" s="51"/>
      <c r="G15" s="51"/>
      <c r="H15" s="51"/>
      <c r="I15" s="51"/>
      <c r="J15" s="51"/>
      <c r="K15" s="51"/>
    </row>
    <row r="16" spans="1:11" x14ac:dyDescent="0.35">
      <c r="A16" s="302" t="s">
        <v>90</v>
      </c>
      <c r="B16" s="303">
        <v>0</v>
      </c>
      <c r="C16" s="303">
        <v>2015</v>
      </c>
      <c r="D16" s="303">
        <v>2030</v>
      </c>
      <c r="E16" s="303">
        <v>1</v>
      </c>
      <c r="F16" s="51"/>
      <c r="G16" s="51"/>
      <c r="H16" s="51"/>
      <c r="I16" s="51"/>
      <c r="J16" s="51"/>
      <c r="K16" s="51"/>
    </row>
    <row r="17" spans="1:11" x14ac:dyDescent="0.35">
      <c r="A17" s="56"/>
      <c r="B17" s="56"/>
      <c r="C17" s="51"/>
      <c r="D17" s="51"/>
      <c r="E17" s="51"/>
      <c r="F17" s="51"/>
      <c r="G17" s="51"/>
      <c r="H17" s="51"/>
      <c r="I17" s="51"/>
      <c r="J17" s="51"/>
      <c r="K17" s="51"/>
    </row>
    <row r="18" spans="1:11" x14ac:dyDescent="0.35">
      <c r="A18" s="298" t="s">
        <v>1027</v>
      </c>
      <c r="B18" t="s">
        <v>1023</v>
      </c>
      <c r="C18" t="s">
        <v>1024</v>
      </c>
      <c r="D18" t="s">
        <v>1025</v>
      </c>
      <c r="E18" t="s">
        <v>1026</v>
      </c>
    </row>
    <row r="19" spans="1:11" x14ac:dyDescent="0.35">
      <c r="A19" s="299" t="s">
        <v>323</v>
      </c>
      <c r="B19" s="299" t="s">
        <v>1028</v>
      </c>
      <c r="C19" s="299" t="s">
        <v>1016</v>
      </c>
      <c r="D19" s="299" t="s">
        <v>1029</v>
      </c>
      <c r="E19" s="299" t="s">
        <v>1022</v>
      </c>
    </row>
    <row r="20" spans="1:11" ht="15" customHeight="1" x14ac:dyDescent="0.35">
      <c r="A20" s="300" t="s">
        <v>378</v>
      </c>
      <c r="B20" s="301" t="s">
        <v>128</v>
      </c>
      <c r="C20" s="301" t="s">
        <v>322</v>
      </c>
      <c r="D20" s="301" t="s">
        <v>322</v>
      </c>
      <c r="E20" s="301" t="s">
        <v>128</v>
      </c>
      <c r="G20" s="56"/>
      <c r="H20" s="56"/>
      <c r="I20" s="56"/>
      <c r="J20" s="56"/>
      <c r="K20" s="56"/>
    </row>
    <row r="21" spans="1:11" x14ac:dyDescent="0.35">
      <c r="A21" s="302" t="s">
        <v>143</v>
      </c>
      <c r="B21" s="303">
        <v>0</v>
      </c>
      <c r="C21" s="303">
        <v>2025</v>
      </c>
      <c r="D21" s="303">
        <v>2050</v>
      </c>
      <c r="E21" s="303">
        <v>1</v>
      </c>
      <c r="G21" s="51"/>
      <c r="H21" s="51"/>
      <c r="I21" s="51"/>
      <c r="J21" s="51"/>
      <c r="K21" s="51"/>
    </row>
    <row r="22" spans="1:11" x14ac:dyDescent="0.35">
      <c r="A22" s="302" t="s">
        <v>83</v>
      </c>
      <c r="B22" s="303">
        <v>0</v>
      </c>
      <c r="C22" s="303">
        <v>2025</v>
      </c>
      <c r="D22" s="303">
        <v>2050</v>
      </c>
      <c r="E22" s="303">
        <v>1</v>
      </c>
      <c r="G22" s="51"/>
      <c r="H22" s="51"/>
      <c r="I22" s="51"/>
      <c r="J22" s="51"/>
      <c r="K22" s="51"/>
    </row>
    <row r="23" spans="1:11" x14ac:dyDescent="0.35">
      <c r="A23" s="302" t="s">
        <v>144</v>
      </c>
      <c r="B23" s="303">
        <v>0</v>
      </c>
      <c r="C23" s="303">
        <v>2025</v>
      </c>
      <c r="D23" s="303">
        <v>2050</v>
      </c>
      <c r="E23" s="303">
        <v>1</v>
      </c>
      <c r="G23" s="51"/>
      <c r="H23" s="51"/>
      <c r="I23" s="51"/>
      <c r="J23" s="51"/>
      <c r="K23" s="51"/>
    </row>
    <row r="24" spans="1:11" x14ac:dyDescent="0.35">
      <c r="A24" s="302" t="s">
        <v>164</v>
      </c>
      <c r="B24" s="303">
        <v>0</v>
      </c>
      <c r="C24" s="303">
        <v>2025</v>
      </c>
      <c r="D24" s="303">
        <v>2050</v>
      </c>
      <c r="E24" s="303">
        <v>1</v>
      </c>
      <c r="G24" s="51"/>
      <c r="H24" s="51"/>
      <c r="I24" s="51"/>
      <c r="J24" s="51"/>
      <c r="K24" s="51"/>
    </row>
    <row r="25" spans="1:11" x14ac:dyDescent="0.35">
      <c r="A25" s="302" t="s">
        <v>145</v>
      </c>
      <c r="B25" s="303">
        <v>0</v>
      </c>
      <c r="C25" s="303">
        <v>2025</v>
      </c>
      <c r="D25" s="303">
        <v>2050</v>
      </c>
      <c r="E25" s="303">
        <v>1</v>
      </c>
    </row>
    <row r="26" spans="1:11" x14ac:dyDescent="0.35">
      <c r="A26" s="302" t="s">
        <v>87</v>
      </c>
      <c r="B26" s="303">
        <v>0</v>
      </c>
      <c r="C26" s="303">
        <v>2025</v>
      </c>
      <c r="D26" s="303">
        <v>2050</v>
      </c>
      <c r="E26" s="303">
        <v>1</v>
      </c>
    </row>
    <row r="27" spans="1:11" x14ac:dyDescent="0.35">
      <c r="A27" s="302" t="s">
        <v>146</v>
      </c>
      <c r="B27" s="303">
        <v>0</v>
      </c>
      <c r="C27" s="303">
        <v>2025</v>
      </c>
      <c r="D27" s="303">
        <v>2050</v>
      </c>
      <c r="E27" s="303">
        <v>1</v>
      </c>
      <c r="F27" s="56"/>
      <c r="G27" s="56"/>
      <c r="H27" s="56"/>
      <c r="I27" s="56"/>
      <c r="J27" s="56"/>
      <c r="K27" s="56"/>
    </row>
    <row r="28" spans="1:11" x14ac:dyDescent="0.35">
      <c r="A28" s="302" t="s">
        <v>89</v>
      </c>
      <c r="B28" s="303">
        <v>0</v>
      </c>
      <c r="C28" s="303">
        <v>2025</v>
      </c>
      <c r="D28" s="303">
        <v>2050</v>
      </c>
      <c r="E28" s="303">
        <v>1</v>
      </c>
      <c r="F28" s="51"/>
      <c r="G28" s="51"/>
      <c r="H28" s="51"/>
      <c r="I28" s="51"/>
      <c r="J28" s="51"/>
      <c r="K28" s="51"/>
    </row>
    <row r="29" spans="1:11" x14ac:dyDescent="0.35">
      <c r="A29" s="302" t="s">
        <v>90</v>
      </c>
      <c r="B29" s="303">
        <v>0</v>
      </c>
      <c r="C29" s="303">
        <v>2025</v>
      </c>
      <c r="D29" s="303">
        <v>2050</v>
      </c>
      <c r="E29" s="303">
        <v>1</v>
      </c>
      <c r="F29" s="51"/>
      <c r="G29" s="51"/>
      <c r="H29" s="51"/>
      <c r="I29" s="51"/>
      <c r="J29" s="51"/>
      <c r="K29" s="51"/>
    </row>
    <row r="30" spans="1:11" x14ac:dyDescent="0.35">
      <c r="A30" s="56"/>
      <c r="B30" s="56"/>
      <c r="C30" s="51"/>
      <c r="D30" s="51"/>
      <c r="E30" s="51"/>
      <c r="F30" s="51"/>
      <c r="G30" s="51"/>
      <c r="H30" s="51"/>
      <c r="I30" s="51"/>
      <c r="J30" s="51"/>
      <c r="K30" s="51"/>
    </row>
    <row r="31" spans="1:11" ht="17.25" customHeight="1" x14ac:dyDescent="0.35">
      <c r="A31" s="298" t="s">
        <v>795</v>
      </c>
      <c r="B31" s="299" t="s">
        <v>823</v>
      </c>
      <c r="C31" s="299" t="s">
        <v>824</v>
      </c>
      <c r="D31" s="299" t="s">
        <v>825</v>
      </c>
      <c r="E31" s="299" t="s">
        <v>826</v>
      </c>
    </row>
    <row r="32" spans="1:11" x14ac:dyDescent="0.35">
      <c r="A32" s="300" t="s">
        <v>378</v>
      </c>
      <c r="B32" s="305" t="s">
        <v>128</v>
      </c>
      <c r="C32" s="305" t="s">
        <v>322</v>
      </c>
      <c r="D32" s="305" t="s">
        <v>322</v>
      </c>
      <c r="E32" s="305" t="s">
        <v>128</v>
      </c>
    </row>
    <row r="33" spans="1:12" x14ac:dyDescent="0.35">
      <c r="A33" s="302" t="s">
        <v>143</v>
      </c>
      <c r="B33" s="303">
        <v>0</v>
      </c>
      <c r="C33" s="303">
        <v>2025</v>
      </c>
      <c r="D33" s="303">
        <v>2050</v>
      </c>
      <c r="E33" s="303">
        <v>1</v>
      </c>
      <c r="G33" s="56"/>
      <c r="H33" s="56"/>
      <c r="I33" s="56"/>
      <c r="J33" s="56"/>
      <c r="K33" s="56"/>
    </row>
    <row r="34" spans="1:12" x14ac:dyDescent="0.35">
      <c r="A34" s="302" t="s">
        <v>83</v>
      </c>
      <c r="B34" s="303">
        <v>0</v>
      </c>
      <c r="C34" s="303">
        <v>2025</v>
      </c>
      <c r="D34" s="303">
        <v>2050</v>
      </c>
      <c r="E34" s="303">
        <v>1</v>
      </c>
      <c r="G34" s="51"/>
      <c r="H34" s="51"/>
      <c r="I34" s="51"/>
      <c r="J34" s="51"/>
      <c r="K34" s="51"/>
    </row>
    <row r="35" spans="1:12" x14ac:dyDescent="0.35">
      <c r="A35" s="302" t="s">
        <v>144</v>
      </c>
      <c r="B35" s="303">
        <v>0</v>
      </c>
      <c r="C35" s="303">
        <v>2025</v>
      </c>
      <c r="D35" s="303">
        <v>2050</v>
      </c>
      <c r="E35" s="303">
        <v>1</v>
      </c>
      <c r="G35" s="51"/>
      <c r="H35" s="51"/>
      <c r="I35" s="51"/>
      <c r="J35" s="51"/>
      <c r="K35" s="51"/>
    </row>
    <row r="36" spans="1:12" x14ac:dyDescent="0.35">
      <c r="A36" s="302" t="s">
        <v>164</v>
      </c>
      <c r="B36" s="303">
        <v>0</v>
      </c>
      <c r="C36" s="303">
        <v>2025</v>
      </c>
      <c r="D36" s="303">
        <v>2050</v>
      </c>
      <c r="E36" s="303">
        <v>1</v>
      </c>
      <c r="G36" s="51"/>
      <c r="H36" s="51"/>
      <c r="I36" s="51"/>
      <c r="J36" s="51"/>
      <c r="K36" s="51"/>
    </row>
    <row r="37" spans="1:12" x14ac:dyDescent="0.35">
      <c r="A37" s="302" t="s">
        <v>145</v>
      </c>
      <c r="B37" s="303">
        <v>0</v>
      </c>
      <c r="C37" s="303">
        <v>2025</v>
      </c>
      <c r="D37" s="303">
        <v>2050</v>
      </c>
      <c r="E37" s="303">
        <v>1</v>
      </c>
      <c r="G37" s="51"/>
      <c r="H37" s="51"/>
      <c r="I37" s="51"/>
      <c r="J37" s="51"/>
      <c r="K37" s="51"/>
    </row>
    <row r="38" spans="1:12" x14ac:dyDescent="0.35">
      <c r="A38" s="302" t="s">
        <v>87</v>
      </c>
      <c r="B38" s="303">
        <v>0</v>
      </c>
      <c r="C38" s="303">
        <v>2025</v>
      </c>
      <c r="D38" s="303">
        <v>2050</v>
      </c>
      <c r="E38" s="303">
        <v>1</v>
      </c>
      <c r="F38" s="51"/>
      <c r="G38" s="51"/>
      <c r="H38" s="51"/>
      <c r="I38" s="51"/>
      <c r="J38" s="51"/>
      <c r="K38" s="51"/>
      <c r="L38" s="51"/>
    </row>
    <row r="39" spans="1:12" x14ac:dyDescent="0.35">
      <c r="A39" s="302" t="s">
        <v>146</v>
      </c>
      <c r="B39" s="303">
        <v>0</v>
      </c>
      <c r="C39" s="303">
        <v>2025</v>
      </c>
      <c r="D39" s="303">
        <v>2050</v>
      </c>
      <c r="E39" s="303">
        <v>1</v>
      </c>
      <c r="F39" s="51"/>
      <c r="G39" s="51"/>
      <c r="H39" s="51"/>
      <c r="I39" s="51"/>
      <c r="J39" s="51"/>
      <c r="K39" s="51"/>
    </row>
    <row r="40" spans="1:12" x14ac:dyDescent="0.35">
      <c r="A40" s="302" t="s">
        <v>89</v>
      </c>
      <c r="B40" s="303">
        <v>0</v>
      </c>
      <c r="C40" s="303">
        <v>2025</v>
      </c>
      <c r="D40" s="303">
        <v>2050</v>
      </c>
      <c r="E40" s="303">
        <v>1</v>
      </c>
      <c r="F40" s="56"/>
      <c r="G40" s="56"/>
      <c r="H40" s="56"/>
      <c r="I40" s="56"/>
      <c r="J40" s="56"/>
      <c r="K40" s="56"/>
    </row>
    <row r="41" spans="1:12" x14ac:dyDescent="0.35">
      <c r="A41" s="302" t="s">
        <v>90</v>
      </c>
      <c r="B41" s="303">
        <v>0</v>
      </c>
      <c r="C41" s="303">
        <v>2025</v>
      </c>
      <c r="D41" s="303">
        <v>2050</v>
      </c>
      <c r="E41" s="303">
        <v>1</v>
      </c>
      <c r="F41" s="51"/>
      <c r="G41" s="51"/>
      <c r="H41" s="51"/>
      <c r="I41" s="51"/>
      <c r="J41" s="51"/>
      <c r="K41" s="51"/>
    </row>
    <row r="42" spans="1:12" x14ac:dyDescent="0.35">
      <c r="A42" s="59"/>
      <c r="B42" s="51"/>
      <c r="C42" s="51"/>
      <c r="D42" s="51"/>
      <c r="E42" s="51"/>
      <c r="F42" s="51"/>
      <c r="G42" s="51"/>
      <c r="H42" s="51"/>
      <c r="I42" s="51"/>
      <c r="J42" s="51"/>
      <c r="K42" s="51"/>
    </row>
    <row r="43" spans="1:12" x14ac:dyDescent="0.35">
      <c r="A43" s="298" t="s">
        <v>796</v>
      </c>
      <c r="B43" s="299" t="s">
        <v>823</v>
      </c>
      <c r="C43" s="299" t="s">
        <v>824</v>
      </c>
      <c r="D43" s="299" t="s">
        <v>825</v>
      </c>
      <c r="E43" s="299" t="s">
        <v>826</v>
      </c>
      <c r="F43" s="51"/>
      <c r="G43" s="51"/>
      <c r="H43" s="51"/>
      <c r="I43" s="51"/>
      <c r="J43" s="51"/>
      <c r="K43" s="51"/>
    </row>
    <row r="44" spans="1:12" x14ac:dyDescent="0.35">
      <c r="A44" s="300" t="s">
        <v>378</v>
      </c>
      <c r="B44" s="305" t="s">
        <v>128</v>
      </c>
      <c r="C44" s="305" t="s">
        <v>322</v>
      </c>
      <c r="D44" s="305" t="s">
        <v>322</v>
      </c>
      <c r="E44" s="305" t="s">
        <v>128</v>
      </c>
      <c r="F44" s="51"/>
      <c r="G44" s="51"/>
      <c r="H44" s="51"/>
      <c r="I44" s="51"/>
      <c r="J44" s="51"/>
      <c r="K44" s="51"/>
    </row>
    <row r="45" spans="1:12" x14ac:dyDescent="0.35">
      <c r="A45" s="302" t="s">
        <v>143</v>
      </c>
      <c r="B45" s="303">
        <v>0</v>
      </c>
      <c r="C45" s="303">
        <v>2025</v>
      </c>
      <c r="D45" s="303">
        <v>2050</v>
      </c>
      <c r="E45" s="303">
        <v>1</v>
      </c>
      <c r="F45" s="51"/>
      <c r="G45" s="51"/>
      <c r="H45" s="51"/>
      <c r="I45" s="51"/>
      <c r="J45" s="51"/>
      <c r="K45" s="51"/>
    </row>
    <row r="46" spans="1:12" x14ac:dyDescent="0.35">
      <c r="A46" s="302" t="s">
        <v>83</v>
      </c>
      <c r="B46" s="303">
        <v>0</v>
      </c>
      <c r="C46" s="303">
        <v>2025</v>
      </c>
      <c r="D46" s="303">
        <v>2050</v>
      </c>
      <c r="E46" s="303">
        <v>1</v>
      </c>
      <c r="F46" s="51"/>
      <c r="G46" s="51"/>
      <c r="H46" s="51"/>
      <c r="I46" s="51"/>
      <c r="J46" s="51"/>
      <c r="K46" s="51"/>
    </row>
    <row r="47" spans="1:12" x14ac:dyDescent="0.35">
      <c r="A47" s="302" t="s">
        <v>144</v>
      </c>
      <c r="B47" s="303">
        <v>0</v>
      </c>
      <c r="C47" s="303">
        <v>2025</v>
      </c>
      <c r="D47" s="303">
        <v>2050</v>
      </c>
      <c r="E47" s="303">
        <v>1</v>
      </c>
      <c r="F47" s="51"/>
      <c r="G47" s="51"/>
      <c r="H47" s="51"/>
      <c r="I47" s="51"/>
      <c r="J47" s="51"/>
      <c r="K47" s="51"/>
    </row>
    <row r="48" spans="1:12" x14ac:dyDescent="0.35">
      <c r="A48" s="302" t="s">
        <v>164</v>
      </c>
      <c r="B48" s="303">
        <v>0</v>
      </c>
      <c r="C48" s="303">
        <v>2025</v>
      </c>
      <c r="D48" s="303">
        <v>2050</v>
      </c>
      <c r="E48" s="303">
        <v>1</v>
      </c>
      <c r="F48" s="51"/>
      <c r="G48" s="51"/>
      <c r="H48" s="51"/>
      <c r="I48" s="51"/>
      <c r="J48" s="51"/>
      <c r="K48" s="51"/>
    </row>
    <row r="49" spans="1:12" x14ac:dyDescent="0.35">
      <c r="A49" s="302" t="s">
        <v>145</v>
      </c>
      <c r="B49" s="303">
        <v>0</v>
      </c>
      <c r="C49" s="303">
        <v>2025</v>
      </c>
      <c r="D49" s="303">
        <v>2050</v>
      </c>
      <c r="E49" s="303">
        <v>1</v>
      </c>
      <c r="F49" s="51"/>
      <c r="G49" s="51"/>
      <c r="H49" s="51"/>
      <c r="I49" s="51"/>
      <c r="J49" s="51"/>
      <c r="K49" s="51"/>
    </row>
    <row r="50" spans="1:12" x14ac:dyDescent="0.35">
      <c r="A50" s="302" t="s">
        <v>87</v>
      </c>
      <c r="B50" s="303">
        <v>0</v>
      </c>
      <c r="C50" s="303">
        <v>2025</v>
      </c>
      <c r="D50" s="303">
        <v>2050</v>
      </c>
      <c r="E50" s="303">
        <v>1</v>
      </c>
      <c r="F50" s="51"/>
      <c r="G50" s="51"/>
      <c r="H50" s="51"/>
      <c r="I50" s="51"/>
      <c r="J50" s="51"/>
      <c r="K50" s="51"/>
    </row>
    <row r="51" spans="1:12" x14ac:dyDescent="0.35">
      <c r="A51" s="302" t="s">
        <v>146</v>
      </c>
      <c r="B51" s="303">
        <v>0</v>
      </c>
      <c r="C51" s="303">
        <v>2025</v>
      </c>
      <c r="D51" s="303">
        <v>2050</v>
      </c>
      <c r="E51" s="303">
        <v>1</v>
      </c>
      <c r="F51" s="51"/>
      <c r="G51" s="51"/>
      <c r="H51" s="51"/>
      <c r="I51" s="51"/>
      <c r="J51" s="51"/>
      <c r="K51" s="51"/>
    </row>
    <row r="52" spans="1:12" x14ac:dyDescent="0.35">
      <c r="A52" s="302" t="s">
        <v>89</v>
      </c>
      <c r="B52" s="303">
        <v>0</v>
      </c>
      <c r="C52" s="303">
        <v>2025</v>
      </c>
      <c r="D52" s="303">
        <v>2050</v>
      </c>
      <c r="E52" s="303">
        <v>1</v>
      </c>
      <c r="F52" s="51"/>
      <c r="G52" s="51"/>
      <c r="H52" s="51"/>
      <c r="I52" s="51"/>
      <c r="J52" s="51"/>
      <c r="K52" s="51"/>
    </row>
    <row r="53" spans="1:12" x14ac:dyDescent="0.35">
      <c r="A53" s="302" t="s">
        <v>90</v>
      </c>
      <c r="B53" s="303">
        <v>0</v>
      </c>
      <c r="C53" s="303">
        <v>2025</v>
      </c>
      <c r="D53" s="303">
        <v>2050</v>
      </c>
      <c r="E53" s="303">
        <v>1</v>
      </c>
      <c r="F53" s="51"/>
      <c r="G53" s="51"/>
      <c r="H53" s="51"/>
      <c r="I53" s="51"/>
      <c r="J53" s="51"/>
      <c r="K53" s="51"/>
    </row>
    <row r="55" spans="1:12" x14ac:dyDescent="0.35">
      <c r="A55" s="298" t="s">
        <v>1099</v>
      </c>
      <c r="B55" s="304" t="s">
        <v>1100</v>
      </c>
      <c r="C55" s="304" t="s">
        <v>1101</v>
      </c>
      <c r="D55" s="304" t="s">
        <v>1102</v>
      </c>
      <c r="E55" s="304" t="s">
        <v>1103</v>
      </c>
    </row>
    <row r="56" spans="1:12" x14ac:dyDescent="0.35">
      <c r="A56" s="300" t="s">
        <v>380</v>
      </c>
      <c r="B56" s="301" t="s">
        <v>128</v>
      </c>
      <c r="C56" s="301" t="s">
        <v>322</v>
      </c>
      <c r="D56" s="301" t="s">
        <v>322</v>
      </c>
      <c r="E56" s="301" t="s">
        <v>128</v>
      </c>
      <c r="F56" s="206"/>
    </row>
    <row r="57" spans="1:12" x14ac:dyDescent="0.35">
      <c r="A57" s="359" t="s">
        <v>143</v>
      </c>
      <c r="B57" s="307">
        <v>0</v>
      </c>
      <c r="C57" s="306">
        <v>2025</v>
      </c>
      <c r="D57" s="306">
        <v>2050</v>
      </c>
      <c r="E57" s="324">
        <v>1</v>
      </c>
    </row>
    <row r="58" spans="1:12" x14ac:dyDescent="0.35">
      <c r="A58" s="359" t="s">
        <v>83</v>
      </c>
      <c r="B58" s="307">
        <v>0</v>
      </c>
      <c r="C58" s="306">
        <v>2025</v>
      </c>
      <c r="D58" s="306">
        <v>2050</v>
      </c>
      <c r="E58" s="324">
        <v>1</v>
      </c>
      <c r="G58" s="56"/>
      <c r="H58" s="56"/>
      <c r="I58" s="56"/>
      <c r="J58" s="56"/>
      <c r="K58" s="56"/>
    </row>
    <row r="59" spans="1:12" x14ac:dyDescent="0.35">
      <c r="A59" s="359" t="s">
        <v>144</v>
      </c>
      <c r="B59" s="307">
        <v>0</v>
      </c>
      <c r="C59" s="306">
        <v>2025</v>
      </c>
      <c r="D59" s="306">
        <v>2050</v>
      </c>
      <c r="E59" s="324">
        <v>1</v>
      </c>
      <c r="G59" s="51"/>
      <c r="H59" s="51"/>
      <c r="I59" s="51"/>
      <c r="J59" s="51"/>
      <c r="K59" s="51"/>
    </row>
    <row r="60" spans="1:12" x14ac:dyDescent="0.35">
      <c r="A60" s="359" t="s">
        <v>164</v>
      </c>
      <c r="B60" s="307">
        <v>0</v>
      </c>
      <c r="C60" s="306">
        <v>2025</v>
      </c>
      <c r="D60" s="306">
        <v>2050</v>
      </c>
      <c r="E60" s="324">
        <v>1</v>
      </c>
      <c r="G60" s="51"/>
      <c r="H60" s="51"/>
      <c r="I60" s="51"/>
      <c r="J60" s="51"/>
      <c r="K60" s="51"/>
    </row>
    <row r="61" spans="1:12" x14ac:dyDescent="0.35">
      <c r="A61" s="359" t="s">
        <v>145</v>
      </c>
      <c r="B61" s="307">
        <v>0</v>
      </c>
      <c r="C61" s="306">
        <v>2025</v>
      </c>
      <c r="D61" s="306">
        <v>2050</v>
      </c>
      <c r="E61" s="324">
        <v>1</v>
      </c>
      <c r="G61" s="51"/>
      <c r="H61" s="51"/>
      <c r="I61" s="51"/>
      <c r="J61" s="51"/>
      <c r="K61" s="51"/>
    </row>
    <row r="62" spans="1:12" x14ac:dyDescent="0.35">
      <c r="A62" s="359" t="s">
        <v>87</v>
      </c>
      <c r="B62" s="307">
        <v>0</v>
      </c>
      <c r="C62" s="306">
        <v>2025</v>
      </c>
      <c r="D62" s="306">
        <v>2050</v>
      </c>
      <c r="E62" s="324">
        <v>1</v>
      </c>
      <c r="G62" s="51"/>
      <c r="H62" s="51"/>
      <c r="I62" s="51"/>
      <c r="J62" s="51"/>
      <c r="K62" s="51"/>
    </row>
    <row r="63" spans="1:12" x14ac:dyDescent="0.35">
      <c r="A63" s="359" t="s">
        <v>146</v>
      </c>
      <c r="B63" s="307">
        <v>0</v>
      </c>
      <c r="C63" s="306">
        <v>2025</v>
      </c>
      <c r="D63" s="306">
        <v>2050</v>
      </c>
      <c r="E63" s="324">
        <v>1</v>
      </c>
      <c r="G63" s="51"/>
      <c r="H63" s="51"/>
      <c r="I63" s="51"/>
      <c r="J63" s="51"/>
      <c r="K63" s="51"/>
      <c r="L63" s="51"/>
    </row>
    <row r="64" spans="1:12" x14ac:dyDescent="0.35">
      <c r="A64" s="359" t="s">
        <v>89</v>
      </c>
      <c r="B64" s="307">
        <v>0</v>
      </c>
      <c r="C64" s="306">
        <v>2025</v>
      </c>
      <c r="D64" s="306">
        <v>2050</v>
      </c>
      <c r="E64" s="324">
        <v>1</v>
      </c>
      <c r="G64" s="51"/>
      <c r="H64" s="51"/>
      <c r="I64" s="51"/>
      <c r="J64" s="51"/>
      <c r="K64" s="51"/>
    </row>
    <row r="65" spans="1:11" x14ac:dyDescent="0.35">
      <c r="A65" s="315" t="s">
        <v>90</v>
      </c>
      <c r="B65" s="307">
        <v>0</v>
      </c>
      <c r="C65" s="303">
        <v>2025</v>
      </c>
      <c r="D65" s="303">
        <v>2050</v>
      </c>
      <c r="E65" s="324">
        <v>1</v>
      </c>
    </row>
    <row r="66" spans="1:11" x14ac:dyDescent="0.35">
      <c r="F66" s="51"/>
      <c r="G66" s="51"/>
      <c r="H66" s="51"/>
      <c r="I66" s="51"/>
      <c r="J66" s="51"/>
      <c r="K66" s="51"/>
    </row>
    <row r="67" spans="1:11" x14ac:dyDescent="0.35">
      <c r="A67" s="298" t="s">
        <v>797</v>
      </c>
      <c r="B67" s="299" t="s">
        <v>823</v>
      </c>
      <c r="C67" s="299" t="s">
        <v>824</v>
      </c>
      <c r="D67" s="299" t="s">
        <v>825</v>
      </c>
      <c r="E67" s="299" t="s">
        <v>826</v>
      </c>
      <c r="F67" s="51"/>
      <c r="G67" s="51"/>
      <c r="H67" s="51"/>
      <c r="I67" s="51"/>
      <c r="J67" s="51"/>
      <c r="K67" s="51"/>
    </row>
    <row r="68" spans="1:11" x14ac:dyDescent="0.35">
      <c r="A68" s="300" t="s">
        <v>378</v>
      </c>
      <c r="B68" s="305" t="s">
        <v>128</v>
      </c>
      <c r="C68" s="305" t="s">
        <v>322</v>
      </c>
      <c r="D68" s="305" t="s">
        <v>322</v>
      </c>
      <c r="E68" s="305" t="s">
        <v>128</v>
      </c>
      <c r="F68" s="51"/>
      <c r="G68" s="51"/>
      <c r="H68" s="51"/>
      <c r="I68" s="51"/>
      <c r="J68" s="51"/>
      <c r="K68" s="51"/>
    </row>
    <row r="69" spans="1:11" x14ac:dyDescent="0.35">
      <c r="A69" s="302" t="s">
        <v>143</v>
      </c>
      <c r="B69" s="303">
        <v>0</v>
      </c>
      <c r="C69" s="303">
        <v>2015</v>
      </c>
      <c r="D69" s="303">
        <v>2030</v>
      </c>
      <c r="E69" s="303">
        <v>1</v>
      </c>
      <c r="F69" s="51"/>
      <c r="G69" s="51"/>
      <c r="H69" s="51"/>
      <c r="I69" s="51"/>
      <c r="J69" s="51"/>
      <c r="K69" s="51"/>
    </row>
    <row r="70" spans="1:11" x14ac:dyDescent="0.35">
      <c r="A70" s="302" t="s">
        <v>83</v>
      </c>
      <c r="B70" s="303">
        <v>0</v>
      </c>
      <c r="C70" s="303">
        <v>2015</v>
      </c>
      <c r="D70" s="303">
        <v>2030</v>
      </c>
      <c r="E70" s="303">
        <v>1</v>
      </c>
      <c r="F70" s="51"/>
      <c r="G70" s="51"/>
      <c r="H70" s="51"/>
      <c r="I70" s="51"/>
      <c r="J70" s="51"/>
      <c r="K70" s="51"/>
    </row>
    <row r="71" spans="1:11" x14ac:dyDescent="0.35">
      <c r="A71" s="302" t="s">
        <v>144</v>
      </c>
      <c r="B71" s="303">
        <v>0</v>
      </c>
      <c r="C71" s="303">
        <v>2015</v>
      </c>
      <c r="D71" s="303">
        <v>2030</v>
      </c>
      <c r="E71" s="303">
        <v>1</v>
      </c>
      <c r="F71" s="51"/>
      <c r="G71" s="51"/>
      <c r="H71" s="51"/>
      <c r="I71" s="51"/>
      <c r="J71" s="51"/>
      <c r="K71" s="51"/>
    </row>
    <row r="72" spans="1:11" x14ac:dyDescent="0.35">
      <c r="A72" s="302" t="s">
        <v>164</v>
      </c>
      <c r="B72" s="303">
        <v>0</v>
      </c>
      <c r="C72" s="303">
        <v>2015</v>
      </c>
      <c r="D72" s="303">
        <v>2030</v>
      </c>
      <c r="E72" s="303">
        <v>1</v>
      </c>
      <c r="F72" s="51"/>
      <c r="G72" s="51"/>
      <c r="H72" s="51"/>
      <c r="I72" s="51"/>
      <c r="J72" s="51"/>
      <c r="K72" s="51"/>
    </row>
    <row r="73" spans="1:11" x14ac:dyDescent="0.35">
      <c r="A73" s="302" t="s">
        <v>145</v>
      </c>
      <c r="B73" s="303">
        <v>0</v>
      </c>
      <c r="C73" s="303">
        <v>2015</v>
      </c>
      <c r="D73" s="303">
        <v>2030</v>
      </c>
      <c r="E73" s="303">
        <v>1</v>
      </c>
      <c r="F73" s="51"/>
      <c r="G73" s="51"/>
      <c r="H73" s="51"/>
      <c r="I73" s="51"/>
      <c r="J73" s="51"/>
      <c r="K73" s="51"/>
    </row>
    <row r="74" spans="1:11" x14ac:dyDescent="0.35">
      <c r="A74" s="302" t="s">
        <v>87</v>
      </c>
      <c r="B74" s="303">
        <v>0</v>
      </c>
      <c r="C74" s="303">
        <v>2015</v>
      </c>
      <c r="D74" s="303">
        <v>2030</v>
      </c>
      <c r="E74" s="303">
        <v>1</v>
      </c>
      <c r="F74" s="51"/>
      <c r="G74" s="51"/>
      <c r="H74" s="51"/>
      <c r="I74" s="51"/>
      <c r="J74" s="51"/>
      <c r="K74" s="51"/>
    </row>
    <row r="75" spans="1:11" x14ac:dyDescent="0.35">
      <c r="A75" s="302" t="s">
        <v>146</v>
      </c>
      <c r="B75" s="303">
        <v>0</v>
      </c>
      <c r="C75" s="303">
        <v>2015</v>
      </c>
      <c r="D75" s="303">
        <v>2030</v>
      </c>
      <c r="E75" s="303">
        <v>1</v>
      </c>
      <c r="F75" s="51"/>
      <c r="G75" s="51"/>
      <c r="H75" s="51"/>
      <c r="I75" s="51"/>
      <c r="J75" s="51"/>
      <c r="K75" s="51"/>
    </row>
    <row r="76" spans="1:11" x14ac:dyDescent="0.35">
      <c r="A76" s="302" t="s">
        <v>89</v>
      </c>
      <c r="B76" s="303">
        <v>0</v>
      </c>
      <c r="C76" s="303">
        <v>2015</v>
      </c>
      <c r="D76" s="303">
        <v>2030</v>
      </c>
      <c r="E76" s="303">
        <v>1</v>
      </c>
      <c r="F76" s="51"/>
      <c r="G76" s="51"/>
      <c r="H76" s="51"/>
      <c r="I76" s="51"/>
      <c r="J76" s="51"/>
      <c r="K76" s="51"/>
    </row>
    <row r="77" spans="1:11" x14ac:dyDescent="0.35">
      <c r="A77" s="302" t="s">
        <v>90</v>
      </c>
      <c r="B77" s="303">
        <v>0</v>
      </c>
      <c r="C77" s="303">
        <v>2015</v>
      </c>
      <c r="D77" s="303">
        <v>2030</v>
      </c>
      <c r="E77" s="303">
        <v>1</v>
      </c>
      <c r="F77" s="51"/>
      <c r="G77" s="51"/>
      <c r="H77" s="51"/>
      <c r="I77" s="51"/>
      <c r="J77" s="51"/>
      <c r="K77" s="51"/>
    </row>
    <row r="78" spans="1:11" x14ac:dyDescent="0.35">
      <c r="F78" s="51"/>
      <c r="G78" s="51"/>
      <c r="H78" s="51"/>
      <c r="I78" s="51"/>
      <c r="J78" s="51"/>
      <c r="K78" s="51"/>
    </row>
    <row r="79" spans="1:11" x14ac:dyDescent="0.35">
      <c r="A79" s="298" t="s">
        <v>697</v>
      </c>
      <c r="B79" s="299" t="s">
        <v>823</v>
      </c>
      <c r="C79" s="299" t="s">
        <v>824</v>
      </c>
      <c r="D79" s="299" t="s">
        <v>825</v>
      </c>
      <c r="E79" s="299" t="s">
        <v>826</v>
      </c>
      <c r="F79" s="51"/>
      <c r="G79" s="51"/>
      <c r="H79" s="51"/>
      <c r="I79" s="51"/>
      <c r="J79" s="51"/>
      <c r="K79" s="51"/>
    </row>
    <row r="80" spans="1:11" x14ac:dyDescent="0.35">
      <c r="A80" s="300" t="s">
        <v>378</v>
      </c>
      <c r="B80" s="305" t="s">
        <v>128</v>
      </c>
      <c r="C80" s="305" t="s">
        <v>322</v>
      </c>
      <c r="D80" s="305" t="s">
        <v>322</v>
      </c>
      <c r="E80" s="305" t="s">
        <v>128</v>
      </c>
      <c r="F80" s="51"/>
      <c r="G80" s="51"/>
      <c r="H80" s="51"/>
      <c r="I80" s="51"/>
      <c r="J80" s="51"/>
      <c r="K80" s="51"/>
    </row>
    <row r="81" spans="1:11" x14ac:dyDescent="0.35">
      <c r="A81" s="302" t="s">
        <v>143</v>
      </c>
      <c r="B81" s="306">
        <v>0</v>
      </c>
      <c r="C81" s="306">
        <v>2015</v>
      </c>
      <c r="D81" s="306">
        <v>2030</v>
      </c>
      <c r="E81" s="307">
        <v>1</v>
      </c>
      <c r="F81" s="51"/>
      <c r="G81" s="51"/>
      <c r="H81" s="51"/>
      <c r="I81" s="51"/>
      <c r="J81" s="51"/>
      <c r="K81" s="51"/>
    </row>
    <row r="82" spans="1:11" x14ac:dyDescent="0.35">
      <c r="A82" s="302" t="s">
        <v>83</v>
      </c>
      <c r="B82" s="306">
        <v>0</v>
      </c>
      <c r="C82" s="306">
        <v>2015</v>
      </c>
      <c r="D82" s="306">
        <v>2030</v>
      </c>
      <c r="E82" s="307">
        <v>1</v>
      </c>
      <c r="F82" s="51"/>
      <c r="G82" s="51"/>
      <c r="H82" s="51"/>
      <c r="I82" s="51"/>
      <c r="J82" s="51"/>
      <c r="K82" s="51"/>
    </row>
    <row r="83" spans="1:11" x14ac:dyDescent="0.35">
      <c r="A83" s="302" t="s">
        <v>144</v>
      </c>
      <c r="B83" s="306">
        <v>0</v>
      </c>
      <c r="C83" s="306">
        <v>2015</v>
      </c>
      <c r="D83" s="306">
        <v>2030</v>
      </c>
      <c r="E83" s="307">
        <v>1</v>
      </c>
      <c r="F83" s="51"/>
      <c r="G83" s="51"/>
      <c r="H83" s="51"/>
      <c r="I83" s="51"/>
      <c r="J83" s="51"/>
      <c r="K83" s="51"/>
    </row>
    <row r="84" spans="1:11" x14ac:dyDescent="0.35">
      <c r="A84" s="302" t="s">
        <v>164</v>
      </c>
      <c r="B84" s="306">
        <v>0</v>
      </c>
      <c r="C84" s="306">
        <v>2015</v>
      </c>
      <c r="D84" s="306">
        <v>2030</v>
      </c>
      <c r="E84" s="307">
        <v>1</v>
      </c>
      <c r="F84" s="51"/>
      <c r="G84" s="51"/>
      <c r="H84" s="51"/>
      <c r="I84" s="51"/>
      <c r="J84" s="51"/>
      <c r="K84" s="51"/>
    </row>
    <row r="85" spans="1:11" x14ac:dyDescent="0.35">
      <c r="A85" s="302" t="s">
        <v>145</v>
      </c>
      <c r="B85" s="306">
        <v>0</v>
      </c>
      <c r="C85" s="306">
        <v>2015</v>
      </c>
      <c r="D85" s="306">
        <v>2030</v>
      </c>
      <c r="E85" s="307">
        <v>1</v>
      </c>
      <c r="F85" s="51"/>
      <c r="G85" s="51"/>
      <c r="H85" s="51"/>
      <c r="I85" s="51"/>
      <c r="J85" s="51"/>
      <c r="K85" s="51"/>
    </row>
    <row r="86" spans="1:11" x14ac:dyDescent="0.35">
      <c r="A86" s="302" t="s">
        <v>87</v>
      </c>
      <c r="B86" s="306">
        <v>0</v>
      </c>
      <c r="C86" s="306">
        <v>2015</v>
      </c>
      <c r="D86" s="306">
        <v>2030</v>
      </c>
      <c r="E86" s="307">
        <v>1</v>
      </c>
      <c r="F86" s="51"/>
      <c r="G86" s="51"/>
      <c r="H86" s="51"/>
      <c r="I86" s="51"/>
      <c r="J86" s="51"/>
      <c r="K86" s="51"/>
    </row>
    <row r="87" spans="1:11" x14ac:dyDescent="0.35">
      <c r="A87" s="302" t="s">
        <v>146</v>
      </c>
      <c r="B87" s="306">
        <v>0</v>
      </c>
      <c r="C87" s="306">
        <v>2015</v>
      </c>
      <c r="D87" s="306">
        <v>2030</v>
      </c>
      <c r="E87" s="307">
        <v>1</v>
      </c>
      <c r="F87" s="51"/>
      <c r="G87" s="51"/>
      <c r="H87" s="51"/>
      <c r="I87" s="51"/>
      <c r="J87" s="51"/>
      <c r="K87" s="51"/>
    </row>
    <row r="88" spans="1:11" x14ac:dyDescent="0.35">
      <c r="A88" s="302" t="s">
        <v>89</v>
      </c>
      <c r="B88" s="306">
        <v>0</v>
      </c>
      <c r="C88" s="306">
        <v>2015</v>
      </c>
      <c r="D88" s="306">
        <v>2030</v>
      </c>
      <c r="E88" s="307">
        <v>1</v>
      </c>
      <c r="F88" s="51"/>
      <c r="G88" s="51"/>
      <c r="H88" s="51"/>
      <c r="I88" s="51"/>
      <c r="J88" s="51"/>
      <c r="K88" s="51"/>
    </row>
    <row r="89" spans="1:11" x14ac:dyDescent="0.35">
      <c r="A89" s="302" t="s">
        <v>90</v>
      </c>
      <c r="B89" s="306">
        <v>0</v>
      </c>
      <c r="C89" s="306">
        <v>2015</v>
      </c>
      <c r="D89" s="306">
        <v>2030</v>
      </c>
      <c r="E89" s="307">
        <v>1</v>
      </c>
      <c r="F89" s="51"/>
      <c r="G89" s="51"/>
      <c r="H89" s="51"/>
      <c r="I89" s="51"/>
      <c r="J89" s="51"/>
      <c r="K89" s="51"/>
    </row>
    <row r="90" spans="1:11" x14ac:dyDescent="0.35">
      <c r="F90" s="51"/>
      <c r="G90" s="51"/>
      <c r="H90" s="51"/>
      <c r="I90" s="51"/>
      <c r="J90" s="51"/>
      <c r="K90" s="51"/>
    </row>
    <row r="91" spans="1:11" x14ac:dyDescent="0.35">
      <c r="A91" s="298" t="s">
        <v>695</v>
      </c>
      <c r="B91" s="299" t="s">
        <v>823</v>
      </c>
      <c r="C91" s="299" t="s">
        <v>824</v>
      </c>
      <c r="D91" s="304" t="s">
        <v>696</v>
      </c>
      <c r="E91" s="299" t="s">
        <v>826</v>
      </c>
      <c r="F91" s="51"/>
      <c r="G91" s="51"/>
      <c r="H91" s="51"/>
      <c r="I91" s="51"/>
      <c r="J91" s="51"/>
      <c r="K91" s="51"/>
    </row>
    <row r="92" spans="1:11" x14ac:dyDescent="0.35">
      <c r="A92" s="300" t="s">
        <v>378</v>
      </c>
      <c r="B92" s="305" t="s">
        <v>128</v>
      </c>
      <c r="C92" s="305" t="s">
        <v>322</v>
      </c>
      <c r="D92" s="305" t="s">
        <v>322</v>
      </c>
      <c r="E92" s="305" t="s">
        <v>128</v>
      </c>
      <c r="F92" s="51"/>
      <c r="G92" s="51"/>
      <c r="H92" s="51"/>
      <c r="I92" s="51"/>
      <c r="J92" s="51"/>
      <c r="K92" s="51"/>
    </row>
    <row r="93" spans="1:11" x14ac:dyDescent="0.35">
      <c r="A93" s="302" t="s">
        <v>143</v>
      </c>
      <c r="B93" s="306">
        <v>0</v>
      </c>
      <c r="C93" s="306">
        <v>2015</v>
      </c>
      <c r="D93" s="306">
        <v>2030</v>
      </c>
      <c r="E93" s="307">
        <v>1</v>
      </c>
      <c r="F93" s="51"/>
      <c r="G93" s="51"/>
      <c r="H93" s="51"/>
      <c r="I93" s="51"/>
      <c r="J93" s="51"/>
      <c r="K93" s="51"/>
    </row>
    <row r="94" spans="1:11" x14ac:dyDescent="0.35">
      <c r="A94" s="302" t="s">
        <v>83</v>
      </c>
      <c r="B94" s="306">
        <v>0</v>
      </c>
      <c r="C94" s="306">
        <v>2015</v>
      </c>
      <c r="D94" s="306">
        <v>2030</v>
      </c>
      <c r="E94" s="307">
        <v>1</v>
      </c>
      <c r="F94" s="51"/>
      <c r="G94" s="51"/>
      <c r="H94" s="51"/>
      <c r="I94" s="51"/>
      <c r="J94" s="51"/>
      <c r="K94" s="51"/>
    </row>
    <row r="95" spans="1:11" x14ac:dyDescent="0.35">
      <c r="A95" s="302" t="s">
        <v>144</v>
      </c>
      <c r="B95" s="306">
        <v>0</v>
      </c>
      <c r="C95" s="306">
        <v>2015</v>
      </c>
      <c r="D95" s="306">
        <v>2030</v>
      </c>
      <c r="E95" s="307">
        <v>1</v>
      </c>
      <c r="F95" s="51"/>
      <c r="G95" s="51"/>
      <c r="H95" s="51"/>
      <c r="I95" s="51"/>
      <c r="J95" s="51"/>
      <c r="K95" s="51"/>
    </row>
    <row r="96" spans="1:11" x14ac:dyDescent="0.35">
      <c r="A96" s="302" t="s">
        <v>164</v>
      </c>
      <c r="B96" s="306">
        <v>0</v>
      </c>
      <c r="C96" s="306">
        <v>2015</v>
      </c>
      <c r="D96" s="306">
        <v>2030</v>
      </c>
      <c r="E96" s="307">
        <v>1</v>
      </c>
      <c r="F96" s="51"/>
      <c r="G96" s="51"/>
      <c r="H96" s="51"/>
      <c r="I96" s="51"/>
      <c r="J96" s="51"/>
      <c r="K96" s="51"/>
    </row>
    <row r="97" spans="1:11" x14ac:dyDescent="0.35">
      <c r="A97" s="302" t="s">
        <v>145</v>
      </c>
      <c r="B97" s="306">
        <v>0</v>
      </c>
      <c r="C97" s="306">
        <v>2015</v>
      </c>
      <c r="D97" s="306">
        <v>2030</v>
      </c>
      <c r="E97" s="307">
        <v>1</v>
      </c>
      <c r="F97" s="51"/>
      <c r="G97" s="51"/>
      <c r="H97" s="51"/>
      <c r="I97" s="51"/>
      <c r="J97" s="51"/>
      <c r="K97" s="51"/>
    </row>
    <row r="98" spans="1:11" x14ac:dyDescent="0.35">
      <c r="A98" s="302" t="s">
        <v>87</v>
      </c>
      <c r="B98" s="306">
        <v>0</v>
      </c>
      <c r="C98" s="306">
        <v>2015</v>
      </c>
      <c r="D98" s="306">
        <v>2030</v>
      </c>
      <c r="E98" s="307">
        <v>1</v>
      </c>
      <c r="F98" s="51"/>
      <c r="G98" s="51"/>
      <c r="H98" s="51"/>
      <c r="I98" s="51"/>
      <c r="J98" s="51"/>
      <c r="K98" s="51"/>
    </row>
    <row r="99" spans="1:11" x14ac:dyDescent="0.35">
      <c r="A99" s="302" t="s">
        <v>146</v>
      </c>
      <c r="B99" s="306">
        <v>0</v>
      </c>
      <c r="C99" s="306">
        <v>2015</v>
      </c>
      <c r="D99" s="306">
        <v>2030</v>
      </c>
      <c r="E99" s="307">
        <v>1</v>
      </c>
      <c r="F99" s="51"/>
      <c r="G99" s="51"/>
      <c r="H99" s="51"/>
      <c r="I99" s="51"/>
      <c r="J99" s="51"/>
      <c r="K99" s="51"/>
    </row>
    <row r="100" spans="1:11" x14ac:dyDescent="0.35">
      <c r="A100" s="302" t="s">
        <v>89</v>
      </c>
      <c r="B100" s="306">
        <v>0</v>
      </c>
      <c r="C100" s="306">
        <v>2015</v>
      </c>
      <c r="D100" s="306">
        <v>2030</v>
      </c>
      <c r="E100" s="307">
        <v>1</v>
      </c>
      <c r="F100" s="51"/>
      <c r="G100" s="51"/>
      <c r="H100" s="51"/>
      <c r="I100" s="51"/>
      <c r="J100" s="51"/>
      <c r="K100" s="51"/>
    </row>
    <row r="101" spans="1:11" x14ac:dyDescent="0.35">
      <c r="A101" s="302" t="s">
        <v>90</v>
      </c>
      <c r="B101" s="306">
        <v>0</v>
      </c>
      <c r="C101" s="306">
        <v>2015</v>
      </c>
      <c r="D101" s="306">
        <v>2030</v>
      </c>
      <c r="E101" s="307">
        <v>1</v>
      </c>
      <c r="F101" s="51"/>
      <c r="G101" s="51"/>
      <c r="H101" s="51"/>
      <c r="I101" s="51"/>
      <c r="J101" s="51"/>
      <c r="K101" s="51"/>
    </row>
    <row r="103" spans="1:11" x14ac:dyDescent="0.35">
      <c r="A103" s="298" t="s">
        <v>1011</v>
      </c>
      <c r="B103" s="304" t="s">
        <v>1011</v>
      </c>
      <c r="C103" s="299" t="s">
        <v>1502</v>
      </c>
      <c r="D103" s="299" t="s">
        <v>1503</v>
      </c>
    </row>
    <row r="104" spans="1:11" x14ac:dyDescent="0.35">
      <c r="A104" s="309" t="s">
        <v>694</v>
      </c>
      <c r="B104" s="301" t="s">
        <v>128</v>
      </c>
      <c r="C104" s="305" t="s">
        <v>322</v>
      </c>
      <c r="D104" s="305" t="s">
        <v>322</v>
      </c>
    </row>
    <row r="105" spans="1:11" x14ac:dyDescent="0.35">
      <c r="A105" s="315" t="s">
        <v>143</v>
      </c>
      <c r="B105" s="303">
        <v>0</v>
      </c>
      <c r="C105" s="303">
        <v>2025</v>
      </c>
      <c r="D105" s="303">
        <v>2051</v>
      </c>
    </row>
    <row r="106" spans="1:11" x14ac:dyDescent="0.35">
      <c r="A106" s="315" t="s">
        <v>83</v>
      </c>
      <c r="B106" s="303">
        <v>0</v>
      </c>
      <c r="C106" s="303">
        <v>2025</v>
      </c>
      <c r="D106" s="303">
        <v>2051</v>
      </c>
    </row>
    <row r="107" spans="1:11" x14ac:dyDescent="0.35">
      <c r="A107" s="315" t="s">
        <v>144</v>
      </c>
      <c r="B107" s="303">
        <v>0</v>
      </c>
      <c r="C107" s="303">
        <v>2025</v>
      </c>
      <c r="D107" s="303">
        <v>2051</v>
      </c>
    </row>
    <row r="108" spans="1:11" x14ac:dyDescent="0.35">
      <c r="A108" s="315" t="s">
        <v>85</v>
      </c>
      <c r="B108" s="303">
        <v>0</v>
      </c>
      <c r="C108" s="303">
        <v>2025</v>
      </c>
      <c r="D108" s="303">
        <v>2051</v>
      </c>
    </row>
    <row r="109" spans="1:11" x14ac:dyDescent="0.35">
      <c r="A109" s="315" t="s">
        <v>145</v>
      </c>
      <c r="B109" s="303">
        <v>0</v>
      </c>
      <c r="C109" s="303">
        <v>2025</v>
      </c>
      <c r="D109" s="303">
        <v>2051</v>
      </c>
    </row>
    <row r="110" spans="1:11" x14ac:dyDescent="0.35">
      <c r="A110" s="315" t="s">
        <v>87</v>
      </c>
      <c r="B110" s="303">
        <v>0</v>
      </c>
      <c r="C110" s="303">
        <v>2025</v>
      </c>
      <c r="D110" s="303">
        <v>2051</v>
      </c>
    </row>
    <row r="111" spans="1:11" x14ac:dyDescent="0.35">
      <c r="A111" s="315" t="s">
        <v>146</v>
      </c>
      <c r="B111" s="303">
        <v>0</v>
      </c>
      <c r="C111" s="303">
        <v>2025</v>
      </c>
      <c r="D111" s="303">
        <v>2051</v>
      </c>
    </row>
    <row r="112" spans="1:11" x14ac:dyDescent="0.35">
      <c r="A112" s="315" t="s">
        <v>89</v>
      </c>
      <c r="B112" s="303">
        <v>0</v>
      </c>
      <c r="C112" s="303">
        <v>2025</v>
      </c>
      <c r="D112" s="303">
        <v>2051</v>
      </c>
    </row>
    <row r="113" spans="1:13" x14ac:dyDescent="0.35">
      <c r="A113" s="315" t="s">
        <v>90</v>
      </c>
      <c r="B113" s="303">
        <v>0</v>
      </c>
      <c r="C113" s="303">
        <v>2025</v>
      </c>
      <c r="D113" s="303">
        <v>2051</v>
      </c>
    </row>
    <row r="114" spans="1:13" x14ac:dyDescent="0.35">
      <c r="A114" s="331"/>
      <c r="B114" s="304" t="s">
        <v>232</v>
      </c>
      <c r="C114" s="304" t="s">
        <v>233</v>
      </c>
      <c r="D114" s="304" t="s">
        <v>234</v>
      </c>
      <c r="E114" s="304" t="s">
        <v>235</v>
      </c>
      <c r="F114" s="304" t="s">
        <v>236</v>
      </c>
      <c r="G114" s="304" t="s">
        <v>237</v>
      </c>
      <c r="H114" s="304" t="s">
        <v>238</v>
      </c>
      <c r="I114" s="304" t="s">
        <v>239</v>
      </c>
      <c r="J114" s="304" t="s">
        <v>240</v>
      </c>
      <c r="K114" s="304" t="s">
        <v>241</v>
      </c>
      <c r="L114" s="304" t="s">
        <v>242</v>
      </c>
      <c r="M114" s="304" t="s">
        <v>243</v>
      </c>
    </row>
    <row r="115" spans="1:13" x14ac:dyDescent="0.35">
      <c r="A115" s="32" t="s">
        <v>1500</v>
      </c>
      <c r="B115" s="326" t="s">
        <v>1012</v>
      </c>
      <c r="C115" s="326" t="str">
        <f t="shared" ref="C115:M115" si="0">+B115</f>
        <v>Protected = 0 , if it is not protected =1</v>
      </c>
      <c r="D115" s="326" t="str">
        <f t="shared" si="0"/>
        <v>Protected = 0 , if it is not protected =1</v>
      </c>
      <c r="E115" s="326" t="str">
        <f t="shared" si="0"/>
        <v>Protected = 0 , if it is not protected =1</v>
      </c>
      <c r="F115" s="326" t="str">
        <f t="shared" si="0"/>
        <v>Protected = 0 , if it is not protected =1</v>
      </c>
      <c r="G115" s="326" t="str">
        <f t="shared" si="0"/>
        <v>Protected = 0 , if it is not protected =1</v>
      </c>
      <c r="H115" s="326" t="str">
        <f t="shared" si="0"/>
        <v>Protected = 0 , if it is not protected =1</v>
      </c>
      <c r="I115" s="326" t="str">
        <f t="shared" si="0"/>
        <v>Protected = 0 , if it is not protected =1</v>
      </c>
      <c r="J115" s="326" t="str">
        <f t="shared" si="0"/>
        <v>Protected = 0 , if it is not protected =1</v>
      </c>
      <c r="K115" s="326" t="str">
        <f t="shared" si="0"/>
        <v>Protected = 0 , if it is not protected =1</v>
      </c>
      <c r="L115" s="326" t="str">
        <f t="shared" si="0"/>
        <v>Protected = 0 , if it is not protected =1</v>
      </c>
      <c r="M115" s="326" t="str">
        <f t="shared" si="0"/>
        <v>Protected = 0 , if it is not protected =1</v>
      </c>
    </row>
    <row r="116" spans="1:13" x14ac:dyDescent="0.35">
      <c r="A116" s="331" t="s">
        <v>143</v>
      </c>
      <c r="B116" s="303">
        <v>0</v>
      </c>
      <c r="C116" s="303">
        <v>0</v>
      </c>
      <c r="D116" s="303">
        <v>0</v>
      </c>
      <c r="E116" s="303">
        <v>0</v>
      </c>
      <c r="F116" s="303">
        <v>0</v>
      </c>
      <c r="G116" s="303">
        <v>1</v>
      </c>
      <c r="H116" s="303">
        <v>1</v>
      </c>
      <c r="I116" s="303">
        <v>1</v>
      </c>
      <c r="J116" s="303">
        <v>1</v>
      </c>
      <c r="K116" s="303">
        <v>1</v>
      </c>
      <c r="L116" s="303">
        <v>1</v>
      </c>
      <c r="M116" s="303">
        <v>1</v>
      </c>
    </row>
    <row r="117" spans="1:13" x14ac:dyDescent="0.35">
      <c r="A117" s="331" t="s">
        <v>83</v>
      </c>
      <c r="B117" s="303">
        <v>0</v>
      </c>
      <c r="C117" s="303">
        <v>0</v>
      </c>
      <c r="D117" s="303">
        <v>0</v>
      </c>
      <c r="E117" s="303">
        <v>0</v>
      </c>
      <c r="F117" s="303">
        <v>0</v>
      </c>
      <c r="G117" s="303">
        <v>1</v>
      </c>
      <c r="H117" s="303">
        <v>1</v>
      </c>
      <c r="I117" s="303">
        <v>1</v>
      </c>
      <c r="J117" s="303">
        <v>1</v>
      </c>
      <c r="K117" s="303">
        <v>1</v>
      </c>
      <c r="L117" s="303">
        <v>1</v>
      </c>
      <c r="M117" s="303">
        <v>1</v>
      </c>
    </row>
    <row r="118" spans="1:13" x14ac:dyDescent="0.35">
      <c r="A118" s="331" t="s">
        <v>144</v>
      </c>
      <c r="B118" s="303">
        <v>0</v>
      </c>
      <c r="C118" s="303">
        <v>0</v>
      </c>
      <c r="D118" s="303">
        <v>0</v>
      </c>
      <c r="E118" s="303">
        <v>0</v>
      </c>
      <c r="F118" s="303">
        <v>0</v>
      </c>
      <c r="G118" s="303">
        <v>1</v>
      </c>
      <c r="H118" s="303">
        <v>1</v>
      </c>
      <c r="I118" s="303">
        <v>1</v>
      </c>
      <c r="J118" s="303">
        <v>1</v>
      </c>
      <c r="K118" s="303">
        <v>1</v>
      </c>
      <c r="L118" s="303">
        <v>1</v>
      </c>
      <c r="M118" s="303">
        <v>1</v>
      </c>
    </row>
    <row r="119" spans="1:13" x14ac:dyDescent="0.35">
      <c r="A119" s="331" t="s">
        <v>164</v>
      </c>
      <c r="B119" s="303">
        <v>0</v>
      </c>
      <c r="C119" s="303">
        <v>0</v>
      </c>
      <c r="D119" s="303">
        <v>0</v>
      </c>
      <c r="E119" s="303">
        <v>0</v>
      </c>
      <c r="F119" s="303">
        <v>0</v>
      </c>
      <c r="G119" s="303">
        <v>1</v>
      </c>
      <c r="H119" s="303">
        <v>1</v>
      </c>
      <c r="I119" s="303">
        <v>1</v>
      </c>
      <c r="J119" s="303">
        <v>1</v>
      </c>
      <c r="K119" s="303">
        <v>1</v>
      </c>
      <c r="L119" s="303">
        <v>1</v>
      </c>
      <c r="M119" s="303">
        <v>1</v>
      </c>
    </row>
    <row r="120" spans="1:13" x14ac:dyDescent="0.35">
      <c r="A120" s="331" t="s">
        <v>145</v>
      </c>
      <c r="B120" s="303">
        <v>0</v>
      </c>
      <c r="C120" s="303">
        <v>0</v>
      </c>
      <c r="D120" s="303">
        <v>0</v>
      </c>
      <c r="E120" s="303">
        <v>0</v>
      </c>
      <c r="F120" s="303">
        <v>0</v>
      </c>
      <c r="G120" s="303">
        <v>1</v>
      </c>
      <c r="H120" s="303">
        <v>1</v>
      </c>
      <c r="I120" s="303">
        <v>1</v>
      </c>
      <c r="J120" s="303">
        <v>1</v>
      </c>
      <c r="K120" s="303">
        <v>1</v>
      </c>
      <c r="L120" s="303">
        <v>1</v>
      </c>
      <c r="M120" s="303">
        <v>1</v>
      </c>
    </row>
    <row r="121" spans="1:13" x14ac:dyDescent="0.35">
      <c r="A121" s="331" t="s">
        <v>87</v>
      </c>
      <c r="B121" s="303">
        <v>0</v>
      </c>
      <c r="C121" s="303">
        <v>0</v>
      </c>
      <c r="D121" s="303">
        <v>0</v>
      </c>
      <c r="E121" s="303">
        <v>0</v>
      </c>
      <c r="F121" s="303">
        <v>0</v>
      </c>
      <c r="G121" s="303">
        <v>1</v>
      </c>
      <c r="H121" s="303">
        <v>1</v>
      </c>
      <c r="I121" s="303">
        <v>1</v>
      </c>
      <c r="J121" s="303">
        <v>1</v>
      </c>
      <c r="K121" s="303">
        <v>1</v>
      </c>
      <c r="L121" s="303">
        <v>1</v>
      </c>
      <c r="M121" s="303">
        <v>1</v>
      </c>
    </row>
    <row r="122" spans="1:13" x14ac:dyDescent="0.35">
      <c r="A122" s="331" t="s">
        <v>1013</v>
      </c>
      <c r="B122" s="303">
        <v>0</v>
      </c>
      <c r="C122" s="303">
        <v>0</v>
      </c>
      <c r="D122" s="303">
        <v>0</v>
      </c>
      <c r="E122" s="303">
        <v>0</v>
      </c>
      <c r="F122" s="303">
        <v>0</v>
      </c>
      <c r="G122" s="303">
        <v>1</v>
      </c>
      <c r="H122" s="303">
        <v>1</v>
      </c>
      <c r="I122" s="303">
        <v>1</v>
      </c>
      <c r="J122" s="303">
        <v>1</v>
      </c>
      <c r="K122" s="303">
        <v>1</v>
      </c>
      <c r="L122" s="303">
        <v>1</v>
      </c>
      <c r="M122" s="303">
        <v>1</v>
      </c>
    </row>
    <row r="123" spans="1:13" x14ac:dyDescent="0.35">
      <c r="A123" s="331" t="s">
        <v>89</v>
      </c>
      <c r="B123" s="303">
        <v>0</v>
      </c>
      <c r="C123" s="303">
        <v>0</v>
      </c>
      <c r="D123" s="303">
        <v>0</v>
      </c>
      <c r="E123" s="303">
        <v>0</v>
      </c>
      <c r="F123" s="303">
        <v>0</v>
      </c>
      <c r="G123" s="303">
        <v>1</v>
      </c>
      <c r="H123" s="303">
        <v>1</v>
      </c>
      <c r="I123" s="303">
        <v>1</v>
      </c>
      <c r="J123" s="303">
        <v>1</v>
      </c>
      <c r="K123" s="303">
        <v>1</v>
      </c>
      <c r="L123" s="303">
        <v>1</v>
      </c>
      <c r="M123" s="303">
        <v>1</v>
      </c>
    </row>
    <row r="124" spans="1:13" x14ac:dyDescent="0.35">
      <c r="A124" s="331" t="s">
        <v>90</v>
      </c>
      <c r="B124" s="303">
        <v>0</v>
      </c>
      <c r="C124" s="303">
        <v>0</v>
      </c>
      <c r="D124" s="303">
        <v>0</v>
      </c>
      <c r="E124" s="303">
        <v>0</v>
      </c>
      <c r="F124" s="303">
        <v>0</v>
      </c>
      <c r="G124" s="303">
        <v>1</v>
      </c>
      <c r="H124" s="303">
        <v>1</v>
      </c>
      <c r="I124" s="303">
        <v>1</v>
      </c>
      <c r="J124" s="303">
        <v>1</v>
      </c>
      <c r="K124" s="303">
        <v>1</v>
      </c>
      <c r="L124" s="303">
        <v>1</v>
      </c>
      <c r="M124" s="303">
        <v>1</v>
      </c>
    </row>
    <row r="126" spans="1:13" x14ac:dyDescent="0.35">
      <c r="A126" s="298" t="s">
        <v>1014</v>
      </c>
    </row>
    <row r="127" spans="1:13" x14ac:dyDescent="0.35">
      <c r="A127" s="299"/>
      <c r="B127" s="299" t="s">
        <v>1015</v>
      </c>
      <c r="C127" s="299" t="s">
        <v>1014</v>
      </c>
    </row>
    <row r="128" spans="1:13" x14ac:dyDescent="0.35">
      <c r="A128" s="300" t="s">
        <v>378</v>
      </c>
      <c r="B128" s="301" t="s">
        <v>128</v>
      </c>
      <c r="C128" s="301" t="s">
        <v>128</v>
      </c>
    </row>
    <row r="129" spans="1:11" x14ac:dyDescent="0.35">
      <c r="A129" s="302" t="s">
        <v>143</v>
      </c>
      <c r="B129" s="303">
        <v>0</v>
      </c>
      <c r="C129" s="303">
        <v>1</v>
      </c>
    </row>
    <row r="130" spans="1:11" x14ac:dyDescent="0.35">
      <c r="A130" s="302" t="s">
        <v>83</v>
      </c>
      <c r="B130" s="303">
        <v>0</v>
      </c>
      <c r="C130" s="303">
        <v>1</v>
      </c>
    </row>
    <row r="131" spans="1:11" x14ac:dyDescent="0.35">
      <c r="A131" s="302" t="s">
        <v>144</v>
      </c>
      <c r="B131" s="303">
        <v>0</v>
      </c>
      <c r="C131" s="303">
        <v>1</v>
      </c>
    </row>
    <row r="132" spans="1:11" x14ac:dyDescent="0.35">
      <c r="A132" s="302" t="s">
        <v>164</v>
      </c>
      <c r="B132" s="303">
        <v>0</v>
      </c>
      <c r="C132" s="303">
        <v>1</v>
      </c>
    </row>
    <row r="133" spans="1:11" x14ac:dyDescent="0.35">
      <c r="A133" s="302" t="s">
        <v>145</v>
      </c>
      <c r="B133" s="303">
        <v>0</v>
      </c>
      <c r="C133" s="303">
        <v>1</v>
      </c>
    </row>
    <row r="134" spans="1:11" x14ac:dyDescent="0.35">
      <c r="A134" s="302" t="s">
        <v>87</v>
      </c>
      <c r="B134" s="303">
        <v>0</v>
      </c>
      <c r="C134" s="303">
        <v>1</v>
      </c>
    </row>
    <row r="135" spans="1:11" x14ac:dyDescent="0.35">
      <c r="A135" s="302" t="s">
        <v>146</v>
      </c>
      <c r="B135" s="303">
        <v>0</v>
      </c>
      <c r="C135" s="303">
        <v>1</v>
      </c>
    </row>
    <row r="136" spans="1:11" x14ac:dyDescent="0.35">
      <c r="A136" s="302" t="s">
        <v>89</v>
      </c>
      <c r="B136" s="303">
        <v>0</v>
      </c>
      <c r="C136" s="303">
        <v>1</v>
      </c>
    </row>
    <row r="137" spans="1:11" x14ac:dyDescent="0.35">
      <c r="A137" s="302" t="s">
        <v>90</v>
      </c>
      <c r="B137" s="303">
        <v>0</v>
      </c>
      <c r="C137" s="303">
        <v>1</v>
      </c>
    </row>
    <row r="138" spans="1:11" x14ac:dyDescent="0.35">
      <c r="A138" s="129"/>
    </row>
    <row r="139" spans="1:11" x14ac:dyDescent="0.35">
      <c r="A139" s="298" t="s">
        <v>700</v>
      </c>
      <c r="B139" s="56"/>
      <c r="C139" s="51"/>
      <c r="D139" s="51"/>
      <c r="E139" s="51"/>
      <c r="F139" s="51"/>
      <c r="G139" s="51"/>
      <c r="H139" s="51"/>
      <c r="I139" s="51"/>
      <c r="J139" s="51"/>
      <c r="K139" s="51"/>
    </row>
    <row r="140" spans="1:11" x14ac:dyDescent="0.35">
      <c r="A140" s="305"/>
      <c r="B140" s="304" t="s">
        <v>701</v>
      </c>
      <c r="C140" s="304" t="s">
        <v>702</v>
      </c>
      <c r="D140" s="304" t="s">
        <v>703</v>
      </c>
      <c r="E140" s="56"/>
    </row>
    <row r="141" spans="1:11" x14ac:dyDescent="0.35">
      <c r="A141" s="300" t="s">
        <v>704</v>
      </c>
      <c r="B141" s="305" t="s">
        <v>128</v>
      </c>
      <c r="C141" s="305" t="s">
        <v>322</v>
      </c>
      <c r="D141" s="305" t="s">
        <v>322</v>
      </c>
      <c r="E141" s="55"/>
    </row>
    <row r="142" spans="1:11" x14ac:dyDescent="0.35">
      <c r="A142" s="359" t="s">
        <v>143</v>
      </c>
      <c r="B142" s="306">
        <v>0</v>
      </c>
      <c r="C142" s="306">
        <v>2015</v>
      </c>
      <c r="D142" s="306">
        <v>2030</v>
      </c>
      <c r="E142" s="51"/>
      <c r="G142" s="56"/>
      <c r="H142" s="56"/>
      <c r="I142" s="56"/>
      <c r="J142" s="56"/>
      <c r="K142" s="56"/>
    </row>
    <row r="143" spans="1:11" x14ac:dyDescent="0.35">
      <c r="A143" s="359" t="s">
        <v>83</v>
      </c>
      <c r="B143" s="306">
        <v>0</v>
      </c>
      <c r="C143" s="306">
        <v>2015</v>
      </c>
      <c r="D143" s="306">
        <v>2030</v>
      </c>
      <c r="E143" s="51"/>
      <c r="G143" s="51"/>
      <c r="H143" s="51"/>
      <c r="I143" s="51"/>
      <c r="J143" s="51"/>
      <c r="K143" s="51"/>
    </row>
    <row r="144" spans="1:11" x14ac:dyDescent="0.35">
      <c r="A144" s="359" t="s">
        <v>144</v>
      </c>
      <c r="B144" s="306">
        <v>0</v>
      </c>
      <c r="C144" s="306">
        <v>2015</v>
      </c>
      <c r="D144" s="306">
        <v>2030</v>
      </c>
      <c r="E144" s="51"/>
      <c r="G144" s="51"/>
      <c r="H144" s="51"/>
      <c r="I144" s="51"/>
      <c r="J144" s="51"/>
      <c r="K144" s="51"/>
    </row>
    <row r="145" spans="1:14" x14ac:dyDescent="0.35">
      <c r="A145" s="359" t="s">
        <v>164</v>
      </c>
      <c r="B145" s="306">
        <v>0</v>
      </c>
      <c r="C145" s="306">
        <v>2015</v>
      </c>
      <c r="D145" s="306">
        <v>2030</v>
      </c>
      <c r="E145" s="51"/>
      <c r="G145" s="51"/>
      <c r="H145" s="51"/>
      <c r="I145" s="51"/>
      <c r="J145" s="51"/>
      <c r="K145" s="51"/>
    </row>
    <row r="146" spans="1:14" x14ac:dyDescent="0.35">
      <c r="A146" s="359" t="s">
        <v>145</v>
      </c>
      <c r="B146" s="306">
        <v>0</v>
      </c>
      <c r="C146" s="306">
        <v>2015</v>
      </c>
      <c r="D146" s="306">
        <v>2030</v>
      </c>
      <c r="E146" s="51"/>
      <c r="G146" s="51"/>
      <c r="H146" s="51"/>
      <c r="I146" s="51"/>
      <c r="J146" s="51"/>
      <c r="K146" s="51"/>
    </row>
    <row r="147" spans="1:14" x14ac:dyDescent="0.35">
      <c r="A147" s="359" t="s">
        <v>87</v>
      </c>
      <c r="B147" s="306">
        <v>0</v>
      </c>
      <c r="C147" s="306">
        <v>2015</v>
      </c>
      <c r="D147" s="306">
        <v>2030</v>
      </c>
      <c r="E147" s="51"/>
      <c r="F147" s="51"/>
      <c r="G147" s="51"/>
      <c r="H147" s="51"/>
      <c r="I147" s="51"/>
      <c r="J147" s="51"/>
      <c r="K147" s="51"/>
      <c r="L147" s="51"/>
    </row>
    <row r="148" spans="1:14" x14ac:dyDescent="0.35">
      <c r="A148" s="359" t="s">
        <v>146</v>
      </c>
      <c r="B148" s="306">
        <v>0</v>
      </c>
      <c r="C148" s="306">
        <v>2015</v>
      </c>
      <c r="D148" s="306">
        <v>2030</v>
      </c>
      <c r="E148" s="51"/>
      <c r="F148" s="51"/>
      <c r="G148" s="51"/>
      <c r="H148" s="51"/>
      <c r="I148" s="51"/>
      <c r="J148" s="51"/>
      <c r="K148" s="51"/>
    </row>
    <row r="149" spans="1:14" x14ac:dyDescent="0.35">
      <c r="A149" s="359" t="s">
        <v>89</v>
      </c>
      <c r="B149" s="306">
        <v>0</v>
      </c>
      <c r="C149" s="306">
        <v>2015</v>
      </c>
      <c r="D149" s="306">
        <v>2030</v>
      </c>
      <c r="E149" s="51"/>
      <c r="F149" s="56"/>
      <c r="G149" s="56"/>
      <c r="H149" s="56"/>
      <c r="I149" s="56"/>
      <c r="J149" s="56"/>
      <c r="K149" s="56"/>
    </row>
    <row r="150" spans="1:14" x14ac:dyDescent="0.35">
      <c r="A150" s="359" t="s">
        <v>90</v>
      </c>
      <c r="B150" s="306">
        <v>0</v>
      </c>
      <c r="C150" s="306">
        <v>2015</v>
      </c>
      <c r="D150" s="306">
        <v>2030</v>
      </c>
      <c r="E150" s="51"/>
      <c r="F150" s="51"/>
      <c r="G150" s="51"/>
      <c r="H150" s="51"/>
      <c r="I150" s="51"/>
      <c r="J150" s="51"/>
      <c r="K150" s="51"/>
    </row>
    <row r="151" spans="1:14" x14ac:dyDescent="0.35">
      <c r="A151" s="129"/>
    </row>
    <row r="152" spans="1:14" ht="17.25" customHeight="1" x14ac:dyDescent="0.35">
      <c r="A152" s="298" t="s">
        <v>2057</v>
      </c>
      <c r="B152" s="59"/>
      <c r="C152" s="59"/>
      <c r="D152" s="59"/>
      <c r="E152" s="59"/>
      <c r="F152" s="59"/>
      <c r="G152" s="59"/>
      <c r="H152" s="46"/>
      <c r="I152" s="46"/>
      <c r="J152" s="46"/>
      <c r="K152" s="46"/>
      <c r="L152" s="46"/>
    </row>
    <row r="153" spans="1:14" x14ac:dyDescent="0.35">
      <c r="A153" s="325" t="s">
        <v>705</v>
      </c>
      <c r="B153" s="304" t="s">
        <v>232</v>
      </c>
      <c r="C153" s="304" t="s">
        <v>233</v>
      </c>
      <c r="D153" s="304" t="s">
        <v>234</v>
      </c>
      <c r="E153" s="304" t="s">
        <v>235</v>
      </c>
      <c r="F153" s="304" t="s">
        <v>236</v>
      </c>
      <c r="G153" s="304" t="s">
        <v>237</v>
      </c>
      <c r="H153" s="304" t="s">
        <v>238</v>
      </c>
      <c r="I153" s="304" t="s">
        <v>239</v>
      </c>
      <c r="J153" s="304" t="s">
        <v>240</v>
      </c>
      <c r="K153" s="304" t="s">
        <v>241</v>
      </c>
      <c r="L153" s="304" t="s">
        <v>242</v>
      </c>
      <c r="M153" s="304" t="s">
        <v>243</v>
      </c>
    </row>
    <row r="154" spans="1:14" x14ac:dyDescent="0.35">
      <c r="A154" s="325" t="s">
        <v>358</v>
      </c>
      <c r="B154" s="326" t="s">
        <v>706</v>
      </c>
      <c r="C154" s="326" t="s">
        <v>706</v>
      </c>
      <c r="D154" s="326" t="s">
        <v>706</v>
      </c>
      <c r="E154" s="326" t="s">
        <v>706</v>
      </c>
      <c r="F154" s="326" t="s">
        <v>706</v>
      </c>
      <c r="G154" s="326" t="s">
        <v>706</v>
      </c>
      <c r="H154" s="326" t="s">
        <v>706</v>
      </c>
      <c r="I154" s="326" t="s">
        <v>706</v>
      </c>
      <c r="J154" s="326" t="s">
        <v>706</v>
      </c>
      <c r="K154" s="326" t="s">
        <v>706</v>
      </c>
      <c r="L154" s="326" t="s">
        <v>706</v>
      </c>
      <c r="M154" s="326" t="s">
        <v>706</v>
      </c>
    </row>
    <row r="155" spans="1:14" x14ac:dyDescent="0.35">
      <c r="A155" s="315" t="s">
        <v>143</v>
      </c>
      <c r="B155" s="307">
        <v>0</v>
      </c>
      <c r="C155" s="307">
        <v>0</v>
      </c>
      <c r="D155" s="307">
        <v>0</v>
      </c>
      <c r="E155" s="307">
        <v>0</v>
      </c>
      <c r="F155" s="307">
        <v>0</v>
      </c>
      <c r="G155" s="307">
        <f>0.125</f>
        <v>0.125</v>
      </c>
      <c r="H155" s="307">
        <f>0.125</f>
        <v>0.125</v>
      </c>
      <c r="I155" s="307">
        <v>0</v>
      </c>
      <c r="J155" s="307">
        <v>0</v>
      </c>
      <c r="K155" s="307">
        <v>0</v>
      </c>
      <c r="L155" s="307">
        <v>0</v>
      </c>
      <c r="M155" s="307">
        <f t="shared" ref="M155:M163" si="1">0.75</f>
        <v>0.75</v>
      </c>
      <c r="N155" s="130">
        <f t="shared" ref="N155:N163" si="2">SUM(B155:M155)</f>
        <v>1</v>
      </c>
    </row>
    <row r="156" spans="1:14" x14ac:dyDescent="0.35">
      <c r="A156" s="315" t="s">
        <v>83</v>
      </c>
      <c r="B156" s="307">
        <v>0</v>
      </c>
      <c r="C156" s="307">
        <v>0</v>
      </c>
      <c r="D156" s="307">
        <v>0</v>
      </c>
      <c r="E156" s="307">
        <v>0</v>
      </c>
      <c r="F156" s="307">
        <v>0</v>
      </c>
      <c r="G156" s="307">
        <v>0.125</v>
      </c>
      <c r="H156" s="307">
        <v>0.125</v>
      </c>
      <c r="I156" s="307">
        <v>0</v>
      </c>
      <c r="J156" s="307">
        <v>0</v>
      </c>
      <c r="K156" s="307">
        <v>0</v>
      </c>
      <c r="L156" s="307">
        <v>0</v>
      </c>
      <c r="M156" s="307">
        <f t="shared" si="1"/>
        <v>0.75</v>
      </c>
      <c r="N156" s="130">
        <f t="shared" si="2"/>
        <v>1</v>
      </c>
    </row>
    <row r="157" spans="1:14" x14ac:dyDescent="0.35">
      <c r="A157" s="315" t="s">
        <v>144</v>
      </c>
      <c r="B157" s="307">
        <v>0</v>
      </c>
      <c r="C157" s="307">
        <v>0</v>
      </c>
      <c r="D157" s="307">
        <v>0</v>
      </c>
      <c r="E157" s="307">
        <v>0</v>
      </c>
      <c r="F157" s="307">
        <v>0</v>
      </c>
      <c r="G157" s="307">
        <v>0.125</v>
      </c>
      <c r="H157" s="307">
        <v>0.125</v>
      </c>
      <c r="I157" s="307">
        <v>0</v>
      </c>
      <c r="J157" s="307">
        <v>0</v>
      </c>
      <c r="K157" s="307">
        <v>0</v>
      </c>
      <c r="L157" s="307">
        <v>0</v>
      </c>
      <c r="M157" s="307">
        <f t="shared" si="1"/>
        <v>0.75</v>
      </c>
      <c r="N157" s="130">
        <f t="shared" si="2"/>
        <v>1</v>
      </c>
    </row>
    <row r="158" spans="1:14" x14ac:dyDescent="0.35">
      <c r="A158" s="315" t="s">
        <v>164</v>
      </c>
      <c r="B158" s="307">
        <v>0</v>
      </c>
      <c r="C158" s="307">
        <v>0</v>
      </c>
      <c r="D158" s="307">
        <v>0</v>
      </c>
      <c r="E158" s="307">
        <v>0</v>
      </c>
      <c r="F158" s="307">
        <v>0</v>
      </c>
      <c r="G158" s="307">
        <v>0.125</v>
      </c>
      <c r="H158" s="307">
        <v>0.125</v>
      </c>
      <c r="I158" s="307">
        <v>0</v>
      </c>
      <c r="J158" s="307">
        <v>0</v>
      </c>
      <c r="K158" s="307">
        <v>0</v>
      </c>
      <c r="L158" s="307">
        <v>0</v>
      </c>
      <c r="M158" s="307">
        <f t="shared" si="1"/>
        <v>0.75</v>
      </c>
      <c r="N158" s="130">
        <f t="shared" si="2"/>
        <v>1</v>
      </c>
    </row>
    <row r="159" spans="1:14" x14ac:dyDescent="0.35">
      <c r="A159" s="315" t="s">
        <v>145</v>
      </c>
      <c r="B159" s="307">
        <v>0</v>
      </c>
      <c r="C159" s="307">
        <v>0</v>
      </c>
      <c r="D159" s="307">
        <v>0</v>
      </c>
      <c r="E159" s="307">
        <v>0</v>
      </c>
      <c r="F159" s="307">
        <v>0</v>
      </c>
      <c r="G159" s="307">
        <v>0.125</v>
      </c>
      <c r="H159" s="307">
        <v>0.125</v>
      </c>
      <c r="I159" s="307">
        <v>0</v>
      </c>
      <c r="J159" s="307">
        <v>0</v>
      </c>
      <c r="K159" s="307">
        <v>0</v>
      </c>
      <c r="L159" s="307">
        <v>0</v>
      </c>
      <c r="M159" s="307">
        <f t="shared" si="1"/>
        <v>0.75</v>
      </c>
      <c r="N159" s="130">
        <f t="shared" si="2"/>
        <v>1</v>
      </c>
    </row>
    <row r="160" spans="1:14" x14ac:dyDescent="0.35">
      <c r="A160" s="315" t="s">
        <v>87</v>
      </c>
      <c r="B160" s="307">
        <v>0</v>
      </c>
      <c r="C160" s="307">
        <v>0</v>
      </c>
      <c r="D160" s="307">
        <v>0</v>
      </c>
      <c r="E160" s="307">
        <v>0</v>
      </c>
      <c r="F160" s="307">
        <v>0</v>
      </c>
      <c r="G160" s="307">
        <v>0.125</v>
      </c>
      <c r="H160" s="307">
        <v>0.125</v>
      </c>
      <c r="I160" s="307">
        <v>0</v>
      </c>
      <c r="J160" s="307">
        <v>0</v>
      </c>
      <c r="K160" s="307">
        <v>0</v>
      </c>
      <c r="L160" s="307">
        <v>0</v>
      </c>
      <c r="M160" s="307">
        <f t="shared" si="1"/>
        <v>0.75</v>
      </c>
      <c r="N160" s="130">
        <f t="shared" si="2"/>
        <v>1</v>
      </c>
    </row>
    <row r="161" spans="1:14" x14ac:dyDescent="0.35">
      <c r="A161" s="315" t="s">
        <v>146</v>
      </c>
      <c r="B161" s="307">
        <v>0</v>
      </c>
      <c r="C161" s="307">
        <v>0</v>
      </c>
      <c r="D161" s="307">
        <v>0</v>
      </c>
      <c r="E161" s="307">
        <v>0</v>
      </c>
      <c r="F161" s="307">
        <v>0</v>
      </c>
      <c r="G161" s="307">
        <v>0.125</v>
      </c>
      <c r="H161" s="307">
        <v>0.125</v>
      </c>
      <c r="I161" s="307">
        <v>0</v>
      </c>
      <c r="J161" s="307">
        <v>0</v>
      </c>
      <c r="K161" s="307">
        <v>0</v>
      </c>
      <c r="L161" s="307">
        <v>0</v>
      </c>
      <c r="M161" s="307">
        <f t="shared" si="1"/>
        <v>0.75</v>
      </c>
      <c r="N161" s="130">
        <f t="shared" si="2"/>
        <v>1</v>
      </c>
    </row>
    <row r="162" spans="1:14" x14ac:dyDescent="0.35">
      <c r="A162" s="315" t="s">
        <v>89</v>
      </c>
      <c r="B162" s="307">
        <v>0</v>
      </c>
      <c r="C162" s="307">
        <v>0</v>
      </c>
      <c r="D162" s="307">
        <v>0</v>
      </c>
      <c r="E162" s="307">
        <v>0</v>
      </c>
      <c r="F162" s="307">
        <v>0</v>
      </c>
      <c r="G162" s="307">
        <v>0.125</v>
      </c>
      <c r="H162" s="307">
        <v>0.125</v>
      </c>
      <c r="I162" s="307">
        <v>0</v>
      </c>
      <c r="J162" s="307">
        <v>0</v>
      </c>
      <c r="K162" s="307">
        <v>0</v>
      </c>
      <c r="L162" s="307">
        <v>0</v>
      </c>
      <c r="M162" s="307">
        <f t="shared" si="1"/>
        <v>0.75</v>
      </c>
      <c r="N162" s="130">
        <f t="shared" si="2"/>
        <v>1</v>
      </c>
    </row>
    <row r="163" spans="1:14" x14ac:dyDescent="0.35">
      <c r="A163" s="315" t="s">
        <v>90</v>
      </c>
      <c r="B163" s="307">
        <v>0</v>
      </c>
      <c r="C163" s="307">
        <v>0</v>
      </c>
      <c r="D163" s="307">
        <v>0</v>
      </c>
      <c r="E163" s="307">
        <v>0</v>
      </c>
      <c r="F163" s="307">
        <v>0</v>
      </c>
      <c r="G163" s="307">
        <v>0.125</v>
      </c>
      <c r="H163" s="307">
        <v>0.125</v>
      </c>
      <c r="I163" s="307">
        <v>0</v>
      </c>
      <c r="J163" s="307">
        <v>0</v>
      </c>
      <c r="K163" s="307">
        <v>0</v>
      </c>
      <c r="L163" s="307">
        <v>0</v>
      </c>
      <c r="M163" s="307">
        <f t="shared" si="1"/>
        <v>0.75</v>
      </c>
      <c r="N163" s="130">
        <f t="shared" si="2"/>
        <v>1</v>
      </c>
    </row>
    <row r="164" spans="1:14" s="300" customFormat="1" x14ac:dyDescent="0.35"/>
    <row r="165" spans="1:14" x14ac:dyDescent="0.35">
      <c r="A165" s="298" t="s">
        <v>829</v>
      </c>
    </row>
    <row r="166" spans="1:14" x14ac:dyDescent="0.35">
      <c r="A166" s="315" t="s">
        <v>828</v>
      </c>
    </row>
    <row r="167" spans="1:14" x14ac:dyDescent="0.35">
      <c r="A167" s="309" t="s">
        <v>168</v>
      </c>
      <c r="B167" s="310" t="s">
        <v>169</v>
      </c>
    </row>
    <row r="168" spans="1:14" x14ac:dyDescent="0.35">
      <c r="A168" s="311">
        <v>0</v>
      </c>
      <c r="B168" s="311" t="s">
        <v>739</v>
      </c>
    </row>
    <row r="169" spans="1:14" x14ac:dyDescent="0.35">
      <c r="A169" s="311">
        <v>1</v>
      </c>
      <c r="B169" s="311" t="s">
        <v>740</v>
      </c>
    </row>
    <row r="170" spans="1:14" x14ac:dyDescent="0.35">
      <c r="A170" s="311">
        <v>2</v>
      </c>
      <c r="B170" s="311" t="s">
        <v>741</v>
      </c>
    </row>
    <row r="171" spans="1:14" x14ac:dyDescent="0.35">
      <c r="A171" s="312" t="s">
        <v>170</v>
      </c>
      <c r="B171" s="303">
        <v>0</v>
      </c>
    </row>
    <row r="172" spans="1:14" x14ac:dyDescent="0.35">
      <c r="A172" s="55"/>
      <c r="B172" s="51"/>
      <c r="F172" s="55"/>
    </row>
    <row r="173" spans="1:14" x14ac:dyDescent="0.35">
      <c r="A173" s="298" t="s">
        <v>688</v>
      </c>
      <c r="B173" s="304" t="s">
        <v>689</v>
      </c>
      <c r="C173" s="304" t="s">
        <v>690</v>
      </c>
      <c r="D173" s="304" t="s">
        <v>691</v>
      </c>
      <c r="E173" s="304" t="s">
        <v>692</v>
      </c>
      <c r="F173" s="56"/>
    </row>
    <row r="174" spans="1:14" ht="17.5" customHeight="1" x14ac:dyDescent="0.35">
      <c r="A174" s="309" t="s">
        <v>694</v>
      </c>
      <c r="B174" s="301" t="s">
        <v>128</v>
      </c>
      <c r="C174" s="301" t="s">
        <v>322</v>
      </c>
      <c r="D174" s="301" t="s">
        <v>322</v>
      </c>
      <c r="E174" s="301" t="s">
        <v>693</v>
      </c>
      <c r="F174" s="71"/>
    </row>
    <row r="175" spans="1:14" x14ac:dyDescent="0.35">
      <c r="A175" s="315" t="s">
        <v>143</v>
      </c>
      <c r="B175" s="303">
        <v>0</v>
      </c>
      <c r="C175" s="303">
        <v>2030</v>
      </c>
      <c r="D175" s="303">
        <v>2040</v>
      </c>
      <c r="E175" s="319">
        <v>100</v>
      </c>
    </row>
    <row r="176" spans="1:14" x14ac:dyDescent="0.35">
      <c r="A176" s="315" t="s">
        <v>83</v>
      </c>
      <c r="B176" s="303">
        <v>0</v>
      </c>
      <c r="C176" s="303">
        <v>2030</v>
      </c>
      <c r="D176" s="303">
        <v>2040</v>
      </c>
      <c r="E176" s="319">
        <v>100</v>
      </c>
    </row>
    <row r="177" spans="1:11" x14ac:dyDescent="0.35">
      <c r="A177" s="315" t="s">
        <v>144</v>
      </c>
      <c r="B177" s="303">
        <v>0</v>
      </c>
      <c r="C177" s="303">
        <v>2030</v>
      </c>
      <c r="D177" s="303">
        <v>2040</v>
      </c>
      <c r="E177" s="319">
        <v>80</v>
      </c>
    </row>
    <row r="178" spans="1:11" x14ac:dyDescent="0.35">
      <c r="A178" s="315" t="s">
        <v>85</v>
      </c>
      <c r="B178" s="303">
        <v>0</v>
      </c>
      <c r="C178" s="303">
        <v>2030</v>
      </c>
      <c r="D178" s="303">
        <v>2040</v>
      </c>
      <c r="E178" s="319">
        <v>150</v>
      </c>
    </row>
    <row r="179" spans="1:11" x14ac:dyDescent="0.35">
      <c r="A179" s="315" t="s">
        <v>145</v>
      </c>
      <c r="B179" s="303">
        <v>0</v>
      </c>
      <c r="C179" s="303">
        <v>2030</v>
      </c>
      <c r="D179" s="303">
        <v>2040</v>
      </c>
      <c r="E179" s="319">
        <v>130</v>
      </c>
    </row>
    <row r="180" spans="1:11" x14ac:dyDescent="0.35">
      <c r="A180" s="315" t="s">
        <v>87</v>
      </c>
      <c r="B180" s="303">
        <v>0</v>
      </c>
      <c r="C180" s="303">
        <v>2030</v>
      </c>
      <c r="D180" s="303">
        <v>2040</v>
      </c>
      <c r="E180" s="319">
        <v>80</v>
      </c>
    </row>
    <row r="181" spans="1:11" x14ac:dyDescent="0.35">
      <c r="A181" s="315" t="s">
        <v>146</v>
      </c>
      <c r="B181" s="303">
        <v>0</v>
      </c>
      <c r="C181" s="303">
        <v>2030</v>
      </c>
      <c r="D181" s="303">
        <v>2040</v>
      </c>
      <c r="E181" s="319">
        <v>120</v>
      </c>
    </row>
    <row r="182" spans="1:11" x14ac:dyDescent="0.35">
      <c r="A182" s="315" t="s">
        <v>89</v>
      </c>
      <c r="B182" s="303">
        <v>0</v>
      </c>
      <c r="C182" s="303">
        <v>2030</v>
      </c>
      <c r="D182" s="303">
        <v>2040</v>
      </c>
      <c r="E182" s="319">
        <v>80</v>
      </c>
    </row>
    <row r="183" spans="1:11" x14ac:dyDescent="0.35">
      <c r="A183" s="315" t="s">
        <v>90</v>
      </c>
      <c r="B183" s="303">
        <v>0</v>
      </c>
      <c r="C183" s="303">
        <v>2030</v>
      </c>
      <c r="D183" s="303">
        <v>2040</v>
      </c>
      <c r="E183" s="319">
        <v>200</v>
      </c>
    </row>
    <row r="185" spans="1:11" x14ac:dyDescent="0.35">
      <c r="A185" s="298" t="s">
        <v>2058</v>
      </c>
      <c r="F185" s="51"/>
      <c r="G185" s="51"/>
      <c r="H185" s="51"/>
      <c r="I185" s="51"/>
      <c r="J185" s="51"/>
      <c r="K185" s="51"/>
    </row>
    <row r="186" spans="1:11" x14ac:dyDescent="0.35">
      <c r="A186" s="312" t="s">
        <v>694</v>
      </c>
      <c r="B186" s="304" t="s">
        <v>698</v>
      </c>
      <c r="C186" s="304" t="s">
        <v>234</v>
      </c>
      <c r="D186" s="304" t="s">
        <v>236</v>
      </c>
      <c r="E186" s="304" t="s">
        <v>699</v>
      </c>
    </row>
    <row r="187" spans="1:11" x14ac:dyDescent="0.35">
      <c r="A187" s="359" t="s">
        <v>143</v>
      </c>
      <c r="B187" s="307">
        <v>0.5</v>
      </c>
      <c r="C187" s="307">
        <v>0</v>
      </c>
      <c r="D187" s="307">
        <v>0.5</v>
      </c>
      <c r="E187" s="307">
        <v>0</v>
      </c>
    </row>
    <row r="188" spans="1:11" x14ac:dyDescent="0.35">
      <c r="A188" s="359" t="s">
        <v>83</v>
      </c>
      <c r="B188" s="307">
        <v>0.5</v>
      </c>
      <c r="C188" s="307">
        <v>0</v>
      </c>
      <c r="D188" s="307">
        <v>0.5</v>
      </c>
      <c r="E188" s="307">
        <v>0</v>
      </c>
      <c r="G188" s="56"/>
      <c r="H188" s="56"/>
      <c r="I188" s="56"/>
      <c r="J188" s="56"/>
      <c r="K188" s="56"/>
    </row>
    <row r="189" spans="1:11" x14ac:dyDescent="0.35">
      <c r="A189" s="359" t="s">
        <v>144</v>
      </c>
      <c r="B189" s="307">
        <v>0.5</v>
      </c>
      <c r="C189" s="307">
        <v>0</v>
      </c>
      <c r="D189" s="307">
        <v>0.5</v>
      </c>
      <c r="E189" s="307">
        <v>0</v>
      </c>
      <c r="G189" s="51"/>
      <c r="H189" s="51"/>
      <c r="I189" s="51"/>
      <c r="J189" s="51"/>
      <c r="K189" s="51"/>
    </row>
    <row r="190" spans="1:11" x14ac:dyDescent="0.35">
      <c r="A190" s="359" t="s">
        <v>164</v>
      </c>
      <c r="B190" s="307">
        <v>0.5</v>
      </c>
      <c r="C190" s="307">
        <v>0</v>
      </c>
      <c r="D190" s="307">
        <v>0.5</v>
      </c>
      <c r="E190" s="307">
        <v>0</v>
      </c>
      <c r="G190" s="51"/>
      <c r="H190" s="51"/>
      <c r="I190" s="51"/>
      <c r="J190" s="51"/>
      <c r="K190" s="51"/>
    </row>
    <row r="191" spans="1:11" x14ac:dyDescent="0.35">
      <c r="A191" s="359" t="s">
        <v>145</v>
      </c>
      <c r="B191" s="307">
        <v>0.5</v>
      </c>
      <c r="C191" s="307">
        <v>0</v>
      </c>
      <c r="D191" s="307">
        <v>0.5</v>
      </c>
      <c r="E191" s="307">
        <v>0</v>
      </c>
      <c r="G191" s="51"/>
      <c r="H191" s="51"/>
      <c r="I191" s="51"/>
      <c r="J191" s="51"/>
      <c r="K191" s="51"/>
    </row>
    <row r="192" spans="1:11" x14ac:dyDescent="0.35">
      <c r="A192" s="359" t="s">
        <v>87</v>
      </c>
      <c r="B192" s="307">
        <v>0.5</v>
      </c>
      <c r="C192" s="307">
        <v>0</v>
      </c>
      <c r="D192" s="307">
        <v>0.5</v>
      </c>
      <c r="E192" s="307">
        <v>0</v>
      </c>
      <c r="G192" s="51"/>
      <c r="H192" s="51"/>
      <c r="I192" s="51"/>
      <c r="J192" s="51"/>
      <c r="K192" s="51"/>
    </row>
    <row r="193" spans="1:12" x14ac:dyDescent="0.35">
      <c r="A193" s="359" t="s">
        <v>146</v>
      </c>
      <c r="B193" s="307">
        <v>0.5</v>
      </c>
      <c r="C193" s="307">
        <v>0</v>
      </c>
      <c r="D193" s="307">
        <v>0.5</v>
      </c>
      <c r="E193" s="307">
        <v>0</v>
      </c>
      <c r="F193" s="51"/>
      <c r="G193" s="51"/>
      <c r="H193" s="51"/>
      <c r="I193" s="51"/>
      <c r="J193" s="51"/>
      <c r="K193" s="51"/>
      <c r="L193" s="51"/>
    </row>
    <row r="194" spans="1:12" x14ac:dyDescent="0.35">
      <c r="A194" s="359" t="s">
        <v>89</v>
      </c>
      <c r="B194" s="307">
        <v>0.5</v>
      </c>
      <c r="C194" s="307">
        <v>0</v>
      </c>
      <c r="D194" s="307">
        <v>0.5</v>
      </c>
      <c r="E194" s="307">
        <v>0</v>
      </c>
      <c r="F194" s="51"/>
      <c r="G194" s="51"/>
      <c r="H194" s="51"/>
      <c r="I194" s="51"/>
      <c r="J194" s="51"/>
      <c r="K194" s="51"/>
    </row>
    <row r="195" spans="1:12" x14ac:dyDescent="0.35">
      <c r="A195" s="359" t="s">
        <v>90</v>
      </c>
      <c r="B195" s="307">
        <v>0.5</v>
      </c>
      <c r="C195" s="307">
        <v>0</v>
      </c>
      <c r="D195" s="307">
        <v>0.5</v>
      </c>
      <c r="E195" s="307">
        <v>0</v>
      </c>
      <c r="F195" s="56"/>
      <c r="G195" s="56"/>
      <c r="H195" s="56"/>
      <c r="I195" s="56"/>
      <c r="J195" s="56"/>
      <c r="K195" s="56"/>
    </row>
    <row r="199" spans="1:12" s="510" customFormat="1" x14ac:dyDescent="0.35">
      <c r="A199" s="509" t="s">
        <v>2059</v>
      </c>
    </row>
    <row r="200" spans="1:12" x14ac:dyDescent="0.35">
      <c r="F200" s="51"/>
      <c r="G200" s="51"/>
      <c r="H200" s="51"/>
      <c r="I200" s="51"/>
      <c r="J200" s="51"/>
      <c r="K200" s="51"/>
    </row>
    <row r="201" spans="1:12" x14ac:dyDescent="0.35">
      <c r="A201" s="308" t="s">
        <v>315</v>
      </c>
      <c r="B201" s="51"/>
      <c r="C201" s="51"/>
      <c r="D201" s="51"/>
      <c r="E201" s="51"/>
      <c r="F201" s="51"/>
      <c r="G201" s="51"/>
      <c r="H201" s="51"/>
      <c r="I201" s="51"/>
      <c r="J201" s="51"/>
      <c r="K201" s="51"/>
    </row>
    <row r="202" spans="1:12" x14ac:dyDescent="0.35">
      <c r="A202" s="304" t="s">
        <v>323</v>
      </c>
      <c r="B202" s="317" t="s">
        <v>684</v>
      </c>
      <c r="C202" s="304" t="s">
        <v>685</v>
      </c>
      <c r="D202" s="304" t="s">
        <v>686</v>
      </c>
      <c r="E202" s="304" t="s">
        <v>687</v>
      </c>
      <c r="F202" s="51"/>
      <c r="G202" s="51"/>
      <c r="H202" s="51"/>
      <c r="I202" s="51"/>
      <c r="J202" s="51"/>
      <c r="K202" s="51"/>
    </row>
    <row r="203" spans="1:12" x14ac:dyDescent="0.35">
      <c r="A203" s="300" t="s">
        <v>378</v>
      </c>
      <c r="B203" s="305" t="s">
        <v>128</v>
      </c>
      <c r="C203" s="305" t="s">
        <v>322</v>
      </c>
      <c r="D203" s="305" t="s">
        <v>322</v>
      </c>
      <c r="E203" s="305" t="s">
        <v>128</v>
      </c>
      <c r="F203" s="51"/>
      <c r="G203" s="51"/>
      <c r="H203" s="51"/>
      <c r="I203" s="51"/>
      <c r="J203" s="51"/>
      <c r="K203" s="51"/>
    </row>
    <row r="204" spans="1:12" x14ac:dyDescent="0.35">
      <c r="A204" s="302" t="s">
        <v>143</v>
      </c>
      <c r="B204" s="303">
        <v>0</v>
      </c>
      <c r="C204" s="303">
        <v>2015</v>
      </c>
      <c r="D204" s="303">
        <v>2030</v>
      </c>
      <c r="E204" s="303">
        <v>1</v>
      </c>
      <c r="F204" s="51"/>
      <c r="G204" s="51"/>
      <c r="H204" s="51"/>
      <c r="I204" s="51"/>
      <c r="J204" s="51"/>
      <c r="K204" s="51"/>
    </row>
    <row r="205" spans="1:12" x14ac:dyDescent="0.35">
      <c r="A205" s="302" t="s">
        <v>83</v>
      </c>
      <c r="B205" s="303">
        <v>0</v>
      </c>
      <c r="C205" s="303">
        <v>2015</v>
      </c>
      <c r="D205" s="303">
        <v>2030</v>
      </c>
      <c r="E205" s="303">
        <v>1</v>
      </c>
      <c r="F205" s="51"/>
      <c r="G205" s="51"/>
      <c r="H205" s="51"/>
      <c r="I205" s="51"/>
      <c r="J205" s="51"/>
      <c r="K205" s="51"/>
    </row>
    <row r="206" spans="1:12" x14ac:dyDescent="0.35">
      <c r="A206" s="302" t="s">
        <v>144</v>
      </c>
      <c r="B206" s="303">
        <v>0</v>
      </c>
      <c r="C206" s="303">
        <v>2015</v>
      </c>
      <c r="D206" s="303">
        <v>2030</v>
      </c>
      <c r="E206" s="303">
        <v>1</v>
      </c>
      <c r="F206" s="51"/>
      <c r="G206" s="51"/>
      <c r="H206" s="51"/>
      <c r="I206" s="51"/>
      <c r="J206" s="51"/>
      <c r="K206" s="51"/>
    </row>
    <row r="207" spans="1:12" x14ac:dyDescent="0.35">
      <c r="A207" s="302" t="s">
        <v>164</v>
      </c>
      <c r="B207" s="303">
        <v>0</v>
      </c>
      <c r="C207" s="303">
        <v>2015</v>
      </c>
      <c r="D207" s="303">
        <v>2030</v>
      </c>
      <c r="E207" s="303">
        <v>1</v>
      </c>
      <c r="F207" s="51"/>
      <c r="G207" s="51"/>
      <c r="H207" s="51"/>
      <c r="I207" s="51"/>
      <c r="J207" s="51"/>
      <c r="K207" s="51"/>
    </row>
    <row r="208" spans="1:12" x14ac:dyDescent="0.35">
      <c r="A208" s="302" t="s">
        <v>145</v>
      </c>
      <c r="B208" s="303">
        <v>0</v>
      </c>
      <c r="C208" s="303">
        <v>2015</v>
      </c>
      <c r="D208" s="303">
        <v>2030</v>
      </c>
      <c r="E208" s="303">
        <v>1</v>
      </c>
      <c r="F208" s="51"/>
      <c r="G208" s="51"/>
      <c r="H208" s="51"/>
      <c r="I208" s="51"/>
      <c r="J208" s="51"/>
      <c r="K208" s="51"/>
    </row>
    <row r="209" spans="1:12" x14ac:dyDescent="0.35">
      <c r="A209" s="302" t="s">
        <v>87</v>
      </c>
      <c r="B209" s="303">
        <v>0</v>
      </c>
      <c r="C209" s="303">
        <v>2015</v>
      </c>
      <c r="D209" s="303">
        <v>2030</v>
      </c>
      <c r="E209" s="303">
        <v>1</v>
      </c>
      <c r="F209" s="51"/>
      <c r="G209" s="51"/>
      <c r="H209" s="51"/>
      <c r="I209" s="51"/>
      <c r="J209" s="51"/>
      <c r="K209" s="51"/>
    </row>
    <row r="210" spans="1:12" x14ac:dyDescent="0.35">
      <c r="A210" s="302" t="s">
        <v>146</v>
      </c>
      <c r="B210" s="303">
        <v>0</v>
      </c>
      <c r="C210" s="303">
        <v>2015</v>
      </c>
      <c r="D210" s="303">
        <v>2030</v>
      </c>
      <c r="E210" s="303">
        <v>1</v>
      </c>
      <c r="F210" s="51"/>
      <c r="G210" s="51"/>
      <c r="H210" s="51"/>
      <c r="I210" s="51"/>
      <c r="J210" s="51"/>
      <c r="K210" s="51"/>
    </row>
    <row r="211" spans="1:12" x14ac:dyDescent="0.35">
      <c r="A211" s="302" t="s">
        <v>89</v>
      </c>
      <c r="B211" s="303">
        <v>0</v>
      </c>
      <c r="C211" s="303">
        <v>2015</v>
      </c>
      <c r="D211" s="303">
        <v>2030</v>
      </c>
      <c r="E211" s="303">
        <v>1</v>
      </c>
      <c r="G211" s="51"/>
      <c r="H211" s="51"/>
      <c r="I211" s="51"/>
      <c r="J211" s="51"/>
      <c r="K211" s="51"/>
    </row>
    <row r="212" spans="1:12" x14ac:dyDescent="0.35">
      <c r="A212" s="302" t="s">
        <v>90</v>
      </c>
      <c r="B212" s="303">
        <v>0</v>
      </c>
      <c r="C212" s="303">
        <v>2015</v>
      </c>
      <c r="D212" s="303">
        <v>2030</v>
      </c>
      <c r="E212" s="303">
        <v>1</v>
      </c>
      <c r="G212" s="51"/>
      <c r="H212" s="51"/>
      <c r="I212" s="51"/>
      <c r="J212" s="51"/>
      <c r="K212" s="51"/>
    </row>
    <row r="213" spans="1:12" x14ac:dyDescent="0.35">
      <c r="G213" s="51"/>
      <c r="H213" s="51"/>
      <c r="I213" s="51"/>
      <c r="J213" s="51"/>
      <c r="K213" s="51"/>
      <c r="L213" s="51"/>
    </row>
    <row r="214" spans="1:12" x14ac:dyDescent="0.35">
      <c r="A214" s="298" t="s">
        <v>316</v>
      </c>
      <c r="G214" s="51"/>
      <c r="H214" s="51"/>
      <c r="I214" s="51"/>
      <c r="J214" s="51"/>
      <c r="K214" s="51"/>
    </row>
    <row r="215" spans="1:12" x14ac:dyDescent="0.35">
      <c r="A215" s="304" t="s">
        <v>323</v>
      </c>
      <c r="B215" s="318" t="s">
        <v>311</v>
      </c>
      <c r="C215" s="299" t="s">
        <v>312</v>
      </c>
      <c r="D215" s="299" t="s">
        <v>313</v>
      </c>
      <c r="E215" s="299" t="s">
        <v>314</v>
      </c>
      <c r="F215" s="56"/>
      <c r="G215" s="56"/>
      <c r="H215" s="56"/>
      <c r="I215" s="56"/>
      <c r="J215" s="56"/>
      <c r="K215" s="56"/>
    </row>
    <row r="216" spans="1:12" x14ac:dyDescent="0.35">
      <c r="A216" s="300" t="s">
        <v>378</v>
      </c>
      <c r="B216" s="305" t="s">
        <v>128</v>
      </c>
      <c r="C216" s="305" t="s">
        <v>322</v>
      </c>
      <c r="D216" s="305" t="s">
        <v>322</v>
      </c>
      <c r="E216" s="305" t="s">
        <v>128</v>
      </c>
      <c r="G216" s="51"/>
      <c r="H216" s="51"/>
      <c r="I216" s="51"/>
      <c r="J216" s="51"/>
      <c r="K216" s="51"/>
    </row>
    <row r="217" spans="1:12" x14ac:dyDescent="0.35">
      <c r="A217" s="302" t="s">
        <v>143</v>
      </c>
      <c r="B217" s="303">
        <v>0</v>
      </c>
      <c r="C217" s="303">
        <v>2015</v>
      </c>
      <c r="D217" s="303">
        <v>2030</v>
      </c>
      <c r="E217" s="303">
        <v>1</v>
      </c>
      <c r="G217" s="51"/>
      <c r="H217" s="51"/>
      <c r="I217" s="51"/>
      <c r="J217" s="51"/>
      <c r="K217" s="51"/>
    </row>
    <row r="218" spans="1:12" x14ac:dyDescent="0.35">
      <c r="A218" s="302" t="s">
        <v>83</v>
      </c>
      <c r="B218" s="303">
        <v>0</v>
      </c>
      <c r="C218" s="303">
        <v>2015</v>
      </c>
      <c r="D218" s="303">
        <v>2030</v>
      </c>
      <c r="E218" s="303">
        <v>1</v>
      </c>
      <c r="G218" s="51"/>
      <c r="H218" s="51"/>
      <c r="I218" s="51"/>
      <c r="J218" s="51"/>
      <c r="K218" s="51"/>
    </row>
    <row r="219" spans="1:12" ht="15.75" customHeight="1" x14ac:dyDescent="0.35">
      <c r="A219" s="302" t="s">
        <v>144</v>
      </c>
      <c r="B219" s="303">
        <v>0</v>
      </c>
      <c r="C219" s="303">
        <v>2015</v>
      </c>
      <c r="D219" s="303">
        <v>2030</v>
      </c>
      <c r="E219" s="303">
        <v>1</v>
      </c>
      <c r="G219" s="51"/>
      <c r="H219" s="51"/>
      <c r="I219" s="51"/>
      <c r="J219" s="51"/>
      <c r="K219" s="51"/>
    </row>
    <row r="220" spans="1:12" ht="15.75" customHeight="1" x14ac:dyDescent="0.35">
      <c r="A220" s="302" t="s">
        <v>164</v>
      </c>
      <c r="B220" s="303">
        <v>0</v>
      </c>
      <c r="C220" s="303">
        <v>2015</v>
      </c>
      <c r="D220" s="303">
        <v>2030</v>
      </c>
      <c r="E220" s="303">
        <v>1</v>
      </c>
      <c r="F220" s="51"/>
      <c r="G220" s="51"/>
      <c r="H220" s="51"/>
      <c r="I220" s="51"/>
      <c r="J220" s="51"/>
      <c r="K220" s="51"/>
      <c r="L220" s="51"/>
    </row>
    <row r="221" spans="1:12" ht="15.75" customHeight="1" x14ac:dyDescent="0.35">
      <c r="A221" s="302" t="s">
        <v>145</v>
      </c>
      <c r="B221" s="303">
        <v>0</v>
      </c>
      <c r="C221" s="303">
        <v>2015</v>
      </c>
      <c r="D221" s="303">
        <v>2030</v>
      </c>
      <c r="E221" s="303">
        <v>1</v>
      </c>
      <c r="F221" s="51"/>
      <c r="G221" s="51"/>
      <c r="H221" s="51"/>
      <c r="I221" s="51"/>
      <c r="J221" s="51"/>
      <c r="K221" s="51"/>
    </row>
    <row r="222" spans="1:12" ht="15.75" customHeight="1" x14ac:dyDescent="0.35">
      <c r="A222" s="302" t="s">
        <v>87</v>
      </c>
      <c r="B222" s="303">
        <v>0</v>
      </c>
      <c r="C222" s="303">
        <v>2015</v>
      </c>
      <c r="D222" s="303">
        <v>2030</v>
      </c>
      <c r="E222" s="303">
        <v>1</v>
      </c>
      <c r="F222" s="56"/>
      <c r="G222" s="56"/>
      <c r="H222" s="56"/>
      <c r="I222" s="56"/>
      <c r="J222" s="56"/>
      <c r="K222" s="56"/>
    </row>
    <row r="223" spans="1:12" ht="15.75" customHeight="1" x14ac:dyDescent="0.35">
      <c r="A223" s="302" t="s">
        <v>146</v>
      </c>
      <c r="B223" s="303">
        <v>0</v>
      </c>
      <c r="C223" s="303">
        <v>2015</v>
      </c>
      <c r="D223" s="303">
        <v>2030</v>
      </c>
      <c r="E223" s="303">
        <v>1</v>
      </c>
      <c r="G223" s="51"/>
      <c r="H223" s="51"/>
      <c r="I223" s="51"/>
      <c r="J223" s="51"/>
      <c r="K223" s="51"/>
    </row>
    <row r="224" spans="1:12" ht="15.75" customHeight="1" x14ac:dyDescent="0.35">
      <c r="A224" s="302" t="s">
        <v>89</v>
      </c>
      <c r="B224" s="303">
        <v>0</v>
      </c>
      <c r="C224" s="303">
        <v>2015</v>
      </c>
      <c r="D224" s="303">
        <v>2030</v>
      </c>
      <c r="E224" s="303">
        <v>1</v>
      </c>
      <c r="G224" s="51"/>
      <c r="H224" s="51"/>
      <c r="I224" s="51"/>
      <c r="J224" s="51"/>
      <c r="K224" s="51"/>
    </row>
    <row r="225" spans="1:22" ht="15.75" customHeight="1" x14ac:dyDescent="0.35">
      <c r="A225" s="302" t="s">
        <v>90</v>
      </c>
      <c r="B225" s="303">
        <v>0</v>
      </c>
      <c r="C225" s="303">
        <v>2015</v>
      </c>
      <c r="D225" s="303">
        <v>2030</v>
      </c>
      <c r="E225" s="303">
        <v>1</v>
      </c>
      <c r="G225" s="51"/>
      <c r="H225" s="51"/>
      <c r="I225" s="51"/>
      <c r="J225" s="51"/>
      <c r="K225" s="51"/>
    </row>
    <row r="226" spans="1:22" x14ac:dyDescent="0.35">
      <c r="G226" s="51"/>
      <c r="H226" s="51"/>
      <c r="I226" s="51"/>
      <c r="J226" s="51"/>
      <c r="K226" s="51"/>
    </row>
    <row r="227" spans="1:22" x14ac:dyDescent="0.35">
      <c r="A227" s="298" t="s">
        <v>737</v>
      </c>
      <c r="B227" s="56"/>
      <c r="C227" s="51"/>
      <c r="D227" s="51"/>
      <c r="E227" s="51"/>
      <c r="F227" s="51"/>
      <c r="G227" s="51"/>
      <c r="H227" s="51"/>
      <c r="I227" s="51"/>
      <c r="J227" s="51"/>
      <c r="K227" s="51"/>
    </row>
    <row r="228" spans="1:22" ht="29" x14ac:dyDescent="0.35">
      <c r="A228" s="305" t="s">
        <v>323</v>
      </c>
      <c r="B228" s="304" t="s">
        <v>738</v>
      </c>
      <c r="C228" s="304" t="s">
        <v>820</v>
      </c>
      <c r="D228" s="304" t="s">
        <v>821</v>
      </c>
      <c r="E228" s="304" t="s">
        <v>822</v>
      </c>
      <c r="F228" s="48"/>
      <c r="G228" s="48"/>
      <c r="H228" s="48"/>
      <c r="I228" s="48"/>
      <c r="J228" s="48"/>
      <c r="K228" s="48"/>
      <c r="L228" s="48"/>
      <c r="M228" s="48"/>
      <c r="N228" s="48"/>
      <c r="O228" s="48"/>
      <c r="P228" s="48"/>
      <c r="Q228" s="48"/>
      <c r="R228" s="48"/>
      <c r="S228" s="48"/>
      <c r="T228" s="48"/>
      <c r="U228" s="48"/>
      <c r="V228" s="48"/>
    </row>
    <row r="229" spans="1:22" x14ac:dyDescent="0.35">
      <c r="A229" s="300" t="s">
        <v>378</v>
      </c>
      <c r="B229" s="305" t="s">
        <v>128</v>
      </c>
      <c r="C229" s="305" t="s">
        <v>322</v>
      </c>
      <c r="D229" s="305" t="s">
        <v>322</v>
      </c>
      <c r="E229" s="305" t="s">
        <v>128</v>
      </c>
    </row>
    <row r="230" spans="1:22" x14ac:dyDescent="0.35">
      <c r="A230" s="315" t="s">
        <v>143</v>
      </c>
      <c r="B230" s="306">
        <v>0</v>
      </c>
      <c r="C230" s="306">
        <v>2024</v>
      </c>
      <c r="D230" s="306">
        <v>2050</v>
      </c>
      <c r="E230" s="307">
        <v>0.3</v>
      </c>
      <c r="G230" s="56"/>
      <c r="H230" s="56"/>
      <c r="I230" s="56"/>
      <c r="J230" s="56"/>
      <c r="K230" s="56"/>
    </row>
    <row r="231" spans="1:22" x14ac:dyDescent="0.35">
      <c r="A231" s="315" t="s">
        <v>83</v>
      </c>
      <c r="B231" s="306">
        <v>0</v>
      </c>
      <c r="C231" s="306">
        <v>2024</v>
      </c>
      <c r="D231" s="306">
        <v>2050</v>
      </c>
      <c r="E231" s="307">
        <v>0.3</v>
      </c>
      <c r="G231" s="51"/>
      <c r="H231" s="51"/>
      <c r="I231" s="51"/>
      <c r="J231" s="51"/>
      <c r="K231" s="51"/>
    </row>
    <row r="232" spans="1:22" x14ac:dyDescent="0.35">
      <c r="A232" s="315" t="s">
        <v>144</v>
      </c>
      <c r="B232" s="306">
        <v>0</v>
      </c>
      <c r="C232" s="306">
        <v>2024</v>
      </c>
      <c r="D232" s="306">
        <v>2050</v>
      </c>
      <c r="E232" s="307">
        <v>0.3</v>
      </c>
      <c r="G232" s="51"/>
      <c r="H232" s="51"/>
      <c r="I232" s="51"/>
      <c r="J232" s="51"/>
      <c r="K232" s="51"/>
    </row>
    <row r="233" spans="1:22" x14ac:dyDescent="0.35">
      <c r="A233" s="315" t="s">
        <v>164</v>
      </c>
      <c r="B233" s="306">
        <v>0</v>
      </c>
      <c r="C233" s="306">
        <v>2024</v>
      </c>
      <c r="D233" s="306">
        <v>2050</v>
      </c>
      <c r="E233" s="307">
        <v>0.3</v>
      </c>
      <c r="G233" s="51"/>
      <c r="H233" s="51"/>
      <c r="I233" s="51"/>
      <c r="J233" s="51"/>
      <c r="K233" s="51"/>
    </row>
    <row r="234" spans="1:22" x14ac:dyDescent="0.35">
      <c r="A234" s="315" t="s">
        <v>145</v>
      </c>
      <c r="B234" s="306">
        <v>0</v>
      </c>
      <c r="C234" s="306">
        <v>2024</v>
      </c>
      <c r="D234" s="306">
        <v>2050</v>
      </c>
      <c r="E234" s="307">
        <v>0.3</v>
      </c>
      <c r="G234" s="51"/>
      <c r="H234" s="51"/>
      <c r="I234" s="51"/>
      <c r="J234" s="51"/>
      <c r="K234" s="51"/>
    </row>
    <row r="235" spans="1:22" x14ac:dyDescent="0.35">
      <c r="A235" s="315" t="s">
        <v>87</v>
      </c>
      <c r="B235" s="306">
        <v>0</v>
      </c>
      <c r="C235" s="306">
        <v>2024</v>
      </c>
      <c r="D235" s="306">
        <v>2050</v>
      </c>
      <c r="E235" s="307">
        <v>0.3</v>
      </c>
      <c r="F235" s="51"/>
      <c r="G235" s="51"/>
      <c r="H235" s="51"/>
      <c r="I235" s="51"/>
      <c r="J235" s="51"/>
      <c r="K235" s="51"/>
      <c r="L235" s="51"/>
    </row>
    <row r="236" spans="1:22" x14ac:dyDescent="0.35">
      <c r="A236" s="315" t="s">
        <v>146</v>
      </c>
      <c r="B236" s="306">
        <v>0</v>
      </c>
      <c r="C236" s="306">
        <v>2024</v>
      </c>
      <c r="D236" s="306">
        <v>2050</v>
      </c>
      <c r="E236" s="307">
        <v>0.3</v>
      </c>
      <c r="F236" s="51"/>
      <c r="G236" s="51"/>
      <c r="H236" s="51"/>
      <c r="I236" s="51"/>
      <c r="J236" s="51"/>
      <c r="K236" s="51"/>
    </row>
    <row r="237" spans="1:22" x14ac:dyDescent="0.35">
      <c r="A237" s="315" t="s">
        <v>89</v>
      </c>
      <c r="B237" s="306">
        <v>0</v>
      </c>
      <c r="C237" s="306">
        <v>2024</v>
      </c>
      <c r="D237" s="306">
        <v>2050</v>
      </c>
      <c r="E237" s="307">
        <v>0.3</v>
      </c>
      <c r="F237" s="56"/>
      <c r="G237" s="56"/>
      <c r="H237" s="56"/>
      <c r="I237" s="56"/>
      <c r="J237" s="56"/>
      <c r="K237" s="56"/>
    </row>
    <row r="238" spans="1:22" x14ac:dyDescent="0.35">
      <c r="A238" s="315" t="s">
        <v>90</v>
      </c>
      <c r="B238" s="306">
        <v>0</v>
      </c>
      <c r="C238" s="306">
        <v>2024</v>
      </c>
      <c r="D238" s="306">
        <v>2050</v>
      </c>
      <c r="E238" s="307">
        <v>0.3</v>
      </c>
      <c r="F238" s="51"/>
      <c r="G238" s="51"/>
      <c r="H238" s="51"/>
      <c r="I238" s="51"/>
      <c r="J238" s="51"/>
      <c r="K238" s="51"/>
    </row>
    <row r="239" spans="1:22" ht="15.75" customHeight="1" x14ac:dyDescent="0.35"/>
    <row r="240" spans="1:22" x14ac:dyDescent="0.35">
      <c r="A240" s="298" t="s">
        <v>827</v>
      </c>
    </row>
    <row r="241" spans="1:5" x14ac:dyDescent="0.35">
      <c r="A241" s="359" t="s">
        <v>1619</v>
      </c>
    </row>
    <row r="242" spans="1:5" x14ac:dyDescent="0.35">
      <c r="A242" s="309" t="s">
        <v>168</v>
      </c>
      <c r="B242" s="310" t="s">
        <v>169</v>
      </c>
    </row>
    <row r="243" spans="1:5" x14ac:dyDescent="0.35">
      <c r="A243" s="311">
        <v>0</v>
      </c>
      <c r="B243" s="311" t="s">
        <v>1624</v>
      </c>
    </row>
    <row r="244" spans="1:5" x14ac:dyDescent="0.35">
      <c r="A244" s="311">
        <v>1</v>
      </c>
      <c r="B244" s="311" t="s">
        <v>326</v>
      </c>
    </row>
    <row r="245" spans="1:5" ht="15.75" customHeight="1" x14ac:dyDescent="0.35">
      <c r="A245" s="311">
        <v>2</v>
      </c>
      <c r="B245" s="311" t="s">
        <v>327</v>
      </c>
      <c r="C245" s="79"/>
    </row>
    <row r="246" spans="1:5" x14ac:dyDescent="0.35">
      <c r="A246" s="311">
        <v>3</v>
      </c>
      <c r="B246" s="311" t="s">
        <v>328</v>
      </c>
    </row>
    <row r="247" spans="1:5" x14ac:dyDescent="0.35">
      <c r="A247" s="311">
        <v>4</v>
      </c>
      <c r="B247" s="311" t="s">
        <v>329</v>
      </c>
    </row>
    <row r="248" spans="1:5" x14ac:dyDescent="0.35">
      <c r="A248" s="311">
        <v>5</v>
      </c>
      <c r="B248" s="311" t="s">
        <v>1620</v>
      </c>
    </row>
    <row r="249" spans="1:5" x14ac:dyDescent="0.35">
      <c r="A249" s="312" t="s">
        <v>170</v>
      </c>
      <c r="B249" s="303">
        <v>0</v>
      </c>
    </row>
    <row r="250" spans="1:5" x14ac:dyDescent="0.35">
      <c r="A250" s="369"/>
      <c r="B250" s="304" t="s">
        <v>1625</v>
      </c>
      <c r="C250" s="304" t="s">
        <v>1626</v>
      </c>
      <c r="D250" s="304" t="s">
        <v>1627</v>
      </c>
      <c r="E250" s="304" t="s">
        <v>1628</v>
      </c>
    </row>
    <row r="251" spans="1:5" x14ac:dyDescent="0.35">
      <c r="A251" s="309" t="s">
        <v>694</v>
      </c>
      <c r="B251" s="301" t="s">
        <v>128</v>
      </c>
      <c r="C251" s="301" t="s">
        <v>322</v>
      </c>
      <c r="D251" s="301" t="s">
        <v>322</v>
      </c>
      <c r="E251" s="301" t="s">
        <v>128</v>
      </c>
    </row>
    <row r="252" spans="1:5" x14ac:dyDescent="0.35">
      <c r="A252" s="315" t="s">
        <v>143</v>
      </c>
      <c r="B252" s="303">
        <v>0</v>
      </c>
      <c r="C252" s="303">
        <v>2025</v>
      </c>
      <c r="D252" s="303">
        <v>2050</v>
      </c>
      <c r="E252" s="319">
        <v>1</v>
      </c>
    </row>
    <row r="253" spans="1:5" x14ac:dyDescent="0.35">
      <c r="A253" s="315" t="s">
        <v>83</v>
      </c>
      <c r="B253" s="303">
        <v>0</v>
      </c>
      <c r="C253" s="303">
        <v>2025</v>
      </c>
      <c r="D253" s="303">
        <v>2050</v>
      </c>
      <c r="E253" s="319">
        <v>1</v>
      </c>
    </row>
    <row r="254" spans="1:5" x14ac:dyDescent="0.35">
      <c r="A254" s="315" t="s">
        <v>144</v>
      </c>
      <c r="B254" s="303">
        <v>0</v>
      </c>
      <c r="C254" s="303">
        <v>2025</v>
      </c>
      <c r="D254" s="303">
        <v>2050</v>
      </c>
      <c r="E254" s="319">
        <v>1</v>
      </c>
    </row>
    <row r="255" spans="1:5" x14ac:dyDescent="0.35">
      <c r="A255" s="315" t="s">
        <v>85</v>
      </c>
      <c r="B255" s="303">
        <v>0</v>
      </c>
      <c r="C255" s="303">
        <v>2025</v>
      </c>
      <c r="D255" s="303">
        <v>2050</v>
      </c>
      <c r="E255" s="319">
        <v>1</v>
      </c>
    </row>
    <row r="256" spans="1:5" x14ac:dyDescent="0.35">
      <c r="A256" s="315" t="s">
        <v>145</v>
      </c>
      <c r="B256" s="303">
        <v>0</v>
      </c>
      <c r="C256" s="303">
        <v>2025</v>
      </c>
      <c r="D256" s="303">
        <v>2050</v>
      </c>
      <c r="E256" s="319">
        <v>1</v>
      </c>
    </row>
    <row r="257" spans="1:12" x14ac:dyDescent="0.35">
      <c r="A257" s="315" t="s">
        <v>87</v>
      </c>
      <c r="B257" s="303">
        <v>0</v>
      </c>
      <c r="C257" s="303">
        <v>2025</v>
      </c>
      <c r="D257" s="303">
        <v>2050</v>
      </c>
      <c r="E257" s="319">
        <v>1</v>
      </c>
    </row>
    <row r="258" spans="1:12" x14ac:dyDescent="0.35">
      <c r="A258" s="315" t="s">
        <v>146</v>
      </c>
      <c r="B258" s="303">
        <v>0</v>
      </c>
      <c r="C258" s="303">
        <v>2025</v>
      </c>
      <c r="D258" s="303">
        <v>2050</v>
      </c>
      <c r="E258" s="319">
        <v>1</v>
      </c>
    </row>
    <row r="259" spans="1:12" x14ac:dyDescent="0.35">
      <c r="A259" s="315" t="s">
        <v>89</v>
      </c>
      <c r="B259" s="303">
        <v>0</v>
      </c>
      <c r="C259" s="303">
        <v>2025</v>
      </c>
      <c r="D259" s="303">
        <v>2050</v>
      </c>
      <c r="E259" s="319">
        <v>1</v>
      </c>
    </row>
    <row r="260" spans="1:12" x14ac:dyDescent="0.35">
      <c r="A260" s="315" t="s">
        <v>90</v>
      </c>
      <c r="B260" s="303">
        <v>0</v>
      </c>
      <c r="C260" s="303">
        <v>2025</v>
      </c>
      <c r="D260" s="303">
        <v>2050</v>
      </c>
      <c r="E260" s="319">
        <v>1</v>
      </c>
    </row>
    <row r="262" spans="1:12" x14ac:dyDescent="0.35">
      <c r="A262" s="298" t="s">
        <v>886</v>
      </c>
      <c r="B262" t="s">
        <v>887</v>
      </c>
    </row>
    <row r="263" spans="1:12" x14ac:dyDescent="0.35">
      <c r="A263" s="305" t="s">
        <v>323</v>
      </c>
      <c r="B263" s="304" t="s">
        <v>888</v>
      </c>
      <c r="C263" s="304" t="s">
        <v>889</v>
      </c>
      <c r="D263" s="304" t="s">
        <v>890</v>
      </c>
      <c r="E263" s="56"/>
    </row>
    <row r="264" spans="1:12" x14ac:dyDescent="0.35">
      <c r="A264" s="300" t="s">
        <v>704</v>
      </c>
      <c r="B264" s="305" t="s">
        <v>128</v>
      </c>
      <c r="C264" s="305" t="s">
        <v>322</v>
      </c>
      <c r="D264" s="305" t="s">
        <v>322</v>
      </c>
      <c r="E264" s="55"/>
    </row>
    <row r="265" spans="1:12" x14ac:dyDescent="0.35">
      <c r="A265" s="359" t="s">
        <v>143</v>
      </c>
      <c r="B265" s="306">
        <v>0</v>
      </c>
      <c r="C265" s="306">
        <v>2025</v>
      </c>
      <c r="D265" s="306">
        <v>2050</v>
      </c>
      <c r="E265" s="51"/>
      <c r="G265" s="56"/>
      <c r="H265" s="56"/>
      <c r="I265" s="56"/>
      <c r="J265" s="56"/>
      <c r="K265" s="56"/>
    </row>
    <row r="266" spans="1:12" x14ac:dyDescent="0.35">
      <c r="A266" s="359" t="s">
        <v>83</v>
      </c>
      <c r="B266" s="306">
        <v>0</v>
      </c>
      <c r="C266" s="306">
        <v>2025</v>
      </c>
      <c r="D266" s="306">
        <v>2050</v>
      </c>
      <c r="E266" s="51"/>
      <c r="G266" s="51"/>
      <c r="H266" s="51"/>
      <c r="I266" s="51"/>
      <c r="J266" s="51"/>
      <c r="K266" s="51"/>
    </row>
    <row r="267" spans="1:12" x14ac:dyDescent="0.35">
      <c r="A267" s="359" t="s">
        <v>144</v>
      </c>
      <c r="B267" s="306">
        <v>0</v>
      </c>
      <c r="C267" s="306">
        <v>2025</v>
      </c>
      <c r="D267" s="306">
        <v>2050</v>
      </c>
      <c r="E267" s="51"/>
      <c r="G267" s="51"/>
      <c r="H267" s="51"/>
      <c r="I267" s="51"/>
      <c r="J267" s="51"/>
      <c r="K267" s="51"/>
    </row>
    <row r="268" spans="1:12" x14ac:dyDescent="0.35">
      <c r="A268" s="359" t="s">
        <v>164</v>
      </c>
      <c r="B268" s="306">
        <v>0</v>
      </c>
      <c r="C268" s="306">
        <v>2025</v>
      </c>
      <c r="D268" s="306">
        <v>2050</v>
      </c>
      <c r="E268" s="51"/>
      <c r="G268" s="51"/>
      <c r="H268" s="51"/>
      <c r="I268" s="51"/>
      <c r="J268" s="51"/>
      <c r="K268" s="51"/>
    </row>
    <row r="269" spans="1:12" x14ac:dyDescent="0.35">
      <c r="A269" s="359" t="s">
        <v>145</v>
      </c>
      <c r="B269" s="306">
        <v>0</v>
      </c>
      <c r="C269" s="306">
        <v>2025</v>
      </c>
      <c r="D269" s="306">
        <v>2050</v>
      </c>
      <c r="E269" s="51"/>
      <c r="G269" s="51"/>
      <c r="H269" s="51"/>
      <c r="I269" s="51"/>
      <c r="J269" s="51"/>
      <c r="K269" s="51"/>
    </row>
    <row r="270" spans="1:12" x14ac:dyDescent="0.35">
      <c r="A270" s="359" t="s">
        <v>87</v>
      </c>
      <c r="B270" s="306">
        <v>0</v>
      </c>
      <c r="C270" s="306">
        <v>2025</v>
      </c>
      <c r="D270" s="306">
        <v>2050</v>
      </c>
      <c r="E270" s="51"/>
      <c r="F270" s="51"/>
      <c r="G270" s="51"/>
      <c r="H270" s="51"/>
      <c r="I270" s="51"/>
      <c r="J270" s="51"/>
      <c r="K270" s="51"/>
      <c r="L270" s="51"/>
    </row>
    <row r="271" spans="1:12" x14ac:dyDescent="0.35">
      <c r="A271" s="359" t="s">
        <v>146</v>
      </c>
      <c r="B271" s="306">
        <v>0</v>
      </c>
      <c r="C271" s="306">
        <v>2025</v>
      </c>
      <c r="D271" s="306">
        <v>2050</v>
      </c>
      <c r="E271" s="51"/>
      <c r="F271" s="51"/>
      <c r="G271" s="51"/>
      <c r="H271" s="51"/>
      <c r="I271" s="51"/>
      <c r="J271" s="51"/>
      <c r="K271" s="51"/>
    </row>
    <row r="272" spans="1:12" x14ac:dyDescent="0.35">
      <c r="A272" s="359" t="s">
        <v>89</v>
      </c>
      <c r="B272" s="306">
        <v>0</v>
      </c>
      <c r="C272" s="306">
        <v>2025</v>
      </c>
      <c r="D272" s="306">
        <v>2050</v>
      </c>
      <c r="E272" s="51"/>
      <c r="F272" s="56"/>
      <c r="G272" s="56"/>
      <c r="H272" s="56"/>
      <c r="I272" s="56"/>
      <c r="J272" s="56"/>
      <c r="K272" s="56"/>
    </row>
    <row r="273" spans="1:13" x14ac:dyDescent="0.35">
      <c r="A273" s="359" t="s">
        <v>90</v>
      </c>
      <c r="B273" s="306">
        <v>0</v>
      </c>
      <c r="C273" s="306">
        <v>2025</v>
      </c>
      <c r="D273" s="306">
        <v>2050</v>
      </c>
      <c r="E273" s="51"/>
      <c r="F273" s="51"/>
      <c r="G273" s="51"/>
      <c r="H273" s="51"/>
      <c r="I273" s="51"/>
      <c r="J273" s="51"/>
      <c r="K273" s="51"/>
    </row>
    <row r="274" spans="1:13" x14ac:dyDescent="0.35">
      <c r="A274" s="51"/>
      <c r="B274" s="51"/>
      <c r="C274" s="51"/>
      <c r="D274" s="51"/>
      <c r="E274" s="51"/>
      <c r="F274" s="51"/>
      <c r="G274" s="51"/>
      <c r="H274" s="51"/>
      <c r="I274" s="51"/>
      <c r="J274" s="51"/>
      <c r="K274" s="51"/>
    </row>
    <row r="275" spans="1:13" x14ac:dyDescent="0.35">
      <c r="A275" s="304" t="s">
        <v>891</v>
      </c>
      <c r="B275" t="s">
        <v>892</v>
      </c>
    </row>
    <row r="276" spans="1:13" x14ac:dyDescent="0.35">
      <c r="A276" s="312" t="s">
        <v>694</v>
      </c>
      <c r="B276" s="304" t="s">
        <v>893</v>
      </c>
      <c r="C276" s="304" t="s">
        <v>894</v>
      </c>
      <c r="D276" s="304" t="s">
        <v>895</v>
      </c>
      <c r="E276" s="304" t="s">
        <v>896</v>
      </c>
      <c r="F276" s="304" t="s">
        <v>897</v>
      </c>
      <c r="G276" s="304" t="s">
        <v>898</v>
      </c>
      <c r="H276" s="304" t="s">
        <v>899</v>
      </c>
      <c r="I276" s="304" t="s">
        <v>900</v>
      </c>
      <c r="J276" s="304" t="s">
        <v>901</v>
      </c>
      <c r="K276" s="304" t="s">
        <v>902</v>
      </c>
      <c r="L276" s="304" t="s">
        <v>903</v>
      </c>
    </row>
    <row r="277" spans="1:13" x14ac:dyDescent="0.35">
      <c r="A277" s="359" t="s">
        <v>143</v>
      </c>
      <c r="B277" s="307">
        <v>0</v>
      </c>
      <c r="C277" s="307">
        <v>0.26600000000000001</v>
      </c>
      <c r="D277" s="307">
        <v>0.48399999999999999</v>
      </c>
      <c r="E277" s="307">
        <v>0</v>
      </c>
      <c r="F277" s="307">
        <v>0.19000000000000003</v>
      </c>
      <c r="G277" s="307">
        <v>4.7500000000000021E-2</v>
      </c>
      <c r="H277" s="307">
        <v>0</v>
      </c>
      <c r="I277" s="307">
        <v>0</v>
      </c>
      <c r="J277" s="330">
        <v>0</v>
      </c>
      <c r="K277" s="330">
        <v>0</v>
      </c>
      <c r="L277" s="307">
        <v>1.2500000000000023E-2</v>
      </c>
      <c r="M277" s="130">
        <f t="shared" ref="M277:M285" si="3">SUM(B277:L277)</f>
        <v>1</v>
      </c>
    </row>
    <row r="278" spans="1:13" x14ac:dyDescent="0.35">
      <c r="A278" s="359" t="s">
        <v>83</v>
      </c>
      <c r="B278" s="307">
        <v>0</v>
      </c>
      <c r="C278" s="307">
        <v>0.35699999999999998</v>
      </c>
      <c r="D278" s="307">
        <v>0.36799999999999999</v>
      </c>
      <c r="E278" s="307">
        <v>0</v>
      </c>
      <c r="F278" s="307">
        <v>0.2</v>
      </c>
      <c r="G278" s="307">
        <v>7.0000000000000007E-2</v>
      </c>
      <c r="H278" s="307">
        <v>0</v>
      </c>
      <c r="I278" s="307">
        <v>0</v>
      </c>
      <c r="J278" s="330">
        <v>0</v>
      </c>
      <c r="K278" s="330">
        <v>0</v>
      </c>
      <c r="L278" s="307">
        <v>5.0000000000000001E-3</v>
      </c>
      <c r="M278" s="130">
        <f t="shared" si="3"/>
        <v>1</v>
      </c>
    </row>
    <row r="279" spans="1:13" x14ac:dyDescent="0.35">
      <c r="A279" s="359" t="s">
        <v>144</v>
      </c>
      <c r="B279" s="307">
        <v>0.04</v>
      </c>
      <c r="C279" s="307">
        <v>0.38</v>
      </c>
      <c r="D279" s="307">
        <v>0</v>
      </c>
      <c r="E279" s="307">
        <v>0</v>
      </c>
      <c r="F279" s="307">
        <v>0.2</v>
      </c>
      <c r="G279" s="307">
        <v>0.28999999999999998</v>
      </c>
      <c r="H279" s="307">
        <v>0.02</v>
      </c>
      <c r="I279" s="307">
        <v>7.0000000000000007E-2</v>
      </c>
      <c r="J279" s="330">
        <v>0</v>
      </c>
      <c r="K279" s="330">
        <v>0</v>
      </c>
      <c r="L279" s="307">
        <v>0</v>
      </c>
      <c r="M279" s="130">
        <f t="shared" si="3"/>
        <v>1</v>
      </c>
    </row>
    <row r="280" spans="1:13" x14ac:dyDescent="0.35">
      <c r="A280" s="359" t="s">
        <v>164</v>
      </c>
      <c r="B280" s="307">
        <v>9.9166666666666695E-2</v>
      </c>
      <c r="C280" s="307">
        <v>0.19416700000000001</v>
      </c>
      <c r="D280" s="307">
        <v>0</v>
      </c>
      <c r="E280" s="307">
        <v>0</v>
      </c>
      <c r="F280" s="307">
        <v>0.47916700000000001</v>
      </c>
      <c r="G280" s="307">
        <v>0.18416666666666667</v>
      </c>
      <c r="H280" s="307">
        <v>9.1666666666666841E-3</v>
      </c>
      <c r="I280" s="307">
        <v>3.4167000000000003E-2</v>
      </c>
      <c r="J280" s="330">
        <v>0</v>
      </c>
      <c r="K280" s="330">
        <v>0</v>
      </c>
      <c r="L280" s="307">
        <v>0</v>
      </c>
      <c r="M280" s="130">
        <f t="shared" si="3"/>
        <v>1.0000010000000001</v>
      </c>
    </row>
    <row r="281" spans="1:13" x14ac:dyDescent="0.35">
      <c r="A281" s="359" t="s">
        <v>145</v>
      </c>
      <c r="B281" s="307">
        <v>0</v>
      </c>
      <c r="C281" s="307">
        <v>1.2000000000000002E-2</v>
      </c>
      <c r="D281" s="307">
        <v>0</v>
      </c>
      <c r="E281" s="307">
        <v>0</v>
      </c>
      <c r="F281" s="307">
        <v>0.27200000000000002</v>
      </c>
      <c r="G281" s="307">
        <v>0.192</v>
      </c>
      <c r="H281" s="307">
        <v>1.2000000000000002E-2</v>
      </c>
      <c r="I281" s="307">
        <v>0.51200000000000001</v>
      </c>
      <c r="J281" s="330">
        <v>0</v>
      </c>
      <c r="K281" s="330">
        <v>0</v>
      </c>
      <c r="L281" s="307">
        <v>0</v>
      </c>
      <c r="M281" s="130">
        <f t="shared" si="3"/>
        <v>1</v>
      </c>
    </row>
    <row r="282" spans="1:13" x14ac:dyDescent="0.35">
      <c r="A282" s="359" t="s">
        <v>87</v>
      </c>
      <c r="B282" s="307">
        <v>0</v>
      </c>
      <c r="C282" s="307">
        <v>0.01</v>
      </c>
      <c r="D282" s="307">
        <v>0.01</v>
      </c>
      <c r="E282" s="307">
        <v>0</v>
      </c>
      <c r="F282" s="307">
        <v>0.36</v>
      </c>
      <c r="G282" s="307">
        <v>0.62</v>
      </c>
      <c r="H282" s="307">
        <v>0</v>
      </c>
      <c r="I282" s="307">
        <v>0</v>
      </c>
      <c r="J282" s="330">
        <v>0</v>
      </c>
      <c r="K282" s="330">
        <v>0</v>
      </c>
      <c r="L282" s="307">
        <v>0</v>
      </c>
      <c r="M282" s="130">
        <f t="shared" si="3"/>
        <v>1</v>
      </c>
    </row>
    <row r="283" spans="1:13" x14ac:dyDescent="0.35">
      <c r="A283" s="359" t="s">
        <v>146</v>
      </c>
      <c r="B283" s="307">
        <v>2.0000000000000014E-2</v>
      </c>
      <c r="C283" s="307">
        <v>0.27749999999999997</v>
      </c>
      <c r="D283" s="307">
        <v>0.3</v>
      </c>
      <c r="E283" s="307">
        <v>0</v>
      </c>
      <c r="F283" s="307">
        <v>0.19</v>
      </c>
      <c r="G283" s="307">
        <v>0.15750000000000003</v>
      </c>
      <c r="H283" s="307">
        <v>1.0000000000000014E-2</v>
      </c>
      <c r="I283" s="307">
        <v>3.5000000000000017E-2</v>
      </c>
      <c r="J283" s="330">
        <v>0</v>
      </c>
      <c r="K283" s="330">
        <v>0</v>
      </c>
      <c r="L283" s="307">
        <v>1.0000000000000014E-2</v>
      </c>
      <c r="M283" s="130">
        <f t="shared" si="3"/>
        <v>0.99999999999999989</v>
      </c>
    </row>
    <row r="284" spans="1:13" x14ac:dyDescent="0.35">
      <c r="A284" s="359" t="s">
        <v>89</v>
      </c>
      <c r="B284" s="307">
        <v>0.14979999999999999</v>
      </c>
      <c r="C284" s="307">
        <v>0.26983000000000001</v>
      </c>
      <c r="D284" s="307">
        <v>0.26283000000000001</v>
      </c>
      <c r="E284" s="307">
        <v>0</v>
      </c>
      <c r="F284" s="307">
        <v>0.10783</v>
      </c>
      <c r="G284" s="307">
        <v>0.18383333333333332</v>
      </c>
      <c r="H284" s="307">
        <v>0</v>
      </c>
      <c r="I284" s="307">
        <v>0</v>
      </c>
      <c r="J284" s="330">
        <v>0</v>
      </c>
      <c r="K284" s="330">
        <v>0</v>
      </c>
      <c r="L284" s="307">
        <v>2.5833333333333312E-2</v>
      </c>
      <c r="M284" s="130">
        <f t="shared" si="3"/>
        <v>0.9999566666666666</v>
      </c>
    </row>
    <row r="285" spans="1:13" x14ac:dyDescent="0.35">
      <c r="A285" s="359" t="s">
        <v>90</v>
      </c>
      <c r="B285" s="307">
        <v>6.3124999999999935E-3</v>
      </c>
      <c r="C285" s="307">
        <v>5.931249999999999E-2</v>
      </c>
      <c r="D285" s="307">
        <v>1.0812499999999994E-2</v>
      </c>
      <c r="E285" s="307">
        <v>0</v>
      </c>
      <c r="F285" s="307">
        <v>0.72981249999999998</v>
      </c>
      <c r="G285" s="307">
        <v>8.0312499999999995E-2</v>
      </c>
      <c r="H285" s="307">
        <v>3.3124999999999934E-3</v>
      </c>
      <c r="I285" s="307">
        <v>8.3812499999999998E-2</v>
      </c>
      <c r="J285" s="330">
        <v>0</v>
      </c>
      <c r="K285" s="330">
        <v>0</v>
      </c>
      <c r="L285" s="307">
        <v>2.6312499999999996E-2</v>
      </c>
      <c r="M285" s="130">
        <f t="shared" si="3"/>
        <v>0.99999999999999978</v>
      </c>
    </row>
    <row r="287" spans="1:13" x14ac:dyDescent="0.35">
      <c r="A287" s="304" t="s">
        <v>904</v>
      </c>
      <c r="B287" t="s">
        <v>892</v>
      </c>
    </row>
    <row r="288" spans="1:13" x14ac:dyDescent="0.35">
      <c r="A288" s="312" t="s">
        <v>694</v>
      </c>
      <c r="B288" s="304" t="s">
        <v>893</v>
      </c>
      <c r="C288" s="304" t="s">
        <v>894</v>
      </c>
      <c r="D288" s="304" t="s">
        <v>895</v>
      </c>
      <c r="E288" s="304" t="s">
        <v>896</v>
      </c>
      <c r="F288" s="304" t="s">
        <v>897</v>
      </c>
      <c r="G288" s="304" t="s">
        <v>898</v>
      </c>
      <c r="H288" s="304" t="s">
        <v>899</v>
      </c>
      <c r="I288" s="304" t="s">
        <v>900</v>
      </c>
      <c r="J288" s="304" t="s">
        <v>901</v>
      </c>
      <c r="K288" s="304" t="s">
        <v>902</v>
      </c>
      <c r="L288" s="304" t="s">
        <v>903</v>
      </c>
    </row>
    <row r="289" spans="1:13" x14ac:dyDescent="0.35">
      <c r="A289" s="359" t="s">
        <v>143</v>
      </c>
      <c r="B289" s="307">
        <v>0</v>
      </c>
      <c r="C289" s="307">
        <v>0.23849999999999999</v>
      </c>
      <c r="D289" s="307">
        <v>0.41500000000000004</v>
      </c>
      <c r="E289" s="307">
        <v>0</v>
      </c>
      <c r="F289" s="307">
        <v>0.26</v>
      </c>
      <c r="G289" s="307">
        <v>8.9999999999999993E-3</v>
      </c>
      <c r="H289" s="307">
        <v>0</v>
      </c>
      <c r="I289" s="307">
        <v>0</v>
      </c>
      <c r="J289" s="330">
        <v>0</v>
      </c>
      <c r="K289" s="330">
        <v>0</v>
      </c>
      <c r="L289" s="307">
        <v>7.7499999999999999E-2</v>
      </c>
      <c r="M289" s="130">
        <f t="shared" ref="M289:M297" si="4">SUM(B289:L289)</f>
        <v>1</v>
      </c>
    </row>
    <row r="290" spans="1:13" x14ac:dyDescent="0.35">
      <c r="A290" s="359" t="s">
        <v>83</v>
      </c>
      <c r="B290" s="307">
        <v>0</v>
      </c>
      <c r="C290" s="307">
        <v>0.252</v>
      </c>
      <c r="D290" s="307">
        <v>0.39</v>
      </c>
      <c r="E290" s="307">
        <v>0</v>
      </c>
      <c r="F290" s="307">
        <v>0.32</v>
      </c>
      <c r="G290" s="307">
        <v>1.7999999999999999E-2</v>
      </c>
      <c r="H290" s="307">
        <v>0</v>
      </c>
      <c r="I290" s="307">
        <v>0</v>
      </c>
      <c r="J290" s="330">
        <v>0</v>
      </c>
      <c r="K290" s="330">
        <v>0</v>
      </c>
      <c r="L290" s="307">
        <v>0.02</v>
      </c>
      <c r="M290" s="130">
        <f t="shared" si="4"/>
        <v>1</v>
      </c>
    </row>
    <row r="291" spans="1:13" x14ac:dyDescent="0.35">
      <c r="A291" s="359" t="s">
        <v>144</v>
      </c>
      <c r="B291" s="307">
        <v>0</v>
      </c>
      <c r="C291" s="307">
        <v>0</v>
      </c>
      <c r="D291" s="307">
        <v>0</v>
      </c>
      <c r="E291" s="307">
        <v>0.46</v>
      </c>
      <c r="F291" s="307">
        <v>0.5</v>
      </c>
      <c r="G291" s="307">
        <v>0.02</v>
      </c>
      <c r="H291" s="307">
        <v>0</v>
      </c>
      <c r="I291" s="307">
        <v>0.02</v>
      </c>
      <c r="J291" s="330">
        <v>0</v>
      </c>
      <c r="K291" s="330">
        <v>0</v>
      </c>
      <c r="L291" s="307">
        <v>0</v>
      </c>
      <c r="M291" s="130">
        <f t="shared" si="4"/>
        <v>1</v>
      </c>
    </row>
    <row r="292" spans="1:13" x14ac:dyDescent="0.35">
      <c r="A292" s="359" t="s">
        <v>164</v>
      </c>
      <c r="B292" s="307">
        <v>0</v>
      </c>
      <c r="C292" s="307">
        <v>0</v>
      </c>
      <c r="D292" s="307">
        <v>0</v>
      </c>
      <c r="E292" s="307">
        <v>0.27500000000000002</v>
      </c>
      <c r="F292" s="307">
        <v>0.70500000000000007</v>
      </c>
      <c r="G292" s="307">
        <v>0.01</v>
      </c>
      <c r="H292" s="307">
        <v>0</v>
      </c>
      <c r="I292" s="307">
        <v>0.01</v>
      </c>
      <c r="J292" s="330">
        <v>0</v>
      </c>
      <c r="K292" s="330">
        <v>0</v>
      </c>
      <c r="L292" s="307">
        <v>0</v>
      </c>
      <c r="M292" s="130">
        <f t="shared" si="4"/>
        <v>1</v>
      </c>
    </row>
    <row r="293" spans="1:13" x14ac:dyDescent="0.35">
      <c r="A293" s="359" t="s">
        <v>145</v>
      </c>
      <c r="B293" s="307">
        <v>0</v>
      </c>
      <c r="C293" s="307">
        <v>8.3333333333333315E-3</v>
      </c>
      <c r="D293" s="307">
        <v>0</v>
      </c>
      <c r="E293" s="307">
        <v>3.833333333333333E-2</v>
      </c>
      <c r="F293" s="307">
        <v>0.21833333333333332</v>
      </c>
      <c r="G293" s="307">
        <v>0.19833333333333333</v>
      </c>
      <c r="H293" s="307">
        <v>8.3333333333333315E-3</v>
      </c>
      <c r="I293" s="307">
        <v>0.52833333333333332</v>
      </c>
      <c r="J293" s="330">
        <v>0</v>
      </c>
      <c r="K293" s="330">
        <v>0</v>
      </c>
      <c r="L293" s="307">
        <v>0</v>
      </c>
      <c r="M293" s="130">
        <f t="shared" si="4"/>
        <v>1</v>
      </c>
    </row>
    <row r="294" spans="1:13" x14ac:dyDescent="0.35">
      <c r="A294" s="359" t="s">
        <v>87</v>
      </c>
      <c r="B294" s="307">
        <v>0</v>
      </c>
      <c r="C294" s="307">
        <v>0</v>
      </c>
      <c r="D294" s="307">
        <v>0</v>
      </c>
      <c r="E294" s="307">
        <v>0</v>
      </c>
      <c r="F294" s="307">
        <v>0.99</v>
      </c>
      <c r="G294" s="307">
        <v>0</v>
      </c>
      <c r="H294" s="307">
        <v>0</v>
      </c>
      <c r="I294" s="307">
        <v>0</v>
      </c>
      <c r="J294" s="330">
        <v>0</v>
      </c>
      <c r="K294" s="330">
        <v>0</v>
      </c>
      <c r="L294" s="307">
        <v>0.01</v>
      </c>
      <c r="M294" s="130">
        <f t="shared" si="4"/>
        <v>1</v>
      </c>
    </row>
    <row r="295" spans="1:13" x14ac:dyDescent="0.35">
      <c r="A295" s="359" t="s">
        <v>146</v>
      </c>
      <c r="B295" s="307">
        <v>0</v>
      </c>
      <c r="C295" s="307">
        <v>0.1125</v>
      </c>
      <c r="D295" s="307">
        <v>0.22</v>
      </c>
      <c r="E295" s="307">
        <v>0.23</v>
      </c>
      <c r="F295" s="307">
        <v>0.35</v>
      </c>
      <c r="G295" s="307">
        <v>0.01</v>
      </c>
      <c r="H295" s="307">
        <v>0</v>
      </c>
      <c r="I295" s="307">
        <v>0.01</v>
      </c>
      <c r="J295" s="330">
        <v>0</v>
      </c>
      <c r="K295" s="330">
        <v>0</v>
      </c>
      <c r="L295" s="307">
        <v>6.7500000000000004E-2</v>
      </c>
      <c r="M295" s="130">
        <f t="shared" si="4"/>
        <v>1</v>
      </c>
    </row>
    <row r="296" spans="1:13" x14ac:dyDescent="0.35">
      <c r="A296" s="359" t="s">
        <v>89</v>
      </c>
      <c r="B296" s="307">
        <v>0</v>
      </c>
      <c r="C296" s="307">
        <v>1.6666666666667034E-3</v>
      </c>
      <c r="D296" s="307">
        <v>0</v>
      </c>
      <c r="E296" s="307">
        <v>0.1836666666666667</v>
      </c>
      <c r="F296" s="307">
        <v>0.81466666666666665</v>
      </c>
      <c r="G296" s="307">
        <v>0</v>
      </c>
      <c r="H296" s="307">
        <v>0</v>
      </c>
      <c r="I296" s="307">
        <v>0</v>
      </c>
      <c r="J296" s="330">
        <v>0</v>
      </c>
      <c r="K296" s="330">
        <v>0</v>
      </c>
      <c r="L296" s="307">
        <v>0</v>
      </c>
      <c r="M296" s="130">
        <f t="shared" si="4"/>
        <v>1</v>
      </c>
    </row>
    <row r="297" spans="1:13" x14ac:dyDescent="0.35">
      <c r="A297" s="359" t="s">
        <v>90</v>
      </c>
      <c r="B297" s="307">
        <v>0</v>
      </c>
      <c r="C297" s="307">
        <v>0</v>
      </c>
      <c r="D297" s="307">
        <v>0</v>
      </c>
      <c r="E297" s="307">
        <v>7.7100000000000057E-2</v>
      </c>
      <c r="F297" s="307">
        <v>0.85009999999999997</v>
      </c>
      <c r="G297" s="307">
        <v>1.3100000000000046E-2</v>
      </c>
      <c r="H297" s="307">
        <v>0</v>
      </c>
      <c r="I297" s="307">
        <v>5.6100000000000046E-2</v>
      </c>
      <c r="J297" s="330">
        <v>0</v>
      </c>
      <c r="K297" s="330">
        <v>0</v>
      </c>
      <c r="L297" s="307">
        <v>3.6000000000000441E-3</v>
      </c>
      <c r="M297" s="130">
        <f t="shared" si="4"/>
        <v>1</v>
      </c>
    </row>
    <row r="298" spans="1:13" x14ac:dyDescent="0.35">
      <c r="A298" s="51"/>
      <c r="B298" s="51"/>
      <c r="C298" s="51"/>
      <c r="D298" s="51"/>
      <c r="E298" s="51"/>
      <c r="F298" s="56"/>
      <c r="G298" s="56"/>
      <c r="H298" s="56"/>
      <c r="I298" s="56"/>
      <c r="J298" s="56"/>
      <c r="K298" s="56"/>
    </row>
    <row r="299" spans="1:13" x14ac:dyDescent="0.35">
      <c r="A299" s="304" t="s">
        <v>905</v>
      </c>
      <c r="B299" t="s">
        <v>892</v>
      </c>
    </row>
    <row r="300" spans="1:13" x14ac:dyDescent="0.35">
      <c r="A300" s="312" t="s">
        <v>694</v>
      </c>
      <c r="B300" s="304" t="s">
        <v>893</v>
      </c>
      <c r="C300" s="304" t="s">
        <v>894</v>
      </c>
      <c r="D300" s="304" t="s">
        <v>895</v>
      </c>
      <c r="E300" s="304" t="s">
        <v>896</v>
      </c>
      <c r="F300" s="304" t="s">
        <v>897</v>
      </c>
      <c r="G300" s="304" t="s">
        <v>898</v>
      </c>
      <c r="H300" s="304" t="s">
        <v>899</v>
      </c>
      <c r="I300" s="304" t="s">
        <v>900</v>
      </c>
      <c r="J300" s="304" t="s">
        <v>901</v>
      </c>
      <c r="K300" s="304" t="s">
        <v>902</v>
      </c>
      <c r="L300" s="304" t="s">
        <v>903</v>
      </c>
    </row>
    <row r="301" spans="1:13" x14ac:dyDescent="0.35">
      <c r="A301" s="359" t="s">
        <v>143</v>
      </c>
      <c r="B301" s="307">
        <v>0</v>
      </c>
      <c r="C301" s="307">
        <v>0.22125</v>
      </c>
      <c r="D301" s="307">
        <v>0</v>
      </c>
      <c r="E301" s="307">
        <v>0.39624999999999999</v>
      </c>
      <c r="F301" s="307">
        <v>0.14624999999999999</v>
      </c>
      <c r="G301" s="307">
        <v>0</v>
      </c>
      <c r="H301" s="307">
        <v>0</v>
      </c>
      <c r="I301" s="307">
        <v>0</v>
      </c>
      <c r="J301" s="330">
        <v>0</v>
      </c>
      <c r="K301" s="330">
        <v>0</v>
      </c>
      <c r="L301" s="307">
        <v>0.23624999999999999</v>
      </c>
      <c r="M301" s="130">
        <f t="shared" ref="M301:M309" si="5">SUM(B301:L301)</f>
        <v>0.99999999999999989</v>
      </c>
    </row>
    <row r="302" spans="1:13" x14ac:dyDescent="0.35">
      <c r="A302" s="359" t="s">
        <v>83</v>
      </c>
      <c r="B302" s="307">
        <v>0</v>
      </c>
      <c r="C302" s="307">
        <v>0.20500000000000002</v>
      </c>
      <c r="D302" s="307">
        <v>0</v>
      </c>
      <c r="E302" s="307">
        <v>0.79500000000000004</v>
      </c>
      <c r="F302" s="307">
        <v>0</v>
      </c>
      <c r="G302" s="307">
        <v>0</v>
      </c>
      <c r="H302" s="307">
        <v>0</v>
      </c>
      <c r="I302" s="307">
        <v>0</v>
      </c>
      <c r="J302" s="330">
        <v>0</v>
      </c>
      <c r="K302" s="330">
        <v>0</v>
      </c>
      <c r="L302" s="307">
        <v>0</v>
      </c>
      <c r="M302" s="130">
        <f t="shared" si="5"/>
        <v>1</v>
      </c>
    </row>
    <row r="303" spans="1:13" x14ac:dyDescent="0.35">
      <c r="A303" s="359" t="s">
        <v>144</v>
      </c>
      <c r="B303" s="307">
        <v>0</v>
      </c>
      <c r="C303" s="307">
        <v>0</v>
      </c>
      <c r="D303" s="307">
        <v>0</v>
      </c>
      <c r="E303" s="307">
        <v>0.41</v>
      </c>
      <c r="F303" s="307">
        <v>0.5</v>
      </c>
      <c r="G303" s="307">
        <v>0.04</v>
      </c>
      <c r="H303" s="307">
        <v>0</v>
      </c>
      <c r="I303" s="307">
        <v>0.05</v>
      </c>
      <c r="J303" s="330">
        <v>0</v>
      </c>
      <c r="K303" s="330">
        <v>0</v>
      </c>
      <c r="L303" s="307">
        <v>0</v>
      </c>
      <c r="M303" s="130">
        <f t="shared" si="5"/>
        <v>1</v>
      </c>
    </row>
    <row r="304" spans="1:13" x14ac:dyDescent="0.35">
      <c r="A304" s="359" t="s">
        <v>164</v>
      </c>
      <c r="B304" s="307">
        <v>0</v>
      </c>
      <c r="C304" s="307">
        <v>0</v>
      </c>
      <c r="D304" s="307">
        <v>0</v>
      </c>
      <c r="E304" s="307">
        <v>0.41</v>
      </c>
      <c r="F304" s="307">
        <v>0.5</v>
      </c>
      <c r="G304" s="307">
        <v>0.04</v>
      </c>
      <c r="H304" s="307">
        <v>0</v>
      </c>
      <c r="I304" s="307">
        <v>0.05</v>
      </c>
      <c r="J304" s="330">
        <v>0</v>
      </c>
      <c r="K304" s="330">
        <v>0</v>
      </c>
      <c r="L304" s="307">
        <v>0</v>
      </c>
      <c r="M304" s="130">
        <f t="shared" si="5"/>
        <v>1</v>
      </c>
    </row>
    <row r="305" spans="1:13" x14ac:dyDescent="0.35">
      <c r="A305" s="359" t="s">
        <v>145</v>
      </c>
      <c r="B305" s="307">
        <v>0</v>
      </c>
      <c r="C305" s="307">
        <v>0</v>
      </c>
      <c r="D305" s="307">
        <v>0</v>
      </c>
      <c r="E305" s="307">
        <v>0.04</v>
      </c>
      <c r="F305" s="307">
        <v>0.19</v>
      </c>
      <c r="G305" s="307">
        <v>0.21</v>
      </c>
      <c r="H305" s="307">
        <v>0.01</v>
      </c>
      <c r="I305" s="307">
        <v>0.55000000000000004</v>
      </c>
      <c r="J305" s="330">
        <v>0</v>
      </c>
      <c r="K305" s="330">
        <v>0</v>
      </c>
      <c r="L305" s="307">
        <v>0</v>
      </c>
      <c r="M305" s="130">
        <f t="shared" si="5"/>
        <v>1</v>
      </c>
    </row>
    <row r="306" spans="1:13" x14ac:dyDescent="0.35">
      <c r="A306" s="359" t="s">
        <v>87</v>
      </c>
      <c r="B306" s="307">
        <v>0</v>
      </c>
      <c r="C306" s="307">
        <v>0</v>
      </c>
      <c r="D306" s="307">
        <v>0</v>
      </c>
      <c r="E306" s="307">
        <v>0</v>
      </c>
      <c r="F306" s="307">
        <v>0.99</v>
      </c>
      <c r="G306" s="307">
        <v>0</v>
      </c>
      <c r="H306" s="307">
        <v>0</v>
      </c>
      <c r="I306" s="307">
        <v>0</v>
      </c>
      <c r="J306" s="330">
        <v>0</v>
      </c>
      <c r="K306" s="330">
        <v>0</v>
      </c>
      <c r="L306" s="307">
        <v>0.01</v>
      </c>
      <c r="M306" s="130">
        <f t="shared" si="5"/>
        <v>1</v>
      </c>
    </row>
    <row r="307" spans="1:13" x14ac:dyDescent="0.35">
      <c r="A307" s="359" t="s">
        <v>146</v>
      </c>
      <c r="B307" s="307">
        <v>0</v>
      </c>
      <c r="C307" s="307">
        <v>0.12</v>
      </c>
      <c r="D307" s="307">
        <v>0</v>
      </c>
      <c r="E307" s="307">
        <v>0.20499999999999999</v>
      </c>
      <c r="F307" s="307">
        <v>0.39500000000000002</v>
      </c>
      <c r="G307" s="307">
        <v>0.02</v>
      </c>
      <c r="H307" s="307">
        <v>0</v>
      </c>
      <c r="I307" s="307">
        <v>2.5000000000000001E-2</v>
      </c>
      <c r="J307" s="330">
        <v>0</v>
      </c>
      <c r="K307" s="330">
        <v>0</v>
      </c>
      <c r="L307" s="307">
        <v>0.23499999999999999</v>
      </c>
      <c r="M307" s="130">
        <f t="shared" si="5"/>
        <v>1</v>
      </c>
    </row>
    <row r="308" spans="1:13" x14ac:dyDescent="0.35">
      <c r="A308" s="359" t="s">
        <v>89</v>
      </c>
      <c r="B308" s="307">
        <v>0</v>
      </c>
      <c r="C308" s="307">
        <v>0.20500000000000002</v>
      </c>
      <c r="D308" s="307">
        <v>0</v>
      </c>
      <c r="E308" s="307">
        <v>0.79500000000000004</v>
      </c>
      <c r="F308" s="307">
        <v>0</v>
      </c>
      <c r="G308" s="307">
        <v>0</v>
      </c>
      <c r="H308" s="307">
        <v>0</v>
      </c>
      <c r="I308" s="307">
        <v>0</v>
      </c>
      <c r="J308" s="330">
        <v>0</v>
      </c>
      <c r="K308" s="330">
        <v>0</v>
      </c>
      <c r="L308" s="307">
        <v>0</v>
      </c>
      <c r="M308" s="130">
        <f t="shared" si="5"/>
        <v>1</v>
      </c>
    </row>
    <row r="309" spans="1:13" x14ac:dyDescent="0.35">
      <c r="A309" s="359" t="s">
        <v>90</v>
      </c>
      <c r="B309" s="307">
        <v>0</v>
      </c>
      <c r="C309" s="307">
        <v>0</v>
      </c>
      <c r="D309" s="307">
        <v>0</v>
      </c>
      <c r="E309" s="307">
        <v>0.14349999999999999</v>
      </c>
      <c r="F309" s="307">
        <v>0.30499999999999999</v>
      </c>
      <c r="G309" s="307">
        <v>0.13750000000000001</v>
      </c>
      <c r="H309" s="307">
        <v>0</v>
      </c>
      <c r="I309" s="307">
        <v>0.29050000000000004</v>
      </c>
      <c r="J309" s="330">
        <v>0</v>
      </c>
      <c r="K309" s="330">
        <v>0</v>
      </c>
      <c r="L309" s="307">
        <v>0.12350000000000001</v>
      </c>
      <c r="M309" s="130">
        <f t="shared" si="5"/>
        <v>1</v>
      </c>
    </row>
    <row r="311" spans="1:13" x14ac:dyDescent="0.35">
      <c r="A311" s="304" t="s">
        <v>906</v>
      </c>
      <c r="B311" t="s">
        <v>892</v>
      </c>
    </row>
    <row r="312" spans="1:13" x14ac:dyDescent="0.35">
      <c r="A312" s="312" t="s">
        <v>694</v>
      </c>
      <c r="B312" s="304" t="s">
        <v>893</v>
      </c>
      <c r="C312" s="304" t="s">
        <v>894</v>
      </c>
      <c r="D312" s="304" t="s">
        <v>895</v>
      </c>
      <c r="E312" s="304" t="s">
        <v>896</v>
      </c>
      <c r="F312" s="304" t="s">
        <v>897</v>
      </c>
      <c r="G312" s="304" t="s">
        <v>898</v>
      </c>
      <c r="H312" s="304" t="s">
        <v>899</v>
      </c>
      <c r="I312" s="304" t="s">
        <v>900</v>
      </c>
      <c r="J312" s="304" t="s">
        <v>901</v>
      </c>
      <c r="K312" s="304" t="s">
        <v>902</v>
      </c>
      <c r="L312" s="304" t="s">
        <v>903</v>
      </c>
    </row>
    <row r="313" spans="1:13" x14ac:dyDescent="0.35">
      <c r="A313" s="359" t="s">
        <v>143</v>
      </c>
      <c r="B313" s="307">
        <v>5.8416666666666672E-2</v>
      </c>
      <c r="C313" s="307">
        <v>0</v>
      </c>
      <c r="D313" s="307">
        <v>0.27841666666666665</v>
      </c>
      <c r="E313" s="307">
        <v>0</v>
      </c>
      <c r="F313" s="330">
        <v>0</v>
      </c>
      <c r="G313" s="307">
        <v>9.9166666666666778E-3</v>
      </c>
      <c r="H313" s="307">
        <v>0</v>
      </c>
      <c r="I313" s="330">
        <v>0</v>
      </c>
      <c r="J313" s="307">
        <v>0.13741666666666669</v>
      </c>
      <c r="K313" s="307">
        <v>0.47241666666666665</v>
      </c>
      <c r="L313" s="307">
        <v>4.3416666666666673E-2</v>
      </c>
      <c r="M313" s="130">
        <f t="shared" ref="M313:M321" si="6">SUM(B313:L313)</f>
        <v>1</v>
      </c>
    </row>
    <row r="314" spans="1:13" x14ac:dyDescent="0.35">
      <c r="A314" s="359" t="s">
        <v>83</v>
      </c>
      <c r="B314" s="307">
        <v>8.6999999999999994E-2</v>
      </c>
      <c r="C314" s="307">
        <v>0</v>
      </c>
      <c r="D314" s="307">
        <v>0.13700000000000001</v>
      </c>
      <c r="E314" s="307">
        <v>0</v>
      </c>
      <c r="F314" s="330">
        <v>0</v>
      </c>
      <c r="G314" s="307">
        <v>2.0000000000000004E-2</v>
      </c>
      <c r="H314" s="307">
        <v>0</v>
      </c>
      <c r="I314" s="330">
        <v>0</v>
      </c>
      <c r="J314" s="307">
        <v>2.8000000000000001E-2</v>
      </c>
      <c r="K314" s="307">
        <v>0.69799999999999995</v>
      </c>
      <c r="L314" s="307">
        <v>0.03</v>
      </c>
      <c r="M314" s="130">
        <f t="shared" si="6"/>
        <v>1</v>
      </c>
    </row>
    <row r="315" spans="1:13" x14ac:dyDescent="0.35">
      <c r="A315" s="359" t="s">
        <v>144</v>
      </c>
      <c r="B315" s="307">
        <v>0</v>
      </c>
      <c r="C315" s="307">
        <v>0.39666666666666667</v>
      </c>
      <c r="D315" s="307">
        <v>0</v>
      </c>
      <c r="E315" s="307">
        <v>0.53666666666666674</v>
      </c>
      <c r="F315" s="330">
        <v>0</v>
      </c>
      <c r="G315" s="307">
        <v>0</v>
      </c>
      <c r="H315" s="307">
        <v>6.666666666666668E-2</v>
      </c>
      <c r="I315" s="330">
        <v>0</v>
      </c>
      <c r="J315" s="307">
        <v>0</v>
      </c>
      <c r="K315" s="307">
        <v>0</v>
      </c>
      <c r="L315" s="307">
        <v>0</v>
      </c>
      <c r="M315" s="130">
        <f t="shared" si="6"/>
        <v>1</v>
      </c>
    </row>
    <row r="316" spans="1:13" x14ac:dyDescent="0.35">
      <c r="A316" s="359" t="s">
        <v>164</v>
      </c>
      <c r="B316" s="307">
        <v>0.26916666666666667</v>
      </c>
      <c r="C316" s="307">
        <v>0.19916666666666666</v>
      </c>
      <c r="D316" s="307">
        <v>1.4166666666666647E-2</v>
      </c>
      <c r="E316" s="307">
        <v>0.34416666666666673</v>
      </c>
      <c r="F316" s="330">
        <v>0</v>
      </c>
      <c r="G316" s="307">
        <v>0</v>
      </c>
      <c r="H316" s="307">
        <v>3.4166666666666658E-2</v>
      </c>
      <c r="I316" s="330">
        <v>0</v>
      </c>
      <c r="J316" s="307">
        <v>0</v>
      </c>
      <c r="K316" s="307">
        <v>0</v>
      </c>
      <c r="L316" s="307">
        <v>0.13916666666666669</v>
      </c>
      <c r="M316" s="130">
        <f t="shared" si="6"/>
        <v>1</v>
      </c>
    </row>
    <row r="317" spans="1:13" x14ac:dyDescent="0.35">
      <c r="A317" s="359" t="s">
        <v>145</v>
      </c>
      <c r="B317" s="307">
        <v>0.09</v>
      </c>
      <c r="C317" s="307">
        <v>0.22</v>
      </c>
      <c r="D317" s="307">
        <v>0.16000000000000003</v>
      </c>
      <c r="E317" s="307">
        <v>0.30000000000000004</v>
      </c>
      <c r="F317" s="330">
        <v>0</v>
      </c>
      <c r="G317" s="307">
        <v>0.09</v>
      </c>
      <c r="H317" s="307">
        <v>8.0000000000000016E-2</v>
      </c>
      <c r="I317" s="330">
        <v>0</v>
      </c>
      <c r="J317" s="307">
        <v>0.03</v>
      </c>
      <c r="K317" s="307">
        <v>0</v>
      </c>
      <c r="L317" s="307">
        <v>0.03</v>
      </c>
      <c r="M317" s="130">
        <f t="shared" si="6"/>
        <v>1</v>
      </c>
    </row>
    <row r="318" spans="1:13" x14ac:dyDescent="0.35">
      <c r="A318" s="359" t="s">
        <v>87</v>
      </c>
      <c r="B318" s="307">
        <v>0</v>
      </c>
      <c r="C318" s="307">
        <v>7.8000000000000014E-2</v>
      </c>
      <c r="D318" s="307">
        <v>9.8000000000000004E-2</v>
      </c>
      <c r="E318" s="307">
        <v>0.40799999999999997</v>
      </c>
      <c r="F318" s="330">
        <v>0</v>
      </c>
      <c r="G318" s="307">
        <v>1.8000000000000002E-2</v>
      </c>
      <c r="H318" s="307">
        <v>0</v>
      </c>
      <c r="I318" s="330">
        <v>0</v>
      </c>
      <c r="J318" s="307">
        <v>0</v>
      </c>
      <c r="K318" s="307">
        <v>0</v>
      </c>
      <c r="L318" s="307">
        <v>0.39800000000000002</v>
      </c>
      <c r="M318" s="130">
        <f t="shared" si="6"/>
        <v>1</v>
      </c>
    </row>
    <row r="319" spans="1:13" x14ac:dyDescent="0.35">
      <c r="A319" s="359" t="s">
        <v>146</v>
      </c>
      <c r="B319" s="307">
        <v>1.4312499999999992E-2</v>
      </c>
      <c r="C319" s="307">
        <v>0.1993125</v>
      </c>
      <c r="D319" s="307">
        <v>0.20931249999999998</v>
      </c>
      <c r="E319" s="307">
        <v>0.26931250000000001</v>
      </c>
      <c r="F319" s="330">
        <v>0</v>
      </c>
      <c r="G319" s="307">
        <v>0</v>
      </c>
      <c r="H319" s="307">
        <v>3.4312500000000003E-2</v>
      </c>
      <c r="I319" s="330">
        <v>0</v>
      </c>
      <c r="J319" s="307">
        <v>0.12281249999999999</v>
      </c>
      <c r="K319" s="307">
        <v>0.12281249999999999</v>
      </c>
      <c r="L319" s="307">
        <v>2.7812499999999997E-2</v>
      </c>
      <c r="M319" s="130">
        <f t="shared" si="6"/>
        <v>1</v>
      </c>
    </row>
    <row r="320" spans="1:13" x14ac:dyDescent="0.35">
      <c r="A320" s="359" t="s">
        <v>89</v>
      </c>
      <c r="B320" s="307">
        <v>0.32779999999999998</v>
      </c>
      <c r="C320" s="307">
        <v>0.18479999999999996</v>
      </c>
      <c r="D320" s="307">
        <v>4.1799999999999983E-2</v>
      </c>
      <c r="E320" s="307">
        <v>3.9799999999999988E-2</v>
      </c>
      <c r="F320" s="330">
        <v>0</v>
      </c>
      <c r="G320" s="307">
        <v>0</v>
      </c>
      <c r="H320" s="307">
        <v>0</v>
      </c>
      <c r="I320" s="330">
        <v>0</v>
      </c>
      <c r="J320" s="307">
        <v>0</v>
      </c>
      <c r="K320" s="307">
        <v>0.40580000000000005</v>
      </c>
      <c r="L320" s="307">
        <v>0</v>
      </c>
      <c r="M320" s="130">
        <f t="shared" si="6"/>
        <v>0.99999999999999989</v>
      </c>
    </row>
    <row r="321" spans="1:16" x14ac:dyDescent="0.35">
      <c r="A321" s="359" t="s">
        <v>90</v>
      </c>
      <c r="B321" s="307">
        <v>0</v>
      </c>
      <c r="C321" s="307">
        <v>0.12675</v>
      </c>
      <c r="D321" s="307">
        <v>3.8749999999999993E-2</v>
      </c>
      <c r="E321" s="307">
        <v>0.78425</v>
      </c>
      <c r="F321" s="330">
        <v>0</v>
      </c>
      <c r="G321" s="307">
        <v>0</v>
      </c>
      <c r="H321" s="307">
        <v>1.0249999999999992E-2</v>
      </c>
      <c r="I321" s="330">
        <v>0</v>
      </c>
      <c r="J321" s="307">
        <v>6.2499999999999917E-3</v>
      </c>
      <c r="K321" s="307">
        <v>3.3749999999999995E-2</v>
      </c>
      <c r="L321" s="307">
        <v>0</v>
      </c>
      <c r="M321" s="130">
        <f t="shared" si="6"/>
        <v>0.99999999999999989</v>
      </c>
    </row>
    <row r="324" spans="1:16" s="511" customFormat="1" x14ac:dyDescent="0.35">
      <c r="A324" s="511" t="s">
        <v>2060</v>
      </c>
    </row>
    <row r="325" spans="1:16" ht="15.75" customHeight="1" x14ac:dyDescent="0.35">
      <c r="A325" s="56"/>
      <c r="B325" s="56"/>
      <c r="C325" s="51"/>
      <c r="D325" s="51"/>
      <c r="E325" s="51"/>
      <c r="F325" s="51"/>
      <c r="G325" s="51"/>
      <c r="H325" s="51"/>
      <c r="I325" s="51"/>
      <c r="J325" s="51"/>
      <c r="K325" s="51"/>
    </row>
    <row r="326" spans="1:16" ht="15.75" customHeight="1" x14ac:dyDescent="0.35">
      <c r="A326" s="298" t="s">
        <v>324</v>
      </c>
      <c r="B326" s="55"/>
      <c r="C326" s="51"/>
      <c r="D326" s="51"/>
      <c r="E326" s="51"/>
      <c r="F326" s="51"/>
      <c r="G326" s="51"/>
      <c r="H326" s="51"/>
      <c r="I326" s="51"/>
      <c r="J326" s="51"/>
      <c r="K326" s="51"/>
    </row>
    <row r="327" spans="1:16" x14ac:dyDescent="0.35">
      <c r="A327" s="321"/>
      <c r="B327" s="71"/>
      <c r="C327" s="71"/>
      <c r="D327" s="71"/>
      <c r="E327" s="71"/>
      <c r="F327" s="71"/>
      <c r="G327" s="71"/>
      <c r="H327" s="71"/>
      <c r="I327" s="71"/>
      <c r="J327" s="71"/>
      <c r="K327" s="71"/>
      <c r="L327" s="71"/>
      <c r="M327" s="71"/>
      <c r="N327" s="71"/>
      <c r="O327" s="71"/>
      <c r="P327" s="71"/>
    </row>
    <row r="328" spans="1:16" ht="16.5" customHeight="1" x14ac:dyDescent="0.35">
      <c r="A328" s="315" t="s">
        <v>325</v>
      </c>
    </row>
    <row r="329" spans="1:16" ht="16.5" customHeight="1" x14ac:dyDescent="0.35">
      <c r="A329" s="309" t="s">
        <v>168</v>
      </c>
      <c r="B329" s="310" t="s">
        <v>169</v>
      </c>
      <c r="D329" s="51"/>
    </row>
    <row r="330" spans="1:16" x14ac:dyDescent="0.35">
      <c r="A330" s="311">
        <v>0</v>
      </c>
      <c r="B330" s="322" t="s">
        <v>2061</v>
      </c>
    </row>
    <row r="331" spans="1:16" ht="15" customHeight="1" x14ac:dyDescent="0.35">
      <c r="A331" s="311">
        <v>1</v>
      </c>
      <c r="B331" s="322" t="s">
        <v>2062</v>
      </c>
    </row>
    <row r="332" spans="1:16" x14ac:dyDescent="0.35">
      <c r="A332" s="311">
        <v>2</v>
      </c>
      <c r="B332" s="322" t="s">
        <v>2063</v>
      </c>
    </row>
    <row r="333" spans="1:16" x14ac:dyDescent="0.35">
      <c r="A333" s="311">
        <v>3</v>
      </c>
      <c r="B333" s="322" t="s">
        <v>2064</v>
      </c>
    </row>
    <row r="334" spans="1:16" x14ac:dyDescent="0.35">
      <c r="A334" s="312" t="s">
        <v>170</v>
      </c>
      <c r="B334" s="303">
        <v>3</v>
      </c>
      <c r="C334" s="51"/>
    </row>
    <row r="335" spans="1:16" x14ac:dyDescent="0.35">
      <c r="A335" s="75"/>
      <c r="B335" s="55"/>
      <c r="C335" s="51"/>
    </row>
    <row r="336" spans="1:16" x14ac:dyDescent="0.35">
      <c r="A336" s="75"/>
      <c r="B336" s="55"/>
      <c r="C336" s="51"/>
    </row>
    <row r="337" spans="1:17" x14ac:dyDescent="0.35">
      <c r="A337" s="368" t="s">
        <v>307</v>
      </c>
      <c r="B337" s="304" t="s">
        <v>252</v>
      </c>
      <c r="C337" s="304" t="s">
        <v>253</v>
      </c>
      <c r="D337" s="304" t="s">
        <v>254</v>
      </c>
      <c r="E337" s="304" t="s">
        <v>302</v>
      </c>
      <c r="F337" s="304" t="s">
        <v>255</v>
      </c>
    </row>
    <row r="338" spans="1:17" s="10" customFormat="1" x14ac:dyDescent="0.35">
      <c r="A338" s="300" t="s">
        <v>380</v>
      </c>
      <c r="B338" s="301" t="s">
        <v>128</v>
      </c>
      <c r="C338" s="301" t="s">
        <v>322</v>
      </c>
      <c r="D338" s="301" t="s">
        <v>322</v>
      </c>
      <c r="E338" s="301" t="s">
        <v>128</v>
      </c>
      <c r="F338" s="301" t="s">
        <v>128</v>
      </c>
      <c r="G338" s="55"/>
      <c r="H338" s="55"/>
      <c r="I338" s="55"/>
      <c r="J338" s="55"/>
      <c r="K338" s="55"/>
      <c r="L338" s="55"/>
    </row>
    <row r="339" spans="1:17" x14ac:dyDescent="0.35">
      <c r="A339" s="315" t="s">
        <v>143</v>
      </c>
      <c r="B339" s="303">
        <v>0</v>
      </c>
      <c r="C339" s="303">
        <v>2025</v>
      </c>
      <c r="D339" s="303">
        <v>2040</v>
      </c>
      <c r="E339" s="319">
        <v>1</v>
      </c>
      <c r="F339" s="319">
        <v>0</v>
      </c>
    </row>
    <row r="340" spans="1:17" x14ac:dyDescent="0.35">
      <c r="A340" s="315" t="s">
        <v>83</v>
      </c>
      <c r="B340" s="303">
        <v>0</v>
      </c>
      <c r="C340" s="303">
        <v>2025</v>
      </c>
      <c r="D340" s="303">
        <v>2040</v>
      </c>
      <c r="E340" s="319">
        <v>1</v>
      </c>
      <c r="F340" s="319">
        <v>0</v>
      </c>
    </row>
    <row r="341" spans="1:17" x14ac:dyDescent="0.35">
      <c r="A341" s="315" t="s">
        <v>144</v>
      </c>
      <c r="B341" s="303">
        <v>0</v>
      </c>
      <c r="C341" s="303">
        <v>2025</v>
      </c>
      <c r="D341" s="303">
        <v>2040</v>
      </c>
      <c r="E341" s="319">
        <v>1</v>
      </c>
      <c r="F341" s="319">
        <v>0</v>
      </c>
    </row>
    <row r="342" spans="1:17" x14ac:dyDescent="0.35">
      <c r="A342" s="315" t="s">
        <v>85</v>
      </c>
      <c r="B342" s="303">
        <v>0</v>
      </c>
      <c r="C342" s="303">
        <v>2025</v>
      </c>
      <c r="D342" s="303">
        <v>2040</v>
      </c>
      <c r="E342" s="319">
        <v>1</v>
      </c>
      <c r="F342" s="319">
        <v>0</v>
      </c>
    </row>
    <row r="343" spans="1:17" x14ac:dyDescent="0.35">
      <c r="A343" s="315" t="s">
        <v>145</v>
      </c>
      <c r="B343" s="303">
        <v>0</v>
      </c>
      <c r="C343" s="303">
        <v>2025</v>
      </c>
      <c r="D343" s="303">
        <v>2040</v>
      </c>
      <c r="E343" s="319">
        <v>1</v>
      </c>
      <c r="F343" s="319">
        <v>0</v>
      </c>
    </row>
    <row r="344" spans="1:17" x14ac:dyDescent="0.35">
      <c r="A344" s="315" t="s">
        <v>87</v>
      </c>
      <c r="B344" s="303">
        <v>0</v>
      </c>
      <c r="C344" s="303">
        <v>2025</v>
      </c>
      <c r="D344" s="303">
        <v>2040</v>
      </c>
      <c r="E344" s="319">
        <v>1</v>
      </c>
      <c r="F344" s="319">
        <v>0</v>
      </c>
    </row>
    <row r="345" spans="1:17" x14ac:dyDescent="0.35">
      <c r="A345" s="315" t="s">
        <v>146</v>
      </c>
      <c r="B345" s="303">
        <v>0</v>
      </c>
      <c r="C345" s="303">
        <v>2025</v>
      </c>
      <c r="D345" s="303">
        <v>2040</v>
      </c>
      <c r="E345" s="319">
        <v>1</v>
      </c>
      <c r="F345" s="319">
        <v>0</v>
      </c>
    </row>
    <row r="346" spans="1:17" x14ac:dyDescent="0.35">
      <c r="A346" s="315" t="s">
        <v>89</v>
      </c>
      <c r="B346" s="303">
        <v>0</v>
      </c>
      <c r="C346" s="303">
        <v>2025</v>
      </c>
      <c r="D346" s="303">
        <v>2040</v>
      </c>
      <c r="E346" s="319">
        <v>1</v>
      </c>
      <c r="F346" s="319">
        <v>0</v>
      </c>
    </row>
    <row r="347" spans="1:17" x14ac:dyDescent="0.35">
      <c r="A347" s="315" t="s">
        <v>90</v>
      </c>
      <c r="B347" s="303">
        <v>0</v>
      </c>
      <c r="C347" s="303">
        <v>2025</v>
      </c>
      <c r="D347" s="303">
        <v>2040</v>
      </c>
      <c r="E347" s="319">
        <v>1</v>
      </c>
      <c r="F347" s="319">
        <v>0</v>
      </c>
    </row>
    <row r="348" spans="1:17" x14ac:dyDescent="0.35">
      <c r="A348" s="56"/>
      <c r="B348" s="56"/>
      <c r="C348" s="13"/>
      <c r="E348" s="51"/>
      <c r="F348" s="51"/>
      <c r="G348" s="51"/>
      <c r="H348" s="51"/>
      <c r="I348" s="51"/>
      <c r="J348" s="51"/>
      <c r="K348" s="51"/>
      <c r="L348" s="51"/>
    </row>
    <row r="349" spans="1:17" x14ac:dyDescent="0.35">
      <c r="A349" s="368" t="s">
        <v>2062</v>
      </c>
    </row>
    <row r="350" spans="1:17" ht="14.5" customHeight="1" x14ac:dyDescent="0.35">
      <c r="A350" s="320" t="s">
        <v>379</v>
      </c>
      <c r="B350" s="304" t="s">
        <v>129</v>
      </c>
      <c r="C350" s="304" t="s">
        <v>130</v>
      </c>
      <c r="D350" s="304" t="s">
        <v>131</v>
      </c>
      <c r="E350" s="304" t="s">
        <v>132</v>
      </c>
      <c r="F350" s="304" t="s">
        <v>133</v>
      </c>
      <c r="G350" s="304" t="s">
        <v>134</v>
      </c>
      <c r="H350" s="304" t="s">
        <v>135</v>
      </c>
      <c r="I350" s="304" t="s">
        <v>136</v>
      </c>
      <c r="J350" s="304" t="s">
        <v>137</v>
      </c>
      <c r="K350" s="304" t="s">
        <v>138</v>
      </c>
      <c r="L350" s="304" t="s">
        <v>139</v>
      </c>
      <c r="M350" s="304" t="s">
        <v>140</v>
      </c>
      <c r="N350" s="304" t="s">
        <v>141</v>
      </c>
      <c r="O350" s="304" t="s">
        <v>142</v>
      </c>
      <c r="P350" s="55"/>
      <c r="Q350" s="48"/>
    </row>
    <row r="351" spans="1:17" x14ac:dyDescent="0.35">
      <c r="A351" s="315" t="s">
        <v>143</v>
      </c>
      <c r="B351" s="319">
        <v>126.38879259519562</v>
      </c>
      <c r="C351" s="319">
        <v>69.755465554343246</v>
      </c>
      <c r="D351" s="319">
        <v>8.7048660139512979</v>
      </c>
      <c r="E351" s="319">
        <v>213</v>
      </c>
      <c r="F351" s="319">
        <v>19.586747759697879</v>
      </c>
      <c r="G351" s="319">
        <v>4.8272680836494217</v>
      </c>
      <c r="H351" s="319">
        <v>240.17028885347744</v>
      </c>
      <c r="I351" s="319">
        <v>12.042162501063169</v>
      </c>
      <c r="J351" s="319">
        <v>17.066997895849294</v>
      </c>
      <c r="K351" s="319">
        <v>64.301783089247223</v>
      </c>
      <c r="L351" s="319">
        <v>22.583893960550288</v>
      </c>
      <c r="M351" s="319">
        <v>39.6</v>
      </c>
      <c r="N351" s="319">
        <v>96.2</v>
      </c>
      <c r="O351" s="319">
        <v>7.5</v>
      </c>
      <c r="P351" s="71"/>
    </row>
    <row r="352" spans="1:17" x14ac:dyDescent="0.35">
      <c r="A352" s="315" t="s">
        <v>83</v>
      </c>
      <c r="B352" s="319">
        <v>115.68</v>
      </c>
      <c r="C352" s="319">
        <v>104.05</v>
      </c>
      <c r="D352" s="319">
        <v>7.6800000000000006</v>
      </c>
      <c r="E352" s="319">
        <v>224.39999999999998</v>
      </c>
      <c r="F352" s="319">
        <v>17.43</v>
      </c>
      <c r="G352" s="319">
        <v>2.54</v>
      </c>
      <c r="H352" s="319">
        <v>235.48</v>
      </c>
      <c r="I352" s="319">
        <v>11.08</v>
      </c>
      <c r="J352" s="319">
        <v>22.61</v>
      </c>
      <c r="K352" s="319">
        <v>58.88</v>
      </c>
      <c r="L352" s="319">
        <v>20.76</v>
      </c>
      <c r="M352" s="319">
        <v>41.28</v>
      </c>
      <c r="N352" s="319">
        <v>93.14</v>
      </c>
      <c r="O352" s="319">
        <v>7.8</v>
      </c>
      <c r="P352" s="71"/>
    </row>
    <row r="353" spans="1:16" x14ac:dyDescent="0.35">
      <c r="A353" s="315" t="s">
        <v>144</v>
      </c>
      <c r="B353" s="319">
        <v>149.40804810550873</v>
      </c>
      <c r="C353" s="319">
        <v>67.361880288201561</v>
      </c>
      <c r="D353" s="319">
        <v>11.722828437086886</v>
      </c>
      <c r="E353" s="319">
        <v>440.70396898440953</v>
      </c>
      <c r="F353" s="319">
        <v>7.455625073421162</v>
      </c>
      <c r="G353" s="319">
        <v>1.9266246572427177</v>
      </c>
      <c r="H353" s="319">
        <v>33.688206790487385</v>
      </c>
      <c r="I353" s="319">
        <v>18.628166984950226</v>
      </c>
      <c r="J353" s="319">
        <v>8.4237462787425308</v>
      </c>
      <c r="K353" s="319">
        <v>53.876580052352452</v>
      </c>
      <c r="L353" s="319">
        <v>34.855028226337467</v>
      </c>
      <c r="M353" s="319">
        <v>7.5295693055096411</v>
      </c>
      <c r="N353" s="319">
        <v>44.693772742972108</v>
      </c>
      <c r="O353" s="319">
        <v>1.3494088082236684</v>
      </c>
      <c r="P353" s="71"/>
    </row>
    <row r="354" spans="1:16" x14ac:dyDescent="0.35">
      <c r="A354" s="315" t="s">
        <v>85</v>
      </c>
      <c r="B354" s="319">
        <v>158.02380357906154</v>
      </c>
      <c r="C354" s="319">
        <v>37.700000000000003</v>
      </c>
      <c r="D354" s="319">
        <v>8.9126410415436332</v>
      </c>
      <c r="E354" s="319">
        <v>150.39412942701961</v>
      </c>
      <c r="F354" s="319">
        <v>10.18</v>
      </c>
      <c r="G354" s="319">
        <v>1.1409549566607033</v>
      </c>
      <c r="H354" s="319">
        <v>34.778812059801439</v>
      </c>
      <c r="I354" s="319">
        <v>8.5977390264833353</v>
      </c>
      <c r="J354" s="319">
        <v>7.1972249586053563</v>
      </c>
      <c r="K354" s="319">
        <v>29.950824976219458</v>
      </c>
      <c r="L354" s="319">
        <v>35.046144629347658</v>
      </c>
      <c r="M354" s="319">
        <v>24.243369350339623</v>
      </c>
      <c r="N354" s="319">
        <v>25.571707816740577</v>
      </c>
      <c r="O354" s="319">
        <v>2.9750458397838258</v>
      </c>
      <c r="P354" s="71"/>
    </row>
    <row r="355" spans="1:16" x14ac:dyDescent="0.35">
      <c r="A355" s="315" t="s">
        <v>145</v>
      </c>
      <c r="B355" s="319">
        <v>148.46</v>
      </c>
      <c r="C355" s="319">
        <v>30.79</v>
      </c>
      <c r="D355" s="319">
        <v>16.71</v>
      </c>
      <c r="E355" s="319">
        <v>145.06</v>
      </c>
      <c r="F355" s="319">
        <v>8.67</v>
      </c>
      <c r="G355" s="319">
        <v>0.04</v>
      </c>
      <c r="H355" s="319">
        <v>87.53</v>
      </c>
      <c r="I355" s="319">
        <v>2.58</v>
      </c>
      <c r="J355" s="319">
        <v>1.3900000000000001</v>
      </c>
      <c r="K355" s="319">
        <v>2.3000000000000003</v>
      </c>
      <c r="L355" s="319">
        <v>5.04</v>
      </c>
      <c r="M355" s="319">
        <v>23.43</v>
      </c>
      <c r="N355" s="319">
        <v>2.02</v>
      </c>
      <c r="O355" s="319">
        <v>0.81</v>
      </c>
      <c r="P355" s="71"/>
    </row>
    <row r="356" spans="1:16" x14ac:dyDescent="0.35">
      <c r="A356" s="315" t="s">
        <v>87</v>
      </c>
      <c r="B356" s="319">
        <v>114.9</v>
      </c>
      <c r="C356" s="319">
        <v>63.5</v>
      </c>
      <c r="D356" s="319">
        <v>14.873280010836929</v>
      </c>
      <c r="E356" s="319">
        <v>154.17780023855337</v>
      </c>
      <c r="F356" s="319">
        <v>15.5</v>
      </c>
      <c r="G356" s="319">
        <v>2.417135253252447</v>
      </c>
      <c r="H356" s="319">
        <v>141.11703732537495</v>
      </c>
      <c r="I356" s="319">
        <v>9.5759059396834232</v>
      </c>
      <c r="J356" s="319">
        <v>34.700296318652661</v>
      </c>
      <c r="K356" s="319">
        <v>49.901510216760684</v>
      </c>
      <c r="L356" s="319">
        <v>10.85942402663553</v>
      </c>
      <c r="M356" s="319">
        <v>44.24</v>
      </c>
      <c r="N356" s="319">
        <v>65.599999999999994</v>
      </c>
      <c r="O356" s="319">
        <v>5.5</v>
      </c>
      <c r="P356" s="71"/>
    </row>
    <row r="357" spans="1:16" x14ac:dyDescent="0.35">
      <c r="A357" s="315" t="s">
        <v>146</v>
      </c>
      <c r="B357" s="319">
        <v>147.9</v>
      </c>
      <c r="C357" s="319">
        <v>113.27</v>
      </c>
      <c r="D357" s="319">
        <v>3.5</v>
      </c>
      <c r="E357" s="319">
        <v>185.19</v>
      </c>
      <c r="F357" s="319">
        <v>13.75</v>
      </c>
      <c r="G357" s="319">
        <v>3.19</v>
      </c>
      <c r="H357" s="319">
        <v>166.15</v>
      </c>
      <c r="I357" s="319">
        <v>15.43</v>
      </c>
      <c r="J357" s="319">
        <v>18.38</v>
      </c>
      <c r="K357" s="319">
        <v>56.44</v>
      </c>
      <c r="L357" s="319">
        <v>22.93</v>
      </c>
      <c r="M357" s="319">
        <v>49.02</v>
      </c>
      <c r="N357" s="319">
        <v>79.8</v>
      </c>
      <c r="O357" s="319">
        <v>4.41</v>
      </c>
      <c r="P357" s="71"/>
    </row>
    <row r="358" spans="1:16" x14ac:dyDescent="0.35">
      <c r="A358" s="315" t="s">
        <v>89</v>
      </c>
      <c r="B358" s="319">
        <v>119</v>
      </c>
      <c r="C358" s="319">
        <v>47.4</v>
      </c>
      <c r="D358" s="319">
        <v>13.50148856367057</v>
      </c>
      <c r="E358" s="319">
        <v>206.44986269582012</v>
      </c>
      <c r="F358" s="319">
        <v>25.03</v>
      </c>
      <c r="G358" s="319">
        <v>3.1328637583566836</v>
      </c>
      <c r="H358" s="319">
        <v>215.32833884288621</v>
      </c>
      <c r="I358" s="319">
        <v>15.409116269045944</v>
      </c>
      <c r="J358" s="319">
        <v>31.091800005865029</v>
      </c>
      <c r="K358" s="319">
        <v>68.839097068138386</v>
      </c>
      <c r="L358" s="319">
        <v>18.791132299964442</v>
      </c>
      <c r="M358" s="319">
        <v>58.7</v>
      </c>
      <c r="N358" s="319">
        <v>82.8</v>
      </c>
      <c r="O358" s="319">
        <v>6</v>
      </c>
      <c r="P358" s="71"/>
    </row>
    <row r="359" spans="1:16" x14ac:dyDescent="0.35">
      <c r="A359" s="315" t="s">
        <v>90</v>
      </c>
      <c r="B359" s="319">
        <v>143.9</v>
      </c>
      <c r="C359" s="319">
        <v>81.7</v>
      </c>
      <c r="D359" s="319">
        <v>12.820858157372772</v>
      </c>
      <c r="E359" s="319">
        <v>141.72394231864041</v>
      </c>
      <c r="F359" s="319">
        <v>9.4742357357929912</v>
      </c>
      <c r="G359" s="319">
        <v>0.67639893598126588</v>
      </c>
      <c r="H359" s="319">
        <v>71.152802588823207</v>
      </c>
      <c r="I359" s="319">
        <v>4.0463381878294005</v>
      </c>
      <c r="J359" s="319">
        <v>9.6901330320081644</v>
      </c>
      <c r="K359" s="319">
        <v>14.026910696521444</v>
      </c>
      <c r="L359" s="319">
        <v>10.314703381775674</v>
      </c>
      <c r="M359" s="319">
        <v>19.8</v>
      </c>
      <c r="N359" s="319">
        <v>23.3</v>
      </c>
      <c r="O359" s="319">
        <v>0.54</v>
      </c>
      <c r="P359" s="71"/>
    </row>
    <row r="360" spans="1:16" x14ac:dyDescent="0.35">
      <c r="D360" s="24"/>
    </row>
    <row r="361" spans="1:16" x14ac:dyDescent="0.35">
      <c r="A361" s="368" t="s">
        <v>1641</v>
      </c>
      <c r="B361" s="299" t="s">
        <v>1642</v>
      </c>
      <c r="C361" s="304" t="s">
        <v>1643</v>
      </c>
    </row>
    <row r="362" spans="1:16" x14ac:dyDescent="0.35">
      <c r="A362" s="305" t="s">
        <v>128</v>
      </c>
      <c r="B362" s="305" t="s">
        <v>322</v>
      </c>
      <c r="C362" s="305" t="s">
        <v>322</v>
      </c>
    </row>
    <row r="363" spans="1:16" x14ac:dyDescent="0.35">
      <c r="A363" s="306">
        <v>0</v>
      </c>
      <c r="B363" s="306">
        <v>2025</v>
      </c>
      <c r="C363" s="306">
        <v>2050</v>
      </c>
    </row>
    <row r="364" spans="1:16" x14ac:dyDescent="0.35">
      <c r="A364" s="315" t="s">
        <v>1644</v>
      </c>
      <c r="B364" s="304" t="s">
        <v>143</v>
      </c>
      <c r="C364" s="304" t="s">
        <v>83</v>
      </c>
      <c r="D364" s="304" t="s">
        <v>144</v>
      </c>
      <c r="E364" s="304" t="s">
        <v>164</v>
      </c>
      <c r="F364" s="304" t="s">
        <v>145</v>
      </c>
      <c r="G364" s="304" t="s">
        <v>87</v>
      </c>
      <c r="H364" s="304" t="s">
        <v>146</v>
      </c>
      <c r="I364" s="304" t="s">
        <v>89</v>
      </c>
      <c r="J364" s="304" t="s">
        <v>90</v>
      </c>
    </row>
    <row r="365" spans="1:16" x14ac:dyDescent="0.35">
      <c r="A365" s="315" t="s">
        <v>1645</v>
      </c>
      <c r="B365" s="319">
        <v>1</v>
      </c>
      <c r="C365" s="319">
        <v>1</v>
      </c>
      <c r="D365" s="319">
        <v>1</v>
      </c>
      <c r="E365" s="319">
        <v>1</v>
      </c>
      <c r="F365" s="319">
        <v>1</v>
      </c>
      <c r="G365" s="319">
        <v>1</v>
      </c>
      <c r="H365" s="319">
        <v>1</v>
      </c>
      <c r="I365" s="319">
        <v>1</v>
      </c>
      <c r="J365" s="319">
        <v>1</v>
      </c>
    </row>
    <row r="366" spans="1:16" x14ac:dyDescent="0.35">
      <c r="A366" s="315" t="s">
        <v>1646</v>
      </c>
      <c r="B366" s="319">
        <v>1</v>
      </c>
      <c r="C366" s="319">
        <v>1</v>
      </c>
      <c r="D366" s="319">
        <v>1</v>
      </c>
      <c r="E366" s="319">
        <v>1</v>
      </c>
      <c r="F366" s="319">
        <v>1</v>
      </c>
      <c r="G366" s="319">
        <v>1</v>
      </c>
      <c r="H366" s="319">
        <v>1</v>
      </c>
      <c r="I366" s="319">
        <v>1</v>
      </c>
      <c r="J366" s="319">
        <v>1</v>
      </c>
    </row>
    <row r="367" spans="1:16" x14ac:dyDescent="0.35">
      <c r="A367" s="56"/>
      <c r="B367" s="56"/>
      <c r="C367" s="13"/>
      <c r="E367" s="51"/>
      <c r="F367" s="51"/>
      <c r="G367" s="51"/>
      <c r="H367" s="51"/>
      <c r="I367" s="51"/>
      <c r="J367" s="51"/>
      <c r="K367" s="51"/>
      <c r="L367" s="51"/>
    </row>
    <row r="368" spans="1:16" x14ac:dyDescent="0.35">
      <c r="C368" s="10"/>
    </row>
    <row r="369" spans="1:14" x14ac:dyDescent="0.35">
      <c r="A369" s="298" t="s">
        <v>1017</v>
      </c>
      <c r="B369" s="304" t="s">
        <v>1018</v>
      </c>
      <c r="C369" s="304" t="s">
        <v>1019</v>
      </c>
      <c r="D369" s="304" t="s">
        <v>1020</v>
      </c>
      <c r="E369" s="304" t="s">
        <v>1021</v>
      </c>
    </row>
    <row r="370" spans="1:14" x14ac:dyDescent="0.35">
      <c r="A370" s="300" t="s">
        <v>380</v>
      </c>
      <c r="B370" s="301" t="s">
        <v>128</v>
      </c>
      <c r="C370" s="301" t="s">
        <v>322</v>
      </c>
      <c r="D370" s="301" t="s">
        <v>322</v>
      </c>
      <c r="E370" s="301" t="s">
        <v>128</v>
      </c>
      <c r="F370" s="206"/>
    </row>
    <row r="371" spans="1:14" x14ac:dyDescent="0.35">
      <c r="A371" s="359" t="s">
        <v>143</v>
      </c>
      <c r="B371" s="307">
        <v>0</v>
      </c>
      <c r="C371" s="306">
        <v>2025</v>
      </c>
      <c r="D371" s="306">
        <v>2050</v>
      </c>
      <c r="E371" s="324">
        <v>1</v>
      </c>
    </row>
    <row r="372" spans="1:14" x14ac:dyDescent="0.35">
      <c r="A372" s="359" t="s">
        <v>83</v>
      </c>
      <c r="B372" s="307">
        <v>0</v>
      </c>
      <c r="C372" s="306">
        <v>2025</v>
      </c>
      <c r="D372" s="306">
        <v>2050</v>
      </c>
      <c r="E372" s="324">
        <v>1</v>
      </c>
      <c r="G372" s="56"/>
      <c r="H372" s="56"/>
      <c r="I372" s="56"/>
      <c r="J372" s="56"/>
      <c r="K372" s="56"/>
    </row>
    <row r="373" spans="1:14" x14ac:dyDescent="0.35">
      <c r="A373" s="359" t="s">
        <v>144</v>
      </c>
      <c r="B373" s="307">
        <v>0</v>
      </c>
      <c r="C373" s="306">
        <v>2025</v>
      </c>
      <c r="D373" s="306">
        <v>2050</v>
      </c>
      <c r="E373" s="324">
        <v>1</v>
      </c>
      <c r="G373" s="51"/>
      <c r="H373" s="51"/>
      <c r="I373" s="51"/>
      <c r="J373" s="51"/>
      <c r="K373" s="51"/>
    </row>
    <row r="374" spans="1:14" x14ac:dyDescent="0.35">
      <c r="A374" s="359" t="s">
        <v>164</v>
      </c>
      <c r="B374" s="307">
        <v>0</v>
      </c>
      <c r="C374" s="306">
        <v>2025</v>
      </c>
      <c r="D374" s="306">
        <v>2050</v>
      </c>
      <c r="E374" s="324">
        <v>1</v>
      </c>
      <c r="G374" s="51"/>
      <c r="H374" s="51"/>
      <c r="I374" s="51"/>
      <c r="J374" s="51"/>
      <c r="K374" s="51"/>
    </row>
    <row r="375" spans="1:14" x14ac:dyDescent="0.35">
      <c r="A375" s="359" t="s">
        <v>145</v>
      </c>
      <c r="B375" s="307">
        <v>0</v>
      </c>
      <c r="C375" s="306">
        <v>2025</v>
      </c>
      <c r="D375" s="306">
        <v>2050</v>
      </c>
      <c r="E375" s="324">
        <v>1</v>
      </c>
      <c r="G375" s="51"/>
      <c r="H375" s="51"/>
      <c r="I375" s="51"/>
      <c r="J375" s="51"/>
      <c r="K375" s="51"/>
    </row>
    <row r="376" spans="1:14" x14ac:dyDescent="0.35">
      <c r="A376" s="359" t="s">
        <v>87</v>
      </c>
      <c r="B376" s="307">
        <v>0</v>
      </c>
      <c r="C376" s="306">
        <v>2025</v>
      </c>
      <c r="D376" s="306">
        <v>2050</v>
      </c>
      <c r="E376" s="324">
        <v>1</v>
      </c>
      <c r="G376" s="51"/>
      <c r="H376" s="51"/>
      <c r="I376" s="51"/>
      <c r="J376" s="51"/>
      <c r="K376" s="51"/>
    </row>
    <row r="377" spans="1:14" x14ac:dyDescent="0.35">
      <c r="A377" s="359" t="s">
        <v>146</v>
      </c>
      <c r="B377" s="307">
        <v>0</v>
      </c>
      <c r="C377" s="306">
        <v>2025</v>
      </c>
      <c r="D377" s="306">
        <v>2050</v>
      </c>
      <c r="E377" s="324">
        <v>1</v>
      </c>
      <c r="G377" s="51"/>
      <c r="H377" s="51"/>
      <c r="I377" s="51"/>
      <c r="J377" s="51"/>
      <c r="K377" s="51"/>
      <c r="L377" s="51"/>
    </row>
    <row r="378" spans="1:14" x14ac:dyDescent="0.35">
      <c r="A378" s="359" t="s">
        <v>89</v>
      </c>
      <c r="B378" s="307">
        <v>0</v>
      </c>
      <c r="C378" s="306">
        <v>2025</v>
      </c>
      <c r="D378" s="306">
        <v>2050</v>
      </c>
      <c r="E378" s="324">
        <v>1</v>
      </c>
      <c r="G378" s="51"/>
      <c r="H378" s="51"/>
      <c r="I378" s="51"/>
      <c r="J378" s="51"/>
      <c r="K378" s="51"/>
    </row>
    <row r="379" spans="1:14" x14ac:dyDescent="0.35">
      <c r="A379" s="359" t="s">
        <v>90</v>
      </c>
      <c r="B379" s="307">
        <v>0</v>
      </c>
      <c r="C379" s="306">
        <v>2025</v>
      </c>
      <c r="D379" s="306">
        <v>2050</v>
      </c>
      <c r="E379" s="324">
        <v>1</v>
      </c>
      <c r="G379" s="56"/>
      <c r="H379" s="56"/>
      <c r="I379" s="56"/>
      <c r="J379" s="56"/>
      <c r="K379" s="56"/>
    </row>
    <row r="380" spans="1:14" x14ac:dyDescent="0.35">
      <c r="B380" s="78"/>
      <c r="C380" s="10"/>
    </row>
    <row r="381" spans="1:14" x14ac:dyDescent="0.35">
      <c r="A381" s="298" t="s">
        <v>707</v>
      </c>
    </row>
    <row r="382" spans="1:14" x14ac:dyDescent="0.35">
      <c r="A382" s="325" t="s">
        <v>358</v>
      </c>
      <c r="B382" s="304" t="s">
        <v>708</v>
      </c>
      <c r="C382" s="304" t="s">
        <v>709</v>
      </c>
      <c r="D382" s="304" t="s">
        <v>710</v>
      </c>
      <c r="E382" s="304" t="s">
        <v>711</v>
      </c>
      <c r="F382" s="304" t="s">
        <v>712</v>
      </c>
      <c r="G382" s="304" t="s">
        <v>713</v>
      </c>
      <c r="H382" s="304" t="s">
        <v>714</v>
      </c>
      <c r="I382" s="304" t="s">
        <v>715</v>
      </c>
      <c r="J382" s="304" t="s">
        <v>716</v>
      </c>
      <c r="K382" s="304" t="s">
        <v>717</v>
      </c>
      <c r="L382" s="304" t="s">
        <v>718</v>
      </c>
      <c r="M382" s="304" t="s">
        <v>719</v>
      </c>
      <c r="N382" s="304" t="s">
        <v>720</v>
      </c>
    </row>
    <row r="383" spans="1:14" x14ac:dyDescent="0.35">
      <c r="A383" s="315" t="s">
        <v>143</v>
      </c>
      <c r="B383" s="327">
        <v>0</v>
      </c>
      <c r="C383" s="327">
        <v>1</v>
      </c>
      <c r="D383" s="327">
        <v>1</v>
      </c>
      <c r="E383" s="327">
        <v>1</v>
      </c>
      <c r="F383" s="327">
        <v>1</v>
      </c>
      <c r="G383" s="327">
        <v>1</v>
      </c>
      <c r="H383" s="327">
        <v>1</v>
      </c>
      <c r="I383" s="327">
        <v>1</v>
      </c>
      <c r="J383" s="327">
        <v>1</v>
      </c>
      <c r="K383" s="327">
        <v>1</v>
      </c>
      <c r="L383" s="327">
        <v>1</v>
      </c>
      <c r="M383" s="327">
        <v>1</v>
      </c>
      <c r="N383" s="327">
        <v>1</v>
      </c>
    </row>
    <row r="384" spans="1:14" x14ac:dyDescent="0.35">
      <c r="A384" s="315" t="s">
        <v>83</v>
      </c>
      <c r="B384" s="327">
        <v>0</v>
      </c>
      <c r="C384" s="327">
        <v>1</v>
      </c>
      <c r="D384" s="327">
        <v>1</v>
      </c>
      <c r="E384" s="327">
        <v>1</v>
      </c>
      <c r="F384" s="327">
        <v>1</v>
      </c>
      <c r="G384" s="327">
        <v>1</v>
      </c>
      <c r="H384" s="327">
        <v>1</v>
      </c>
      <c r="I384" s="327">
        <v>1</v>
      </c>
      <c r="J384" s="327">
        <v>1</v>
      </c>
      <c r="K384" s="327">
        <v>1</v>
      </c>
      <c r="L384" s="327">
        <v>1</v>
      </c>
      <c r="M384" s="327">
        <v>1</v>
      </c>
      <c r="N384" s="327">
        <v>1</v>
      </c>
    </row>
    <row r="385" spans="1:14" x14ac:dyDescent="0.35">
      <c r="A385" s="315" t="s">
        <v>144</v>
      </c>
      <c r="B385" s="327">
        <v>0</v>
      </c>
      <c r="C385" s="327">
        <v>1</v>
      </c>
      <c r="D385" s="327">
        <v>1</v>
      </c>
      <c r="E385" s="327">
        <v>1</v>
      </c>
      <c r="F385" s="327">
        <v>1</v>
      </c>
      <c r="G385" s="327">
        <v>1</v>
      </c>
      <c r="H385" s="327">
        <v>1</v>
      </c>
      <c r="I385" s="327">
        <v>1</v>
      </c>
      <c r="J385" s="327">
        <v>1</v>
      </c>
      <c r="K385" s="327">
        <v>1</v>
      </c>
      <c r="L385" s="327">
        <v>1</v>
      </c>
      <c r="M385" s="327">
        <v>1</v>
      </c>
      <c r="N385" s="327">
        <v>1</v>
      </c>
    </row>
    <row r="386" spans="1:14" x14ac:dyDescent="0.35">
      <c r="A386" s="315" t="s">
        <v>164</v>
      </c>
      <c r="B386" s="327">
        <v>0</v>
      </c>
      <c r="C386" s="327">
        <v>1</v>
      </c>
      <c r="D386" s="327">
        <v>1</v>
      </c>
      <c r="E386" s="327">
        <v>1</v>
      </c>
      <c r="F386" s="327">
        <v>1</v>
      </c>
      <c r="G386" s="327">
        <v>1</v>
      </c>
      <c r="H386" s="327">
        <v>1</v>
      </c>
      <c r="I386" s="327">
        <v>1</v>
      </c>
      <c r="J386" s="327">
        <v>1</v>
      </c>
      <c r="K386" s="327">
        <v>1</v>
      </c>
      <c r="L386" s="327">
        <v>1</v>
      </c>
      <c r="M386" s="327">
        <v>1</v>
      </c>
      <c r="N386" s="327">
        <v>1</v>
      </c>
    </row>
    <row r="387" spans="1:14" x14ac:dyDescent="0.35">
      <c r="A387" s="315" t="s">
        <v>145</v>
      </c>
      <c r="B387" s="327">
        <v>0</v>
      </c>
      <c r="C387" s="327">
        <v>1</v>
      </c>
      <c r="D387" s="327">
        <v>1</v>
      </c>
      <c r="E387" s="327">
        <v>1</v>
      </c>
      <c r="F387" s="327">
        <v>1</v>
      </c>
      <c r="G387" s="327">
        <v>1</v>
      </c>
      <c r="H387" s="327">
        <v>1</v>
      </c>
      <c r="I387" s="327">
        <v>1</v>
      </c>
      <c r="J387" s="327">
        <v>1</v>
      </c>
      <c r="K387" s="327">
        <v>1</v>
      </c>
      <c r="L387" s="327">
        <v>1</v>
      </c>
      <c r="M387" s="327">
        <v>1</v>
      </c>
      <c r="N387" s="327">
        <v>1</v>
      </c>
    </row>
    <row r="388" spans="1:14" x14ac:dyDescent="0.35">
      <c r="A388" s="315" t="s">
        <v>87</v>
      </c>
      <c r="B388" s="327">
        <v>0</v>
      </c>
      <c r="C388" s="327">
        <v>1</v>
      </c>
      <c r="D388" s="327">
        <v>1</v>
      </c>
      <c r="E388" s="327">
        <v>1</v>
      </c>
      <c r="F388" s="327">
        <v>1</v>
      </c>
      <c r="G388" s="327">
        <v>1</v>
      </c>
      <c r="H388" s="327">
        <v>1</v>
      </c>
      <c r="I388" s="327">
        <v>1</v>
      </c>
      <c r="J388" s="327">
        <v>1</v>
      </c>
      <c r="K388" s="327">
        <v>1</v>
      </c>
      <c r="L388" s="327">
        <v>1</v>
      </c>
      <c r="M388" s="327">
        <v>1</v>
      </c>
      <c r="N388" s="327">
        <v>1</v>
      </c>
    </row>
    <row r="389" spans="1:14" ht="16.5" customHeight="1" x14ac:dyDescent="0.35">
      <c r="A389" s="315" t="s">
        <v>146</v>
      </c>
      <c r="B389" s="327">
        <v>0</v>
      </c>
      <c r="C389" s="327">
        <v>1</v>
      </c>
      <c r="D389" s="327">
        <v>1</v>
      </c>
      <c r="E389" s="327">
        <v>1</v>
      </c>
      <c r="F389" s="327">
        <v>1</v>
      </c>
      <c r="G389" s="327">
        <v>1</v>
      </c>
      <c r="H389" s="327">
        <v>1</v>
      </c>
      <c r="I389" s="327">
        <v>1</v>
      </c>
      <c r="J389" s="327">
        <v>1</v>
      </c>
      <c r="K389" s="327">
        <v>1</v>
      </c>
      <c r="L389" s="327">
        <v>1</v>
      </c>
      <c r="M389" s="327">
        <v>1</v>
      </c>
      <c r="N389" s="327">
        <v>1</v>
      </c>
    </row>
    <row r="390" spans="1:14" ht="17.25" customHeight="1" x14ac:dyDescent="0.35">
      <c r="A390" s="315" t="s">
        <v>89</v>
      </c>
      <c r="B390" s="327">
        <v>0</v>
      </c>
      <c r="C390" s="327">
        <v>1</v>
      </c>
      <c r="D390" s="327">
        <v>1</v>
      </c>
      <c r="E390" s="327">
        <v>1</v>
      </c>
      <c r="F390" s="327">
        <v>1</v>
      </c>
      <c r="G390" s="327">
        <v>1</v>
      </c>
      <c r="H390" s="327">
        <v>1</v>
      </c>
      <c r="I390" s="327">
        <v>1</v>
      </c>
      <c r="J390" s="327">
        <v>1</v>
      </c>
      <c r="K390" s="327">
        <v>1</v>
      </c>
      <c r="L390" s="327">
        <v>1</v>
      </c>
      <c r="M390" s="327">
        <v>1</v>
      </c>
      <c r="N390" s="327">
        <v>1</v>
      </c>
    </row>
    <row r="391" spans="1:14" x14ac:dyDescent="0.35">
      <c r="A391" s="315" t="s">
        <v>90</v>
      </c>
      <c r="B391" s="327">
        <v>0</v>
      </c>
      <c r="C391" s="327">
        <v>1</v>
      </c>
      <c r="D391" s="327">
        <v>1</v>
      </c>
      <c r="E391" s="327">
        <v>1</v>
      </c>
      <c r="F391" s="327">
        <v>1</v>
      </c>
      <c r="G391" s="327">
        <v>1</v>
      </c>
      <c r="H391" s="327">
        <v>1</v>
      </c>
      <c r="I391" s="327">
        <v>1</v>
      </c>
      <c r="J391" s="327">
        <v>1</v>
      </c>
      <c r="K391" s="327">
        <v>1</v>
      </c>
      <c r="L391" s="327">
        <v>1</v>
      </c>
      <c r="M391" s="327">
        <v>1</v>
      </c>
      <c r="N391" s="327">
        <v>1</v>
      </c>
    </row>
    <row r="393" spans="1:14" x14ac:dyDescent="0.35">
      <c r="A393" s="328" t="s">
        <v>721</v>
      </c>
      <c r="B393" s="327">
        <v>1</v>
      </c>
      <c r="C393" s="327">
        <v>1</v>
      </c>
      <c r="D393" s="327">
        <v>1</v>
      </c>
      <c r="E393" s="327">
        <v>1</v>
      </c>
      <c r="F393" s="327">
        <v>1</v>
      </c>
      <c r="G393" s="327">
        <v>1</v>
      </c>
      <c r="H393" s="327">
        <v>1</v>
      </c>
      <c r="I393" s="327">
        <v>1</v>
      </c>
      <c r="J393" s="327">
        <v>1</v>
      </c>
      <c r="K393" s="327">
        <v>1</v>
      </c>
      <c r="L393" s="327">
        <v>1</v>
      </c>
      <c r="M393" s="327">
        <v>1</v>
      </c>
      <c r="N393" s="327">
        <v>1</v>
      </c>
    </row>
    <row r="395" spans="1:14" x14ac:dyDescent="0.35">
      <c r="A395" s="298" t="s">
        <v>722</v>
      </c>
      <c r="B395" s="56"/>
      <c r="C395" s="51"/>
      <c r="D395" s="51"/>
      <c r="E395" s="51"/>
      <c r="F395" s="51"/>
      <c r="G395" s="51"/>
      <c r="H395" s="51"/>
      <c r="I395" s="51"/>
      <c r="J395" s="51"/>
      <c r="K395" s="51"/>
    </row>
    <row r="396" spans="1:14" x14ac:dyDescent="0.35">
      <c r="A396" s="305" t="s">
        <v>323</v>
      </c>
      <c r="B396" s="304" t="s">
        <v>723</v>
      </c>
      <c r="C396" s="304" t="s">
        <v>724</v>
      </c>
      <c r="D396" s="304" t="s">
        <v>725</v>
      </c>
      <c r="E396" s="304" t="s">
        <v>726</v>
      </c>
    </row>
    <row r="397" spans="1:14" x14ac:dyDescent="0.35">
      <c r="A397" s="300" t="s">
        <v>378</v>
      </c>
      <c r="B397" s="305" t="s">
        <v>128</v>
      </c>
      <c r="C397" s="305" t="s">
        <v>322</v>
      </c>
      <c r="D397" s="305" t="s">
        <v>322</v>
      </c>
      <c r="E397" s="305" t="s">
        <v>128</v>
      </c>
    </row>
    <row r="398" spans="1:14" x14ac:dyDescent="0.35">
      <c r="A398" s="315" t="s">
        <v>143</v>
      </c>
      <c r="B398" s="306">
        <v>0</v>
      </c>
      <c r="C398" s="306">
        <v>2015</v>
      </c>
      <c r="D398" s="306">
        <v>2050</v>
      </c>
      <c r="E398" s="307">
        <v>0.8</v>
      </c>
      <c r="G398" s="56"/>
      <c r="H398" s="56"/>
      <c r="I398" s="56"/>
      <c r="J398" s="56"/>
      <c r="K398" s="56"/>
    </row>
    <row r="399" spans="1:14" x14ac:dyDescent="0.35">
      <c r="A399" s="315" t="s">
        <v>83</v>
      </c>
      <c r="B399" s="306">
        <v>0</v>
      </c>
      <c r="C399" s="306">
        <v>2015</v>
      </c>
      <c r="D399" s="306">
        <v>2050</v>
      </c>
      <c r="E399" s="307">
        <v>0.8</v>
      </c>
      <c r="G399" s="51"/>
      <c r="H399" s="51"/>
      <c r="I399" s="51"/>
      <c r="J399" s="51"/>
      <c r="K399" s="51"/>
    </row>
    <row r="400" spans="1:14" x14ac:dyDescent="0.35">
      <c r="A400" s="315" t="s">
        <v>144</v>
      </c>
      <c r="B400" s="306">
        <v>0</v>
      </c>
      <c r="C400" s="306">
        <v>2015</v>
      </c>
      <c r="D400" s="306">
        <v>2050</v>
      </c>
      <c r="E400" s="307">
        <v>0.8</v>
      </c>
      <c r="G400" s="51"/>
      <c r="H400" s="51"/>
      <c r="I400" s="51"/>
      <c r="J400" s="51"/>
      <c r="K400" s="51"/>
    </row>
    <row r="401" spans="1:85" x14ac:dyDescent="0.35">
      <c r="A401" s="315" t="s">
        <v>164</v>
      </c>
      <c r="B401" s="306">
        <v>0</v>
      </c>
      <c r="C401" s="306">
        <v>2015</v>
      </c>
      <c r="D401" s="306">
        <v>2050</v>
      </c>
      <c r="E401" s="307">
        <v>0.8</v>
      </c>
      <c r="G401" s="51"/>
      <c r="H401" s="51"/>
      <c r="I401" s="51"/>
      <c r="J401" s="51"/>
      <c r="K401" s="51"/>
    </row>
    <row r="402" spans="1:85" x14ac:dyDescent="0.35">
      <c r="A402" s="315" t="s">
        <v>145</v>
      </c>
      <c r="B402" s="306">
        <v>0</v>
      </c>
      <c r="C402" s="306">
        <v>2015</v>
      </c>
      <c r="D402" s="306">
        <v>2050</v>
      </c>
      <c r="E402" s="307">
        <v>0.8</v>
      </c>
      <c r="G402" s="51"/>
      <c r="H402" s="51"/>
      <c r="I402" s="51"/>
      <c r="J402" s="51"/>
      <c r="K402" s="51"/>
    </row>
    <row r="403" spans="1:85" x14ac:dyDescent="0.35">
      <c r="A403" s="315" t="s">
        <v>87</v>
      </c>
      <c r="B403" s="306">
        <v>0</v>
      </c>
      <c r="C403" s="306">
        <v>2015</v>
      </c>
      <c r="D403" s="306">
        <v>2050</v>
      </c>
      <c r="E403" s="307">
        <v>0.8</v>
      </c>
      <c r="F403" s="51"/>
      <c r="G403" s="51"/>
      <c r="H403" s="51"/>
      <c r="I403" s="51"/>
      <c r="J403" s="51"/>
      <c r="K403" s="51"/>
      <c r="L403" s="51"/>
    </row>
    <row r="404" spans="1:85" x14ac:dyDescent="0.35">
      <c r="A404" s="315" t="s">
        <v>146</v>
      </c>
      <c r="B404" s="306">
        <v>0</v>
      </c>
      <c r="C404" s="306">
        <v>2015</v>
      </c>
      <c r="D404" s="306">
        <v>2050</v>
      </c>
      <c r="E404" s="307">
        <v>0.8</v>
      </c>
      <c r="F404" s="51"/>
      <c r="G404" s="51"/>
      <c r="H404" s="51"/>
      <c r="I404" s="51"/>
      <c r="J404" s="51"/>
      <c r="K404" s="51"/>
    </row>
    <row r="405" spans="1:85" x14ac:dyDescent="0.35">
      <c r="A405" s="315" t="s">
        <v>89</v>
      </c>
      <c r="B405" s="306">
        <v>0</v>
      </c>
      <c r="C405" s="306">
        <v>2015</v>
      </c>
      <c r="D405" s="306">
        <v>2050</v>
      </c>
      <c r="E405" s="307">
        <v>0.8</v>
      </c>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c r="BI405" s="51"/>
      <c r="BJ405" s="51"/>
      <c r="BK405" s="51"/>
      <c r="BL405" s="51"/>
      <c r="BM405" s="51"/>
      <c r="BN405" s="51"/>
      <c r="BO405" s="51"/>
      <c r="BP405" s="51"/>
      <c r="BQ405" s="51"/>
      <c r="BR405" s="51"/>
      <c r="BS405" s="51"/>
      <c r="BT405" s="51"/>
      <c r="BU405" s="51"/>
      <c r="BV405" s="51"/>
      <c r="BW405" s="51"/>
      <c r="BX405" s="51"/>
      <c r="BY405" s="51"/>
      <c r="BZ405" s="51"/>
      <c r="CA405" s="51"/>
      <c r="CB405" s="51"/>
      <c r="CC405" s="51"/>
      <c r="CD405" s="51"/>
      <c r="CE405" s="51"/>
      <c r="CF405" s="51"/>
      <c r="CG405" s="51"/>
    </row>
    <row r="406" spans="1:85" x14ac:dyDescent="0.35">
      <c r="A406" s="315" t="s">
        <v>90</v>
      </c>
      <c r="B406" s="306">
        <v>0</v>
      </c>
      <c r="C406" s="306">
        <v>2015</v>
      </c>
      <c r="D406" s="306">
        <v>2050</v>
      </c>
      <c r="E406" s="307">
        <v>0.8</v>
      </c>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c r="BI406" s="51"/>
      <c r="BJ406" s="51"/>
      <c r="BK406" s="51"/>
      <c r="BL406" s="51"/>
      <c r="BM406" s="51"/>
      <c r="BN406" s="51"/>
      <c r="BO406" s="51"/>
      <c r="BP406" s="51"/>
      <c r="BQ406" s="51"/>
      <c r="BR406" s="51"/>
      <c r="BS406" s="51"/>
      <c r="BT406" s="51"/>
      <c r="BU406" s="51"/>
      <c r="BV406" s="51"/>
      <c r="BW406" s="51"/>
      <c r="BX406" s="51"/>
      <c r="BY406" s="51"/>
      <c r="BZ406" s="51"/>
      <c r="CA406" s="51"/>
      <c r="CB406" s="51"/>
      <c r="CC406" s="51"/>
      <c r="CD406" s="51"/>
      <c r="CE406" s="51"/>
      <c r="CF406" s="51"/>
      <c r="CG406" s="51"/>
    </row>
    <row r="407" spans="1:85" s="300" customFormat="1" x14ac:dyDescent="0.35">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51"/>
      <c r="BM407" s="51"/>
      <c r="BN407" s="51"/>
      <c r="BO407" s="51"/>
      <c r="BP407" s="51"/>
      <c r="BQ407" s="51"/>
      <c r="BR407" s="51"/>
      <c r="BS407" s="51"/>
      <c r="BT407" s="51"/>
      <c r="BU407" s="51"/>
      <c r="BV407" s="51"/>
      <c r="BW407" s="51"/>
      <c r="BX407" s="51"/>
      <c r="BY407" s="51"/>
      <c r="BZ407" s="51"/>
      <c r="CA407" s="51"/>
      <c r="CB407" s="51"/>
      <c r="CC407" s="51"/>
      <c r="CD407" s="51"/>
      <c r="CE407" s="51"/>
      <c r="CF407" s="51"/>
      <c r="CG407" s="51"/>
    </row>
    <row r="409" spans="1:85" x14ac:dyDescent="0.35">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c r="BS409" s="51"/>
      <c r="BT409" s="51"/>
      <c r="BU409" s="51"/>
      <c r="BV409" s="51"/>
      <c r="BW409" s="51"/>
      <c r="BX409" s="51"/>
      <c r="BY409" s="51"/>
      <c r="BZ409" s="51"/>
      <c r="CA409" s="51"/>
      <c r="CB409" s="51"/>
      <c r="CC409" s="51"/>
      <c r="CD409" s="51"/>
      <c r="CE409" s="51"/>
      <c r="CF409" s="51"/>
      <c r="CG409" s="51"/>
    </row>
    <row r="410" spans="1:85" x14ac:dyDescent="0.35">
      <c r="A410" s="298" t="s">
        <v>727</v>
      </c>
      <c r="B410" s="56"/>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51"/>
      <c r="BM410" s="51"/>
      <c r="BN410" s="51"/>
      <c r="BO410" s="51"/>
      <c r="BP410" s="51"/>
      <c r="BQ410" s="51"/>
      <c r="BR410" s="51"/>
      <c r="BS410" s="51"/>
      <c r="BT410" s="51"/>
      <c r="BU410" s="51"/>
      <c r="BV410" s="51"/>
      <c r="BW410" s="51"/>
      <c r="BX410" s="51"/>
      <c r="BY410" s="51"/>
      <c r="BZ410" s="51"/>
      <c r="CA410" s="51"/>
      <c r="CB410" s="51"/>
      <c r="CC410" s="51"/>
      <c r="CD410" s="51"/>
      <c r="CE410" s="51"/>
      <c r="CF410" s="51"/>
      <c r="CG410" s="51"/>
    </row>
    <row r="411" spans="1:85" x14ac:dyDescent="0.35">
      <c r="A411" s="305" t="s">
        <v>323</v>
      </c>
      <c r="B411" s="304" t="s">
        <v>728</v>
      </c>
      <c r="C411" s="304" t="s">
        <v>729</v>
      </c>
      <c r="D411" s="304" t="s">
        <v>730</v>
      </c>
      <c r="E411" s="304" t="s">
        <v>731</v>
      </c>
      <c r="G411" s="51"/>
      <c r="H411" s="51"/>
      <c r="I411" s="51"/>
      <c r="J411" s="51"/>
      <c r="K411" s="51"/>
    </row>
    <row r="412" spans="1:85" x14ac:dyDescent="0.35">
      <c r="A412" s="300" t="s">
        <v>378</v>
      </c>
      <c r="B412" s="305" t="s">
        <v>128</v>
      </c>
      <c r="C412" s="305" t="s">
        <v>322</v>
      </c>
      <c r="D412" s="305" t="s">
        <v>322</v>
      </c>
      <c r="E412" s="305" t="s">
        <v>128</v>
      </c>
      <c r="G412" s="51"/>
      <c r="H412" s="51"/>
      <c r="I412" s="51"/>
      <c r="J412" s="51"/>
      <c r="K412" s="51"/>
    </row>
    <row r="413" spans="1:85" x14ac:dyDescent="0.35">
      <c r="A413" s="315" t="s">
        <v>143</v>
      </c>
      <c r="B413" s="306">
        <v>0</v>
      </c>
      <c r="C413" s="306">
        <v>2015</v>
      </c>
      <c r="D413" s="306">
        <v>2050</v>
      </c>
      <c r="E413" s="307">
        <v>2</v>
      </c>
      <c r="G413" s="51"/>
      <c r="H413" s="51"/>
      <c r="I413" s="51"/>
      <c r="J413" s="51"/>
      <c r="K413" s="51"/>
    </row>
    <row r="414" spans="1:85" x14ac:dyDescent="0.35">
      <c r="A414" s="315" t="s">
        <v>83</v>
      </c>
      <c r="B414" s="306">
        <v>0</v>
      </c>
      <c r="C414" s="306">
        <v>2015</v>
      </c>
      <c r="D414" s="306">
        <v>2050</v>
      </c>
      <c r="E414" s="307">
        <v>2</v>
      </c>
      <c r="G414" s="51"/>
      <c r="H414" s="51"/>
      <c r="I414" s="51"/>
      <c r="J414" s="51"/>
      <c r="K414" s="51"/>
    </row>
    <row r="415" spans="1:85" x14ac:dyDescent="0.35">
      <c r="A415" s="315" t="s">
        <v>144</v>
      </c>
      <c r="B415" s="306">
        <v>0</v>
      </c>
      <c r="C415" s="306">
        <v>2015</v>
      </c>
      <c r="D415" s="306">
        <v>2050</v>
      </c>
      <c r="E415" s="307">
        <v>2</v>
      </c>
      <c r="G415" s="51"/>
      <c r="H415" s="51"/>
      <c r="I415" s="51"/>
      <c r="J415" s="51"/>
      <c r="K415" s="51"/>
    </row>
    <row r="416" spans="1:85" x14ac:dyDescent="0.35">
      <c r="A416" s="315" t="s">
        <v>164</v>
      </c>
      <c r="B416" s="306">
        <v>0</v>
      </c>
      <c r="C416" s="306">
        <v>2015</v>
      </c>
      <c r="D416" s="306">
        <v>2050</v>
      </c>
      <c r="E416" s="307">
        <v>2</v>
      </c>
      <c r="G416" s="51"/>
      <c r="H416" s="51"/>
      <c r="I416" s="51"/>
      <c r="J416" s="51"/>
      <c r="K416" s="51"/>
    </row>
    <row r="417" spans="1:12" x14ac:dyDescent="0.35">
      <c r="A417" s="315" t="s">
        <v>145</v>
      </c>
      <c r="B417" s="306">
        <v>0</v>
      </c>
      <c r="C417" s="306">
        <v>2015</v>
      </c>
      <c r="D417" s="306">
        <v>2050</v>
      </c>
      <c r="E417" s="307">
        <v>2</v>
      </c>
      <c r="G417" s="51"/>
      <c r="H417" s="51"/>
      <c r="I417" s="51"/>
      <c r="J417" s="51"/>
      <c r="K417" s="51"/>
    </row>
    <row r="418" spans="1:12" x14ac:dyDescent="0.35">
      <c r="A418" s="315" t="s">
        <v>87</v>
      </c>
      <c r="B418" s="306">
        <v>0</v>
      </c>
      <c r="C418" s="306">
        <v>2015</v>
      </c>
      <c r="D418" s="306">
        <v>2050</v>
      </c>
      <c r="E418" s="307">
        <v>2</v>
      </c>
      <c r="F418" s="51"/>
      <c r="G418" s="51"/>
      <c r="H418" s="51"/>
      <c r="I418" s="51"/>
      <c r="J418" s="51"/>
      <c r="K418" s="51"/>
      <c r="L418" s="51"/>
    </row>
    <row r="419" spans="1:12" x14ac:dyDescent="0.35">
      <c r="A419" s="315" t="s">
        <v>146</v>
      </c>
      <c r="B419" s="306">
        <v>0</v>
      </c>
      <c r="C419" s="306">
        <v>2015</v>
      </c>
      <c r="D419" s="306">
        <v>2050</v>
      </c>
      <c r="E419" s="307">
        <v>2</v>
      </c>
      <c r="F419" s="51"/>
      <c r="G419" s="51"/>
      <c r="H419" s="51"/>
      <c r="I419" s="51"/>
      <c r="J419" s="51"/>
      <c r="K419" s="51"/>
    </row>
    <row r="420" spans="1:12" x14ac:dyDescent="0.35">
      <c r="A420" s="315" t="s">
        <v>89</v>
      </c>
      <c r="B420" s="306">
        <v>0</v>
      </c>
      <c r="C420" s="306">
        <v>2015</v>
      </c>
      <c r="D420" s="306">
        <v>2050</v>
      </c>
      <c r="E420" s="307">
        <v>2</v>
      </c>
      <c r="F420" s="56"/>
      <c r="G420" s="51"/>
      <c r="H420" s="51"/>
      <c r="I420" s="51"/>
      <c r="J420" s="51"/>
      <c r="K420" s="51"/>
    </row>
    <row r="421" spans="1:12" x14ac:dyDescent="0.35">
      <c r="A421" s="315" t="s">
        <v>90</v>
      </c>
      <c r="B421" s="306">
        <v>0</v>
      </c>
      <c r="C421" s="306">
        <v>2015</v>
      </c>
      <c r="D421" s="306">
        <v>2050</v>
      </c>
      <c r="E421" s="307">
        <v>2</v>
      </c>
      <c r="F421" s="51"/>
      <c r="G421" s="51"/>
      <c r="H421" s="51"/>
      <c r="I421" s="51"/>
      <c r="J421" s="51"/>
      <c r="K421" s="51"/>
    </row>
    <row r="422" spans="1:12" x14ac:dyDescent="0.35">
      <c r="G422" s="51"/>
      <c r="H422" s="51"/>
      <c r="I422" s="51"/>
      <c r="J422" s="51"/>
      <c r="K422" s="51"/>
    </row>
    <row r="423" spans="1:12" x14ac:dyDescent="0.35">
      <c r="A423" s="298" t="s">
        <v>732</v>
      </c>
      <c r="B423" s="56"/>
      <c r="C423" s="51"/>
      <c r="D423" s="51"/>
      <c r="E423" s="51"/>
      <c r="F423" s="51"/>
      <c r="G423" s="51"/>
      <c r="H423" s="51"/>
      <c r="I423" s="51"/>
      <c r="J423" s="51"/>
      <c r="K423" s="51"/>
    </row>
    <row r="424" spans="1:12" x14ac:dyDescent="0.35">
      <c r="A424" s="305" t="s">
        <v>323</v>
      </c>
      <c r="B424" s="304" t="s">
        <v>733</v>
      </c>
      <c r="C424" s="304" t="s">
        <v>734</v>
      </c>
      <c r="D424" s="304" t="s">
        <v>735</v>
      </c>
      <c r="E424" s="304" t="s">
        <v>736</v>
      </c>
      <c r="G424" s="51"/>
      <c r="H424" s="51"/>
      <c r="I424" s="51"/>
      <c r="J424" s="51"/>
      <c r="K424" s="51"/>
    </row>
    <row r="425" spans="1:12" x14ac:dyDescent="0.35">
      <c r="A425" s="300" t="s">
        <v>378</v>
      </c>
      <c r="B425" s="305" t="s">
        <v>128</v>
      </c>
      <c r="C425" s="305" t="s">
        <v>322</v>
      </c>
      <c r="D425" s="305" t="s">
        <v>322</v>
      </c>
      <c r="E425" s="305" t="s">
        <v>128</v>
      </c>
      <c r="G425" s="51"/>
      <c r="H425" s="51"/>
      <c r="I425" s="51"/>
      <c r="J425" s="51"/>
      <c r="K425" s="51"/>
    </row>
    <row r="426" spans="1:12" x14ac:dyDescent="0.35">
      <c r="A426" s="315" t="s">
        <v>143</v>
      </c>
      <c r="B426" s="306">
        <v>0</v>
      </c>
      <c r="C426" s="306">
        <v>2015</v>
      </c>
      <c r="D426" s="306">
        <v>2050</v>
      </c>
      <c r="E426" s="307">
        <v>0.5</v>
      </c>
      <c r="G426" s="51"/>
      <c r="H426" s="51"/>
      <c r="I426" s="51"/>
      <c r="J426" s="51"/>
      <c r="K426" s="51"/>
    </row>
    <row r="427" spans="1:12" x14ac:dyDescent="0.35">
      <c r="A427" s="315" t="s">
        <v>83</v>
      </c>
      <c r="B427" s="306">
        <v>0</v>
      </c>
      <c r="C427" s="306">
        <v>2015</v>
      </c>
      <c r="D427" s="306">
        <v>2050</v>
      </c>
      <c r="E427" s="307">
        <v>0.5</v>
      </c>
      <c r="G427" s="51"/>
      <c r="H427" s="51"/>
      <c r="I427" s="51"/>
      <c r="J427" s="51"/>
      <c r="K427" s="51"/>
    </row>
    <row r="428" spans="1:12" x14ac:dyDescent="0.35">
      <c r="A428" s="315" t="s">
        <v>144</v>
      </c>
      <c r="B428" s="306">
        <v>0</v>
      </c>
      <c r="C428" s="306">
        <v>2015</v>
      </c>
      <c r="D428" s="306">
        <v>2050</v>
      </c>
      <c r="E428" s="307">
        <v>0.5</v>
      </c>
      <c r="G428" s="51"/>
      <c r="H428" s="51"/>
      <c r="I428" s="51"/>
      <c r="J428" s="51"/>
      <c r="K428" s="51"/>
    </row>
    <row r="429" spans="1:12" x14ac:dyDescent="0.35">
      <c r="A429" s="315" t="s">
        <v>164</v>
      </c>
      <c r="B429" s="306">
        <v>0</v>
      </c>
      <c r="C429" s="306">
        <v>2015</v>
      </c>
      <c r="D429" s="306">
        <v>2050</v>
      </c>
      <c r="E429" s="307">
        <v>0.5</v>
      </c>
      <c r="G429" s="51"/>
      <c r="H429" s="51"/>
      <c r="I429" s="51"/>
      <c r="J429" s="51"/>
      <c r="K429" s="51"/>
    </row>
    <row r="430" spans="1:12" x14ac:dyDescent="0.35">
      <c r="A430" s="315" t="s">
        <v>145</v>
      </c>
      <c r="B430" s="306">
        <v>0</v>
      </c>
      <c r="C430" s="306">
        <v>2015</v>
      </c>
      <c r="D430" s="306">
        <v>2050</v>
      </c>
      <c r="E430" s="307">
        <v>0.5</v>
      </c>
      <c r="G430" s="51"/>
      <c r="H430" s="51"/>
      <c r="I430" s="51"/>
      <c r="J430" s="51"/>
      <c r="K430" s="51"/>
    </row>
    <row r="431" spans="1:12" x14ac:dyDescent="0.35">
      <c r="A431" s="315" t="s">
        <v>87</v>
      </c>
      <c r="B431" s="306">
        <v>0</v>
      </c>
      <c r="C431" s="306">
        <v>2015</v>
      </c>
      <c r="D431" s="306">
        <v>2050</v>
      </c>
      <c r="E431" s="307">
        <v>0.5</v>
      </c>
      <c r="F431" s="51"/>
      <c r="G431" s="51"/>
      <c r="H431" s="51"/>
      <c r="I431" s="51"/>
      <c r="J431" s="51"/>
      <c r="K431" s="51"/>
      <c r="L431" s="51"/>
    </row>
    <row r="432" spans="1:12" x14ac:dyDescent="0.35">
      <c r="A432" s="315" t="s">
        <v>146</v>
      </c>
      <c r="B432" s="306">
        <v>0</v>
      </c>
      <c r="C432" s="306">
        <v>2015</v>
      </c>
      <c r="D432" s="306">
        <v>2050</v>
      </c>
      <c r="E432" s="307">
        <v>0.5</v>
      </c>
      <c r="F432" s="51"/>
      <c r="G432" s="51"/>
      <c r="H432" s="51"/>
      <c r="I432" s="51"/>
      <c r="J432" s="51"/>
      <c r="K432" s="51"/>
    </row>
    <row r="433" spans="1:85" x14ac:dyDescent="0.35">
      <c r="A433" s="315" t="s">
        <v>89</v>
      </c>
      <c r="B433" s="306">
        <v>0</v>
      </c>
      <c r="C433" s="306">
        <v>2015</v>
      </c>
      <c r="D433" s="306">
        <v>2050</v>
      </c>
      <c r="E433" s="307">
        <v>0.5</v>
      </c>
      <c r="F433" s="56"/>
      <c r="G433" s="51"/>
      <c r="H433" s="51"/>
      <c r="I433" s="51"/>
      <c r="J433" s="51"/>
      <c r="K433" s="51"/>
    </row>
    <row r="434" spans="1:85" x14ac:dyDescent="0.35">
      <c r="A434" s="315" t="s">
        <v>90</v>
      </c>
      <c r="B434" s="306">
        <v>0</v>
      </c>
      <c r="C434" s="306">
        <v>2015</v>
      </c>
      <c r="D434" s="306">
        <v>2050</v>
      </c>
      <c r="E434" s="307">
        <v>0.5</v>
      </c>
      <c r="F434" s="51"/>
      <c r="G434" s="51"/>
      <c r="H434" s="51"/>
      <c r="I434" s="51"/>
      <c r="J434" s="51"/>
      <c r="K434" s="51"/>
    </row>
    <row r="435" spans="1:85" x14ac:dyDescent="0.35">
      <c r="A435" s="298" t="s">
        <v>1369</v>
      </c>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c r="BI435" s="51"/>
      <c r="BJ435" s="51"/>
      <c r="BK435" s="51"/>
      <c r="BL435" s="51"/>
      <c r="BM435" s="51"/>
      <c r="BN435" s="51"/>
      <c r="BO435" s="51"/>
      <c r="BP435" s="51"/>
      <c r="BQ435" s="51"/>
      <c r="BR435" s="51"/>
      <c r="BS435" s="51"/>
      <c r="BT435" s="51"/>
      <c r="BU435" s="51"/>
      <c r="BV435" s="51"/>
      <c r="BW435" s="51"/>
      <c r="BX435" s="51"/>
      <c r="BY435" s="51"/>
      <c r="BZ435" s="51"/>
      <c r="CA435" s="51"/>
      <c r="CB435" s="51"/>
      <c r="CC435" s="51"/>
      <c r="CD435" s="51"/>
      <c r="CE435" s="51"/>
      <c r="CF435" s="51"/>
      <c r="CG435" s="51"/>
    </row>
    <row r="436" spans="1:85" x14ac:dyDescent="0.35">
      <c r="A436" s="325" t="s">
        <v>358</v>
      </c>
      <c r="B436" s="304" t="s">
        <v>1370</v>
      </c>
      <c r="C436" s="304" t="s">
        <v>1371</v>
      </c>
      <c r="D436" s="304" t="s">
        <v>1372</v>
      </c>
      <c r="E436" s="304" t="s">
        <v>1373</v>
      </c>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c r="BS436" s="51"/>
      <c r="BT436" s="51"/>
      <c r="BU436" s="51"/>
      <c r="BV436" s="51"/>
      <c r="BW436" s="51"/>
      <c r="BX436" s="51"/>
      <c r="BY436" s="51"/>
      <c r="BZ436" s="51"/>
      <c r="CA436" s="51"/>
      <c r="CB436" s="51"/>
      <c r="CC436" s="51"/>
      <c r="CD436" s="51"/>
      <c r="CE436" s="51"/>
      <c r="CF436" s="51"/>
      <c r="CG436" s="51"/>
    </row>
    <row r="437" spans="1:85" x14ac:dyDescent="0.35">
      <c r="A437" s="315" t="s">
        <v>143</v>
      </c>
      <c r="B437" s="327">
        <v>1</v>
      </c>
      <c r="C437" s="327">
        <v>1</v>
      </c>
      <c r="D437" s="327">
        <v>0</v>
      </c>
      <c r="E437" s="327">
        <v>1</v>
      </c>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c r="BS437" s="51"/>
      <c r="BT437" s="51"/>
      <c r="BU437" s="51"/>
      <c r="BV437" s="51"/>
      <c r="BW437" s="51"/>
      <c r="BX437" s="51"/>
      <c r="BY437" s="51"/>
      <c r="BZ437" s="51"/>
      <c r="CA437" s="51"/>
      <c r="CB437" s="51"/>
      <c r="CC437" s="51"/>
      <c r="CD437" s="51"/>
      <c r="CE437" s="51"/>
      <c r="CF437" s="51"/>
      <c r="CG437" s="51"/>
    </row>
    <row r="438" spans="1:85" x14ac:dyDescent="0.35">
      <c r="A438" s="315" t="s">
        <v>83</v>
      </c>
      <c r="B438" s="327">
        <v>1</v>
      </c>
      <c r="C438" s="327">
        <v>1</v>
      </c>
      <c r="D438" s="327">
        <v>0</v>
      </c>
      <c r="E438" s="327">
        <v>1</v>
      </c>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c r="BS438" s="51"/>
      <c r="BT438" s="51"/>
      <c r="BU438" s="51"/>
      <c r="BV438" s="51"/>
      <c r="BW438" s="51"/>
      <c r="BX438" s="51"/>
      <c r="BY438" s="51"/>
      <c r="BZ438" s="51"/>
      <c r="CA438" s="51"/>
      <c r="CB438" s="51"/>
      <c r="CC438" s="51"/>
      <c r="CD438" s="51"/>
      <c r="CE438" s="51"/>
      <c r="CF438" s="51"/>
      <c r="CG438" s="51"/>
    </row>
    <row r="439" spans="1:85" x14ac:dyDescent="0.35">
      <c r="A439" s="315" t="s">
        <v>144</v>
      </c>
      <c r="B439" s="327">
        <v>1</v>
      </c>
      <c r="C439" s="327">
        <v>1</v>
      </c>
      <c r="D439" s="327">
        <v>0</v>
      </c>
      <c r="E439" s="327">
        <v>1</v>
      </c>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c r="BS439" s="51"/>
      <c r="BT439" s="51"/>
      <c r="BU439" s="51"/>
      <c r="BV439" s="51"/>
      <c r="BW439" s="51"/>
      <c r="BX439" s="51"/>
      <c r="BY439" s="51"/>
      <c r="BZ439" s="51"/>
      <c r="CA439" s="51"/>
      <c r="CB439" s="51"/>
      <c r="CC439" s="51"/>
      <c r="CD439" s="51"/>
      <c r="CE439" s="51"/>
      <c r="CF439" s="51"/>
      <c r="CG439" s="51"/>
    </row>
    <row r="440" spans="1:85" x14ac:dyDescent="0.35">
      <c r="A440" s="315" t="s">
        <v>164</v>
      </c>
      <c r="B440" s="327">
        <v>1</v>
      </c>
      <c r="C440" s="327">
        <v>1</v>
      </c>
      <c r="D440" s="327">
        <v>0</v>
      </c>
      <c r="E440" s="327">
        <v>1</v>
      </c>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c r="BS440" s="51"/>
      <c r="BT440" s="51"/>
      <c r="BU440" s="51"/>
      <c r="BV440" s="51"/>
      <c r="BW440" s="51"/>
      <c r="BX440" s="51"/>
      <c r="BY440" s="51"/>
      <c r="BZ440" s="51"/>
      <c r="CA440" s="51"/>
      <c r="CB440" s="51"/>
      <c r="CC440" s="51"/>
      <c r="CD440" s="51"/>
      <c r="CE440" s="51"/>
      <c r="CF440" s="51"/>
      <c r="CG440" s="51"/>
    </row>
    <row r="441" spans="1:85" x14ac:dyDescent="0.35">
      <c r="A441" s="315" t="s">
        <v>145</v>
      </c>
      <c r="B441" s="327">
        <v>1</v>
      </c>
      <c r="C441" s="327">
        <v>1</v>
      </c>
      <c r="D441" s="327">
        <v>0</v>
      </c>
      <c r="E441" s="327">
        <v>1</v>
      </c>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c r="BS441" s="51"/>
      <c r="BT441" s="51"/>
      <c r="BU441" s="51"/>
      <c r="BV441" s="51"/>
      <c r="BW441" s="51"/>
      <c r="BX441" s="51"/>
      <c r="BY441" s="51"/>
      <c r="BZ441" s="51"/>
      <c r="CA441" s="51"/>
      <c r="CB441" s="51"/>
      <c r="CC441" s="51"/>
      <c r="CD441" s="51"/>
      <c r="CE441" s="51"/>
      <c r="CF441" s="51"/>
      <c r="CG441" s="51"/>
    </row>
    <row r="442" spans="1:85" x14ac:dyDescent="0.35">
      <c r="A442" s="315" t="s">
        <v>87</v>
      </c>
      <c r="B442" s="327">
        <v>1</v>
      </c>
      <c r="C442" s="327">
        <v>1</v>
      </c>
      <c r="D442" s="327">
        <v>0</v>
      </c>
      <c r="E442" s="327">
        <v>1</v>
      </c>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c r="BS442" s="51"/>
      <c r="BT442" s="51"/>
      <c r="BU442" s="51"/>
      <c r="BV442" s="51"/>
      <c r="BW442" s="51"/>
      <c r="BX442" s="51"/>
      <c r="BY442" s="51"/>
      <c r="BZ442" s="51"/>
      <c r="CA442" s="51"/>
      <c r="CB442" s="51"/>
      <c r="CC442" s="51"/>
      <c r="CD442" s="51"/>
      <c r="CE442" s="51"/>
      <c r="CF442" s="51"/>
      <c r="CG442" s="51"/>
    </row>
    <row r="443" spans="1:85" ht="16.5" customHeight="1" x14ac:dyDescent="0.35">
      <c r="A443" s="315" t="s">
        <v>146</v>
      </c>
      <c r="B443" s="327">
        <v>1</v>
      </c>
      <c r="C443" s="327">
        <v>1</v>
      </c>
      <c r="D443" s="327">
        <v>0</v>
      </c>
      <c r="E443" s="327">
        <v>1</v>
      </c>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c r="BS443" s="51"/>
      <c r="BT443" s="51"/>
      <c r="BU443" s="51"/>
      <c r="BV443" s="51"/>
      <c r="BW443" s="51"/>
      <c r="BX443" s="51"/>
      <c r="BY443" s="51"/>
      <c r="BZ443" s="51"/>
      <c r="CA443" s="51"/>
      <c r="CB443" s="51"/>
      <c r="CC443" s="51"/>
      <c r="CD443" s="51"/>
      <c r="CE443" s="51"/>
      <c r="CF443" s="51"/>
      <c r="CG443" s="51"/>
    </row>
    <row r="444" spans="1:85" ht="17.25" customHeight="1" x14ac:dyDescent="0.35">
      <c r="A444" s="315" t="s">
        <v>89</v>
      </c>
      <c r="B444" s="327">
        <v>1</v>
      </c>
      <c r="C444" s="327">
        <v>1</v>
      </c>
      <c r="D444" s="327">
        <v>0</v>
      </c>
      <c r="E444" s="327">
        <v>1</v>
      </c>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c r="BI444" s="51"/>
      <c r="BJ444" s="51"/>
      <c r="BK444" s="51"/>
      <c r="BL444" s="51"/>
      <c r="BM444" s="51"/>
      <c r="BN444" s="51"/>
      <c r="BO444" s="51"/>
      <c r="BP444" s="51"/>
      <c r="BQ444" s="51"/>
      <c r="BR444" s="51"/>
      <c r="BS444" s="51"/>
      <c r="BT444" s="51"/>
      <c r="BU444" s="51"/>
      <c r="BV444" s="51"/>
      <c r="BW444" s="51"/>
      <c r="BX444" s="51"/>
      <c r="BY444" s="51"/>
      <c r="BZ444" s="51"/>
      <c r="CA444" s="51"/>
      <c r="CB444" s="51"/>
      <c r="CC444" s="51"/>
      <c r="CD444" s="51"/>
      <c r="CE444" s="51"/>
      <c r="CF444" s="51"/>
      <c r="CG444" s="51"/>
    </row>
    <row r="445" spans="1:85" x14ac:dyDescent="0.35">
      <c r="A445" s="315" t="s">
        <v>90</v>
      </c>
      <c r="B445" s="327">
        <v>1</v>
      </c>
      <c r="C445" s="327">
        <v>1</v>
      </c>
      <c r="D445" s="327">
        <v>0</v>
      </c>
      <c r="E445" s="327">
        <v>1</v>
      </c>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c r="BS445" s="51"/>
      <c r="BT445" s="51"/>
      <c r="BU445" s="51"/>
      <c r="BV445" s="51"/>
      <c r="BW445" s="51"/>
      <c r="BX445" s="51"/>
      <c r="BY445" s="51"/>
      <c r="BZ445" s="51"/>
      <c r="CA445" s="51"/>
      <c r="CB445" s="51"/>
      <c r="CC445" s="51"/>
      <c r="CD445" s="51"/>
      <c r="CE445" s="51"/>
      <c r="CF445" s="51"/>
      <c r="CG445" s="51"/>
    </row>
    <row r="446" spans="1:85" x14ac:dyDescent="0.35">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c r="BS446" s="51"/>
      <c r="BT446" s="51"/>
      <c r="BU446" s="51"/>
      <c r="BV446" s="51"/>
      <c r="BW446" s="51"/>
      <c r="BX446" s="51"/>
      <c r="BY446" s="51"/>
      <c r="BZ446" s="51"/>
      <c r="CA446" s="51"/>
      <c r="CB446" s="51"/>
      <c r="CC446" s="51"/>
      <c r="CD446" s="51"/>
      <c r="CE446" s="51"/>
      <c r="CF446" s="51"/>
      <c r="CG446" s="51"/>
    </row>
    <row r="447" spans="1:85" x14ac:dyDescent="0.35">
      <c r="A447" s="298" t="s">
        <v>1374</v>
      </c>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c r="BS447" s="51"/>
      <c r="BT447" s="51"/>
      <c r="BU447" s="51"/>
      <c r="BV447" s="51"/>
      <c r="BW447" s="51"/>
      <c r="BX447" s="51"/>
      <c r="BY447" s="51"/>
      <c r="BZ447" s="51"/>
      <c r="CA447" s="51"/>
      <c r="CB447" s="51"/>
      <c r="CC447" s="51"/>
      <c r="CD447" s="51"/>
      <c r="CE447" s="51"/>
      <c r="CF447" s="51"/>
      <c r="CG447" s="51"/>
    </row>
    <row r="448" spans="1:85" x14ac:dyDescent="0.35">
      <c r="A448" s="325" t="s">
        <v>358</v>
      </c>
      <c r="B448" s="304"/>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c r="BS448" s="51"/>
      <c r="BT448" s="51"/>
      <c r="BU448" s="51"/>
      <c r="BV448" s="51"/>
      <c r="BW448" s="51"/>
      <c r="BX448" s="51"/>
      <c r="BY448" s="51"/>
      <c r="BZ448" s="51"/>
      <c r="CA448" s="51"/>
      <c r="CB448" s="51"/>
      <c r="CC448" s="51"/>
      <c r="CD448" s="51"/>
      <c r="CE448" s="51"/>
      <c r="CF448" s="51"/>
      <c r="CG448" s="51"/>
    </row>
    <row r="449" spans="1:85" x14ac:dyDescent="0.35">
      <c r="A449" s="315" t="s">
        <v>143</v>
      </c>
      <c r="B449" s="327">
        <v>1</v>
      </c>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c r="BS449" s="51"/>
      <c r="BT449" s="51"/>
      <c r="BU449" s="51"/>
      <c r="BV449" s="51"/>
      <c r="BW449" s="51"/>
      <c r="BX449" s="51"/>
      <c r="BY449" s="51"/>
      <c r="BZ449" s="51"/>
      <c r="CA449" s="51"/>
      <c r="CB449" s="51"/>
      <c r="CC449" s="51"/>
      <c r="CD449" s="51"/>
      <c r="CE449" s="51"/>
      <c r="CF449" s="51"/>
      <c r="CG449" s="51"/>
    </row>
    <row r="450" spans="1:85" x14ac:dyDescent="0.35">
      <c r="A450" s="315" t="s">
        <v>83</v>
      </c>
      <c r="B450" s="327">
        <v>1</v>
      </c>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c r="BS450" s="51"/>
      <c r="BT450" s="51"/>
      <c r="BU450" s="51"/>
      <c r="BV450" s="51"/>
      <c r="BW450" s="51"/>
      <c r="BX450" s="51"/>
      <c r="BY450" s="51"/>
      <c r="BZ450" s="51"/>
      <c r="CA450" s="51"/>
      <c r="CB450" s="51"/>
      <c r="CC450" s="51"/>
      <c r="CD450" s="51"/>
      <c r="CE450" s="51"/>
      <c r="CF450" s="51"/>
      <c r="CG450" s="51"/>
    </row>
    <row r="451" spans="1:85" x14ac:dyDescent="0.35">
      <c r="A451" s="315" t="s">
        <v>144</v>
      </c>
      <c r="B451" s="327">
        <v>1</v>
      </c>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c r="BS451" s="51"/>
      <c r="BT451" s="51"/>
      <c r="BU451" s="51"/>
      <c r="BV451" s="51"/>
      <c r="BW451" s="51"/>
      <c r="BX451" s="51"/>
      <c r="BY451" s="51"/>
      <c r="BZ451" s="51"/>
      <c r="CA451" s="51"/>
      <c r="CB451" s="51"/>
      <c r="CC451" s="51"/>
      <c r="CD451" s="51"/>
      <c r="CE451" s="51"/>
      <c r="CF451" s="51"/>
      <c r="CG451" s="51"/>
    </row>
    <row r="452" spans="1:85" x14ac:dyDescent="0.35">
      <c r="A452" s="315" t="s">
        <v>164</v>
      </c>
      <c r="B452" s="327">
        <v>1</v>
      </c>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c r="BS452" s="51"/>
      <c r="BT452" s="51"/>
      <c r="BU452" s="51"/>
      <c r="BV452" s="51"/>
      <c r="BW452" s="51"/>
      <c r="BX452" s="51"/>
      <c r="BY452" s="51"/>
      <c r="BZ452" s="51"/>
      <c r="CA452" s="51"/>
      <c r="CB452" s="51"/>
      <c r="CC452" s="51"/>
      <c r="CD452" s="51"/>
      <c r="CE452" s="51"/>
      <c r="CF452" s="51"/>
      <c r="CG452" s="51"/>
    </row>
    <row r="453" spans="1:85" x14ac:dyDescent="0.35">
      <c r="A453" s="315" t="s">
        <v>145</v>
      </c>
      <c r="B453" s="327">
        <v>1</v>
      </c>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c r="BS453" s="51"/>
      <c r="BT453" s="51"/>
      <c r="BU453" s="51"/>
      <c r="BV453" s="51"/>
      <c r="BW453" s="51"/>
      <c r="BX453" s="51"/>
      <c r="BY453" s="51"/>
      <c r="BZ453" s="51"/>
      <c r="CA453" s="51"/>
      <c r="CB453" s="51"/>
      <c r="CC453" s="51"/>
      <c r="CD453" s="51"/>
      <c r="CE453" s="51"/>
      <c r="CF453" s="51"/>
      <c r="CG453" s="51"/>
    </row>
    <row r="454" spans="1:85" x14ac:dyDescent="0.35">
      <c r="A454" s="315" t="s">
        <v>87</v>
      </c>
      <c r="B454" s="327">
        <v>1</v>
      </c>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c r="BI454" s="51"/>
      <c r="BJ454" s="51"/>
      <c r="BK454" s="51"/>
      <c r="BL454" s="51"/>
      <c r="BM454" s="51"/>
      <c r="BN454" s="51"/>
      <c r="BO454" s="51"/>
      <c r="BP454" s="51"/>
      <c r="BQ454" s="51"/>
      <c r="BR454" s="51"/>
      <c r="BS454" s="51"/>
      <c r="BT454" s="51"/>
      <c r="BU454" s="51"/>
      <c r="BV454" s="51"/>
      <c r="BW454" s="51"/>
      <c r="BX454" s="51"/>
      <c r="BY454" s="51"/>
      <c r="BZ454" s="51"/>
      <c r="CA454" s="51"/>
      <c r="CB454" s="51"/>
      <c r="CC454" s="51"/>
      <c r="CD454" s="51"/>
      <c r="CE454" s="51"/>
      <c r="CF454" s="51"/>
      <c r="CG454" s="51"/>
    </row>
    <row r="455" spans="1:85" ht="16.5" customHeight="1" x14ac:dyDescent="0.35">
      <c r="A455" s="315" t="s">
        <v>146</v>
      </c>
      <c r="B455" s="327">
        <v>1</v>
      </c>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c r="BS455" s="51"/>
      <c r="BT455" s="51"/>
      <c r="BU455" s="51"/>
      <c r="BV455" s="51"/>
      <c r="BW455" s="51"/>
      <c r="BX455" s="51"/>
      <c r="BY455" s="51"/>
      <c r="BZ455" s="51"/>
      <c r="CA455" s="51"/>
      <c r="CB455" s="51"/>
      <c r="CC455" s="51"/>
      <c r="CD455" s="51"/>
      <c r="CE455" s="51"/>
      <c r="CF455" s="51"/>
      <c r="CG455" s="51"/>
    </row>
    <row r="456" spans="1:85" ht="17.25" customHeight="1" x14ac:dyDescent="0.35">
      <c r="A456" s="315" t="s">
        <v>89</v>
      </c>
      <c r="B456" s="327">
        <v>1</v>
      </c>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c r="BS456" s="51"/>
      <c r="BT456" s="51"/>
      <c r="BU456" s="51"/>
      <c r="BV456" s="51"/>
      <c r="BW456" s="51"/>
      <c r="BX456" s="51"/>
      <c r="BY456" s="51"/>
      <c r="BZ456" s="51"/>
      <c r="CA456" s="51"/>
      <c r="CB456" s="51"/>
      <c r="CC456" s="51"/>
      <c r="CD456" s="51"/>
      <c r="CE456" s="51"/>
      <c r="CF456" s="51"/>
      <c r="CG456" s="51"/>
    </row>
    <row r="457" spans="1:85" x14ac:dyDescent="0.35">
      <c r="A457" s="315" t="s">
        <v>90</v>
      </c>
      <c r="B457" s="327">
        <v>1</v>
      </c>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c r="BS457" s="51"/>
      <c r="BT457" s="51"/>
      <c r="BU457" s="51"/>
      <c r="BV457" s="51"/>
      <c r="BW457" s="51"/>
      <c r="BX457" s="51"/>
      <c r="BY457" s="51"/>
      <c r="BZ457" s="51"/>
      <c r="CA457" s="51"/>
      <c r="CB457" s="51"/>
      <c r="CC457" s="51"/>
      <c r="CD457" s="51"/>
      <c r="CE457" s="51"/>
      <c r="CF457" s="51"/>
      <c r="CG457" s="51"/>
    </row>
    <row r="458" spans="1:85" s="300" customFormat="1" x14ac:dyDescent="0.35">
      <c r="C458"/>
      <c r="D458"/>
      <c r="E458"/>
      <c r="F458"/>
      <c r="G458"/>
      <c r="H458"/>
      <c r="I458"/>
      <c r="J458"/>
      <c r="K458"/>
      <c r="L458"/>
      <c r="M458"/>
      <c r="N458"/>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c r="BS458" s="51"/>
      <c r="BT458" s="51"/>
      <c r="BU458" s="51"/>
      <c r="BV458" s="51"/>
      <c r="BW458" s="51"/>
      <c r="BX458" s="51"/>
      <c r="BY458" s="51"/>
      <c r="BZ458" s="51"/>
      <c r="CA458" s="51"/>
      <c r="CB458" s="51"/>
      <c r="CC458" s="51"/>
      <c r="CD458" s="51"/>
      <c r="CE458" s="51"/>
      <c r="CF458" s="51"/>
      <c r="CG458" s="51"/>
    </row>
    <row r="459" spans="1:85" x14ac:dyDescent="0.35">
      <c r="A459" s="298" t="s">
        <v>1375</v>
      </c>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c r="BS459" s="51"/>
      <c r="BT459" s="51"/>
      <c r="BU459" s="51"/>
      <c r="BV459" s="51"/>
      <c r="BW459" s="51"/>
      <c r="BX459" s="51"/>
      <c r="BY459" s="51"/>
      <c r="BZ459" s="51"/>
      <c r="CA459" s="51"/>
      <c r="CB459" s="51"/>
      <c r="CC459" s="51"/>
      <c r="CD459" s="51"/>
      <c r="CE459" s="51"/>
      <c r="CF459" s="51"/>
      <c r="CG459" s="51"/>
    </row>
    <row r="460" spans="1:85" x14ac:dyDescent="0.35">
      <c r="A460" s="325" t="s">
        <v>358</v>
      </c>
      <c r="B460" s="304" t="s">
        <v>1370</v>
      </c>
      <c r="C460" s="304" t="s">
        <v>1371</v>
      </c>
      <c r="D460" s="304" t="s">
        <v>1372</v>
      </c>
      <c r="E460" s="304" t="s">
        <v>1373</v>
      </c>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c r="BS460" s="51"/>
      <c r="BT460" s="51"/>
      <c r="BU460" s="51"/>
      <c r="BV460" s="51"/>
      <c r="BW460" s="51"/>
      <c r="BX460" s="51"/>
      <c r="BY460" s="51"/>
      <c r="BZ460" s="51"/>
      <c r="CA460" s="51"/>
      <c r="CB460" s="51"/>
      <c r="CC460" s="51"/>
      <c r="CD460" s="51"/>
      <c r="CE460" s="51"/>
      <c r="CF460" s="51"/>
      <c r="CG460" s="51"/>
    </row>
    <row r="461" spans="1:85" x14ac:dyDescent="0.35">
      <c r="A461" s="315" t="s">
        <v>143</v>
      </c>
      <c r="B461" s="327">
        <v>0</v>
      </c>
      <c r="C461" s="327">
        <v>1</v>
      </c>
      <c r="D461" s="327">
        <v>1</v>
      </c>
      <c r="E461" s="327">
        <v>0</v>
      </c>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c r="BS461" s="51"/>
      <c r="BT461" s="51"/>
      <c r="BU461" s="51"/>
      <c r="BV461" s="51"/>
      <c r="BW461" s="51"/>
      <c r="BX461" s="51"/>
      <c r="BY461" s="51"/>
      <c r="BZ461" s="51"/>
      <c r="CA461" s="51"/>
      <c r="CB461" s="51"/>
      <c r="CC461" s="51"/>
      <c r="CD461" s="51"/>
      <c r="CE461" s="51"/>
      <c r="CF461" s="51"/>
      <c r="CG461" s="51"/>
    </row>
    <row r="462" spans="1:85" x14ac:dyDescent="0.35">
      <c r="A462" s="315" t="s">
        <v>83</v>
      </c>
      <c r="B462" s="327">
        <v>0</v>
      </c>
      <c r="C462" s="327">
        <v>1</v>
      </c>
      <c r="D462" s="327">
        <v>1</v>
      </c>
      <c r="E462" s="327">
        <v>0</v>
      </c>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c r="BS462" s="51"/>
      <c r="BT462" s="51"/>
      <c r="BU462" s="51"/>
      <c r="BV462" s="51"/>
      <c r="BW462" s="51"/>
      <c r="BX462" s="51"/>
      <c r="BY462" s="51"/>
      <c r="BZ462" s="51"/>
      <c r="CA462" s="51"/>
      <c r="CB462" s="51"/>
      <c r="CC462" s="51"/>
      <c r="CD462" s="51"/>
      <c r="CE462" s="51"/>
      <c r="CF462" s="51"/>
      <c r="CG462" s="51"/>
    </row>
    <row r="463" spans="1:85" x14ac:dyDescent="0.35">
      <c r="A463" s="315" t="s">
        <v>144</v>
      </c>
      <c r="B463" s="327">
        <v>0</v>
      </c>
      <c r="C463" s="327">
        <v>1</v>
      </c>
      <c r="D463" s="327">
        <v>1</v>
      </c>
      <c r="E463" s="327">
        <v>0</v>
      </c>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c r="BS463" s="51"/>
      <c r="BT463" s="51"/>
      <c r="BU463" s="51"/>
      <c r="BV463" s="51"/>
      <c r="BW463" s="51"/>
      <c r="BX463" s="51"/>
      <c r="BY463" s="51"/>
      <c r="BZ463" s="51"/>
      <c r="CA463" s="51"/>
      <c r="CB463" s="51"/>
      <c r="CC463" s="51"/>
      <c r="CD463" s="51"/>
      <c r="CE463" s="51"/>
      <c r="CF463" s="51"/>
      <c r="CG463" s="51"/>
    </row>
    <row r="464" spans="1:85" x14ac:dyDescent="0.35">
      <c r="A464" s="315" t="s">
        <v>164</v>
      </c>
      <c r="B464" s="327">
        <v>0</v>
      </c>
      <c r="C464" s="327">
        <v>1</v>
      </c>
      <c r="D464" s="327">
        <v>1</v>
      </c>
      <c r="E464" s="327">
        <v>0</v>
      </c>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c r="BS464" s="51"/>
      <c r="BT464" s="51"/>
      <c r="BU464" s="51"/>
      <c r="BV464" s="51"/>
      <c r="BW464" s="51"/>
      <c r="BX464" s="51"/>
      <c r="BY464" s="51"/>
      <c r="BZ464" s="51"/>
      <c r="CA464" s="51"/>
      <c r="CB464" s="51"/>
      <c r="CC464" s="51"/>
      <c r="CD464" s="51"/>
      <c r="CE464" s="51"/>
      <c r="CF464" s="51"/>
      <c r="CG464" s="51"/>
    </row>
    <row r="465" spans="1:85" x14ac:dyDescent="0.35">
      <c r="A465" s="315" t="s">
        <v>145</v>
      </c>
      <c r="B465" s="327">
        <v>0</v>
      </c>
      <c r="C465" s="327">
        <v>1</v>
      </c>
      <c r="D465" s="327">
        <v>1</v>
      </c>
      <c r="E465" s="327">
        <v>0</v>
      </c>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c r="BS465" s="51"/>
      <c r="BT465" s="51"/>
      <c r="BU465" s="51"/>
      <c r="BV465" s="51"/>
      <c r="BW465" s="51"/>
      <c r="BX465" s="51"/>
      <c r="BY465" s="51"/>
      <c r="BZ465" s="51"/>
      <c r="CA465" s="51"/>
      <c r="CB465" s="51"/>
      <c r="CC465" s="51"/>
      <c r="CD465" s="51"/>
      <c r="CE465" s="51"/>
      <c r="CF465" s="51"/>
      <c r="CG465" s="51"/>
    </row>
    <row r="466" spans="1:85" x14ac:dyDescent="0.35">
      <c r="A466" s="315" t="s">
        <v>87</v>
      </c>
      <c r="B466" s="327">
        <v>0</v>
      </c>
      <c r="C466" s="327">
        <v>1</v>
      </c>
      <c r="D466" s="327">
        <v>1</v>
      </c>
      <c r="E466" s="327">
        <v>0</v>
      </c>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c r="BS466" s="51"/>
      <c r="BT466" s="51"/>
      <c r="BU466" s="51"/>
      <c r="BV466" s="51"/>
      <c r="BW466" s="51"/>
      <c r="BX466" s="51"/>
      <c r="BY466" s="51"/>
      <c r="BZ466" s="51"/>
      <c r="CA466" s="51"/>
      <c r="CB466" s="51"/>
      <c r="CC466" s="51"/>
      <c r="CD466" s="51"/>
      <c r="CE466" s="51"/>
      <c r="CF466" s="51"/>
      <c r="CG466" s="51"/>
    </row>
    <row r="467" spans="1:85" ht="16.5" customHeight="1" x14ac:dyDescent="0.35">
      <c r="A467" s="315" t="s">
        <v>146</v>
      </c>
      <c r="B467" s="327">
        <v>0</v>
      </c>
      <c r="C467" s="327">
        <v>1</v>
      </c>
      <c r="D467" s="327">
        <v>1</v>
      </c>
      <c r="E467" s="327">
        <v>0</v>
      </c>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c r="BS467" s="51"/>
      <c r="BT467" s="51"/>
      <c r="BU467" s="51"/>
      <c r="BV467" s="51"/>
      <c r="BW467" s="51"/>
      <c r="BX467" s="51"/>
      <c r="BY467" s="51"/>
      <c r="BZ467" s="51"/>
      <c r="CA467" s="51"/>
      <c r="CB467" s="51"/>
      <c r="CC467" s="51"/>
      <c r="CD467" s="51"/>
      <c r="CE467" s="51"/>
      <c r="CF467" s="51"/>
      <c r="CG467" s="51"/>
    </row>
    <row r="468" spans="1:85" ht="17.25" customHeight="1" x14ac:dyDescent="0.35">
      <c r="A468" s="315" t="s">
        <v>89</v>
      </c>
      <c r="B468" s="327">
        <v>0</v>
      </c>
      <c r="C468" s="327">
        <v>1</v>
      </c>
      <c r="D468" s="327">
        <v>1</v>
      </c>
      <c r="E468" s="327">
        <v>0</v>
      </c>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c r="BS468" s="51"/>
      <c r="BT468" s="51"/>
      <c r="BU468" s="51"/>
      <c r="BV468" s="51"/>
      <c r="BW468" s="51"/>
      <c r="BX468" s="51"/>
      <c r="BY468" s="51"/>
      <c r="BZ468" s="51"/>
      <c r="CA468" s="51"/>
      <c r="CB468" s="51"/>
      <c r="CC468" s="51"/>
      <c r="CD468" s="51"/>
      <c r="CE468" s="51"/>
      <c r="CF468" s="51"/>
      <c r="CG468" s="51"/>
    </row>
    <row r="469" spans="1:85" x14ac:dyDescent="0.35">
      <c r="A469" s="315" t="s">
        <v>90</v>
      </c>
      <c r="B469" s="327">
        <v>0</v>
      </c>
      <c r="C469" s="327">
        <v>1</v>
      </c>
      <c r="D469" s="327">
        <v>1</v>
      </c>
      <c r="E469" s="327">
        <v>0</v>
      </c>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c r="BS469" s="51"/>
      <c r="BT469" s="51"/>
      <c r="BU469" s="51"/>
      <c r="BV469" s="51"/>
      <c r="BW469" s="51"/>
      <c r="BX469" s="51"/>
      <c r="BY469" s="51"/>
      <c r="BZ469" s="51"/>
      <c r="CA469" s="51"/>
      <c r="CB469" s="51"/>
      <c r="CC469" s="51"/>
      <c r="CD469" s="51"/>
      <c r="CE469" s="51"/>
      <c r="CF469" s="51"/>
      <c r="CG469" s="51"/>
    </row>
    <row r="470" spans="1:85" x14ac:dyDescent="0.35">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c r="BS470" s="51"/>
      <c r="BT470" s="51"/>
      <c r="BU470" s="51"/>
      <c r="BV470" s="51"/>
      <c r="BW470" s="51"/>
      <c r="BX470" s="51"/>
      <c r="BY470" s="51"/>
      <c r="BZ470" s="51"/>
      <c r="CA470" s="51"/>
      <c r="CB470" s="51"/>
      <c r="CC470" s="51"/>
      <c r="CD470" s="51"/>
      <c r="CE470" s="51"/>
      <c r="CF470" s="51"/>
      <c r="CG470" s="51"/>
    </row>
    <row r="471" spans="1:85" x14ac:dyDescent="0.35">
      <c r="A471" s="298" t="s">
        <v>1376</v>
      </c>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c r="BS471" s="51"/>
      <c r="BT471" s="51"/>
      <c r="BU471" s="51"/>
      <c r="BV471" s="51"/>
      <c r="BW471" s="51"/>
      <c r="BX471" s="51"/>
      <c r="BY471" s="51"/>
      <c r="BZ471" s="51"/>
      <c r="CA471" s="51"/>
      <c r="CB471" s="51"/>
      <c r="CC471" s="51"/>
      <c r="CD471" s="51"/>
      <c r="CE471" s="51"/>
      <c r="CF471" s="51"/>
      <c r="CG471" s="51"/>
    </row>
    <row r="472" spans="1:85" x14ac:dyDescent="0.35">
      <c r="A472" s="325" t="s">
        <v>358</v>
      </c>
      <c r="B472" s="304"/>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c r="BS472" s="51"/>
      <c r="BT472" s="51"/>
      <c r="BU472" s="51"/>
      <c r="BV472" s="51"/>
      <c r="BW472" s="51"/>
      <c r="BX472" s="51"/>
      <c r="BY472" s="51"/>
      <c r="BZ472" s="51"/>
      <c r="CA472" s="51"/>
      <c r="CB472" s="51"/>
      <c r="CC472" s="51"/>
      <c r="CD472" s="51"/>
      <c r="CE472" s="51"/>
      <c r="CF472" s="51"/>
      <c r="CG472" s="51"/>
    </row>
    <row r="473" spans="1:85" x14ac:dyDescent="0.35">
      <c r="A473" s="315" t="s">
        <v>143</v>
      </c>
      <c r="B473" s="327">
        <v>1</v>
      </c>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c r="BS473" s="51"/>
      <c r="BT473" s="51"/>
      <c r="BU473" s="51"/>
      <c r="BV473" s="51"/>
      <c r="BW473" s="51"/>
      <c r="BX473" s="51"/>
      <c r="BY473" s="51"/>
      <c r="BZ473" s="51"/>
      <c r="CA473" s="51"/>
      <c r="CB473" s="51"/>
      <c r="CC473" s="51"/>
      <c r="CD473" s="51"/>
      <c r="CE473" s="51"/>
      <c r="CF473" s="51"/>
      <c r="CG473" s="51"/>
    </row>
    <row r="474" spans="1:85" x14ac:dyDescent="0.35">
      <c r="A474" s="315" t="s">
        <v>83</v>
      </c>
      <c r="B474" s="327">
        <v>1</v>
      </c>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c r="BS474" s="51"/>
      <c r="BT474" s="51"/>
      <c r="BU474" s="51"/>
      <c r="BV474" s="51"/>
      <c r="BW474" s="51"/>
      <c r="BX474" s="51"/>
      <c r="BY474" s="51"/>
      <c r="BZ474" s="51"/>
      <c r="CA474" s="51"/>
      <c r="CB474" s="51"/>
      <c r="CC474" s="51"/>
      <c r="CD474" s="51"/>
      <c r="CE474" s="51"/>
      <c r="CF474" s="51"/>
      <c r="CG474" s="51"/>
    </row>
    <row r="475" spans="1:85" x14ac:dyDescent="0.35">
      <c r="A475" s="315" t="s">
        <v>144</v>
      </c>
      <c r="B475" s="327">
        <v>1</v>
      </c>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c r="BS475" s="51"/>
      <c r="BT475" s="51"/>
      <c r="BU475" s="51"/>
      <c r="BV475" s="51"/>
      <c r="BW475" s="51"/>
      <c r="BX475" s="51"/>
      <c r="BY475" s="51"/>
      <c r="BZ475" s="51"/>
      <c r="CA475" s="51"/>
      <c r="CB475" s="51"/>
      <c r="CC475" s="51"/>
      <c r="CD475" s="51"/>
      <c r="CE475" s="51"/>
      <c r="CF475" s="51"/>
      <c r="CG475" s="51"/>
    </row>
    <row r="476" spans="1:85" x14ac:dyDescent="0.35">
      <c r="A476" s="315" t="s">
        <v>164</v>
      </c>
      <c r="B476" s="327">
        <v>1</v>
      </c>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c r="BS476" s="51"/>
      <c r="BT476" s="51"/>
      <c r="BU476" s="51"/>
      <c r="BV476" s="51"/>
      <c r="BW476" s="51"/>
      <c r="BX476" s="51"/>
      <c r="BY476" s="51"/>
      <c r="BZ476" s="51"/>
      <c r="CA476" s="51"/>
      <c r="CB476" s="51"/>
      <c r="CC476" s="51"/>
      <c r="CD476" s="51"/>
      <c r="CE476" s="51"/>
      <c r="CF476" s="51"/>
      <c r="CG476" s="51"/>
    </row>
    <row r="477" spans="1:85" x14ac:dyDescent="0.35">
      <c r="A477" s="315" t="s">
        <v>145</v>
      </c>
      <c r="B477" s="327">
        <v>1</v>
      </c>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c r="BS477" s="51"/>
      <c r="BT477" s="51"/>
      <c r="BU477" s="51"/>
      <c r="BV477" s="51"/>
      <c r="BW477" s="51"/>
      <c r="BX477" s="51"/>
      <c r="BY477" s="51"/>
      <c r="BZ477" s="51"/>
      <c r="CA477" s="51"/>
      <c r="CB477" s="51"/>
      <c r="CC477" s="51"/>
      <c r="CD477" s="51"/>
      <c r="CE477" s="51"/>
      <c r="CF477" s="51"/>
      <c r="CG477" s="51"/>
    </row>
    <row r="478" spans="1:85" x14ac:dyDescent="0.35">
      <c r="A478" s="315" t="s">
        <v>87</v>
      </c>
      <c r="B478" s="327">
        <v>1</v>
      </c>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c r="BS478" s="51"/>
      <c r="BT478" s="51"/>
      <c r="BU478" s="51"/>
      <c r="BV478" s="51"/>
      <c r="BW478" s="51"/>
      <c r="BX478" s="51"/>
      <c r="BY478" s="51"/>
      <c r="BZ478" s="51"/>
      <c r="CA478" s="51"/>
      <c r="CB478" s="51"/>
      <c r="CC478" s="51"/>
      <c r="CD478" s="51"/>
      <c r="CE478" s="51"/>
      <c r="CF478" s="51"/>
      <c r="CG478" s="51"/>
    </row>
    <row r="479" spans="1:85" ht="16.5" customHeight="1" x14ac:dyDescent="0.35">
      <c r="A479" s="315" t="s">
        <v>146</v>
      </c>
      <c r="B479" s="327">
        <v>1</v>
      </c>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c r="BS479" s="51"/>
      <c r="BT479" s="51"/>
      <c r="BU479" s="51"/>
      <c r="BV479" s="51"/>
      <c r="BW479" s="51"/>
      <c r="BX479" s="51"/>
      <c r="BY479" s="51"/>
      <c r="BZ479" s="51"/>
      <c r="CA479" s="51"/>
      <c r="CB479" s="51"/>
      <c r="CC479" s="51"/>
      <c r="CD479" s="51"/>
      <c r="CE479" s="51"/>
      <c r="CF479" s="51"/>
      <c r="CG479" s="51"/>
    </row>
    <row r="480" spans="1:85" ht="17.25" customHeight="1" x14ac:dyDescent="0.35">
      <c r="A480" s="315" t="s">
        <v>89</v>
      </c>
      <c r="B480" s="327">
        <v>1</v>
      </c>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c r="BS480" s="51"/>
      <c r="BT480" s="51"/>
      <c r="BU480" s="51"/>
      <c r="BV480" s="51"/>
      <c r="BW480" s="51"/>
      <c r="BX480" s="51"/>
      <c r="BY480" s="51"/>
      <c r="BZ480" s="51"/>
      <c r="CA480" s="51"/>
      <c r="CB480" s="51"/>
      <c r="CC480" s="51"/>
      <c r="CD480" s="51"/>
      <c r="CE480" s="51"/>
      <c r="CF480" s="51"/>
      <c r="CG480" s="51"/>
    </row>
    <row r="481" spans="1:85" x14ac:dyDescent="0.35">
      <c r="A481" s="315" t="s">
        <v>90</v>
      </c>
      <c r="B481" s="327">
        <v>1</v>
      </c>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c r="BS481" s="51"/>
      <c r="BT481" s="51"/>
      <c r="BU481" s="51"/>
      <c r="BV481" s="51"/>
      <c r="BW481" s="51"/>
      <c r="BX481" s="51"/>
      <c r="BY481" s="51"/>
      <c r="BZ481" s="51"/>
      <c r="CA481" s="51"/>
      <c r="CB481" s="51"/>
      <c r="CC481" s="51"/>
      <c r="CD481" s="51"/>
      <c r="CE481" s="51"/>
      <c r="CF481" s="51"/>
      <c r="CG481" s="51"/>
    </row>
    <row r="487" spans="1:85" s="510" customFormat="1" x14ac:dyDescent="0.35">
      <c r="A487" s="508" t="s">
        <v>2065</v>
      </c>
    </row>
    <row r="489" spans="1:85" ht="20.5" customHeight="1" x14ac:dyDescent="0.35">
      <c r="A489" s="308" t="s">
        <v>1169</v>
      </c>
    </row>
    <row r="490" spans="1:85" ht="20.5" customHeight="1" x14ac:dyDescent="0.35">
      <c r="A490" s="304" t="s">
        <v>1302</v>
      </c>
    </row>
    <row r="491" spans="1:85" x14ac:dyDescent="0.35">
      <c r="A491" s="309" t="s">
        <v>168</v>
      </c>
      <c r="B491" s="310" t="s">
        <v>169</v>
      </c>
    </row>
    <row r="492" spans="1:85" x14ac:dyDescent="0.35">
      <c r="A492" s="311">
        <v>1</v>
      </c>
      <c r="B492" s="311" t="s">
        <v>1170</v>
      </c>
    </row>
    <row r="493" spans="1:85" x14ac:dyDescent="0.35">
      <c r="A493" s="311">
        <v>0</v>
      </c>
      <c r="B493" s="311" t="s">
        <v>1171</v>
      </c>
    </row>
    <row r="494" spans="1:85" x14ac:dyDescent="0.35">
      <c r="A494" s="312" t="s">
        <v>170</v>
      </c>
      <c r="B494" s="306">
        <v>1</v>
      </c>
    </row>
    <row r="496" spans="1:85" ht="43.5" x14ac:dyDescent="0.35">
      <c r="A496" s="304" t="s">
        <v>1366</v>
      </c>
      <c r="B496" s="304" t="s">
        <v>232</v>
      </c>
      <c r="C496" s="304" t="s">
        <v>233</v>
      </c>
      <c r="D496" s="304" t="s">
        <v>234</v>
      </c>
      <c r="E496" s="304" t="s">
        <v>235</v>
      </c>
      <c r="F496" s="304" t="s">
        <v>1367</v>
      </c>
      <c r="G496" s="304" t="s">
        <v>237</v>
      </c>
      <c r="H496" s="304" t="s">
        <v>238</v>
      </c>
      <c r="I496" s="304" t="s">
        <v>239</v>
      </c>
      <c r="J496" s="304" t="s">
        <v>240</v>
      </c>
      <c r="K496" s="304" t="s">
        <v>241</v>
      </c>
      <c r="L496" s="304" t="s">
        <v>242</v>
      </c>
      <c r="M496" s="304" t="s">
        <v>243</v>
      </c>
    </row>
    <row r="497" spans="1:14" x14ac:dyDescent="0.35">
      <c r="A497" s="313" t="s">
        <v>852</v>
      </c>
      <c r="B497" s="314" t="s">
        <v>1368</v>
      </c>
      <c r="C497" s="314" t="s">
        <v>1368</v>
      </c>
      <c r="D497" s="314" t="s">
        <v>1368</v>
      </c>
      <c r="E497" s="314" t="s">
        <v>1368</v>
      </c>
      <c r="F497" s="314" t="s">
        <v>1368</v>
      </c>
      <c r="G497" s="314" t="s">
        <v>1368</v>
      </c>
      <c r="H497" s="314" t="s">
        <v>1368</v>
      </c>
      <c r="I497" s="314" t="s">
        <v>1368</v>
      </c>
      <c r="J497" s="314" t="s">
        <v>1368</v>
      </c>
      <c r="K497" s="314" t="s">
        <v>1368</v>
      </c>
      <c r="L497" s="314" t="s">
        <v>1368</v>
      </c>
      <c r="M497" s="314" t="s">
        <v>1368</v>
      </c>
      <c r="N497" s="512" t="s">
        <v>2066</v>
      </c>
    </row>
    <row r="498" spans="1:14" x14ac:dyDescent="0.35">
      <c r="A498" s="315" t="s">
        <v>143</v>
      </c>
      <c r="B498" s="307">
        <v>1.3088507575093544</v>
      </c>
      <c r="C498" s="316">
        <v>1.1000000000000001</v>
      </c>
      <c r="D498" s="316">
        <v>1.3</v>
      </c>
      <c r="E498" s="316">
        <v>0</v>
      </c>
      <c r="F498" s="307">
        <v>100</v>
      </c>
      <c r="G498" s="316">
        <v>0</v>
      </c>
      <c r="H498" s="316">
        <v>1.5</v>
      </c>
      <c r="I498" s="316">
        <v>0</v>
      </c>
      <c r="J498" s="316">
        <v>10</v>
      </c>
      <c r="K498" s="316">
        <v>0</v>
      </c>
      <c r="L498" s="316">
        <v>0</v>
      </c>
      <c r="M498" s="316">
        <v>0</v>
      </c>
      <c r="N498">
        <v>1.3088507575093544</v>
      </c>
    </row>
    <row r="499" spans="1:14" x14ac:dyDescent="0.35">
      <c r="A499" s="315" t="s">
        <v>83</v>
      </c>
      <c r="B499" s="307">
        <v>1.3590774526083806</v>
      </c>
      <c r="C499" s="316">
        <v>1.1000000000000001</v>
      </c>
      <c r="D499" s="316">
        <v>1.3</v>
      </c>
      <c r="E499" s="316">
        <v>0</v>
      </c>
      <c r="F499" s="307">
        <v>100</v>
      </c>
      <c r="G499" s="316">
        <v>0</v>
      </c>
      <c r="H499" s="316">
        <v>1.5</v>
      </c>
      <c r="I499" s="316">
        <v>0</v>
      </c>
      <c r="J499" s="316">
        <v>10</v>
      </c>
      <c r="K499" s="316">
        <v>0</v>
      </c>
      <c r="L499" s="316">
        <v>0</v>
      </c>
      <c r="M499" s="316">
        <v>0</v>
      </c>
      <c r="N499">
        <v>1.3590774526083806</v>
      </c>
    </row>
    <row r="500" spans="1:14" x14ac:dyDescent="0.35">
      <c r="A500" s="315" t="s">
        <v>144</v>
      </c>
      <c r="B500" s="307">
        <v>1.176801494393575</v>
      </c>
      <c r="C500" s="316">
        <v>1.1000000000000001</v>
      </c>
      <c r="D500" s="316">
        <v>1.3</v>
      </c>
      <c r="E500" s="316">
        <v>0</v>
      </c>
      <c r="F500" s="307">
        <v>100</v>
      </c>
      <c r="G500" s="316">
        <v>0</v>
      </c>
      <c r="H500" s="316">
        <v>1.5</v>
      </c>
      <c r="I500" s="316">
        <v>0</v>
      </c>
      <c r="J500" s="316">
        <v>10</v>
      </c>
      <c r="K500" s="316">
        <v>0</v>
      </c>
      <c r="L500" s="316">
        <v>0</v>
      </c>
      <c r="M500" s="316">
        <v>0</v>
      </c>
      <c r="N500">
        <v>1.176801494393575</v>
      </c>
    </row>
    <row r="501" spans="1:14" x14ac:dyDescent="0.35">
      <c r="A501" s="315" t="s">
        <v>164</v>
      </c>
      <c r="B501" s="307">
        <v>1.2071225586049166</v>
      </c>
      <c r="C501" s="316">
        <v>1.1000000000000001</v>
      </c>
      <c r="D501" s="316">
        <v>1.3</v>
      </c>
      <c r="E501" s="316">
        <v>0</v>
      </c>
      <c r="F501" s="307">
        <v>100</v>
      </c>
      <c r="G501" s="316">
        <v>0</v>
      </c>
      <c r="H501" s="316">
        <v>1.5</v>
      </c>
      <c r="I501" s="316">
        <v>0</v>
      </c>
      <c r="J501" s="316">
        <v>10</v>
      </c>
      <c r="K501" s="316">
        <v>0</v>
      </c>
      <c r="L501" s="316">
        <v>0</v>
      </c>
      <c r="M501" s="316">
        <v>0</v>
      </c>
      <c r="N501">
        <v>1.2071225586049166</v>
      </c>
    </row>
    <row r="502" spans="1:14" x14ac:dyDescent="0.35">
      <c r="A502" s="315" t="s">
        <v>145</v>
      </c>
      <c r="B502" s="307">
        <v>1.0487966970274396</v>
      </c>
      <c r="C502" s="316">
        <v>1.1000000000000001</v>
      </c>
      <c r="D502" s="316">
        <v>1.3</v>
      </c>
      <c r="E502" s="316">
        <v>0</v>
      </c>
      <c r="F502" s="307">
        <v>100</v>
      </c>
      <c r="G502" s="316">
        <v>0</v>
      </c>
      <c r="H502" s="316">
        <v>1.5</v>
      </c>
      <c r="I502" s="316">
        <v>0</v>
      </c>
      <c r="J502" s="316">
        <v>10</v>
      </c>
      <c r="K502" s="316">
        <v>0</v>
      </c>
      <c r="L502" s="316">
        <v>0</v>
      </c>
      <c r="M502" s="316">
        <v>0</v>
      </c>
      <c r="N502">
        <v>1.0487966970274396</v>
      </c>
    </row>
    <row r="503" spans="1:14" x14ac:dyDescent="0.35">
      <c r="A503" s="315" t="s">
        <v>87</v>
      </c>
      <c r="B503" s="307">
        <v>2.2199712012972785</v>
      </c>
      <c r="C503" s="316">
        <v>1.1000000000000001</v>
      </c>
      <c r="D503" s="316">
        <v>1.3</v>
      </c>
      <c r="E503" s="316">
        <v>0</v>
      </c>
      <c r="F503" s="307">
        <v>100</v>
      </c>
      <c r="G503" s="316">
        <v>0</v>
      </c>
      <c r="H503" s="316">
        <v>1.5</v>
      </c>
      <c r="I503" s="316">
        <v>0</v>
      </c>
      <c r="J503" s="316">
        <v>10</v>
      </c>
      <c r="K503" s="316">
        <v>0</v>
      </c>
      <c r="L503" s="316">
        <v>0</v>
      </c>
      <c r="M503" s="316">
        <v>0</v>
      </c>
      <c r="N503">
        <v>2.2199712012972785</v>
      </c>
    </row>
    <row r="504" spans="1:14" x14ac:dyDescent="0.35">
      <c r="A504" s="315" t="s">
        <v>146</v>
      </c>
      <c r="B504" s="307">
        <v>1.2906431127054123</v>
      </c>
      <c r="C504" s="316">
        <v>1.1000000000000001</v>
      </c>
      <c r="D504" s="316">
        <v>1.3</v>
      </c>
      <c r="E504" s="316">
        <v>0</v>
      </c>
      <c r="F504" s="307">
        <v>100</v>
      </c>
      <c r="G504" s="316">
        <v>0</v>
      </c>
      <c r="H504" s="316">
        <v>1.5</v>
      </c>
      <c r="I504" s="316">
        <v>0</v>
      </c>
      <c r="J504" s="316">
        <v>10</v>
      </c>
      <c r="K504" s="316">
        <v>0</v>
      </c>
      <c r="L504" s="316">
        <v>0</v>
      </c>
      <c r="M504" s="316">
        <v>0</v>
      </c>
      <c r="N504">
        <v>1.2906431127054123</v>
      </c>
    </row>
    <row r="505" spans="1:14" x14ac:dyDescent="0.35">
      <c r="A505" s="315" t="s">
        <v>89</v>
      </c>
      <c r="B505" s="307">
        <v>1.2780038381372212</v>
      </c>
      <c r="C505" s="316">
        <v>1.1000000000000001</v>
      </c>
      <c r="D505" s="316">
        <v>1.3</v>
      </c>
      <c r="E505" s="316">
        <v>0</v>
      </c>
      <c r="F505" s="307">
        <v>100</v>
      </c>
      <c r="G505" s="316">
        <v>0</v>
      </c>
      <c r="H505" s="316">
        <v>1.5</v>
      </c>
      <c r="I505" s="316">
        <v>0</v>
      </c>
      <c r="J505" s="316">
        <v>10</v>
      </c>
      <c r="K505" s="316">
        <v>0</v>
      </c>
      <c r="L505" s="316">
        <v>0</v>
      </c>
      <c r="M505" s="316">
        <v>0</v>
      </c>
      <c r="N505">
        <v>1.2780038381372212</v>
      </c>
    </row>
    <row r="506" spans="1:14" x14ac:dyDescent="0.35">
      <c r="A506" s="315" t="s">
        <v>90</v>
      </c>
      <c r="B506" s="307">
        <v>1.4955316176624978</v>
      </c>
      <c r="C506" s="316">
        <v>1.1000000000000001</v>
      </c>
      <c r="D506" s="316">
        <v>1.3</v>
      </c>
      <c r="E506" s="316">
        <v>0</v>
      </c>
      <c r="F506" s="307">
        <v>100</v>
      </c>
      <c r="G506" s="316">
        <v>0</v>
      </c>
      <c r="H506" s="316">
        <v>1.5</v>
      </c>
      <c r="I506" s="316">
        <v>0</v>
      </c>
      <c r="J506" s="316">
        <v>10</v>
      </c>
      <c r="K506" s="316">
        <v>0</v>
      </c>
      <c r="L506" s="316">
        <v>0</v>
      </c>
      <c r="M506" s="316">
        <v>0</v>
      </c>
      <c r="N506">
        <v>1.4955316176624978</v>
      </c>
    </row>
    <row r="507" spans="1:14" x14ac:dyDescent="0.35">
      <c r="F507" t="s">
        <v>2067</v>
      </c>
    </row>
    <row r="509" spans="1:14" x14ac:dyDescent="0.35">
      <c r="A509" s="308" t="s">
        <v>854</v>
      </c>
    </row>
    <row r="510" spans="1:14" x14ac:dyDescent="0.35">
      <c r="A510" t="s">
        <v>2068</v>
      </c>
    </row>
    <row r="511" spans="1:14" x14ac:dyDescent="0.35">
      <c r="A511" s="304" t="s">
        <v>855</v>
      </c>
      <c r="B511" s="304" t="s">
        <v>232</v>
      </c>
      <c r="C511" s="304" t="s">
        <v>233</v>
      </c>
      <c r="D511" s="304" t="s">
        <v>234</v>
      </c>
      <c r="E511" s="304" t="s">
        <v>235</v>
      </c>
      <c r="F511" s="304" t="s">
        <v>236</v>
      </c>
      <c r="G511" s="304" t="s">
        <v>237</v>
      </c>
      <c r="H511" s="304" t="s">
        <v>238</v>
      </c>
      <c r="I511" s="304" t="s">
        <v>239</v>
      </c>
      <c r="J511" s="304" t="s">
        <v>240</v>
      </c>
      <c r="K511" s="304" t="s">
        <v>241</v>
      </c>
      <c r="L511" s="304" t="s">
        <v>242</v>
      </c>
      <c r="M511" s="304" t="s">
        <v>851</v>
      </c>
    </row>
    <row r="512" spans="1:14" x14ac:dyDescent="0.35">
      <c r="A512" s="313" t="s">
        <v>852</v>
      </c>
      <c r="B512" s="310" t="s">
        <v>853</v>
      </c>
      <c r="C512" s="310" t="s">
        <v>853</v>
      </c>
      <c r="D512" s="310" t="s">
        <v>853</v>
      </c>
      <c r="E512" s="310" t="s">
        <v>853</v>
      </c>
      <c r="F512" s="310" t="s">
        <v>853</v>
      </c>
      <c r="G512" s="310" t="s">
        <v>853</v>
      </c>
      <c r="H512" s="310" t="s">
        <v>853</v>
      </c>
      <c r="I512" s="310" t="s">
        <v>853</v>
      </c>
      <c r="J512" s="310" t="s">
        <v>853</v>
      </c>
      <c r="K512" s="310" t="s">
        <v>853</v>
      </c>
      <c r="L512" s="310" t="s">
        <v>853</v>
      </c>
      <c r="M512" s="310" t="s">
        <v>853</v>
      </c>
    </row>
    <row r="513" spans="1:13" x14ac:dyDescent="0.35">
      <c r="A513" s="315" t="s">
        <v>143</v>
      </c>
      <c r="B513" s="306">
        <v>0</v>
      </c>
      <c r="C513" s="306">
        <v>0</v>
      </c>
      <c r="D513" s="306">
        <v>1127.02</v>
      </c>
      <c r="E513" s="306">
        <v>0</v>
      </c>
      <c r="F513" s="306">
        <v>3515.09</v>
      </c>
      <c r="G513" s="306">
        <v>0</v>
      </c>
      <c r="H513" s="306">
        <v>0</v>
      </c>
      <c r="I513" s="306">
        <v>0</v>
      </c>
      <c r="J513" s="306">
        <v>691.94</v>
      </c>
      <c r="K513" s="306">
        <v>0</v>
      </c>
      <c r="L513" s="306">
        <v>0</v>
      </c>
      <c r="M513" s="306">
        <v>0</v>
      </c>
    </row>
    <row r="514" spans="1:13" x14ac:dyDescent="0.35">
      <c r="A514" s="315" t="s">
        <v>83</v>
      </c>
      <c r="B514" s="306">
        <v>0</v>
      </c>
      <c r="C514" s="306">
        <v>0</v>
      </c>
      <c r="D514" s="306">
        <v>0</v>
      </c>
      <c r="E514" s="306">
        <v>0</v>
      </c>
      <c r="F514" s="306">
        <v>125</v>
      </c>
      <c r="G514" s="306">
        <v>0</v>
      </c>
      <c r="H514" s="306">
        <v>0</v>
      </c>
      <c r="I514" s="306">
        <v>0</v>
      </c>
      <c r="J514" s="306">
        <v>12.38857142857143</v>
      </c>
      <c r="K514" s="306">
        <v>0</v>
      </c>
      <c r="L514" s="306">
        <v>0</v>
      </c>
      <c r="M514" s="306">
        <v>0</v>
      </c>
    </row>
    <row r="515" spans="1:13" x14ac:dyDescent="0.35">
      <c r="A515" s="315" t="s">
        <v>144</v>
      </c>
      <c r="B515" s="306">
        <v>4000</v>
      </c>
      <c r="C515" s="306">
        <v>3427.3571428571427</v>
      </c>
      <c r="D515" s="306">
        <v>10000</v>
      </c>
      <c r="E515" s="306">
        <v>0</v>
      </c>
      <c r="F515" s="306">
        <v>13933.128571428573</v>
      </c>
      <c r="G515" s="306">
        <v>0</v>
      </c>
      <c r="H515" s="306">
        <v>0</v>
      </c>
      <c r="I515" s="306">
        <v>0</v>
      </c>
      <c r="J515" s="306">
        <v>3875.9214285714293</v>
      </c>
      <c r="K515" s="306">
        <v>0</v>
      </c>
      <c r="L515" s="306">
        <v>0</v>
      </c>
      <c r="M515" s="306">
        <v>0</v>
      </c>
    </row>
    <row r="516" spans="1:13" x14ac:dyDescent="0.35">
      <c r="A516" s="315" t="s">
        <v>164</v>
      </c>
      <c r="B516" s="306">
        <v>15551.184285714287</v>
      </c>
      <c r="C516" s="306">
        <v>90.001428571428505</v>
      </c>
      <c r="D516" s="306">
        <v>0</v>
      </c>
      <c r="E516" s="306">
        <v>0</v>
      </c>
      <c r="F516" s="306">
        <v>3640.3</v>
      </c>
      <c r="G516" s="306">
        <v>0</v>
      </c>
      <c r="H516" s="306">
        <v>0</v>
      </c>
      <c r="I516" s="306">
        <v>0</v>
      </c>
      <c r="J516" s="306">
        <v>1341.28</v>
      </c>
      <c r="K516" s="306">
        <v>0</v>
      </c>
      <c r="L516" s="306">
        <v>0</v>
      </c>
      <c r="M516" s="306">
        <v>0</v>
      </c>
    </row>
    <row r="517" spans="1:13" x14ac:dyDescent="0.35">
      <c r="A517" s="315" t="s">
        <v>145</v>
      </c>
      <c r="B517" s="306">
        <v>0</v>
      </c>
      <c r="C517" s="306">
        <v>5781.43</v>
      </c>
      <c r="D517" s="306">
        <v>484</v>
      </c>
      <c r="E517" s="306">
        <v>0</v>
      </c>
      <c r="F517" s="306">
        <v>1533.08</v>
      </c>
      <c r="G517" s="306">
        <v>0</v>
      </c>
      <c r="H517" s="306">
        <v>0</v>
      </c>
      <c r="I517" s="306">
        <v>0</v>
      </c>
      <c r="J517" s="306">
        <v>708.06399999999996</v>
      </c>
      <c r="K517" s="306">
        <v>0</v>
      </c>
      <c r="L517" s="306">
        <v>0</v>
      </c>
      <c r="M517" s="306">
        <v>0</v>
      </c>
    </row>
    <row r="518" spans="1:13" x14ac:dyDescent="0.35">
      <c r="A518" s="315" t="s">
        <v>87</v>
      </c>
      <c r="B518" s="306">
        <v>8000.31</v>
      </c>
      <c r="C518" s="306">
        <v>1932.52</v>
      </c>
      <c r="D518" s="306">
        <v>0</v>
      </c>
      <c r="E518" s="306">
        <v>0</v>
      </c>
      <c r="F518" s="306">
        <v>4761.93</v>
      </c>
      <c r="G518" s="306">
        <v>0</v>
      </c>
      <c r="H518" s="306">
        <v>0</v>
      </c>
      <c r="I518" s="306">
        <v>0</v>
      </c>
      <c r="J518" s="306">
        <v>631.32399999999996</v>
      </c>
      <c r="K518" s="306">
        <v>0</v>
      </c>
      <c r="L518" s="306">
        <v>0</v>
      </c>
      <c r="M518" s="306">
        <v>40000</v>
      </c>
    </row>
    <row r="519" spans="1:13" x14ac:dyDescent="0.35">
      <c r="A519" s="315" t="s">
        <v>146</v>
      </c>
      <c r="B519" s="306">
        <v>62.86</v>
      </c>
      <c r="C519" s="306">
        <v>-162.13999999999999</v>
      </c>
      <c r="D519" s="306">
        <v>1225.8399999999999</v>
      </c>
      <c r="E519" s="306">
        <v>1404</v>
      </c>
      <c r="F519" s="306">
        <v>1100</v>
      </c>
      <c r="G519" s="306">
        <v>0</v>
      </c>
      <c r="H519" s="306">
        <v>0</v>
      </c>
      <c r="I519" s="306">
        <v>0</v>
      </c>
      <c r="J519" s="306">
        <v>341.1</v>
      </c>
      <c r="K519" s="306">
        <v>0</v>
      </c>
      <c r="L519" s="306">
        <v>0</v>
      </c>
      <c r="M519" s="306">
        <v>0</v>
      </c>
    </row>
    <row r="520" spans="1:13" x14ac:dyDescent="0.35">
      <c r="A520" s="315" t="s">
        <v>89</v>
      </c>
      <c r="B520" s="306">
        <v>0</v>
      </c>
      <c r="C520" s="306">
        <v>744.09299999999996</v>
      </c>
      <c r="D520" s="306">
        <v>0</v>
      </c>
      <c r="E520" s="306">
        <v>0</v>
      </c>
      <c r="F520" s="306">
        <v>6812.97</v>
      </c>
      <c r="G520" s="306">
        <v>0</v>
      </c>
      <c r="H520" s="306">
        <v>0</v>
      </c>
      <c r="I520" s="306">
        <v>0</v>
      </c>
      <c r="J520" s="306">
        <v>2130.94</v>
      </c>
      <c r="K520" s="306">
        <v>0</v>
      </c>
      <c r="L520" s="306">
        <v>0</v>
      </c>
      <c r="M520" s="306">
        <v>0</v>
      </c>
    </row>
    <row r="521" spans="1:13" x14ac:dyDescent="0.35">
      <c r="A521" s="315" t="s">
        <v>90</v>
      </c>
      <c r="B521" s="306">
        <v>0</v>
      </c>
      <c r="C521" s="306">
        <v>0</v>
      </c>
      <c r="D521" s="306">
        <v>0</v>
      </c>
      <c r="E521" s="306">
        <v>0</v>
      </c>
      <c r="F521" s="306">
        <v>1714.85</v>
      </c>
      <c r="G521" s="306">
        <v>0</v>
      </c>
      <c r="H521" s="306">
        <v>0</v>
      </c>
      <c r="I521" s="306">
        <v>0</v>
      </c>
      <c r="J521" s="306">
        <v>2872.41</v>
      </c>
      <c r="K521" s="306">
        <v>0</v>
      </c>
      <c r="L521" s="306">
        <v>0</v>
      </c>
      <c r="M521" s="306">
        <v>44000</v>
      </c>
    </row>
    <row r="526" spans="1:13" x14ac:dyDescent="0.35">
      <c r="A526" s="308" t="s">
        <v>2069</v>
      </c>
    </row>
    <row r="527" spans="1:13" x14ac:dyDescent="0.35">
      <c r="A527" s="309" t="s">
        <v>168</v>
      </c>
      <c r="B527" s="310" t="s">
        <v>169</v>
      </c>
    </row>
    <row r="528" spans="1:13" x14ac:dyDescent="0.35">
      <c r="A528" s="311">
        <v>0</v>
      </c>
      <c r="B528" s="311" t="s">
        <v>2070</v>
      </c>
    </row>
    <row r="529" spans="1:14" x14ac:dyDescent="0.35">
      <c r="A529" s="311">
        <v>1</v>
      </c>
      <c r="B529" s="311" t="s">
        <v>2071</v>
      </c>
    </row>
    <row r="530" spans="1:14" x14ac:dyDescent="0.35">
      <c r="A530" s="312" t="s">
        <v>170</v>
      </c>
      <c r="B530" s="306">
        <v>0</v>
      </c>
    </row>
    <row r="532" spans="1:14" x14ac:dyDescent="0.35">
      <c r="A532" s="304" t="s">
        <v>2072</v>
      </c>
      <c r="B532" s="304" t="s">
        <v>708</v>
      </c>
      <c r="C532" s="304" t="s">
        <v>709</v>
      </c>
      <c r="D532" s="304" t="s">
        <v>710</v>
      </c>
      <c r="E532" s="304" t="s">
        <v>711</v>
      </c>
      <c r="F532" s="304" t="s">
        <v>712</v>
      </c>
      <c r="G532" s="304" t="s">
        <v>713</v>
      </c>
      <c r="H532" s="304" t="s">
        <v>714</v>
      </c>
      <c r="I532" s="304" t="s">
        <v>2073</v>
      </c>
      <c r="J532" s="304" t="s">
        <v>716</v>
      </c>
      <c r="K532" s="304" t="s">
        <v>717</v>
      </c>
      <c r="L532" s="304" t="s">
        <v>718</v>
      </c>
      <c r="M532" s="304" t="s">
        <v>719</v>
      </c>
      <c r="N532" s="304" t="s">
        <v>720</v>
      </c>
    </row>
    <row r="533" spans="1:14" x14ac:dyDescent="0.35">
      <c r="A533" s="313" t="s">
        <v>2074</v>
      </c>
      <c r="B533" s="310" t="s">
        <v>2075</v>
      </c>
      <c r="C533" s="310" t="s">
        <v>2075</v>
      </c>
      <c r="D533" s="310" t="s">
        <v>2075</v>
      </c>
      <c r="E533" s="310" t="s">
        <v>2075</v>
      </c>
      <c r="F533" s="310" t="s">
        <v>2075</v>
      </c>
      <c r="G533" s="310" t="s">
        <v>2075</v>
      </c>
      <c r="H533" s="310" t="s">
        <v>2075</v>
      </c>
      <c r="I533" s="310" t="s">
        <v>2075</v>
      </c>
      <c r="J533" s="310" t="s">
        <v>2075</v>
      </c>
      <c r="K533" s="310" t="s">
        <v>2075</v>
      </c>
      <c r="L533" s="310" t="s">
        <v>2075</v>
      </c>
      <c r="M533" s="310" t="s">
        <v>2075</v>
      </c>
      <c r="N533" s="310" t="s">
        <v>2075</v>
      </c>
    </row>
    <row r="534" spans="1:14" x14ac:dyDescent="0.35">
      <c r="A534" s="315" t="s">
        <v>143</v>
      </c>
      <c r="B534" s="330">
        <v>1.4</v>
      </c>
      <c r="C534" s="330">
        <v>1.4</v>
      </c>
      <c r="D534" s="330">
        <v>1.4</v>
      </c>
      <c r="E534" s="330">
        <v>1.4</v>
      </c>
      <c r="F534" s="330">
        <v>1.4</v>
      </c>
      <c r="G534" s="330">
        <v>1.4</v>
      </c>
      <c r="H534" s="330">
        <v>1.4</v>
      </c>
      <c r="I534" s="330">
        <v>1.4</v>
      </c>
      <c r="J534" s="330">
        <v>1.4</v>
      </c>
      <c r="K534" s="330">
        <v>1.4</v>
      </c>
      <c r="L534" s="330">
        <v>1.4</v>
      </c>
      <c r="M534" s="330">
        <v>1.4</v>
      </c>
      <c r="N534" s="330">
        <v>1.4</v>
      </c>
    </row>
    <row r="535" spans="1:14" x14ac:dyDescent="0.35">
      <c r="A535" s="315" t="s">
        <v>83</v>
      </c>
      <c r="B535" s="330">
        <v>1.4</v>
      </c>
      <c r="C535" s="330">
        <v>1.4</v>
      </c>
      <c r="D535" s="330">
        <v>1.4</v>
      </c>
      <c r="E535" s="330">
        <v>1.4</v>
      </c>
      <c r="F535" s="330">
        <v>1.4</v>
      </c>
      <c r="G535" s="330">
        <v>1.4</v>
      </c>
      <c r="H535" s="330">
        <v>1.4</v>
      </c>
      <c r="I535" s="330">
        <v>1.4</v>
      </c>
      <c r="J535" s="330">
        <v>1.4</v>
      </c>
      <c r="K535" s="330">
        <v>1.4</v>
      </c>
      <c r="L535" s="330">
        <v>1.4</v>
      </c>
      <c r="M535" s="330">
        <v>1.4</v>
      </c>
      <c r="N535" s="330">
        <v>1.4</v>
      </c>
    </row>
    <row r="536" spans="1:14" x14ac:dyDescent="0.35">
      <c r="A536" s="315" t="s">
        <v>144</v>
      </c>
      <c r="B536" s="330">
        <v>1.4</v>
      </c>
      <c r="C536" s="330">
        <v>1.4</v>
      </c>
      <c r="D536" s="330">
        <v>1.4</v>
      </c>
      <c r="E536" s="330">
        <v>1.4</v>
      </c>
      <c r="F536" s="330">
        <v>1.4</v>
      </c>
      <c r="G536" s="330">
        <v>1.4</v>
      </c>
      <c r="H536" s="330">
        <v>1.4</v>
      </c>
      <c r="I536" s="330">
        <v>1.4</v>
      </c>
      <c r="J536" s="330">
        <v>1.4</v>
      </c>
      <c r="K536" s="330">
        <v>1.4</v>
      </c>
      <c r="L536" s="330">
        <v>1.4</v>
      </c>
      <c r="M536" s="330">
        <v>1.4</v>
      </c>
      <c r="N536" s="330">
        <v>1.4</v>
      </c>
    </row>
    <row r="537" spans="1:14" x14ac:dyDescent="0.35">
      <c r="A537" s="315" t="s">
        <v>164</v>
      </c>
      <c r="B537" s="330">
        <v>1.4</v>
      </c>
      <c r="C537" s="330">
        <v>1.4</v>
      </c>
      <c r="D537" s="330">
        <v>1.4</v>
      </c>
      <c r="E537" s="330">
        <v>1.4</v>
      </c>
      <c r="F537" s="330">
        <v>1.4</v>
      </c>
      <c r="G537" s="330">
        <v>1.4</v>
      </c>
      <c r="H537" s="330">
        <v>1.4</v>
      </c>
      <c r="I537" s="330">
        <v>1.4</v>
      </c>
      <c r="J537" s="330">
        <v>1.4</v>
      </c>
      <c r="K537" s="330">
        <v>1.4</v>
      </c>
      <c r="L537" s="330">
        <v>1.4</v>
      </c>
      <c r="M537" s="330">
        <v>1.4</v>
      </c>
      <c r="N537" s="330">
        <v>1.4</v>
      </c>
    </row>
    <row r="538" spans="1:14" x14ac:dyDescent="0.35">
      <c r="A538" s="315" t="s">
        <v>145</v>
      </c>
      <c r="B538" s="330">
        <v>1.4</v>
      </c>
      <c r="C538" s="330">
        <v>1.4</v>
      </c>
      <c r="D538" s="330">
        <v>1.4</v>
      </c>
      <c r="E538" s="330">
        <v>1.4</v>
      </c>
      <c r="F538" s="330">
        <v>1.4</v>
      </c>
      <c r="G538" s="330">
        <v>1.4</v>
      </c>
      <c r="H538" s="330">
        <v>1.4</v>
      </c>
      <c r="I538" s="330">
        <v>1.4</v>
      </c>
      <c r="J538" s="330">
        <v>1.4</v>
      </c>
      <c r="K538" s="330">
        <v>1.4</v>
      </c>
      <c r="L538" s="330">
        <v>1.4</v>
      </c>
      <c r="M538" s="330">
        <v>1.4</v>
      </c>
      <c r="N538" s="330">
        <v>1.4</v>
      </c>
    </row>
    <row r="539" spans="1:14" x14ac:dyDescent="0.35">
      <c r="A539" s="315" t="s">
        <v>87</v>
      </c>
      <c r="B539" s="330">
        <v>1.4</v>
      </c>
      <c r="C539" s="330">
        <v>1.4</v>
      </c>
      <c r="D539" s="330">
        <v>1.4</v>
      </c>
      <c r="E539" s="330">
        <v>1.4</v>
      </c>
      <c r="F539" s="330">
        <v>1.4</v>
      </c>
      <c r="G539" s="330">
        <v>1.4</v>
      </c>
      <c r="H539" s="330">
        <v>1.4</v>
      </c>
      <c r="I539" s="330">
        <v>1.4</v>
      </c>
      <c r="J539" s="330">
        <v>1.4</v>
      </c>
      <c r="K539" s="330">
        <v>1.4</v>
      </c>
      <c r="L539" s="330">
        <v>1.4</v>
      </c>
      <c r="M539" s="330">
        <v>1.4</v>
      </c>
      <c r="N539" s="330">
        <v>1.4</v>
      </c>
    </row>
    <row r="540" spans="1:14" x14ac:dyDescent="0.35">
      <c r="A540" s="315" t="s">
        <v>146</v>
      </c>
      <c r="B540" s="330">
        <v>1.4</v>
      </c>
      <c r="C540" s="330">
        <v>1.4</v>
      </c>
      <c r="D540" s="330">
        <v>1.4</v>
      </c>
      <c r="E540" s="330">
        <v>1.4</v>
      </c>
      <c r="F540" s="330">
        <v>1.4</v>
      </c>
      <c r="G540" s="330">
        <v>1.4</v>
      </c>
      <c r="H540" s="330">
        <v>1.4</v>
      </c>
      <c r="I540" s="330">
        <v>1.4</v>
      </c>
      <c r="J540" s="330">
        <v>1.4</v>
      </c>
      <c r="K540" s="330">
        <v>1.4</v>
      </c>
      <c r="L540" s="330">
        <v>1.4</v>
      </c>
      <c r="M540" s="330">
        <v>1.4</v>
      </c>
      <c r="N540" s="330">
        <v>1.4</v>
      </c>
    </row>
    <row r="541" spans="1:14" x14ac:dyDescent="0.35">
      <c r="A541" s="315" t="s">
        <v>89</v>
      </c>
      <c r="B541" s="330">
        <v>1.4</v>
      </c>
      <c r="C541" s="330">
        <v>1.4</v>
      </c>
      <c r="D541" s="330">
        <v>1.4</v>
      </c>
      <c r="E541" s="330">
        <v>1.4</v>
      </c>
      <c r="F541" s="330">
        <v>1.4</v>
      </c>
      <c r="G541" s="330">
        <v>1.4</v>
      </c>
      <c r="H541" s="330">
        <v>1.4</v>
      </c>
      <c r="I541" s="330">
        <v>1.4</v>
      </c>
      <c r="J541" s="330">
        <v>1.4</v>
      </c>
      <c r="K541" s="330">
        <v>1.4</v>
      </c>
      <c r="L541" s="330">
        <v>1.4</v>
      </c>
      <c r="M541" s="330">
        <v>1.4</v>
      </c>
      <c r="N541" s="330">
        <v>1.4</v>
      </c>
    </row>
    <row r="542" spans="1:14" x14ac:dyDescent="0.35">
      <c r="A542" s="315" t="s">
        <v>90</v>
      </c>
      <c r="B542" s="330">
        <v>1.4</v>
      </c>
      <c r="C542" s="330">
        <v>1.4</v>
      </c>
      <c r="D542" s="330">
        <v>1.4</v>
      </c>
      <c r="E542" s="330">
        <v>1.4</v>
      </c>
      <c r="F542" s="330">
        <v>1.4</v>
      </c>
      <c r="G542" s="330">
        <v>1.4</v>
      </c>
      <c r="H542" s="330">
        <v>1.4</v>
      </c>
      <c r="I542" s="330">
        <v>1.4</v>
      </c>
      <c r="J542" s="330">
        <v>1.4</v>
      </c>
      <c r="K542" s="330">
        <v>1.4</v>
      </c>
      <c r="L542" s="330">
        <v>1.4</v>
      </c>
      <c r="M542" s="330">
        <v>1.4</v>
      </c>
      <c r="N542" s="330">
        <v>1.4</v>
      </c>
    </row>
    <row r="551" spans="1:48" x14ac:dyDescent="0.35">
      <c r="A551" s="513" t="s">
        <v>2076</v>
      </c>
    </row>
    <row r="552" spans="1:48" x14ac:dyDescent="0.35">
      <c r="A552" s="514" t="s">
        <v>2077</v>
      </c>
      <c r="B552" s="304">
        <v>2005</v>
      </c>
      <c r="C552" s="304">
        <v>2006</v>
      </c>
      <c r="D552" s="304">
        <v>2007</v>
      </c>
      <c r="E552" s="304">
        <v>2008</v>
      </c>
      <c r="F552" s="304">
        <v>2009</v>
      </c>
      <c r="G552" s="304">
        <v>2010</v>
      </c>
      <c r="H552" s="304">
        <v>2011</v>
      </c>
      <c r="I552" s="304">
        <v>2012</v>
      </c>
      <c r="J552" s="304">
        <v>2013</v>
      </c>
      <c r="K552" s="304">
        <v>2014</v>
      </c>
      <c r="L552" s="304">
        <v>2015</v>
      </c>
      <c r="M552" s="304">
        <v>2016</v>
      </c>
      <c r="N552" s="304">
        <v>2017</v>
      </c>
      <c r="O552" s="304">
        <v>2018</v>
      </c>
      <c r="P552" s="304">
        <v>2019</v>
      </c>
      <c r="Q552" s="304">
        <v>2020</v>
      </c>
      <c r="R552" s="304">
        <v>2021</v>
      </c>
      <c r="S552" s="304">
        <v>2022</v>
      </c>
      <c r="T552" s="304">
        <v>2023</v>
      </c>
      <c r="U552" s="304">
        <v>2024</v>
      </c>
      <c r="V552" s="304">
        <v>2025</v>
      </c>
      <c r="W552" s="304">
        <v>2026</v>
      </c>
      <c r="X552" s="304">
        <v>2027</v>
      </c>
      <c r="Y552" s="304">
        <v>2028</v>
      </c>
      <c r="Z552" s="304">
        <v>2029</v>
      </c>
      <c r="AA552" s="304">
        <v>2030</v>
      </c>
      <c r="AB552" s="304">
        <v>2031</v>
      </c>
      <c r="AC552" s="304">
        <v>2032</v>
      </c>
      <c r="AD552" s="304">
        <v>2033</v>
      </c>
      <c r="AE552" s="304">
        <v>2034</v>
      </c>
      <c r="AF552" s="304">
        <v>2035</v>
      </c>
      <c r="AG552" s="304">
        <v>2036</v>
      </c>
      <c r="AH552" s="304">
        <v>2037</v>
      </c>
      <c r="AI552" s="304">
        <v>2038</v>
      </c>
      <c r="AJ552" s="304">
        <v>2039</v>
      </c>
      <c r="AK552" s="304">
        <v>2040</v>
      </c>
      <c r="AL552" s="304">
        <v>2041</v>
      </c>
      <c r="AM552" s="304">
        <v>2042</v>
      </c>
      <c r="AN552" s="304">
        <v>2043</v>
      </c>
      <c r="AO552" s="304">
        <v>2044</v>
      </c>
      <c r="AP552" s="304">
        <v>2045</v>
      </c>
      <c r="AQ552" s="304">
        <v>2046</v>
      </c>
      <c r="AR552" s="304">
        <v>2047</v>
      </c>
      <c r="AS552" s="304">
        <v>2048</v>
      </c>
      <c r="AT552" s="304">
        <v>2049</v>
      </c>
      <c r="AU552" s="304">
        <v>2050</v>
      </c>
    </row>
    <row r="553" spans="1:48" x14ac:dyDescent="0.35">
      <c r="A553" s="515" t="s">
        <v>2078</v>
      </c>
      <c r="B553" s="516"/>
      <c r="C553" s="516"/>
      <c r="D553" s="516"/>
      <c r="E553" s="516"/>
      <c r="F553" s="516"/>
      <c r="G553" s="516"/>
      <c r="H553" s="516"/>
      <c r="I553" s="516"/>
      <c r="J553" s="516"/>
      <c r="K553" s="516"/>
      <c r="L553" s="516"/>
      <c r="M553" s="516"/>
      <c r="N553" s="516"/>
      <c r="O553" s="516"/>
      <c r="P553" s="516"/>
      <c r="Q553" s="516"/>
      <c r="R553" s="516"/>
      <c r="S553" s="516"/>
      <c r="T553" s="516"/>
      <c r="U553" s="516"/>
      <c r="V553" s="516"/>
      <c r="W553" s="516"/>
      <c r="X553" s="516"/>
      <c r="Y553" s="516"/>
      <c r="Z553" s="516"/>
      <c r="AA553" s="516"/>
      <c r="AB553" s="516"/>
      <c r="AC553" s="516"/>
      <c r="AD553" s="516"/>
      <c r="AE553" s="516"/>
      <c r="AF553" s="516"/>
      <c r="AG553" s="516"/>
      <c r="AH553" s="516"/>
      <c r="AI553" s="516"/>
      <c r="AJ553" s="516"/>
      <c r="AK553" s="516"/>
      <c r="AL553" s="516"/>
      <c r="AM553" s="516"/>
      <c r="AN553" s="516"/>
      <c r="AO553" s="516"/>
      <c r="AP553" s="516"/>
      <c r="AQ553" s="516"/>
      <c r="AR553" s="516"/>
      <c r="AS553" s="516"/>
      <c r="AT553" s="516"/>
      <c r="AU553" s="516"/>
    </row>
    <row r="554" spans="1:48" s="2" customFormat="1" x14ac:dyDescent="0.35">
      <c r="A554" s="517" t="s">
        <v>2079</v>
      </c>
    </row>
    <row r="555" spans="1:48" s="2" customFormat="1" x14ac:dyDescent="0.35">
      <c r="A555" s="352" t="s">
        <v>358</v>
      </c>
      <c r="B555" s="310" t="s">
        <v>2080</v>
      </c>
      <c r="C555" s="310" t="s">
        <v>2080</v>
      </c>
      <c r="D555" s="310" t="s">
        <v>2080</v>
      </c>
      <c r="E555" s="310" t="s">
        <v>2080</v>
      </c>
      <c r="F555" s="310" t="s">
        <v>2080</v>
      </c>
      <c r="G555" s="310" t="s">
        <v>2080</v>
      </c>
      <c r="H555" s="310" t="s">
        <v>2080</v>
      </c>
      <c r="I555" s="310" t="s">
        <v>2080</v>
      </c>
      <c r="J555" s="310" t="s">
        <v>2080</v>
      </c>
      <c r="K555" s="310" t="s">
        <v>2080</v>
      </c>
      <c r="L555" s="310" t="s">
        <v>2080</v>
      </c>
      <c r="M555" s="310" t="s">
        <v>2080</v>
      </c>
      <c r="N555" s="310" t="s">
        <v>2080</v>
      </c>
      <c r="O555" s="310" t="s">
        <v>2080</v>
      </c>
      <c r="P555" s="310" t="s">
        <v>2080</v>
      </c>
      <c r="Q555" s="310" t="s">
        <v>2080</v>
      </c>
      <c r="R555" s="310" t="s">
        <v>2080</v>
      </c>
      <c r="S555" s="310" t="s">
        <v>2080</v>
      </c>
      <c r="T555" s="310" t="s">
        <v>2080</v>
      </c>
      <c r="U555" s="310" t="s">
        <v>2080</v>
      </c>
      <c r="V555" s="310" t="s">
        <v>2080</v>
      </c>
      <c r="W555" s="310" t="s">
        <v>2080</v>
      </c>
      <c r="X555" s="310" t="s">
        <v>2080</v>
      </c>
      <c r="Y555" s="310" t="s">
        <v>2080</v>
      </c>
      <c r="Z555" s="310" t="s">
        <v>2080</v>
      </c>
      <c r="AA555" s="310" t="s">
        <v>2080</v>
      </c>
      <c r="AB555" s="310" t="s">
        <v>2080</v>
      </c>
      <c r="AC555" s="310" t="s">
        <v>2080</v>
      </c>
      <c r="AD555" s="310" t="s">
        <v>2080</v>
      </c>
      <c r="AE555" s="310" t="s">
        <v>2080</v>
      </c>
      <c r="AF555" s="310" t="s">
        <v>2080</v>
      </c>
      <c r="AG555" s="310" t="s">
        <v>2080</v>
      </c>
      <c r="AH555" s="310" t="s">
        <v>2080</v>
      </c>
      <c r="AI555" s="310" t="s">
        <v>2080</v>
      </c>
      <c r="AJ555" s="310" t="s">
        <v>2080</v>
      </c>
      <c r="AK555" s="310" t="s">
        <v>2080</v>
      </c>
      <c r="AL555" s="310" t="s">
        <v>2080</v>
      </c>
      <c r="AM555" s="310" t="s">
        <v>2080</v>
      </c>
      <c r="AN555" s="310" t="s">
        <v>2080</v>
      </c>
      <c r="AO555" s="310" t="s">
        <v>2080</v>
      </c>
      <c r="AP555" s="310" t="s">
        <v>2080</v>
      </c>
      <c r="AQ555" s="310" t="s">
        <v>2080</v>
      </c>
      <c r="AR555" s="310" t="s">
        <v>2080</v>
      </c>
      <c r="AS555" s="310" t="s">
        <v>2080</v>
      </c>
      <c r="AT555" s="310" t="s">
        <v>2080</v>
      </c>
      <c r="AU555" s="310" t="s">
        <v>2080</v>
      </c>
      <c r="AV555" s="55"/>
    </row>
    <row r="556" spans="1:48" s="2" customFormat="1" x14ac:dyDescent="0.35">
      <c r="A556" s="518" t="s">
        <v>143</v>
      </c>
      <c r="B556" s="519">
        <v>2.2862199999999999E-2</v>
      </c>
      <c r="C556" s="519">
        <v>7.1218199999999996</v>
      </c>
      <c r="D556" s="519">
        <v>31.7651</v>
      </c>
      <c r="E556" s="519">
        <v>91.918400000000005</v>
      </c>
      <c r="F556" s="519">
        <v>200.542</v>
      </c>
      <c r="G556" s="519">
        <v>365.58300000000003</v>
      </c>
      <c r="H556" s="519">
        <v>673.96</v>
      </c>
      <c r="I556" s="519">
        <v>1054.33</v>
      </c>
      <c r="J556" s="519">
        <v>1318.23</v>
      </c>
      <c r="K556" s="519">
        <v>1470.22</v>
      </c>
      <c r="L556" s="519">
        <v>1594.73</v>
      </c>
      <c r="M556" s="519">
        <v>1747.18</v>
      </c>
      <c r="N556" s="519">
        <v>1955.29</v>
      </c>
      <c r="O556" s="519">
        <v>2173.48</v>
      </c>
      <c r="P556" s="519">
        <v>2329.59</v>
      </c>
      <c r="Q556" s="519">
        <v>2551.31</v>
      </c>
      <c r="R556" s="519">
        <v>3229.24</v>
      </c>
      <c r="S556" s="519">
        <v>3518.75</v>
      </c>
      <c r="T556" s="519">
        <v>3623.14</v>
      </c>
      <c r="U556" s="519">
        <v>3661.93</v>
      </c>
      <c r="V556" s="519">
        <v>3672.3</v>
      </c>
      <c r="W556" s="519">
        <v>3670.67</v>
      </c>
      <c r="X556" s="519">
        <v>3663.4</v>
      </c>
      <c r="Y556" s="519">
        <v>3652.15</v>
      </c>
      <c r="Z556" s="519">
        <v>3638.48</v>
      </c>
      <c r="AA556" s="519">
        <v>3622.6</v>
      </c>
      <c r="AB556" s="519">
        <v>3603.49</v>
      </c>
      <c r="AC556" s="519">
        <v>3585.82</v>
      </c>
      <c r="AD556" s="519">
        <v>3567.9</v>
      </c>
      <c r="AE556" s="519">
        <v>3549.32</v>
      </c>
      <c r="AF556" s="519">
        <v>3528.55</v>
      </c>
      <c r="AG556" s="519">
        <v>3484.82</v>
      </c>
      <c r="AH556" s="519">
        <v>3343.77</v>
      </c>
      <c r="AI556" s="519">
        <v>3175.33</v>
      </c>
      <c r="AJ556" s="519">
        <v>3015.72</v>
      </c>
      <c r="AK556" s="519">
        <v>2864.47</v>
      </c>
      <c r="AL556" s="519">
        <v>2721.15</v>
      </c>
      <c r="AM556" s="519">
        <v>2585.33</v>
      </c>
      <c r="AN556" s="519">
        <v>2456.5700000000002</v>
      </c>
      <c r="AO556" s="519">
        <v>2334.33</v>
      </c>
      <c r="AP556" s="519">
        <v>2218.48</v>
      </c>
      <c r="AQ556" s="519">
        <v>2108.69</v>
      </c>
      <c r="AR556" s="519">
        <v>2004.7</v>
      </c>
      <c r="AS556" s="519">
        <v>1906.53</v>
      </c>
      <c r="AT556" s="519">
        <v>1813.99</v>
      </c>
      <c r="AU556" s="353">
        <v>1727.08</v>
      </c>
      <c r="AV556" s="520"/>
    </row>
    <row r="557" spans="1:48" s="2" customFormat="1" x14ac:dyDescent="0.35">
      <c r="A557" s="518" t="s">
        <v>83</v>
      </c>
      <c r="B557" s="519">
        <v>0</v>
      </c>
      <c r="C557" s="519">
        <v>0</v>
      </c>
      <c r="D557" s="519">
        <v>0</v>
      </c>
      <c r="E557" s="519">
        <v>0</v>
      </c>
      <c r="F557" s="519">
        <v>0</v>
      </c>
      <c r="G557" s="519">
        <v>0</v>
      </c>
      <c r="H557" s="519">
        <v>0</v>
      </c>
      <c r="I557" s="519">
        <v>0</v>
      </c>
      <c r="J557" s="519">
        <v>4.2935999999999996</v>
      </c>
      <c r="K557" s="519">
        <v>14.2468</v>
      </c>
      <c r="L557" s="519">
        <v>32.1768</v>
      </c>
      <c r="M557" s="519">
        <v>51.2622</v>
      </c>
      <c r="N557" s="519">
        <v>60.922899999999998</v>
      </c>
      <c r="O557" s="519">
        <v>64.359800000000007</v>
      </c>
      <c r="P557" s="519">
        <v>65.664699999999996</v>
      </c>
      <c r="Q557" s="519">
        <v>66.651399999999995</v>
      </c>
      <c r="R557" s="519">
        <v>310.67099999999999</v>
      </c>
      <c r="S557" s="519">
        <v>459.315</v>
      </c>
      <c r="T557" s="519">
        <v>544.31200000000001</v>
      </c>
      <c r="U557" s="519">
        <v>606.89700000000005</v>
      </c>
      <c r="V557" s="519">
        <v>662.19399999999996</v>
      </c>
      <c r="W557" s="519">
        <v>713.95699999999999</v>
      </c>
      <c r="X557" s="519">
        <v>764.69799999999998</v>
      </c>
      <c r="Y557" s="519">
        <v>814.74300000000005</v>
      </c>
      <c r="Z557" s="519">
        <v>863.73199999999997</v>
      </c>
      <c r="AA557" s="519">
        <v>913.09900000000005</v>
      </c>
      <c r="AB557" s="519">
        <v>962.59500000000003</v>
      </c>
      <c r="AC557" s="519">
        <v>1012.04</v>
      </c>
      <c r="AD557" s="519">
        <v>1061.68</v>
      </c>
      <c r="AE557" s="519">
        <v>1110.6199999999999</v>
      </c>
      <c r="AF557" s="519">
        <v>1158.76</v>
      </c>
      <c r="AG557" s="519">
        <v>1192.98</v>
      </c>
      <c r="AH557" s="519">
        <v>1210.8599999999999</v>
      </c>
      <c r="AI557" s="519">
        <v>1235.07</v>
      </c>
      <c r="AJ557" s="519">
        <v>1235.07</v>
      </c>
      <c r="AK557" s="519">
        <v>1235.07</v>
      </c>
      <c r="AL557" s="519">
        <v>1235.07</v>
      </c>
      <c r="AM557" s="519">
        <v>1235.07</v>
      </c>
      <c r="AN557" s="519">
        <v>1213.2</v>
      </c>
      <c r="AO557" s="519">
        <v>1185.32</v>
      </c>
      <c r="AP557" s="519">
        <v>1158.9100000000001</v>
      </c>
      <c r="AQ557" s="519">
        <v>1133.8800000000001</v>
      </c>
      <c r="AR557" s="519">
        <v>1110.9100000000001</v>
      </c>
      <c r="AS557" s="519">
        <v>1092.6099999999999</v>
      </c>
      <c r="AT557" s="519">
        <v>1078.9100000000001</v>
      </c>
      <c r="AU557" s="353">
        <v>1070.58</v>
      </c>
    </row>
    <row r="558" spans="1:48" s="2" customFormat="1" x14ac:dyDescent="0.35">
      <c r="A558" s="518" t="s">
        <v>144</v>
      </c>
      <c r="B558" s="519">
        <v>3.5904000000000001E-3</v>
      </c>
      <c r="C558" s="519">
        <v>0.12284100000000001</v>
      </c>
      <c r="D558" s="519">
        <v>0.557531</v>
      </c>
      <c r="E558" s="519">
        <v>1.2752699999999999</v>
      </c>
      <c r="F558" s="519">
        <v>2.7656800000000001</v>
      </c>
      <c r="G558" s="519">
        <v>7.8484499999999997</v>
      </c>
      <c r="H558" s="519">
        <v>25.448799999999999</v>
      </c>
      <c r="I558" s="519">
        <v>64.947199999999995</v>
      </c>
      <c r="J558" s="519">
        <v>158.041</v>
      </c>
      <c r="K558" s="519">
        <v>314.06099999999998</v>
      </c>
      <c r="L558" s="519">
        <v>487.07799999999997</v>
      </c>
      <c r="M558" s="519">
        <v>793.54499999999996</v>
      </c>
      <c r="N558" s="519">
        <v>1348.84</v>
      </c>
      <c r="O558" s="519">
        <v>2000.72</v>
      </c>
      <c r="P558" s="519">
        <v>2534.4699999999998</v>
      </c>
      <c r="Q558" s="519">
        <v>3004.18</v>
      </c>
      <c r="R558" s="519">
        <v>3019.81</v>
      </c>
      <c r="S558" s="519">
        <v>2891.03</v>
      </c>
      <c r="T558" s="519">
        <v>2766.49</v>
      </c>
      <c r="U558" s="519">
        <v>2646.05</v>
      </c>
      <c r="V558" s="519">
        <v>2529.5700000000002</v>
      </c>
      <c r="W558" s="519">
        <v>2416.9299999999998</v>
      </c>
      <c r="X558" s="519">
        <v>2318.3200000000002</v>
      </c>
      <c r="Y558" s="519">
        <v>2277.66</v>
      </c>
      <c r="Z558" s="519">
        <v>2258.71</v>
      </c>
      <c r="AA558" s="519">
        <v>2243.9899999999998</v>
      </c>
      <c r="AB558" s="519">
        <v>2228.46</v>
      </c>
      <c r="AC558" s="519">
        <v>2211.11</v>
      </c>
      <c r="AD558" s="519">
        <v>2191.13</v>
      </c>
      <c r="AE558" s="519">
        <v>2168.6</v>
      </c>
      <c r="AF558" s="519">
        <v>2140.91</v>
      </c>
      <c r="AG558" s="519">
        <v>2085.52</v>
      </c>
      <c r="AH558" s="519">
        <v>2002.51</v>
      </c>
      <c r="AI558" s="519">
        <v>1920.08</v>
      </c>
      <c r="AJ558" s="519">
        <v>1823.84</v>
      </c>
      <c r="AK558" s="519">
        <v>1732.64</v>
      </c>
      <c r="AL558" s="519">
        <v>1646.22</v>
      </c>
      <c r="AM558" s="519">
        <v>1564.33</v>
      </c>
      <c r="AN558" s="519">
        <v>1486.68</v>
      </c>
      <c r="AO558" s="519">
        <v>1412.88</v>
      </c>
      <c r="AP558" s="519">
        <v>1342.98</v>
      </c>
      <c r="AQ558" s="519">
        <v>1276.76</v>
      </c>
      <c r="AR558" s="519">
        <v>1214.08</v>
      </c>
      <c r="AS558" s="519">
        <v>1155.05</v>
      </c>
      <c r="AT558" s="519">
        <v>1099.5999999999999</v>
      </c>
      <c r="AU558" s="353">
        <v>1047.6099999999999</v>
      </c>
    </row>
    <row r="559" spans="1:48" s="2" customFormat="1" x14ac:dyDescent="0.35">
      <c r="A559" s="518" t="s">
        <v>164</v>
      </c>
      <c r="B559" s="519">
        <v>5.1887799999999998E-2</v>
      </c>
      <c r="C559" s="519">
        <v>0.71121299999999998</v>
      </c>
      <c r="D559" s="519">
        <v>2.3502299999999998</v>
      </c>
      <c r="E559" s="519">
        <v>4.3100199999999997</v>
      </c>
      <c r="F559" s="519">
        <v>7.8227599999999997</v>
      </c>
      <c r="G559" s="519">
        <v>14.438599999999999</v>
      </c>
      <c r="H559" s="519">
        <v>25.9085</v>
      </c>
      <c r="I559" s="519">
        <v>41.000500000000002</v>
      </c>
      <c r="J559" s="519">
        <v>64.361900000000006</v>
      </c>
      <c r="K559" s="519">
        <v>102.711</v>
      </c>
      <c r="L559" s="519">
        <v>150.197</v>
      </c>
      <c r="M559" s="519">
        <v>205.245</v>
      </c>
      <c r="N559" s="519">
        <v>255.33099999999999</v>
      </c>
      <c r="O559" s="519">
        <v>303.94200000000001</v>
      </c>
      <c r="P559" s="519">
        <v>363.38</v>
      </c>
      <c r="Q559" s="519">
        <v>412.02800000000002</v>
      </c>
      <c r="R559" s="519">
        <v>451.64800000000002</v>
      </c>
      <c r="S559" s="519">
        <v>473.642</v>
      </c>
      <c r="T559" s="519">
        <v>504.154</v>
      </c>
      <c r="U559" s="519">
        <v>529.73400000000004</v>
      </c>
      <c r="V559" s="519">
        <v>551.06399999999996</v>
      </c>
      <c r="W559" s="519">
        <v>569.77099999999996</v>
      </c>
      <c r="X559" s="519">
        <v>587.13</v>
      </c>
      <c r="Y559" s="519">
        <v>602.94600000000003</v>
      </c>
      <c r="Z559" s="519">
        <v>617.99</v>
      </c>
      <c r="AA559" s="519">
        <v>631.82799999999997</v>
      </c>
      <c r="AB559" s="519">
        <v>644.06399999999996</v>
      </c>
      <c r="AC559" s="519">
        <v>656.08600000000001</v>
      </c>
      <c r="AD559" s="519">
        <v>667.32299999999998</v>
      </c>
      <c r="AE559" s="519">
        <v>677.11599999999999</v>
      </c>
      <c r="AF559" s="519">
        <v>685.76</v>
      </c>
      <c r="AG559" s="519">
        <v>682.46799999999996</v>
      </c>
      <c r="AH559" s="519">
        <v>657.11699999999996</v>
      </c>
      <c r="AI559" s="519">
        <v>624.17899999999997</v>
      </c>
      <c r="AJ559" s="519">
        <v>592.96699999999998</v>
      </c>
      <c r="AK559" s="519">
        <v>563.39099999999996</v>
      </c>
      <c r="AL559" s="519">
        <v>535.36400000000003</v>
      </c>
      <c r="AM559" s="519">
        <v>508.80500000000001</v>
      </c>
      <c r="AN559" s="519">
        <v>483.62700000000001</v>
      </c>
      <c r="AO559" s="519">
        <v>459.70699999999999</v>
      </c>
      <c r="AP559" s="519">
        <v>437.04500000000002</v>
      </c>
      <c r="AQ559" s="519">
        <v>415.57299999999998</v>
      </c>
      <c r="AR559" s="519">
        <v>395.23599999999999</v>
      </c>
      <c r="AS559" s="519">
        <v>376.02300000000002</v>
      </c>
      <c r="AT559" s="519">
        <v>357.94799999999998</v>
      </c>
      <c r="AU559" s="353">
        <v>341.04500000000002</v>
      </c>
    </row>
    <row r="560" spans="1:48" s="2" customFormat="1" x14ac:dyDescent="0.35">
      <c r="A560" s="518" t="s">
        <v>145</v>
      </c>
      <c r="B560" s="519">
        <v>6.7079100000000001E-4</v>
      </c>
      <c r="C560" s="519">
        <v>-9.6162699999999997E-3</v>
      </c>
      <c r="D560" s="519">
        <v>5.2122500000000002E-2</v>
      </c>
      <c r="E560" s="519">
        <v>0.194384</v>
      </c>
      <c r="F560" s="519">
        <v>0.27250099999999999</v>
      </c>
      <c r="G560" s="519">
        <v>0.48974400000000001</v>
      </c>
      <c r="H560" s="519">
        <v>3.0218099999999999</v>
      </c>
      <c r="I560" s="519">
        <v>8.7521299999999993</v>
      </c>
      <c r="J560" s="519">
        <v>13.980600000000001</v>
      </c>
      <c r="K560" s="519">
        <v>26.258099999999999</v>
      </c>
      <c r="L560" s="519">
        <v>49.045000000000002</v>
      </c>
      <c r="M560" s="519">
        <v>80.836200000000005</v>
      </c>
      <c r="N560" s="519">
        <v>144.90700000000001</v>
      </c>
      <c r="O560" s="519">
        <v>237.97900000000001</v>
      </c>
      <c r="P560" s="519">
        <v>321.82499999999999</v>
      </c>
      <c r="Q560" s="519">
        <v>382.63299999999998</v>
      </c>
      <c r="R560" s="519">
        <v>438.47899999999998</v>
      </c>
      <c r="S560" s="519">
        <v>471.95100000000002</v>
      </c>
      <c r="T560" s="519">
        <v>495.51499999999999</v>
      </c>
      <c r="U560" s="519">
        <v>514.471</v>
      </c>
      <c r="V560" s="519">
        <v>530.48400000000004</v>
      </c>
      <c r="W560" s="519">
        <v>544.404</v>
      </c>
      <c r="X560" s="519">
        <v>557.17700000000002</v>
      </c>
      <c r="Y560" s="519">
        <v>567.59699999999998</v>
      </c>
      <c r="Z560" s="519">
        <v>576.65899999999999</v>
      </c>
      <c r="AA560" s="519">
        <v>584.15700000000004</v>
      </c>
      <c r="AB560" s="519">
        <v>589.86199999999997</v>
      </c>
      <c r="AC560" s="519">
        <v>594.81700000000001</v>
      </c>
      <c r="AD560" s="519">
        <v>598.58000000000004</v>
      </c>
      <c r="AE560" s="519">
        <v>600.82600000000002</v>
      </c>
      <c r="AF560" s="519">
        <v>602.14499999999998</v>
      </c>
      <c r="AG560" s="519">
        <v>598.29399999999998</v>
      </c>
      <c r="AH560" s="519">
        <v>576.73800000000006</v>
      </c>
      <c r="AI560" s="519">
        <v>578.84299999999996</v>
      </c>
      <c r="AJ560" s="519">
        <v>564.30899999999997</v>
      </c>
      <c r="AK560" s="519">
        <v>574.85199999999998</v>
      </c>
      <c r="AL560" s="519">
        <v>579.48199999999997</v>
      </c>
      <c r="AM560" s="519">
        <v>564.77099999999996</v>
      </c>
      <c r="AN560" s="519">
        <v>552.10500000000002</v>
      </c>
      <c r="AO560" s="519">
        <v>549.33699999999999</v>
      </c>
      <c r="AP560" s="519">
        <v>548.71100000000001</v>
      </c>
      <c r="AQ560" s="519">
        <v>534.02200000000005</v>
      </c>
      <c r="AR560" s="519">
        <v>520.55899999999997</v>
      </c>
      <c r="AS560" s="519">
        <v>508.09</v>
      </c>
      <c r="AT560" s="519">
        <v>496.76400000000001</v>
      </c>
      <c r="AU560" s="353">
        <v>487.52600000000001</v>
      </c>
    </row>
    <row r="561" spans="1:47" s="2" customFormat="1" x14ac:dyDescent="0.35">
      <c r="A561" s="518" t="s">
        <v>87</v>
      </c>
      <c r="B561" s="519">
        <v>6.2033499999999996E-4</v>
      </c>
      <c r="C561" s="519">
        <v>8.4086400000000002E-3</v>
      </c>
      <c r="D561" s="519">
        <v>2.86597E-2</v>
      </c>
      <c r="E561" s="519">
        <v>5.0655199999999997E-2</v>
      </c>
      <c r="F561" s="519">
        <v>7.5976500000000002E-2</v>
      </c>
      <c r="G561" s="519">
        <v>0.11128200000000001</v>
      </c>
      <c r="H561" s="519">
        <v>0.168655</v>
      </c>
      <c r="I561" s="519">
        <v>0.49170199999999997</v>
      </c>
      <c r="J561" s="519">
        <v>1.0405500000000001</v>
      </c>
      <c r="K561" s="519">
        <v>1.92849</v>
      </c>
      <c r="L561" s="519">
        <v>4.2873700000000001</v>
      </c>
      <c r="M561" s="519">
        <v>7.9395699999999998</v>
      </c>
      <c r="N561" s="519">
        <v>15.8405</v>
      </c>
      <c r="O561" s="519">
        <v>28.7288</v>
      </c>
      <c r="P561" s="519">
        <v>39.610199999999999</v>
      </c>
      <c r="Q561" s="519">
        <v>47.487200000000001</v>
      </c>
      <c r="R561" s="519">
        <v>109.84099999999999</v>
      </c>
      <c r="S561" s="519">
        <v>146.08199999999999</v>
      </c>
      <c r="T561" s="519">
        <v>165.95099999999999</v>
      </c>
      <c r="U561" s="519">
        <v>180.251</v>
      </c>
      <c r="V561" s="519">
        <v>192.56299999999999</v>
      </c>
      <c r="W561" s="519">
        <v>203.84299999999999</v>
      </c>
      <c r="X561" s="519">
        <v>214.43299999999999</v>
      </c>
      <c r="Y561" s="519">
        <v>224.41</v>
      </c>
      <c r="Z561" s="519">
        <v>233.875</v>
      </c>
      <c r="AA561" s="519">
        <v>242.84100000000001</v>
      </c>
      <c r="AB561" s="519">
        <v>251.38900000000001</v>
      </c>
      <c r="AC561" s="519">
        <v>259.572</v>
      </c>
      <c r="AD561" s="519">
        <v>267.387</v>
      </c>
      <c r="AE561" s="519">
        <v>274.82400000000001</v>
      </c>
      <c r="AF561" s="519">
        <v>281.63900000000001</v>
      </c>
      <c r="AG561" s="519">
        <v>284.90100000000001</v>
      </c>
      <c r="AH561" s="519">
        <v>274.85300000000001</v>
      </c>
      <c r="AI561" s="519">
        <v>276.90899999999999</v>
      </c>
      <c r="AJ561" s="519">
        <v>262.54000000000002</v>
      </c>
      <c r="AK561" s="519">
        <v>258.45100000000002</v>
      </c>
      <c r="AL561" s="519">
        <v>245.161</v>
      </c>
      <c r="AM561" s="519">
        <v>232.566</v>
      </c>
      <c r="AN561" s="519">
        <v>222.50700000000001</v>
      </c>
      <c r="AO561" s="519">
        <v>216.578</v>
      </c>
      <c r="AP561" s="519">
        <v>211.81800000000001</v>
      </c>
      <c r="AQ561" s="519">
        <v>201.441</v>
      </c>
      <c r="AR561" s="519">
        <v>194.958</v>
      </c>
      <c r="AS561" s="519">
        <v>188.27500000000001</v>
      </c>
      <c r="AT561" s="519">
        <v>183.12100000000001</v>
      </c>
      <c r="AU561" s="353">
        <v>178.79300000000001</v>
      </c>
    </row>
    <row r="562" spans="1:47" s="2" customFormat="1" x14ac:dyDescent="0.35">
      <c r="A562" s="518" t="s">
        <v>146</v>
      </c>
      <c r="B562" s="519">
        <v>0</v>
      </c>
      <c r="C562" s="519">
        <v>0</v>
      </c>
      <c r="D562" s="519">
        <v>0</v>
      </c>
      <c r="E562" s="519">
        <v>0</v>
      </c>
      <c r="F562" s="519">
        <v>0</v>
      </c>
      <c r="G562" s="519">
        <v>0</v>
      </c>
      <c r="H562" s="519">
        <v>0</v>
      </c>
      <c r="I562" s="519">
        <v>0</v>
      </c>
      <c r="J562" s="519">
        <v>0</v>
      </c>
      <c r="K562" s="519">
        <v>3.1946599999999999E-2</v>
      </c>
      <c r="L562" s="519">
        <v>0.98240799999999995</v>
      </c>
      <c r="M562" s="519">
        <v>2.6124900000000002</v>
      </c>
      <c r="N562" s="519">
        <v>5.1486599999999996</v>
      </c>
      <c r="O562" s="519">
        <v>13.059900000000001</v>
      </c>
      <c r="P562" s="519">
        <v>21.841999999999999</v>
      </c>
      <c r="Q562" s="519">
        <v>26.180199999999999</v>
      </c>
      <c r="R562" s="519">
        <v>33.220700000000001</v>
      </c>
      <c r="S562" s="519">
        <v>33.220700000000001</v>
      </c>
      <c r="T562" s="519">
        <v>33.220700000000001</v>
      </c>
      <c r="U562" s="519">
        <v>33.220700000000001</v>
      </c>
      <c r="V562" s="519">
        <v>33.220700000000001</v>
      </c>
      <c r="W562" s="519">
        <v>33.220700000000001</v>
      </c>
      <c r="X562" s="519">
        <v>33.220700000000001</v>
      </c>
      <c r="Y562" s="519">
        <v>33.220700000000001</v>
      </c>
      <c r="Z562" s="519">
        <v>33.220700000000001</v>
      </c>
      <c r="AA562" s="519">
        <v>33.220700000000001</v>
      </c>
      <c r="AB562" s="519">
        <v>33.220700000000001</v>
      </c>
      <c r="AC562" s="519">
        <v>33.220700000000001</v>
      </c>
      <c r="AD562" s="519">
        <v>33.220700000000001</v>
      </c>
      <c r="AE562" s="519">
        <v>33.220700000000001</v>
      </c>
      <c r="AF562" s="519">
        <v>33.220700000000001</v>
      </c>
      <c r="AG562" s="519">
        <v>48.8842</v>
      </c>
      <c r="AH562" s="519">
        <v>48.8842</v>
      </c>
      <c r="AI562" s="519">
        <v>48.8842</v>
      </c>
      <c r="AJ562" s="519">
        <v>105.643</v>
      </c>
      <c r="AK562" s="519">
        <v>105.643</v>
      </c>
      <c r="AL562" s="519">
        <v>105.643</v>
      </c>
      <c r="AM562" s="519">
        <v>105.643</v>
      </c>
      <c r="AN562" s="519">
        <v>105.643</v>
      </c>
      <c r="AO562" s="519">
        <v>104.907</v>
      </c>
      <c r="AP562" s="519">
        <v>102.063</v>
      </c>
      <c r="AQ562" s="519">
        <v>132.52000000000001</v>
      </c>
      <c r="AR562" s="519">
        <v>156.92500000000001</v>
      </c>
      <c r="AS562" s="519">
        <v>188.637</v>
      </c>
      <c r="AT562" s="519">
        <v>183.245</v>
      </c>
      <c r="AU562" s="353">
        <v>178.19300000000001</v>
      </c>
    </row>
    <row r="563" spans="1:47" s="2" customFormat="1" x14ac:dyDescent="0.35">
      <c r="A563" s="518" t="s">
        <v>2081</v>
      </c>
      <c r="B563" s="353">
        <v>8.7491500000000007E-3</v>
      </c>
      <c r="C563" s="353">
        <v>1.7633700000000001</v>
      </c>
      <c r="D563" s="353">
        <v>6.9845899999999999</v>
      </c>
      <c r="E563" s="353">
        <v>12.325100000000001</v>
      </c>
      <c r="F563" s="353">
        <v>18.968299999999999</v>
      </c>
      <c r="G563" s="353">
        <v>36.866199999999999</v>
      </c>
      <c r="H563" s="353">
        <v>74.328500000000005</v>
      </c>
      <c r="I563" s="353">
        <v>130.297</v>
      </c>
      <c r="J563" s="353">
        <v>199.86600000000001</v>
      </c>
      <c r="K563" s="353">
        <v>283.95</v>
      </c>
      <c r="L563" s="353">
        <v>386.57100000000003</v>
      </c>
      <c r="M563" s="353">
        <v>540.59299999999996</v>
      </c>
      <c r="N563" s="353">
        <v>731.971</v>
      </c>
      <c r="O563" s="353">
        <v>909.91300000000001</v>
      </c>
      <c r="P563" s="353">
        <v>1102.8</v>
      </c>
      <c r="Q563" s="353">
        <v>1266.52</v>
      </c>
      <c r="R563" s="353">
        <v>1485.12</v>
      </c>
      <c r="S563" s="353">
        <v>1625.11</v>
      </c>
      <c r="T563" s="353">
        <v>1731.14</v>
      </c>
      <c r="U563" s="353">
        <v>1820.95</v>
      </c>
      <c r="V563" s="353">
        <v>1901.25</v>
      </c>
      <c r="W563" s="353">
        <v>1974.43</v>
      </c>
      <c r="X563" s="353">
        <v>2041.65</v>
      </c>
      <c r="Y563" s="353">
        <v>2103.88</v>
      </c>
      <c r="Z563" s="353">
        <v>2161.64</v>
      </c>
      <c r="AA563" s="353">
        <v>2215.13</v>
      </c>
      <c r="AB563" s="353">
        <v>2264.9</v>
      </c>
      <c r="AC563" s="353">
        <v>2311.71</v>
      </c>
      <c r="AD563" s="353">
        <v>2355.65</v>
      </c>
      <c r="AE563" s="353">
        <v>2396.77</v>
      </c>
      <c r="AF563" s="353">
        <v>2431.87</v>
      </c>
      <c r="AG563" s="353">
        <v>2427.9</v>
      </c>
      <c r="AH563" s="353">
        <v>2346.62</v>
      </c>
      <c r="AI563" s="353">
        <v>2285.19</v>
      </c>
      <c r="AJ563" s="353">
        <v>2170.65</v>
      </c>
      <c r="AK563" s="353">
        <v>2062.1</v>
      </c>
      <c r="AL563" s="353">
        <v>1959.24</v>
      </c>
      <c r="AM563" s="353">
        <v>1861.77</v>
      </c>
      <c r="AN563" s="353">
        <v>1769.37</v>
      </c>
      <c r="AO563" s="353">
        <v>1681.59</v>
      </c>
      <c r="AP563" s="353">
        <v>1598.43</v>
      </c>
      <c r="AQ563" s="353">
        <v>1519.62</v>
      </c>
      <c r="AR563" s="353">
        <v>1445</v>
      </c>
      <c r="AS563" s="353">
        <v>1374.58</v>
      </c>
      <c r="AT563" s="353">
        <v>1308.3599999999999</v>
      </c>
      <c r="AU563" s="353">
        <v>1246.27</v>
      </c>
    </row>
    <row r="564" spans="1:47" s="2" customFormat="1" x14ac:dyDescent="0.35">
      <c r="A564" s="518" t="s">
        <v>90</v>
      </c>
      <c r="B564" s="353">
        <v>3.9173200000000002E-3</v>
      </c>
      <c r="C564" s="353">
        <v>8.7050900000000001E-2</v>
      </c>
      <c r="D564" s="353">
        <v>0.32438499999999998</v>
      </c>
      <c r="E564" s="353">
        <v>0.65105100000000005</v>
      </c>
      <c r="F564" s="353">
        <v>1.3979699999999999</v>
      </c>
      <c r="G564" s="353">
        <v>2.9689800000000002</v>
      </c>
      <c r="H564" s="353">
        <v>6.1718599999999997</v>
      </c>
      <c r="I564" s="353">
        <v>11.3933</v>
      </c>
      <c r="J564" s="353">
        <v>19.275099999999998</v>
      </c>
      <c r="K564" s="353">
        <v>32.149799999999999</v>
      </c>
      <c r="L564" s="353">
        <v>47.045200000000001</v>
      </c>
      <c r="M564" s="353">
        <v>66.236000000000004</v>
      </c>
      <c r="N564" s="353">
        <v>97.652100000000004</v>
      </c>
      <c r="O564" s="353">
        <v>141.34700000000001</v>
      </c>
      <c r="P564" s="353">
        <v>182.005</v>
      </c>
      <c r="Q564" s="353">
        <v>212.256</v>
      </c>
      <c r="R564" s="353">
        <v>311.04700000000003</v>
      </c>
      <c r="S564" s="353">
        <v>386.92</v>
      </c>
      <c r="T564" s="353">
        <v>448.92399999999998</v>
      </c>
      <c r="U564" s="353">
        <v>506.53199999999998</v>
      </c>
      <c r="V564" s="353">
        <v>561.77499999999998</v>
      </c>
      <c r="W564" s="353">
        <v>615.06200000000001</v>
      </c>
      <c r="X564" s="353">
        <v>665.81600000000003</v>
      </c>
      <c r="Y564" s="353">
        <v>714.46100000000001</v>
      </c>
      <c r="Z564" s="353">
        <v>761.02700000000004</v>
      </c>
      <c r="AA564" s="353">
        <v>805.81200000000001</v>
      </c>
      <c r="AB564" s="353">
        <v>849.09400000000005</v>
      </c>
      <c r="AC564" s="353">
        <v>891.42600000000004</v>
      </c>
      <c r="AD564" s="353">
        <v>932.32899999999995</v>
      </c>
      <c r="AE564" s="353">
        <v>971.79600000000005</v>
      </c>
      <c r="AF564" s="353">
        <v>1006.35</v>
      </c>
      <c r="AG564" s="353">
        <v>1010.45</v>
      </c>
      <c r="AH564" s="353">
        <v>993.93700000000001</v>
      </c>
      <c r="AI564" s="353">
        <v>1175.26</v>
      </c>
      <c r="AJ564" s="353">
        <v>1164.4000000000001</v>
      </c>
      <c r="AK564" s="353">
        <v>1265.81</v>
      </c>
      <c r="AL564" s="353">
        <v>1280.02</v>
      </c>
      <c r="AM564" s="353">
        <v>1220.9000000000001</v>
      </c>
      <c r="AN564" s="353">
        <v>1236.3800000000001</v>
      </c>
      <c r="AO564" s="353">
        <v>1261.55</v>
      </c>
      <c r="AP564" s="353">
        <v>1286.4000000000001</v>
      </c>
      <c r="AQ564" s="353">
        <v>1241.17</v>
      </c>
      <c r="AR564" s="353">
        <v>1218.99</v>
      </c>
      <c r="AS564" s="353">
        <v>1194.47</v>
      </c>
      <c r="AT564" s="353">
        <v>1169.32</v>
      </c>
      <c r="AU564" s="353">
        <v>1147.97</v>
      </c>
    </row>
    <row r="565" spans="1:47" s="2" customFormat="1" x14ac:dyDescent="0.35">
      <c r="A565" s="517" t="s">
        <v>2082</v>
      </c>
      <c r="B565" s="310" t="s">
        <v>2083</v>
      </c>
      <c r="C565" s="310" t="s">
        <v>2083</v>
      </c>
      <c r="D565" s="310" t="s">
        <v>2083</v>
      </c>
      <c r="E565" s="310" t="s">
        <v>2083</v>
      </c>
      <c r="F565" s="310" t="s">
        <v>2083</v>
      </c>
      <c r="G565" s="310" t="s">
        <v>2083</v>
      </c>
      <c r="H565" s="310" t="s">
        <v>2083</v>
      </c>
      <c r="I565" s="310" t="s">
        <v>2083</v>
      </c>
      <c r="J565" s="310" t="s">
        <v>2083</v>
      </c>
      <c r="K565" s="310" t="s">
        <v>2083</v>
      </c>
      <c r="L565" s="310" t="s">
        <v>2083</v>
      </c>
      <c r="M565" s="310" t="s">
        <v>2083</v>
      </c>
      <c r="N565" s="310" t="s">
        <v>2083</v>
      </c>
      <c r="O565" s="310" t="s">
        <v>2083</v>
      </c>
      <c r="P565" s="310" t="s">
        <v>2083</v>
      </c>
      <c r="Q565" s="310" t="s">
        <v>2083</v>
      </c>
      <c r="R565" s="310" t="s">
        <v>2083</v>
      </c>
      <c r="S565" s="310" t="s">
        <v>2083</v>
      </c>
      <c r="T565" s="310" t="s">
        <v>2083</v>
      </c>
      <c r="U565" s="310" t="s">
        <v>2083</v>
      </c>
      <c r="V565" s="310" t="s">
        <v>2083</v>
      </c>
      <c r="W565" s="310" t="s">
        <v>2083</v>
      </c>
      <c r="X565" s="310" t="s">
        <v>2083</v>
      </c>
      <c r="Y565" s="310" t="s">
        <v>2083</v>
      </c>
      <c r="Z565" s="310" t="s">
        <v>2083</v>
      </c>
      <c r="AA565" s="310" t="s">
        <v>2083</v>
      </c>
      <c r="AB565" s="310" t="s">
        <v>2083</v>
      </c>
      <c r="AC565" s="310" t="s">
        <v>2083</v>
      </c>
      <c r="AD565" s="310" t="s">
        <v>2083</v>
      </c>
      <c r="AE565" s="310" t="s">
        <v>2083</v>
      </c>
      <c r="AF565" s="310" t="s">
        <v>2083</v>
      </c>
      <c r="AG565" s="310" t="s">
        <v>2083</v>
      </c>
      <c r="AH565" s="310" t="s">
        <v>2083</v>
      </c>
      <c r="AI565" s="310" t="s">
        <v>2083</v>
      </c>
      <c r="AJ565" s="310" t="s">
        <v>2083</v>
      </c>
      <c r="AK565" s="310" t="s">
        <v>2083</v>
      </c>
      <c r="AL565" s="310" t="s">
        <v>2083</v>
      </c>
      <c r="AM565" s="310" t="s">
        <v>2083</v>
      </c>
      <c r="AN565" s="310" t="s">
        <v>2083</v>
      </c>
      <c r="AO565" s="310" t="s">
        <v>2083</v>
      </c>
      <c r="AP565" s="310" t="s">
        <v>2083</v>
      </c>
      <c r="AQ565" s="310" t="s">
        <v>2083</v>
      </c>
      <c r="AR565" s="310" t="s">
        <v>2083</v>
      </c>
      <c r="AS565" s="310" t="s">
        <v>2083</v>
      </c>
      <c r="AT565" s="310" t="s">
        <v>2083</v>
      </c>
      <c r="AU565" s="310" t="s">
        <v>2083</v>
      </c>
    </row>
    <row r="566" spans="1:47" s="2" customFormat="1" x14ac:dyDescent="0.35">
      <c r="A566" s="518" t="s">
        <v>143</v>
      </c>
      <c r="B566" s="353">
        <v>0.18582236151534054</v>
      </c>
      <c r="C566" s="353">
        <v>0.18582236151534054</v>
      </c>
      <c r="D566" s="353">
        <v>0.24689438319034585</v>
      </c>
      <c r="E566" s="353">
        <v>0.3144528803052713</v>
      </c>
      <c r="F566" s="353">
        <v>0.36854630272871053</v>
      </c>
      <c r="G566" s="353">
        <v>0.4398067325821397</v>
      </c>
      <c r="H566" s="353">
        <v>0.46776937315302553</v>
      </c>
      <c r="I566" s="353">
        <v>0.51243060538087981</v>
      </c>
      <c r="J566" s="353">
        <v>0.4386079830611071</v>
      </c>
      <c r="K566" s="353">
        <v>0.47134907857059388</v>
      </c>
      <c r="L566" s="353">
        <v>0.48466888382444417</v>
      </c>
      <c r="M566" s="353">
        <v>0.48238001183861862</v>
      </c>
      <c r="N566" s="353">
        <v>0.51540082162164513</v>
      </c>
      <c r="O566" s="353">
        <v>0.55099671431107922</v>
      </c>
      <c r="P566" s="353">
        <v>0.54469764588297498</v>
      </c>
      <c r="Q566" s="353">
        <v>0.56016244871296883</v>
      </c>
      <c r="R566" s="353">
        <v>0.57161666534252709</v>
      </c>
      <c r="S566" s="353">
        <v>0.59132758483709691</v>
      </c>
      <c r="T566" s="353">
        <v>0.61103850433166684</v>
      </c>
      <c r="U566" s="353">
        <v>0.63074942382623678</v>
      </c>
      <c r="V566" s="353">
        <v>0.65046034332080671</v>
      </c>
      <c r="W566" s="353">
        <v>0.67017126281537664</v>
      </c>
      <c r="X566" s="353">
        <v>0.68988218230994647</v>
      </c>
      <c r="Y566" s="353">
        <v>0.7095931018045164</v>
      </c>
      <c r="Z566" s="353">
        <v>0.72930402129908634</v>
      </c>
      <c r="AA566" s="353">
        <v>0.74901494079365616</v>
      </c>
      <c r="AB566" s="353">
        <v>0.76872586028822609</v>
      </c>
      <c r="AC566" s="353">
        <v>0.78843677978279603</v>
      </c>
      <c r="AD566" s="353">
        <v>0.80814769927736596</v>
      </c>
      <c r="AE566" s="353">
        <v>0.82785861877193589</v>
      </c>
      <c r="AF566" s="353">
        <v>0.84756953826650572</v>
      </c>
      <c r="AG566" s="353">
        <v>0.86728045776107565</v>
      </c>
      <c r="AH566" s="353">
        <v>0.88699137725564559</v>
      </c>
      <c r="AI566" s="353">
        <v>0.90670229675021541</v>
      </c>
      <c r="AJ566" s="353">
        <v>0.92641321624478534</v>
      </c>
      <c r="AK566" s="353">
        <v>0.94612413573935528</v>
      </c>
      <c r="AL566" s="353">
        <v>0.96583505523392521</v>
      </c>
      <c r="AM566" s="353">
        <v>0.98554597472849514</v>
      </c>
      <c r="AN566" s="353">
        <v>1.0052568942230651</v>
      </c>
      <c r="AO566" s="353">
        <v>1.0249678137176348</v>
      </c>
      <c r="AP566" s="353">
        <v>1.0446787332122049</v>
      </c>
      <c r="AQ566" s="353">
        <v>1.0643896527067747</v>
      </c>
      <c r="AR566" s="353">
        <v>1.0841005722013446</v>
      </c>
      <c r="AS566" s="353">
        <v>1.1038114916959145</v>
      </c>
      <c r="AT566" s="353">
        <v>1.1235224111904845</v>
      </c>
      <c r="AU566" s="353">
        <v>1.1432333306850542</v>
      </c>
    </row>
    <row r="567" spans="1:47" s="2" customFormat="1" x14ac:dyDescent="0.35">
      <c r="A567" s="518" t="s">
        <v>83</v>
      </c>
      <c r="B567" s="353">
        <v>7.4275498285966681E-3</v>
      </c>
      <c r="C567" s="353">
        <v>7.4275498285966681E-3</v>
      </c>
      <c r="D567" s="353">
        <v>1.4493387238942843E-2</v>
      </c>
      <c r="E567" s="353">
        <v>3.3263240893878374E-2</v>
      </c>
      <c r="F567" s="353">
        <v>4.1230697617190788E-2</v>
      </c>
      <c r="G567" s="353">
        <v>4.7937585130252203E-2</v>
      </c>
      <c r="H567" s="353">
        <v>4.4378634072507292E-2</v>
      </c>
      <c r="I567" s="353">
        <v>3.7314518045065616E-2</v>
      </c>
      <c r="J567" s="353">
        <v>4.2651884000000001E-2</v>
      </c>
      <c r="K567" s="353">
        <v>4.8726914000000003E-2</v>
      </c>
      <c r="L567" s="353">
        <v>3.8947134000000001E-2</v>
      </c>
      <c r="M567" s="353">
        <v>3.9465728000000005E-2</v>
      </c>
      <c r="N567" s="353">
        <v>3.8975662000000001E-2</v>
      </c>
      <c r="O567" s="353">
        <v>5.3700901999999995E-2</v>
      </c>
      <c r="P567" s="353">
        <v>6.8655188000000006E-2</v>
      </c>
      <c r="Q567" s="353">
        <v>6.4880592000000015E-2</v>
      </c>
      <c r="R567" s="353">
        <v>5.7583303999999988E-2</v>
      </c>
      <c r="S567" s="353">
        <v>5.9568935172413781E-2</v>
      </c>
      <c r="T567" s="353">
        <v>6.1554566344827574E-2</v>
      </c>
      <c r="U567" s="353">
        <v>6.3540197517241367E-2</v>
      </c>
      <c r="V567" s="353">
        <v>6.5525828689655161E-2</v>
      </c>
      <c r="W567" s="353">
        <v>6.7511459862068954E-2</v>
      </c>
      <c r="X567" s="353">
        <v>6.9497091034482747E-2</v>
      </c>
      <c r="Y567" s="353">
        <v>7.148272220689654E-2</v>
      </c>
      <c r="Z567" s="353">
        <v>7.3468353379310333E-2</v>
      </c>
      <c r="AA567" s="353">
        <v>7.5453984551724126E-2</v>
      </c>
      <c r="AB567" s="353">
        <v>7.743961572413792E-2</v>
      </c>
      <c r="AC567" s="353">
        <v>7.9425246896551713E-2</v>
      </c>
      <c r="AD567" s="353">
        <v>8.1410878068965506E-2</v>
      </c>
      <c r="AE567" s="353">
        <v>8.3396509241379299E-2</v>
      </c>
      <c r="AF567" s="353">
        <v>8.5382140413793092E-2</v>
      </c>
      <c r="AG567" s="353">
        <v>8.7367771586206885E-2</v>
      </c>
      <c r="AH567" s="353">
        <v>8.9353402758620679E-2</v>
      </c>
      <c r="AI567" s="353">
        <v>9.1339033931034472E-2</v>
      </c>
      <c r="AJ567" s="353">
        <v>9.3324665103448265E-2</v>
      </c>
      <c r="AK567" s="353">
        <v>9.5310296275862058E-2</v>
      </c>
      <c r="AL567" s="353">
        <v>9.7295927448275851E-2</v>
      </c>
      <c r="AM567" s="353">
        <v>9.9281558620689644E-2</v>
      </c>
      <c r="AN567" s="353">
        <v>0.10126718979310344</v>
      </c>
      <c r="AO567" s="353">
        <v>0.10325282096551723</v>
      </c>
      <c r="AP567" s="353">
        <v>0.10523845213793102</v>
      </c>
      <c r="AQ567" s="353">
        <v>0.10722408331034482</v>
      </c>
      <c r="AR567" s="353">
        <v>0.10920971448275861</v>
      </c>
      <c r="AS567" s="353">
        <v>0.1111953456551724</v>
      </c>
      <c r="AT567" s="353">
        <v>0.1131809768275862</v>
      </c>
      <c r="AU567" s="353">
        <v>0.11516660799999999</v>
      </c>
    </row>
    <row r="568" spans="1:47" s="2" customFormat="1" x14ac:dyDescent="0.35">
      <c r="A568" s="518" t="s">
        <v>144</v>
      </c>
      <c r="B568" s="353">
        <v>4.3569161850526852E-2</v>
      </c>
      <c r="C568" s="353">
        <v>4.3569161850526852E-2</v>
      </c>
      <c r="D568" s="353">
        <v>4.7034173406858309E-2</v>
      </c>
      <c r="E568" s="353">
        <v>6.0181542249970493E-2</v>
      </c>
      <c r="F568" s="353">
        <v>7.1599000108524824E-2</v>
      </c>
      <c r="G568" s="353">
        <v>7.1267610764739933E-2</v>
      </c>
      <c r="H568" s="353">
        <v>7.8842882601465852E-2</v>
      </c>
      <c r="I568" s="353">
        <v>9.3037103020053885E-2</v>
      </c>
      <c r="J568" s="353">
        <v>0.12738195085419801</v>
      </c>
      <c r="K568" s="353">
        <v>0.13463344255587067</v>
      </c>
      <c r="L568" s="353">
        <v>9.4211009081713745E-2</v>
      </c>
      <c r="M568" s="353">
        <v>0.10217613468157105</v>
      </c>
      <c r="N568" s="353">
        <v>9.4518494764885358E-2</v>
      </c>
      <c r="O568" s="353">
        <v>0.12252927497319113</v>
      </c>
      <c r="P568" s="353">
        <v>0.10988993923921955</v>
      </c>
      <c r="Q568" s="353">
        <v>8.5927946682294434E-2</v>
      </c>
      <c r="R568" s="353">
        <v>0.10764516623586579</v>
      </c>
      <c r="S568" s="353">
        <v>0.11135706851986116</v>
      </c>
      <c r="T568" s="353">
        <v>0.11506897080385653</v>
      </c>
      <c r="U568" s="353">
        <v>0.1187808730878519</v>
      </c>
      <c r="V568" s="353">
        <v>0.12249277537184727</v>
      </c>
      <c r="W568" s="353">
        <v>0.12620467765584265</v>
      </c>
      <c r="X568" s="353">
        <v>0.12991657993983802</v>
      </c>
      <c r="Y568" s="353">
        <v>0.13362848222383339</v>
      </c>
      <c r="Z568" s="353">
        <v>0.13734038450782876</v>
      </c>
      <c r="AA568" s="353">
        <v>0.14105228679182413</v>
      </c>
      <c r="AB568" s="353">
        <v>0.1447641890758195</v>
      </c>
      <c r="AC568" s="353">
        <v>0.14847609135981488</v>
      </c>
      <c r="AD568" s="353">
        <v>0.15218799364381025</v>
      </c>
      <c r="AE568" s="353">
        <v>0.15589989592780565</v>
      </c>
      <c r="AF568" s="353">
        <v>0.15961179821180102</v>
      </c>
      <c r="AG568" s="353">
        <v>0.16332370049579639</v>
      </c>
      <c r="AH568" s="353">
        <v>0.16703560277979176</v>
      </c>
      <c r="AI568" s="353">
        <v>0.17074750506378714</v>
      </c>
      <c r="AJ568" s="353">
        <v>0.17445940734778251</v>
      </c>
      <c r="AK568" s="353">
        <v>0.17817130963177788</v>
      </c>
      <c r="AL568" s="353">
        <v>0.18188321191577325</v>
      </c>
      <c r="AM568" s="353">
        <v>0.18559511419976862</v>
      </c>
      <c r="AN568" s="353">
        <v>0.189307016483764</v>
      </c>
      <c r="AO568" s="353">
        <v>0.19301891876775937</v>
      </c>
      <c r="AP568" s="353">
        <v>0.19673082105175474</v>
      </c>
      <c r="AQ568" s="353">
        <v>0.20044272333575011</v>
      </c>
      <c r="AR568" s="353">
        <v>0.20415462561974551</v>
      </c>
      <c r="AS568" s="353">
        <v>0.20786652790374088</v>
      </c>
      <c r="AT568" s="353">
        <v>0.21157843018773625</v>
      </c>
      <c r="AU568" s="353">
        <v>0.21529033247173163</v>
      </c>
    </row>
    <row r="569" spans="1:47" s="2" customFormat="1" x14ac:dyDescent="0.35">
      <c r="A569" s="518" t="s">
        <v>85</v>
      </c>
      <c r="B569" s="353">
        <v>4.7349550997013427E-2</v>
      </c>
      <c r="C569" s="353">
        <v>4.7349550997013427E-2</v>
      </c>
      <c r="D569" s="353">
        <v>5.3397497415801742E-2</v>
      </c>
      <c r="E569" s="353">
        <v>7.5578188697150148E-2</v>
      </c>
      <c r="F569" s="353">
        <v>8.6156812969662738E-2</v>
      </c>
      <c r="G569" s="353">
        <v>0.1052411648849971</v>
      </c>
      <c r="H569" s="353">
        <v>0.11555963403063552</v>
      </c>
      <c r="I569" s="353">
        <v>0.13462598136691606</v>
      </c>
      <c r="J569" s="353">
        <v>0.16782500400250169</v>
      </c>
      <c r="K569" s="353">
        <v>0.2049131142873484</v>
      </c>
      <c r="L569" s="353">
        <v>0.18037297799461061</v>
      </c>
      <c r="M569" s="353">
        <v>0.25869703017947265</v>
      </c>
      <c r="N569" s="353">
        <v>0.2434899267026488</v>
      </c>
      <c r="O569" s="353">
        <v>0.31790013151811686</v>
      </c>
      <c r="P569" s="353">
        <v>0.42367453706731528</v>
      </c>
      <c r="Q569" s="353">
        <v>0.48546752730407688</v>
      </c>
      <c r="R569" s="353">
        <v>0.52594741442340642</v>
      </c>
      <c r="S569" s="353">
        <v>0.54408353216214456</v>
      </c>
      <c r="T569" s="353">
        <v>0.56221964990088269</v>
      </c>
      <c r="U569" s="353">
        <v>0.58035576763962093</v>
      </c>
      <c r="V569" s="353">
        <v>0.59849188537835907</v>
      </c>
      <c r="W569" s="353">
        <v>0.6166280031170972</v>
      </c>
      <c r="X569" s="353">
        <v>0.63476412085583533</v>
      </c>
      <c r="Y569" s="353">
        <v>0.65290023859457347</v>
      </c>
      <c r="Z569" s="353">
        <v>0.67103635633331171</v>
      </c>
      <c r="AA569" s="353">
        <v>0.68917247407204973</v>
      </c>
      <c r="AB569" s="353">
        <v>0.70730859181078798</v>
      </c>
      <c r="AC569" s="353">
        <v>0.72544470954952611</v>
      </c>
      <c r="AD569" s="353">
        <v>0.74358082728826425</v>
      </c>
      <c r="AE569" s="353">
        <v>0.76171694502700238</v>
      </c>
      <c r="AF569" s="353">
        <v>0.77985306276574051</v>
      </c>
      <c r="AG569" s="353">
        <v>0.79798918050447876</v>
      </c>
      <c r="AH569" s="353">
        <v>0.81612529824321678</v>
      </c>
      <c r="AI569" s="353">
        <v>0.83426141598195502</v>
      </c>
      <c r="AJ569" s="353">
        <v>0.85239753372069316</v>
      </c>
      <c r="AK569" s="353">
        <v>0.87053365145943129</v>
      </c>
      <c r="AL569" s="353">
        <v>0.88866976919816953</v>
      </c>
      <c r="AM569" s="353">
        <v>0.90680588693690756</v>
      </c>
      <c r="AN569" s="353">
        <v>0.9249420046756458</v>
      </c>
      <c r="AO569" s="353">
        <v>0.94307812241438393</v>
      </c>
      <c r="AP569" s="353">
        <v>0.96121424015312207</v>
      </c>
      <c r="AQ569" s="353">
        <v>0.9793503578918602</v>
      </c>
      <c r="AR569" s="353">
        <v>0.99748647563059833</v>
      </c>
      <c r="AS569" s="353">
        <v>1.0156225933693364</v>
      </c>
      <c r="AT569" s="353">
        <v>1.0337587111080748</v>
      </c>
      <c r="AU569" s="353">
        <v>1.0518948288468128</v>
      </c>
    </row>
    <row r="570" spans="1:47" s="2" customFormat="1" x14ac:dyDescent="0.35">
      <c r="A570" s="518" t="s">
        <v>145</v>
      </c>
      <c r="B570" s="353">
        <v>3.1915657611272748E-2</v>
      </c>
      <c r="C570" s="353">
        <v>3.1915657611272748E-2</v>
      </c>
      <c r="D570" s="353">
        <v>3.5693004088826287E-2</v>
      </c>
      <c r="E570" s="353">
        <v>3.7306840870478433E-2</v>
      </c>
      <c r="F570" s="353">
        <v>3.1819890161819554E-2</v>
      </c>
      <c r="G570" s="353">
        <v>3.9541440768370698E-2</v>
      </c>
      <c r="H570" s="353">
        <v>4.5010001786536413E-2</v>
      </c>
      <c r="I570" s="353">
        <v>4.3489472187851159E-2</v>
      </c>
      <c r="J570" s="353">
        <v>4.337538607595632E-2</v>
      </c>
      <c r="K570" s="353">
        <v>4.8904655690430163E-2</v>
      </c>
      <c r="L570" s="353">
        <v>5.1925777249029706E-2</v>
      </c>
      <c r="M570" s="353">
        <v>6.232692244681215E-2</v>
      </c>
      <c r="N570" s="353">
        <v>5.4851420414218602E-2</v>
      </c>
      <c r="O570" s="353">
        <v>7.3477378837780938E-2</v>
      </c>
      <c r="P570" s="353">
        <v>8.2057029067731421E-2</v>
      </c>
      <c r="Q570" s="353">
        <v>7.9669444546413157E-2</v>
      </c>
      <c r="R570" s="353">
        <v>9.5856448138718811E-2</v>
      </c>
      <c r="S570" s="353">
        <v>9.9161842902122918E-2</v>
      </c>
      <c r="T570" s="353">
        <v>0.10246723766552701</v>
      </c>
      <c r="U570" s="353">
        <v>0.10577263242893112</v>
      </c>
      <c r="V570" s="353">
        <v>0.10907802719233521</v>
      </c>
      <c r="W570" s="353">
        <v>0.1123834219557393</v>
      </c>
      <c r="X570" s="353">
        <v>0.11568881671914341</v>
      </c>
      <c r="Y570" s="353">
        <v>0.1189942114825475</v>
      </c>
      <c r="Z570" s="353">
        <v>0.1222996062459516</v>
      </c>
      <c r="AA570" s="353">
        <v>0.1256050010093557</v>
      </c>
      <c r="AB570" s="353">
        <v>0.12891039577275981</v>
      </c>
      <c r="AC570" s="353">
        <v>0.13221579053616389</v>
      </c>
      <c r="AD570" s="353">
        <v>0.135521185299568</v>
      </c>
      <c r="AE570" s="353">
        <v>0.1388265800629721</v>
      </c>
      <c r="AF570" s="353">
        <v>0.14213197482637618</v>
      </c>
      <c r="AG570" s="353">
        <v>0.14543736958978029</v>
      </c>
      <c r="AH570" s="353">
        <v>0.1487427643531844</v>
      </c>
      <c r="AI570" s="353">
        <v>0.15204815911658848</v>
      </c>
      <c r="AJ570" s="353">
        <v>0.15535355387999258</v>
      </c>
      <c r="AK570" s="353">
        <v>0.15865894864339669</v>
      </c>
      <c r="AL570" s="353">
        <v>0.16196434340680077</v>
      </c>
      <c r="AM570" s="353">
        <v>0.16526973817020488</v>
      </c>
      <c r="AN570" s="353">
        <v>0.16857513293360898</v>
      </c>
      <c r="AO570" s="353">
        <v>0.17188052769701306</v>
      </c>
      <c r="AP570" s="353">
        <v>0.17518592246041717</v>
      </c>
      <c r="AQ570" s="353">
        <v>0.17849131722382128</v>
      </c>
      <c r="AR570" s="353">
        <v>0.18179671198722536</v>
      </c>
      <c r="AS570" s="353">
        <v>0.18510210675062946</v>
      </c>
      <c r="AT570" s="353">
        <v>0.18840750151403357</v>
      </c>
      <c r="AU570" s="353">
        <v>0.19171289627743765</v>
      </c>
    </row>
    <row r="571" spans="1:47" s="2" customFormat="1" x14ac:dyDescent="0.35">
      <c r="A571" s="518" t="s">
        <v>87</v>
      </c>
      <c r="B571" s="353">
        <v>0.26913502736394662</v>
      </c>
      <c r="C571" s="353">
        <v>0.26913502736394662</v>
      </c>
      <c r="D571" s="353">
        <v>0.37263085784365507</v>
      </c>
      <c r="E571" s="353">
        <v>0.49930240959949529</v>
      </c>
      <c r="F571" s="353">
        <v>0.55193623441206718</v>
      </c>
      <c r="G571" s="353">
        <v>0.61774520057629045</v>
      </c>
      <c r="H571" s="353">
        <v>0.58138445812310424</v>
      </c>
      <c r="I571" s="353">
        <v>0.56206235629889023</v>
      </c>
      <c r="J571" s="353">
        <v>0.65294853001584319</v>
      </c>
      <c r="K571" s="353">
        <v>0.72167425375428984</v>
      </c>
      <c r="L571" s="353">
        <v>0.8469721512471553</v>
      </c>
      <c r="M571" s="353">
        <v>0.77987229520494872</v>
      </c>
      <c r="N571" s="353">
        <v>0.8249211801292774</v>
      </c>
      <c r="O571" s="353">
        <v>0.94246965531292992</v>
      </c>
      <c r="P571" s="353">
        <v>1.0330113387204587</v>
      </c>
      <c r="Q571" s="353">
        <v>0.9360093227127847</v>
      </c>
      <c r="R571" s="353">
        <v>0.99252458675281352</v>
      </c>
      <c r="S571" s="353">
        <v>1.0267495725029105</v>
      </c>
      <c r="T571" s="353">
        <v>1.0609745582530075</v>
      </c>
      <c r="U571" s="353">
        <v>1.0951995440031046</v>
      </c>
      <c r="V571" s="353">
        <v>1.1294245297532015</v>
      </c>
      <c r="W571" s="353">
        <v>1.1636495155032986</v>
      </c>
      <c r="X571" s="353">
        <v>1.1978745012533956</v>
      </c>
      <c r="Y571" s="353">
        <v>1.2320994870034927</v>
      </c>
      <c r="Z571" s="353">
        <v>1.2663244727535896</v>
      </c>
      <c r="AA571" s="353">
        <v>1.3005494585036868</v>
      </c>
      <c r="AB571" s="353">
        <v>1.3347744442537837</v>
      </c>
      <c r="AC571" s="353">
        <v>1.3689994300038806</v>
      </c>
      <c r="AD571" s="353">
        <v>1.4032244157539777</v>
      </c>
      <c r="AE571" s="353">
        <v>1.4374494015040749</v>
      </c>
      <c r="AF571" s="353">
        <v>1.4716743872541718</v>
      </c>
      <c r="AG571" s="353">
        <v>1.5058993730042687</v>
      </c>
      <c r="AH571" s="353">
        <v>1.5401243587543658</v>
      </c>
      <c r="AI571" s="353">
        <v>1.574349344504463</v>
      </c>
      <c r="AJ571" s="353">
        <v>1.6085743302545599</v>
      </c>
      <c r="AK571" s="353">
        <v>1.6427993160046568</v>
      </c>
      <c r="AL571" s="353">
        <v>1.6770243017547539</v>
      </c>
      <c r="AM571" s="353">
        <v>1.7112492875048511</v>
      </c>
      <c r="AN571" s="353">
        <v>1.745474273254948</v>
      </c>
      <c r="AO571" s="353">
        <v>1.7796992590050449</v>
      </c>
      <c r="AP571" s="353">
        <v>1.813924244755142</v>
      </c>
      <c r="AQ571" s="353">
        <v>1.8481492305052389</v>
      </c>
      <c r="AR571" s="353">
        <v>1.8823742162553359</v>
      </c>
      <c r="AS571" s="353">
        <v>1.916599202005433</v>
      </c>
      <c r="AT571" s="353">
        <v>1.9508241877555301</v>
      </c>
      <c r="AU571" s="353">
        <v>1.985049173505627</v>
      </c>
    </row>
    <row r="572" spans="1:47" s="2" customFormat="1" x14ac:dyDescent="0.35">
      <c r="A572" s="518" t="s">
        <v>146</v>
      </c>
      <c r="B572" s="353">
        <v>0</v>
      </c>
      <c r="C572" s="353">
        <v>0</v>
      </c>
      <c r="D572" s="353">
        <v>0</v>
      </c>
      <c r="E572" s="353">
        <v>0</v>
      </c>
      <c r="F572" s="353">
        <v>0</v>
      </c>
      <c r="G572" s="353">
        <v>0</v>
      </c>
      <c r="H572" s="353">
        <v>0</v>
      </c>
      <c r="I572" s="353">
        <v>0</v>
      </c>
      <c r="J572" s="353">
        <v>0</v>
      </c>
      <c r="K572" s="353">
        <v>0</v>
      </c>
      <c r="L572" s="353">
        <v>0</v>
      </c>
      <c r="M572" s="353">
        <v>0</v>
      </c>
      <c r="N572" s="353">
        <v>0</v>
      </c>
      <c r="O572" s="353">
        <v>0</v>
      </c>
      <c r="P572" s="353">
        <v>0</v>
      </c>
      <c r="Q572" s="353">
        <v>0</v>
      </c>
      <c r="R572" s="353">
        <v>0</v>
      </c>
      <c r="S572" s="353">
        <v>0</v>
      </c>
      <c r="T572" s="353">
        <v>0</v>
      </c>
      <c r="U572" s="353">
        <v>0</v>
      </c>
      <c r="V572" s="353">
        <v>0</v>
      </c>
      <c r="W572" s="353">
        <v>0</v>
      </c>
      <c r="X572" s="353">
        <v>0</v>
      </c>
      <c r="Y572" s="353">
        <v>0</v>
      </c>
      <c r="Z572" s="353">
        <v>0</v>
      </c>
      <c r="AA572" s="353">
        <v>0</v>
      </c>
      <c r="AB572" s="353">
        <v>0</v>
      </c>
      <c r="AC572" s="353">
        <v>0</v>
      </c>
      <c r="AD572" s="353">
        <v>0</v>
      </c>
      <c r="AE572" s="353">
        <v>0</v>
      </c>
      <c r="AF572" s="353">
        <v>0</v>
      </c>
      <c r="AG572" s="353">
        <v>0</v>
      </c>
      <c r="AH572" s="353">
        <v>0</v>
      </c>
      <c r="AI572" s="353">
        <v>0</v>
      </c>
      <c r="AJ572" s="353">
        <v>0</v>
      </c>
      <c r="AK572" s="353">
        <v>0</v>
      </c>
      <c r="AL572" s="353">
        <v>0</v>
      </c>
      <c r="AM572" s="353">
        <v>0</v>
      </c>
      <c r="AN572" s="353">
        <v>0</v>
      </c>
      <c r="AO572" s="353">
        <v>0</v>
      </c>
      <c r="AP572" s="353">
        <v>0</v>
      </c>
      <c r="AQ572" s="353">
        <v>0</v>
      </c>
      <c r="AR572" s="353">
        <v>0</v>
      </c>
      <c r="AS572" s="353">
        <v>0</v>
      </c>
      <c r="AT572" s="353">
        <v>0</v>
      </c>
      <c r="AU572" s="353">
        <v>0</v>
      </c>
    </row>
    <row r="573" spans="1:47" s="2" customFormat="1" x14ac:dyDescent="0.35">
      <c r="A573" s="518" t="s">
        <v>89</v>
      </c>
      <c r="B573" s="353">
        <v>0.48491136806852014</v>
      </c>
      <c r="C573" s="353">
        <v>0.48491136806852014</v>
      </c>
      <c r="D573" s="353">
        <v>0.6300712280615095</v>
      </c>
      <c r="E573" s="353">
        <v>0.85496592961520468</v>
      </c>
      <c r="F573" s="353">
        <v>0.96526674224950293</v>
      </c>
      <c r="G573" s="353">
        <v>1.109853662038023</v>
      </c>
      <c r="H573" s="353">
        <v>1.2210222059361853</v>
      </c>
      <c r="I573" s="353">
        <v>1.2422732235025529</v>
      </c>
      <c r="J573" s="353">
        <v>1.3611154400802619</v>
      </c>
      <c r="K573" s="353">
        <v>1.384227965154341</v>
      </c>
      <c r="L573" s="353">
        <v>1.4398929991570137</v>
      </c>
      <c r="M573" s="353">
        <v>1.5528883443790293</v>
      </c>
      <c r="N573" s="353">
        <v>1.5692258095294298</v>
      </c>
      <c r="O573" s="353">
        <v>1.553026300473151</v>
      </c>
      <c r="P573" s="353">
        <v>1.596482147358137</v>
      </c>
      <c r="Q573" s="353">
        <v>1.4532371914718485</v>
      </c>
      <c r="R573" s="353">
        <v>1.5787702272536266</v>
      </c>
      <c r="S573" s="353">
        <v>1.6332105799175447</v>
      </c>
      <c r="T573" s="353">
        <v>1.687650932581463</v>
      </c>
      <c r="U573" s="353">
        <v>1.7420912852453811</v>
      </c>
      <c r="V573" s="353">
        <v>1.7965316379092993</v>
      </c>
      <c r="W573" s="353">
        <v>1.8509719905732176</v>
      </c>
      <c r="X573" s="353">
        <v>1.9054123432371357</v>
      </c>
      <c r="Y573" s="353">
        <v>1.9598526959010538</v>
      </c>
      <c r="Z573" s="353">
        <v>2.0142930485649719</v>
      </c>
      <c r="AA573" s="353">
        <v>2.06873340122889</v>
      </c>
      <c r="AB573" s="353">
        <v>2.1231737538928082</v>
      </c>
      <c r="AC573" s="353">
        <v>2.1776141065567263</v>
      </c>
      <c r="AD573" s="353">
        <v>2.2320544592206444</v>
      </c>
      <c r="AE573" s="353">
        <v>2.2864948118845629</v>
      </c>
      <c r="AF573" s="353">
        <v>2.3409351645484811</v>
      </c>
      <c r="AG573" s="353">
        <v>2.3953755172123992</v>
      </c>
      <c r="AH573" s="353">
        <v>2.4498158698763173</v>
      </c>
      <c r="AI573" s="353">
        <v>2.5042562225402354</v>
      </c>
      <c r="AJ573" s="353">
        <v>2.5586965752041539</v>
      </c>
      <c r="AK573" s="353">
        <v>2.6131369278680721</v>
      </c>
      <c r="AL573" s="353">
        <v>2.6675772805319902</v>
      </c>
      <c r="AM573" s="353">
        <v>2.7220176331959083</v>
      </c>
      <c r="AN573" s="353">
        <v>2.7764579858598264</v>
      </c>
      <c r="AO573" s="353">
        <v>2.8308983385237445</v>
      </c>
      <c r="AP573" s="353">
        <v>2.8853386911876626</v>
      </c>
      <c r="AQ573" s="353">
        <v>2.9397790438515807</v>
      </c>
      <c r="AR573" s="353">
        <v>2.9942193965154988</v>
      </c>
      <c r="AS573" s="353">
        <v>3.048659749179417</v>
      </c>
      <c r="AT573" s="353">
        <v>3.1031001018433351</v>
      </c>
      <c r="AU573" s="353">
        <v>3.1575404545072536</v>
      </c>
    </row>
    <row r="574" spans="1:47" s="2" customFormat="1" x14ac:dyDescent="0.35">
      <c r="A574" s="518" t="s">
        <v>90</v>
      </c>
      <c r="B574" s="353">
        <v>2.7751668262667728E-3</v>
      </c>
      <c r="C574" s="353">
        <v>2.7751668262667728E-3</v>
      </c>
      <c r="D574" s="353">
        <v>7.8859420275794179E-3</v>
      </c>
      <c r="E574" s="353">
        <v>2.3587254362853249E-2</v>
      </c>
      <c r="F574" s="353">
        <v>4.4666342991977359E-2</v>
      </c>
      <c r="G574" s="353">
        <v>5.676979278945149E-2</v>
      </c>
      <c r="H574" s="353">
        <v>6.7201113636929044E-2</v>
      </c>
      <c r="I574" s="353">
        <v>8.9641601990952946E-2</v>
      </c>
      <c r="J574" s="353">
        <v>0.11476571978045857</v>
      </c>
      <c r="K574" s="353">
        <v>0.11323022310946884</v>
      </c>
      <c r="L574" s="353">
        <v>0.1213538781442618</v>
      </c>
      <c r="M574" s="353">
        <v>0.13120185150983676</v>
      </c>
      <c r="N574" s="353">
        <v>0.15974015206785364</v>
      </c>
      <c r="O574" s="353">
        <v>0.15116823967092907</v>
      </c>
      <c r="P574" s="353">
        <v>0.17407003576046787</v>
      </c>
      <c r="Q574" s="353">
        <v>0.17067917855168346</v>
      </c>
      <c r="R574" s="353">
        <v>0.17377224349981815</v>
      </c>
      <c r="S574" s="353">
        <v>0.17976438982739809</v>
      </c>
      <c r="T574" s="353">
        <v>0.185756536154978</v>
      </c>
      <c r="U574" s="353">
        <v>0.19174868248255794</v>
      </c>
      <c r="V574" s="353">
        <v>0.19774082881013788</v>
      </c>
      <c r="W574" s="353">
        <v>0.20373297513771782</v>
      </c>
      <c r="X574" s="353">
        <v>0.20972512146529776</v>
      </c>
      <c r="Y574" s="353">
        <v>0.2157172677928777</v>
      </c>
      <c r="Z574" s="353">
        <v>0.22170941412045761</v>
      </c>
      <c r="AA574" s="353">
        <v>0.22770156044803755</v>
      </c>
      <c r="AB574" s="353">
        <v>0.23369370677561749</v>
      </c>
      <c r="AC574" s="353">
        <v>0.23968585310319743</v>
      </c>
      <c r="AD574" s="353">
        <v>0.24567799943077734</v>
      </c>
      <c r="AE574" s="353">
        <v>0.25167014575835728</v>
      </c>
      <c r="AF574" s="353">
        <v>0.25766229208593722</v>
      </c>
      <c r="AG574" s="353">
        <v>0.26365443841351716</v>
      </c>
      <c r="AH574" s="353">
        <v>0.2696465847410971</v>
      </c>
      <c r="AI574" s="353">
        <v>0.27563873106867703</v>
      </c>
      <c r="AJ574" s="353">
        <v>0.28163087739625697</v>
      </c>
      <c r="AK574" s="353">
        <v>0.28762302372383686</v>
      </c>
      <c r="AL574" s="353">
        <v>0.2936151700514168</v>
      </c>
      <c r="AM574" s="353">
        <v>0.29960731637899674</v>
      </c>
      <c r="AN574" s="353">
        <v>0.30559946270657667</v>
      </c>
      <c r="AO574" s="353">
        <v>0.31159160903415661</v>
      </c>
      <c r="AP574" s="353">
        <v>0.31758375536173655</v>
      </c>
      <c r="AQ574" s="353">
        <v>0.32357590168931649</v>
      </c>
      <c r="AR574" s="353">
        <v>0.32956804801689643</v>
      </c>
      <c r="AS574" s="353">
        <v>0.33556019434447637</v>
      </c>
      <c r="AT574" s="353">
        <v>0.34155234067205631</v>
      </c>
      <c r="AU574" s="353">
        <v>0.34754448699963625</v>
      </c>
    </row>
    <row r="575" spans="1:47" s="2" customFormat="1" x14ac:dyDescent="0.35">
      <c r="A575" s="517" t="s">
        <v>2084</v>
      </c>
      <c r="B575" s="310" t="s">
        <v>2083</v>
      </c>
      <c r="C575" s="310" t="s">
        <v>2083</v>
      </c>
      <c r="D575" s="310" t="s">
        <v>2083</v>
      </c>
      <c r="E575" s="310" t="s">
        <v>2083</v>
      </c>
      <c r="F575" s="310" t="s">
        <v>2083</v>
      </c>
      <c r="G575" s="310" t="s">
        <v>2083</v>
      </c>
      <c r="H575" s="310" t="s">
        <v>2083</v>
      </c>
      <c r="I575" s="310" t="s">
        <v>2083</v>
      </c>
      <c r="J575" s="310" t="s">
        <v>2083</v>
      </c>
      <c r="K575" s="310" t="s">
        <v>2083</v>
      </c>
      <c r="L575" s="310" t="s">
        <v>2083</v>
      </c>
      <c r="M575" s="310" t="s">
        <v>2083</v>
      </c>
      <c r="N575" s="310" t="s">
        <v>2083</v>
      </c>
      <c r="O575" s="310" t="s">
        <v>2083</v>
      </c>
      <c r="P575" s="310" t="s">
        <v>2083</v>
      </c>
      <c r="Q575" s="310" t="s">
        <v>2083</v>
      </c>
      <c r="R575" s="310" t="s">
        <v>2083</v>
      </c>
      <c r="S575" s="310" t="s">
        <v>2083</v>
      </c>
      <c r="T575" s="310" t="s">
        <v>2083</v>
      </c>
      <c r="U575" s="310" t="s">
        <v>2083</v>
      </c>
      <c r="V575" s="310" t="s">
        <v>2083</v>
      </c>
      <c r="W575" s="310" t="s">
        <v>2083</v>
      </c>
      <c r="X575" s="310" t="s">
        <v>2083</v>
      </c>
      <c r="Y575" s="310" t="s">
        <v>2083</v>
      </c>
      <c r="Z575" s="310" t="s">
        <v>2083</v>
      </c>
      <c r="AA575" s="310" t="s">
        <v>2083</v>
      </c>
      <c r="AB575" s="310" t="s">
        <v>2083</v>
      </c>
      <c r="AC575" s="310" t="s">
        <v>2083</v>
      </c>
      <c r="AD575" s="310" t="s">
        <v>2083</v>
      </c>
      <c r="AE575" s="310" t="s">
        <v>2083</v>
      </c>
      <c r="AF575" s="310" t="s">
        <v>2083</v>
      </c>
      <c r="AG575" s="310" t="s">
        <v>2083</v>
      </c>
      <c r="AH575" s="310" t="s">
        <v>2083</v>
      </c>
      <c r="AI575" s="310" t="s">
        <v>2083</v>
      </c>
      <c r="AJ575" s="310" t="s">
        <v>2083</v>
      </c>
      <c r="AK575" s="310" t="s">
        <v>2083</v>
      </c>
      <c r="AL575" s="310" t="s">
        <v>2083</v>
      </c>
      <c r="AM575" s="310" t="s">
        <v>2083</v>
      </c>
      <c r="AN575" s="310" t="s">
        <v>2083</v>
      </c>
      <c r="AO575" s="310" t="s">
        <v>2083</v>
      </c>
      <c r="AP575" s="310" t="s">
        <v>2083</v>
      </c>
      <c r="AQ575" s="310" t="s">
        <v>2083</v>
      </c>
      <c r="AR575" s="310" t="s">
        <v>2083</v>
      </c>
      <c r="AS575" s="310" t="s">
        <v>2083</v>
      </c>
      <c r="AT575" s="310" t="s">
        <v>2083</v>
      </c>
      <c r="AU575" s="310" t="s">
        <v>2083</v>
      </c>
    </row>
    <row r="576" spans="1:47" s="2" customFormat="1" x14ac:dyDescent="0.35">
      <c r="A576" s="518" t="s">
        <v>143</v>
      </c>
      <c r="B576" s="521">
        <v>3.57742</v>
      </c>
      <c r="C576" s="521">
        <v>3.6000700000000001</v>
      </c>
      <c r="D576" s="521">
        <v>3.64005</v>
      </c>
      <c r="E576" s="521">
        <v>3.6844100000000002</v>
      </c>
      <c r="F576" s="521">
        <v>3.77142</v>
      </c>
      <c r="G576" s="521">
        <v>3.9087700000000001</v>
      </c>
      <c r="H576" s="521">
        <v>4.0605000000000002</v>
      </c>
      <c r="I576" s="521">
        <v>4.1259499999999996</v>
      </c>
      <c r="J576" s="521">
        <v>4.2989800000000002</v>
      </c>
      <c r="K576" s="521">
        <v>4.3805899999999998</v>
      </c>
      <c r="L576" s="521">
        <v>4.4598699999999996</v>
      </c>
      <c r="M576" s="521">
        <v>4.5708500000000001</v>
      </c>
      <c r="N576" s="521">
        <v>4.7677800000000001</v>
      </c>
      <c r="O576" s="521">
        <v>4.8914499999999999</v>
      </c>
      <c r="P576" s="521">
        <v>4.9837800000000003</v>
      </c>
      <c r="Q576" s="521">
        <v>5.1111500000000003</v>
      </c>
      <c r="R576" s="521">
        <v>5.4767599999999996</v>
      </c>
      <c r="S576" s="521">
        <v>5.6756200000000003</v>
      </c>
      <c r="T576" s="521">
        <v>5.77813</v>
      </c>
      <c r="U576" s="521">
        <v>5.8413500000000003</v>
      </c>
      <c r="V576" s="521">
        <v>5.8901399999999997</v>
      </c>
      <c r="W576" s="521">
        <v>5.9339300000000001</v>
      </c>
      <c r="X576" s="521">
        <v>5.9737799999999996</v>
      </c>
      <c r="Y576" s="521">
        <v>6.0095200000000002</v>
      </c>
      <c r="Z576" s="521">
        <v>6.0345199999999997</v>
      </c>
      <c r="AA576" s="521">
        <v>6.0516399999999999</v>
      </c>
      <c r="AB576" s="521">
        <v>6.0691300000000004</v>
      </c>
      <c r="AC576" s="521">
        <v>6.0882100000000001</v>
      </c>
      <c r="AD576" s="521">
        <v>6.1072499999999996</v>
      </c>
      <c r="AE576" s="521">
        <v>6.1257599999999996</v>
      </c>
      <c r="AF576" s="521">
        <v>5.9761499999999996</v>
      </c>
      <c r="AG576" s="521">
        <v>5.8265399999999996</v>
      </c>
      <c r="AH576" s="521">
        <v>5.39879</v>
      </c>
      <c r="AI576" s="521">
        <v>5.1349799999999997</v>
      </c>
      <c r="AJ576" s="521">
        <v>4.7734500000000004</v>
      </c>
      <c r="AK576" s="521">
        <v>4.37636</v>
      </c>
      <c r="AL576" s="521">
        <v>4.0774499999999998</v>
      </c>
      <c r="AM576" s="521">
        <v>3.9000499999999998</v>
      </c>
      <c r="AN576" s="521">
        <v>3.8009200000000001</v>
      </c>
      <c r="AO576" s="521">
        <v>3.72384</v>
      </c>
      <c r="AP576" s="521">
        <v>3.6652499999999999</v>
      </c>
      <c r="AQ576" s="521">
        <v>3.6230199999999999</v>
      </c>
      <c r="AR576" s="521">
        <v>3.5955699999999999</v>
      </c>
      <c r="AS576" s="521">
        <v>3.5823800000000001</v>
      </c>
      <c r="AT576" s="521">
        <v>3.6395599999999999</v>
      </c>
      <c r="AU576" s="521">
        <v>3.7241599999999999</v>
      </c>
    </row>
    <row r="577" spans="1:58" s="2" customFormat="1" x14ac:dyDescent="0.35">
      <c r="A577" s="518" t="s">
        <v>83</v>
      </c>
      <c r="B577" s="521">
        <v>0.16586799999999999</v>
      </c>
      <c r="C577" s="521">
        <v>0.16780200000000001</v>
      </c>
      <c r="D577" s="521">
        <v>0.173207</v>
      </c>
      <c r="E577" s="521">
        <v>0.18105299999999999</v>
      </c>
      <c r="F577" s="521">
        <v>0.18194199999999999</v>
      </c>
      <c r="G577" s="521">
        <v>0.189471</v>
      </c>
      <c r="H577" s="521">
        <v>0.21081</v>
      </c>
      <c r="I577" s="521">
        <v>0.24002200000000001</v>
      </c>
      <c r="J577" s="521">
        <v>0.24701400000000001</v>
      </c>
      <c r="K577" s="521">
        <v>0.274115</v>
      </c>
      <c r="L577" s="521">
        <v>0.309803</v>
      </c>
      <c r="M577" s="521">
        <v>0.32226399999999999</v>
      </c>
      <c r="N577" s="521">
        <v>0.34137099999999998</v>
      </c>
      <c r="O577" s="521">
        <v>0.37133500000000003</v>
      </c>
      <c r="P577" s="521">
        <v>0.406862</v>
      </c>
      <c r="Q577" s="521">
        <v>0.41111900000000001</v>
      </c>
      <c r="R577" s="521">
        <v>0.46528900000000001</v>
      </c>
      <c r="S577" s="521">
        <v>0.49465199999999998</v>
      </c>
      <c r="T577" s="521">
        <v>0.50889099999999998</v>
      </c>
      <c r="U577" s="521">
        <v>0.51714400000000005</v>
      </c>
      <c r="V577" s="521">
        <v>0.52288999999999997</v>
      </c>
      <c r="W577" s="521">
        <v>0.52695199999999998</v>
      </c>
      <c r="X577" s="521">
        <v>0.53067399999999998</v>
      </c>
      <c r="Y577" s="521">
        <v>0.53328600000000004</v>
      </c>
      <c r="Z577" s="521">
        <v>0.53612599999999999</v>
      </c>
      <c r="AA577" s="521">
        <v>0.53853700000000004</v>
      </c>
      <c r="AB577" s="521">
        <v>0.53825100000000003</v>
      </c>
      <c r="AC577" s="521">
        <v>0.53755699999999995</v>
      </c>
      <c r="AD577" s="521">
        <v>0.53702799999999995</v>
      </c>
      <c r="AE577" s="521">
        <v>0.53657699999999997</v>
      </c>
      <c r="AF577" s="521">
        <v>0.53125500000000003</v>
      </c>
      <c r="AG577" s="521">
        <v>0.52593299999999998</v>
      </c>
      <c r="AH577" s="521">
        <v>0.51166500000000004</v>
      </c>
      <c r="AI577" s="521">
        <v>0.49321199999999998</v>
      </c>
      <c r="AJ577" s="521">
        <v>0.47613499999999997</v>
      </c>
      <c r="AK577" s="521">
        <v>0.455266</v>
      </c>
      <c r="AL577" s="521">
        <v>0.43864799999999998</v>
      </c>
      <c r="AM577" s="521">
        <v>0.42292000000000002</v>
      </c>
      <c r="AN577" s="521">
        <v>0.40892800000000001</v>
      </c>
      <c r="AO577" s="521">
        <v>0.39647399999999999</v>
      </c>
      <c r="AP577" s="521">
        <v>0.38539400000000001</v>
      </c>
      <c r="AQ577" s="521">
        <v>0.37605499999999997</v>
      </c>
      <c r="AR577" s="521">
        <v>0.36871199999999998</v>
      </c>
      <c r="AS577" s="521">
        <v>0.36346400000000001</v>
      </c>
      <c r="AT577" s="521">
        <v>0.36038799999999999</v>
      </c>
      <c r="AU577" s="521">
        <v>0.35808099999999998</v>
      </c>
    </row>
    <row r="578" spans="1:58" s="2" customFormat="1" x14ac:dyDescent="0.35">
      <c r="A578" s="518" t="s">
        <v>144</v>
      </c>
      <c r="B578" s="521">
        <v>3.85141</v>
      </c>
      <c r="C578" s="521">
        <v>3.8661500000000002</v>
      </c>
      <c r="D578" s="521">
        <v>3.8879000000000001</v>
      </c>
      <c r="E578" s="521">
        <v>3.9058799999999998</v>
      </c>
      <c r="F578" s="521">
        <v>3.92896</v>
      </c>
      <c r="G578" s="521">
        <v>3.9449999999999998</v>
      </c>
      <c r="H578" s="521">
        <v>3.9392399999999999</v>
      </c>
      <c r="I578" s="521">
        <v>3.9593099999999999</v>
      </c>
      <c r="J578" s="521">
        <v>3.9906100000000002</v>
      </c>
      <c r="K578" s="521">
        <v>4.02278</v>
      </c>
      <c r="L578" s="521">
        <v>4.0483099999999999</v>
      </c>
      <c r="M578" s="521">
        <v>4.0721699999999998</v>
      </c>
      <c r="N578" s="521">
        <v>4.2264499999999998</v>
      </c>
      <c r="O578" s="521">
        <v>4.3425399999999996</v>
      </c>
      <c r="P578" s="521">
        <v>4.4563499999999996</v>
      </c>
      <c r="Q578" s="521">
        <v>4.5669000000000004</v>
      </c>
      <c r="R578" s="521">
        <v>4.63279</v>
      </c>
      <c r="S578" s="521">
        <v>4.6836000000000002</v>
      </c>
      <c r="T578" s="521">
        <v>4.73637</v>
      </c>
      <c r="U578" s="521">
        <v>4.7889200000000001</v>
      </c>
      <c r="V578" s="521">
        <v>4.8417000000000003</v>
      </c>
      <c r="W578" s="521">
        <v>4.89377</v>
      </c>
      <c r="X578" s="521">
        <v>4.9526300000000001</v>
      </c>
      <c r="Y578" s="521">
        <v>5.0519499999999997</v>
      </c>
      <c r="Z578" s="521">
        <v>5.1650999999999998</v>
      </c>
      <c r="AA578" s="521">
        <v>5.2785900000000003</v>
      </c>
      <c r="AB578" s="521">
        <v>5.3893300000000002</v>
      </c>
      <c r="AC578" s="521">
        <v>5.4963499999999996</v>
      </c>
      <c r="AD578" s="521">
        <v>5.5988800000000003</v>
      </c>
      <c r="AE578" s="521">
        <v>5.6966900000000003</v>
      </c>
      <c r="AF578" s="521">
        <v>5.6913680000000006</v>
      </c>
      <c r="AG578" s="521">
        <v>5.6860460000000002</v>
      </c>
      <c r="AH578" s="521">
        <v>5.6994400000000001</v>
      </c>
      <c r="AI578" s="521">
        <v>5.6024599999999998</v>
      </c>
      <c r="AJ578" s="521">
        <v>5.5352899999999998</v>
      </c>
      <c r="AK578" s="521">
        <v>5.4333099999999996</v>
      </c>
      <c r="AL578" s="521">
        <v>5.3557399999999999</v>
      </c>
      <c r="AM578" s="521">
        <v>5.3131300000000001</v>
      </c>
      <c r="AN578" s="521">
        <v>5.2701599999999997</v>
      </c>
      <c r="AO578" s="521">
        <v>5.2397099999999996</v>
      </c>
      <c r="AP578" s="521">
        <v>5.2157799999999996</v>
      </c>
      <c r="AQ578" s="521">
        <v>5.2032699999999998</v>
      </c>
      <c r="AR578" s="521">
        <v>5.2022599999999999</v>
      </c>
      <c r="AS578" s="521">
        <v>5.2180999999999997</v>
      </c>
      <c r="AT578" s="521">
        <v>5.2420099999999996</v>
      </c>
      <c r="AU578" s="521">
        <v>5.27224</v>
      </c>
    </row>
    <row r="579" spans="1:58" s="2" customFormat="1" x14ac:dyDescent="0.35">
      <c r="A579" s="518" t="s">
        <v>85</v>
      </c>
      <c r="B579" s="521">
        <v>3.4658899999999999</v>
      </c>
      <c r="C579" s="521">
        <v>3.48882</v>
      </c>
      <c r="D579" s="521">
        <v>3.5286499999999998</v>
      </c>
      <c r="E579" s="521">
        <v>3.5601400000000001</v>
      </c>
      <c r="F579" s="521">
        <v>3.5996600000000001</v>
      </c>
      <c r="G579" s="521">
        <v>3.6498900000000001</v>
      </c>
      <c r="H579" s="521">
        <v>3.6783700000000001</v>
      </c>
      <c r="I579" s="521">
        <v>3.7021700000000002</v>
      </c>
      <c r="J579" s="521">
        <v>3.71692</v>
      </c>
      <c r="K579" s="521">
        <v>3.7604700000000002</v>
      </c>
      <c r="L579" s="521">
        <v>3.8293200000000001</v>
      </c>
      <c r="M579" s="521">
        <v>3.8985799999999999</v>
      </c>
      <c r="N579" s="521">
        <v>3.9739</v>
      </c>
      <c r="O579" s="521">
        <v>4.0410199999999996</v>
      </c>
      <c r="P579" s="521">
        <v>4.1257999999999999</v>
      </c>
      <c r="Q579" s="521">
        <v>4.2199900000000001</v>
      </c>
      <c r="R579" s="521">
        <v>4.5910399999999996</v>
      </c>
      <c r="S579" s="521">
        <v>4.8109099999999998</v>
      </c>
      <c r="T579" s="521">
        <v>4.9564199999999996</v>
      </c>
      <c r="U579" s="521">
        <v>5.0679299999999996</v>
      </c>
      <c r="V579" s="521">
        <v>5.1694500000000003</v>
      </c>
      <c r="W579" s="521">
        <v>5.2640000000000002</v>
      </c>
      <c r="X579" s="521">
        <v>5.3555200000000003</v>
      </c>
      <c r="Y579" s="521">
        <v>5.4430100000000001</v>
      </c>
      <c r="Z579" s="521">
        <v>5.52841</v>
      </c>
      <c r="AA579" s="521">
        <v>5.6122300000000003</v>
      </c>
      <c r="AB579" s="521">
        <v>5.6974099999999996</v>
      </c>
      <c r="AC579" s="521">
        <v>5.7814399999999999</v>
      </c>
      <c r="AD579" s="521">
        <v>5.8646099999999999</v>
      </c>
      <c r="AE579" s="521">
        <v>5.9457300000000002</v>
      </c>
      <c r="AF579" s="521">
        <v>5.9404080000000006</v>
      </c>
      <c r="AG579" s="521">
        <v>5.9350860000000001</v>
      </c>
      <c r="AH579" s="521">
        <v>5.60039</v>
      </c>
      <c r="AI579" s="521">
        <v>5.3833099999999998</v>
      </c>
      <c r="AJ579" s="521">
        <v>5.2562600000000002</v>
      </c>
      <c r="AK579" s="521">
        <v>4.9772600000000002</v>
      </c>
      <c r="AL579" s="521">
        <v>4.8081199999999997</v>
      </c>
      <c r="AM579" s="521">
        <v>4.68276</v>
      </c>
      <c r="AN579" s="521">
        <v>4.5802899999999998</v>
      </c>
      <c r="AO579" s="521">
        <v>4.5013699999999996</v>
      </c>
      <c r="AP579" s="521">
        <v>4.4389599999999998</v>
      </c>
      <c r="AQ579" s="521">
        <v>4.3950100000000001</v>
      </c>
      <c r="AR579" s="521">
        <v>4.3702800000000002</v>
      </c>
      <c r="AS579" s="521">
        <v>4.3646500000000001</v>
      </c>
      <c r="AT579" s="521">
        <v>4.3672199999999997</v>
      </c>
      <c r="AU579" s="521">
        <v>4.3822000000000001</v>
      </c>
    </row>
    <row r="580" spans="1:58" s="2" customFormat="1" x14ac:dyDescent="0.35">
      <c r="A580" s="518" t="s">
        <v>145</v>
      </c>
      <c r="B580" s="521">
        <v>7.6659300000000004</v>
      </c>
      <c r="C580" s="521">
        <v>7.7108699999999999</v>
      </c>
      <c r="D580" s="521">
        <v>7.7679900000000002</v>
      </c>
      <c r="E580" s="521">
        <v>7.8303399999999996</v>
      </c>
      <c r="F580" s="521">
        <v>7.9005599999999996</v>
      </c>
      <c r="G580" s="521">
        <v>7.9743399999999998</v>
      </c>
      <c r="H580" s="521">
        <v>8.0419599999999996</v>
      </c>
      <c r="I580" s="521">
        <v>8.1028500000000001</v>
      </c>
      <c r="J580" s="521">
        <v>8.1521399999999993</v>
      </c>
      <c r="K580" s="521">
        <v>8.2142400000000002</v>
      </c>
      <c r="L580" s="521">
        <v>8.2905099999999994</v>
      </c>
      <c r="M580" s="521">
        <v>8.3711300000000008</v>
      </c>
      <c r="N580" s="521">
        <v>8.9741800000000005</v>
      </c>
      <c r="O580" s="521">
        <v>9.3927399999999999</v>
      </c>
      <c r="P580" s="521">
        <v>9.7509099999999993</v>
      </c>
      <c r="Q580" s="521">
        <v>10.0875</v>
      </c>
      <c r="R580" s="521">
        <v>10.3942</v>
      </c>
      <c r="S580" s="521">
        <v>10.674899999999999</v>
      </c>
      <c r="T580" s="521">
        <v>10.9316</v>
      </c>
      <c r="U580" s="521">
        <v>11.168200000000001</v>
      </c>
      <c r="V580" s="521">
        <v>11.395300000000001</v>
      </c>
      <c r="W580" s="521">
        <v>11.6112</v>
      </c>
      <c r="X580" s="521">
        <v>11.816000000000001</v>
      </c>
      <c r="Y580" s="521">
        <v>12.013199999999999</v>
      </c>
      <c r="Z580" s="521">
        <v>12.205500000000001</v>
      </c>
      <c r="AA580" s="521">
        <v>12.3927</v>
      </c>
      <c r="AB580" s="521">
        <v>12.5771</v>
      </c>
      <c r="AC580" s="521">
        <v>12.7546</v>
      </c>
      <c r="AD580" s="521">
        <v>12.9261</v>
      </c>
      <c r="AE580" s="521">
        <v>13.091100000000001</v>
      </c>
      <c r="AF580" s="521">
        <v>13.085778000000001</v>
      </c>
      <c r="AG580" s="521">
        <v>13.080456000000002</v>
      </c>
      <c r="AH580" s="521">
        <v>13.9206</v>
      </c>
      <c r="AI580" s="521">
        <v>13.7912</v>
      </c>
      <c r="AJ580" s="521">
        <v>13.773199999999999</v>
      </c>
      <c r="AK580" s="521">
        <v>13.523400000000001</v>
      </c>
      <c r="AL580" s="521">
        <v>13.4857</v>
      </c>
      <c r="AM580" s="521">
        <v>13.4672</v>
      </c>
      <c r="AN580" s="521">
        <v>13.4361</v>
      </c>
      <c r="AO580" s="521">
        <v>13.4209</v>
      </c>
      <c r="AP580" s="521">
        <v>13.415900000000001</v>
      </c>
      <c r="AQ580" s="521">
        <v>13.424799999999999</v>
      </c>
      <c r="AR580" s="521">
        <v>13.446099999999999</v>
      </c>
      <c r="AS580" s="521">
        <v>13.4819</v>
      </c>
      <c r="AT580" s="521">
        <v>13.5291</v>
      </c>
      <c r="AU580" s="521">
        <v>13.578099999999999</v>
      </c>
    </row>
    <row r="581" spans="1:58" s="2" customFormat="1" x14ac:dyDescent="0.35">
      <c r="A581" s="518" t="s">
        <v>87</v>
      </c>
      <c r="B581" s="521">
        <v>2.0488400000000002</v>
      </c>
      <c r="C581" s="521">
        <v>2.0613600000000001</v>
      </c>
      <c r="D581" s="521">
        <v>2.0866500000000001</v>
      </c>
      <c r="E581" s="521">
        <v>2.12459</v>
      </c>
      <c r="F581" s="521">
        <v>2.1840000000000002</v>
      </c>
      <c r="G581" s="521">
        <v>2.26241</v>
      </c>
      <c r="H581" s="521">
        <v>2.3492000000000002</v>
      </c>
      <c r="I581" s="521">
        <v>2.4125999999999999</v>
      </c>
      <c r="J581" s="521">
        <v>2.4977100000000001</v>
      </c>
      <c r="K581" s="521">
        <v>2.5777100000000002</v>
      </c>
      <c r="L581" s="521">
        <v>2.6050900000000001</v>
      </c>
      <c r="M581" s="521">
        <v>2.6492100000000001</v>
      </c>
      <c r="N581" s="521">
        <v>2.7187399999999999</v>
      </c>
      <c r="O581" s="521">
        <v>2.7738100000000001</v>
      </c>
      <c r="P581" s="521">
        <v>2.8234300000000001</v>
      </c>
      <c r="Q581" s="521">
        <v>2.8833899999999999</v>
      </c>
      <c r="R581" s="521">
        <v>2.9876200000000002</v>
      </c>
      <c r="S581" s="521">
        <v>3.0415800000000002</v>
      </c>
      <c r="T581" s="521">
        <v>3.06955</v>
      </c>
      <c r="U581" s="521">
        <v>3.0883799999999999</v>
      </c>
      <c r="V581" s="521">
        <v>3.1040800000000002</v>
      </c>
      <c r="W581" s="521">
        <v>3.1177800000000002</v>
      </c>
      <c r="X581" s="521">
        <v>3.1304400000000001</v>
      </c>
      <c r="Y581" s="521">
        <v>3.14249</v>
      </c>
      <c r="Z581" s="521">
        <v>3.1541899999999998</v>
      </c>
      <c r="AA581" s="521">
        <v>3.16567</v>
      </c>
      <c r="AB581" s="521">
        <v>3.17774</v>
      </c>
      <c r="AC581" s="521">
        <v>3.1899600000000001</v>
      </c>
      <c r="AD581" s="521">
        <v>3.2019899999999999</v>
      </c>
      <c r="AE581" s="521">
        <v>3.21339</v>
      </c>
      <c r="AF581" s="521">
        <v>3.2080679999999999</v>
      </c>
      <c r="AG581" s="521">
        <v>3.2027459999999999</v>
      </c>
      <c r="AH581" s="521">
        <v>3.0927099999999998</v>
      </c>
      <c r="AI581" s="521">
        <v>2.9697800000000001</v>
      </c>
      <c r="AJ581" s="521">
        <v>2.8831799999999999</v>
      </c>
      <c r="AK581" s="521">
        <v>2.73489</v>
      </c>
      <c r="AL581" s="521">
        <v>2.6312700000000002</v>
      </c>
      <c r="AM581" s="521">
        <v>2.5482900000000002</v>
      </c>
      <c r="AN581" s="521">
        <v>2.4745599999999999</v>
      </c>
      <c r="AO581" s="521">
        <v>2.41134</v>
      </c>
      <c r="AP581" s="521">
        <v>2.3561999999999999</v>
      </c>
      <c r="AQ581" s="521">
        <v>2.30965</v>
      </c>
      <c r="AR581" s="521">
        <v>2.27122</v>
      </c>
      <c r="AS581" s="521">
        <v>2.2406600000000001</v>
      </c>
      <c r="AT581" s="521">
        <v>2.2161499999999998</v>
      </c>
      <c r="AU581" s="521">
        <v>2.1999300000000002</v>
      </c>
    </row>
    <row r="582" spans="1:58" s="2" customFormat="1" x14ac:dyDescent="0.35">
      <c r="A582" s="518" t="s">
        <v>146</v>
      </c>
      <c r="B582" s="521">
        <v>0.22110199999999999</v>
      </c>
      <c r="C582" s="521">
        <v>0.22099099999999999</v>
      </c>
      <c r="D582" s="521">
        <v>0.22331799999999999</v>
      </c>
      <c r="E582" s="521">
        <v>0.21576200000000001</v>
      </c>
      <c r="F582" s="521">
        <v>0.19717100000000001</v>
      </c>
      <c r="G582" s="521">
        <v>0.220531</v>
      </c>
      <c r="H582" s="521">
        <v>0.257544</v>
      </c>
      <c r="I582" s="521">
        <v>0.25759399999999999</v>
      </c>
      <c r="J582" s="521">
        <v>0.25395299999999998</v>
      </c>
      <c r="K582" s="521">
        <v>0.24765599999999999</v>
      </c>
      <c r="L582" s="521">
        <v>0.24496699999999999</v>
      </c>
      <c r="M582" s="521">
        <v>0.23542299999999999</v>
      </c>
      <c r="N582" s="521">
        <v>0.22623199999999999</v>
      </c>
      <c r="O582" s="521">
        <v>0.226933</v>
      </c>
      <c r="P582" s="521">
        <v>0.23402600000000001</v>
      </c>
      <c r="Q582" s="521">
        <v>0.24538299999999999</v>
      </c>
      <c r="R582" s="521">
        <v>0.74173699999999998</v>
      </c>
      <c r="S582" s="521">
        <v>1.0966800000000001</v>
      </c>
      <c r="T582" s="521">
        <v>1.3368800000000001</v>
      </c>
      <c r="U582" s="521">
        <v>1.5402800000000001</v>
      </c>
      <c r="V582" s="521">
        <v>1.7251000000000001</v>
      </c>
      <c r="W582" s="521">
        <v>1.8980300000000001</v>
      </c>
      <c r="X582" s="521">
        <v>2.0621100000000001</v>
      </c>
      <c r="Y582" s="521">
        <v>2.2197900000000002</v>
      </c>
      <c r="Z582" s="521">
        <v>2.3719800000000002</v>
      </c>
      <c r="AA582" s="521">
        <v>2.5187900000000001</v>
      </c>
      <c r="AB582" s="521">
        <v>2.6615000000000002</v>
      </c>
      <c r="AC582" s="521">
        <v>2.80057</v>
      </c>
      <c r="AD582" s="521">
        <v>2.9353799999999999</v>
      </c>
      <c r="AE582" s="521">
        <v>3.06636</v>
      </c>
      <c r="AF582" s="521">
        <v>3.0610379999999999</v>
      </c>
      <c r="AG582" s="521">
        <v>3.0557159999999999</v>
      </c>
      <c r="AH582" s="521">
        <v>3.90998</v>
      </c>
      <c r="AI582" s="521">
        <v>3.8214000000000001</v>
      </c>
      <c r="AJ582" s="521">
        <v>3.3460399999999999</v>
      </c>
      <c r="AK582" s="521">
        <v>2.7643200000000001</v>
      </c>
      <c r="AL582" s="521">
        <v>2.5118299999999998</v>
      </c>
      <c r="AM582" s="521">
        <v>2.4441099999999998</v>
      </c>
      <c r="AN582" s="521">
        <v>2.4012199999999999</v>
      </c>
      <c r="AO582" s="521">
        <v>2.3581300000000001</v>
      </c>
      <c r="AP582" s="521">
        <v>2.3148499999999999</v>
      </c>
      <c r="AQ582" s="521">
        <v>2.28173</v>
      </c>
      <c r="AR582" s="521">
        <v>2.25875</v>
      </c>
      <c r="AS582" s="521">
        <v>2.2451099999999999</v>
      </c>
      <c r="AT582" s="521">
        <v>2.23549</v>
      </c>
      <c r="AU582" s="521">
        <v>2.2337099999999999</v>
      </c>
    </row>
    <row r="583" spans="1:58" s="2" customFormat="1" x14ac:dyDescent="0.35">
      <c r="A583" s="518" t="s">
        <v>89</v>
      </c>
      <c r="B583" s="521">
        <v>2.41886</v>
      </c>
      <c r="C583" s="521">
        <v>2.4843999999999999</v>
      </c>
      <c r="D583" s="521">
        <v>2.6131700000000002</v>
      </c>
      <c r="E583" s="521">
        <v>2.6463399999999999</v>
      </c>
      <c r="F583" s="521">
        <v>2.64534</v>
      </c>
      <c r="G583" s="521">
        <v>2.6535299999999999</v>
      </c>
      <c r="H583" s="521">
        <v>2.6334599999999999</v>
      </c>
      <c r="I583" s="521">
        <v>2.6542699999999999</v>
      </c>
      <c r="J583" s="521">
        <v>2.7279499999999999</v>
      </c>
      <c r="K583" s="521">
        <v>2.7968799999999998</v>
      </c>
      <c r="L583" s="521">
        <v>2.8259500000000002</v>
      </c>
      <c r="M583" s="521">
        <v>2.8378399999999999</v>
      </c>
      <c r="N583" s="521">
        <v>2.9386000000000001</v>
      </c>
      <c r="O583" s="521">
        <v>2.9834700000000001</v>
      </c>
      <c r="P583" s="521">
        <v>3.0242800000000001</v>
      </c>
      <c r="Q583" s="521">
        <v>3.1056400000000002</v>
      </c>
      <c r="R583" s="521">
        <v>3.3257400000000001</v>
      </c>
      <c r="S583" s="521">
        <v>3.5049600000000001</v>
      </c>
      <c r="T583" s="521">
        <v>3.6470099999999999</v>
      </c>
      <c r="U583" s="521">
        <v>3.7757399999999999</v>
      </c>
      <c r="V583" s="521">
        <v>3.8911799999999999</v>
      </c>
      <c r="W583" s="521">
        <v>4.0003799999999998</v>
      </c>
      <c r="X583" s="521">
        <v>4.1004500000000004</v>
      </c>
      <c r="Y583" s="521">
        <v>4.1945100000000002</v>
      </c>
      <c r="Z583" s="521">
        <v>4.2854599999999996</v>
      </c>
      <c r="AA583" s="521">
        <v>4.3695199999999996</v>
      </c>
      <c r="AB583" s="521">
        <v>4.4530900000000004</v>
      </c>
      <c r="AC583" s="521">
        <v>4.5322300000000002</v>
      </c>
      <c r="AD583" s="521">
        <v>4.609</v>
      </c>
      <c r="AE583" s="521">
        <v>4.6849400000000001</v>
      </c>
      <c r="AF583" s="521">
        <v>4.6796180000000005</v>
      </c>
      <c r="AG583" s="521">
        <v>4.674296</v>
      </c>
      <c r="AH583" s="521">
        <v>4.2355700000000001</v>
      </c>
      <c r="AI583" s="521">
        <v>4.0174599999999998</v>
      </c>
      <c r="AJ583" s="521">
        <v>3.8036099999999999</v>
      </c>
      <c r="AK583" s="521">
        <v>3.5814499999999998</v>
      </c>
      <c r="AL583" s="521">
        <v>3.41947</v>
      </c>
      <c r="AM583" s="521">
        <v>3.2808999999999999</v>
      </c>
      <c r="AN583" s="521">
        <v>3.1586599999999998</v>
      </c>
      <c r="AO583" s="521">
        <v>3.0504899999999999</v>
      </c>
      <c r="AP583" s="521">
        <v>2.95404</v>
      </c>
      <c r="AQ583" s="521">
        <v>2.86877</v>
      </c>
      <c r="AR583" s="521">
        <v>2.7945199999999999</v>
      </c>
      <c r="AS583" s="521">
        <v>2.7309600000000001</v>
      </c>
      <c r="AT583" s="521">
        <v>2.6751999999999998</v>
      </c>
      <c r="AU583" s="521">
        <v>2.6255099999999998</v>
      </c>
    </row>
    <row r="584" spans="1:58" s="2" customFormat="1" x14ac:dyDescent="0.35">
      <c r="A584" s="518" t="s">
        <v>90</v>
      </c>
      <c r="B584" s="521">
        <v>17.180099999999999</v>
      </c>
      <c r="C584" s="521">
        <v>17.305099999999999</v>
      </c>
      <c r="D584" s="521">
        <v>17.4542</v>
      </c>
      <c r="E584" s="521">
        <v>17.625299999999999</v>
      </c>
      <c r="F584" s="521">
        <v>17.789200000000001</v>
      </c>
      <c r="G584" s="521">
        <v>17.953099999999999</v>
      </c>
      <c r="H584" s="521">
        <v>18.1111</v>
      </c>
      <c r="I584" s="521">
        <v>18.278400000000001</v>
      </c>
      <c r="J584" s="521">
        <v>18.454799999999999</v>
      </c>
      <c r="K584" s="521">
        <v>18.630500000000001</v>
      </c>
      <c r="L584" s="521">
        <v>18.811199999999999</v>
      </c>
      <c r="M584" s="521">
        <v>19.1355</v>
      </c>
      <c r="N584" s="521">
        <v>19.456700000000001</v>
      </c>
      <c r="O584" s="521">
        <v>19.898</v>
      </c>
      <c r="P584" s="521">
        <v>20.368099999999998</v>
      </c>
      <c r="Q584" s="521">
        <v>20.934100000000001</v>
      </c>
      <c r="R584" s="521">
        <v>21.482800000000001</v>
      </c>
      <c r="S584" s="521">
        <v>22.132899999999999</v>
      </c>
      <c r="T584" s="521">
        <v>22.793299999999999</v>
      </c>
      <c r="U584" s="521">
        <v>23.443999999999999</v>
      </c>
      <c r="V584" s="521">
        <v>24.110199999999999</v>
      </c>
      <c r="W584" s="521">
        <v>24.773299999999999</v>
      </c>
      <c r="X584" s="521">
        <v>25.443300000000001</v>
      </c>
      <c r="Y584" s="521">
        <v>26.123200000000001</v>
      </c>
      <c r="Z584" s="521">
        <v>26.809200000000001</v>
      </c>
      <c r="AA584" s="521">
        <v>27.505500000000001</v>
      </c>
      <c r="AB584" s="521">
        <v>28.221800000000002</v>
      </c>
      <c r="AC584" s="521">
        <v>28.948</v>
      </c>
      <c r="AD584" s="521">
        <v>29.6754</v>
      </c>
      <c r="AE584" s="521">
        <v>30.393799999999999</v>
      </c>
      <c r="AF584" s="521">
        <v>30.646342857142855</v>
      </c>
      <c r="AG584" s="521">
        <v>30.898885714285711</v>
      </c>
      <c r="AH584" s="521">
        <v>31.151428571428571</v>
      </c>
      <c r="AI584" s="521">
        <v>31.403971428571428</v>
      </c>
      <c r="AJ584" s="521">
        <v>31.656514285714284</v>
      </c>
      <c r="AK584" s="521">
        <v>31.90905714285714</v>
      </c>
      <c r="AL584" s="521">
        <v>32.1616</v>
      </c>
      <c r="AM584" s="521">
        <v>31.3705</v>
      </c>
      <c r="AN584" s="521">
        <v>31.182600000000001</v>
      </c>
      <c r="AO584" s="521">
        <v>31.2515</v>
      </c>
      <c r="AP584" s="521">
        <v>31.5291</v>
      </c>
      <c r="AQ584" s="521">
        <v>31.959399999999999</v>
      </c>
      <c r="AR584" s="521">
        <v>32.563200000000002</v>
      </c>
      <c r="AS584" s="521">
        <v>33.283099999999997</v>
      </c>
      <c r="AT584" s="521">
        <v>34.0047</v>
      </c>
      <c r="AU584" s="521">
        <v>34.739199999999997</v>
      </c>
    </row>
    <row r="585" spans="1:58" s="2" customFormat="1" x14ac:dyDescent="0.35">
      <c r="A585" s="517" t="s">
        <v>2085</v>
      </c>
      <c r="B585" s="310" t="s">
        <v>2086</v>
      </c>
      <c r="C585" s="310" t="s">
        <v>2086</v>
      </c>
      <c r="D585" s="310" t="s">
        <v>2086</v>
      </c>
      <c r="E585" s="310" t="s">
        <v>2086</v>
      </c>
      <c r="F585" s="310" t="s">
        <v>2086</v>
      </c>
      <c r="G585" s="310" t="s">
        <v>2086</v>
      </c>
      <c r="H585" s="310" t="s">
        <v>2086</v>
      </c>
      <c r="I585" s="310" t="s">
        <v>2086</v>
      </c>
      <c r="J585" s="310" t="s">
        <v>2086</v>
      </c>
      <c r="K585" s="310" t="s">
        <v>2086</v>
      </c>
      <c r="L585" s="310" t="s">
        <v>2086</v>
      </c>
      <c r="M585" s="310" t="s">
        <v>2086</v>
      </c>
      <c r="N585" s="310" t="s">
        <v>2086</v>
      </c>
      <c r="O585" s="310" t="s">
        <v>2086</v>
      </c>
      <c r="P585" s="310" t="s">
        <v>2086</v>
      </c>
      <c r="Q585" s="310" t="s">
        <v>2086</v>
      </c>
      <c r="R585" s="310" t="s">
        <v>2086</v>
      </c>
      <c r="S585" s="310" t="s">
        <v>2086</v>
      </c>
      <c r="T585" s="310" t="s">
        <v>2086</v>
      </c>
      <c r="U585" s="310" t="s">
        <v>2086</v>
      </c>
      <c r="V585" s="310" t="s">
        <v>2086</v>
      </c>
      <c r="W585" s="310" t="s">
        <v>2086</v>
      </c>
      <c r="X585" s="310" t="s">
        <v>2086</v>
      </c>
      <c r="Y585" s="310" t="s">
        <v>2086</v>
      </c>
      <c r="Z585" s="310" t="s">
        <v>2086</v>
      </c>
      <c r="AA585" s="310" t="s">
        <v>2086</v>
      </c>
      <c r="AB585" s="310" t="s">
        <v>2086</v>
      </c>
      <c r="AC585" s="310" t="s">
        <v>2086</v>
      </c>
      <c r="AD585" s="310" t="s">
        <v>2086</v>
      </c>
      <c r="AE585" s="310" t="s">
        <v>2086</v>
      </c>
      <c r="AF585" s="310" t="s">
        <v>2086</v>
      </c>
      <c r="AG585" s="310" t="s">
        <v>2086</v>
      </c>
      <c r="AH585" s="310" t="s">
        <v>2086</v>
      </c>
      <c r="AI585" s="310" t="s">
        <v>2086</v>
      </c>
      <c r="AJ585" s="310" t="s">
        <v>2086</v>
      </c>
      <c r="AK585" s="310" t="s">
        <v>2086</v>
      </c>
      <c r="AL585" s="310" t="s">
        <v>2086</v>
      </c>
      <c r="AM585" s="310" t="s">
        <v>2086</v>
      </c>
      <c r="AN585" s="310" t="s">
        <v>2086</v>
      </c>
      <c r="AO585" s="310" t="s">
        <v>2086</v>
      </c>
      <c r="AP585" s="310" t="s">
        <v>2086</v>
      </c>
      <c r="AQ585" s="310" t="s">
        <v>2086</v>
      </c>
      <c r="AR585" s="310" t="s">
        <v>2086</v>
      </c>
      <c r="AS585" s="310" t="s">
        <v>2086</v>
      </c>
      <c r="AT585" s="310" t="s">
        <v>2086</v>
      </c>
      <c r="AU585" s="310" t="s">
        <v>2086</v>
      </c>
    </row>
    <row r="586" spans="1:58" s="2" customFormat="1" x14ac:dyDescent="0.35">
      <c r="A586" s="518" t="s">
        <v>143</v>
      </c>
      <c r="B586" s="522">
        <v>252336000</v>
      </c>
      <c r="C586" s="522">
        <v>252336000</v>
      </c>
      <c r="D586" s="522">
        <v>252336000</v>
      </c>
      <c r="E586" s="522">
        <v>252336000</v>
      </c>
      <c r="F586" s="522">
        <v>252336000</v>
      </c>
      <c r="G586" s="522">
        <v>252336000</v>
      </c>
      <c r="H586" s="522">
        <v>252336000</v>
      </c>
      <c r="I586" s="522">
        <v>252336000</v>
      </c>
      <c r="J586" s="522">
        <v>252336000</v>
      </c>
      <c r="K586" s="522">
        <v>252336000</v>
      </c>
      <c r="L586" s="522">
        <v>252336000</v>
      </c>
      <c r="M586" s="522">
        <v>254479000</v>
      </c>
      <c r="N586" s="522">
        <v>255780000</v>
      </c>
      <c r="O586" s="522">
        <v>258352000</v>
      </c>
      <c r="P586" s="522">
        <v>261778000</v>
      </c>
      <c r="Q586" s="522">
        <v>265070000</v>
      </c>
      <c r="R586" s="522">
        <v>267919000</v>
      </c>
      <c r="S586" s="522">
        <v>270844000</v>
      </c>
      <c r="T586" s="522">
        <v>274179000</v>
      </c>
      <c r="U586" s="522">
        <v>277527000</v>
      </c>
      <c r="V586" s="522">
        <v>280708000</v>
      </c>
      <c r="W586" s="522">
        <v>283947000</v>
      </c>
      <c r="X586" s="522">
        <v>287334000</v>
      </c>
      <c r="Y586" s="522">
        <v>290725000</v>
      </c>
      <c r="Z586" s="522">
        <v>294047000</v>
      </c>
      <c r="AA586" s="522">
        <v>297407000</v>
      </c>
      <c r="AB586" s="522">
        <v>300892000</v>
      </c>
      <c r="AC586" s="522">
        <v>304385000</v>
      </c>
      <c r="AD586" s="522">
        <v>307996000</v>
      </c>
      <c r="AE586" s="522">
        <v>310810000</v>
      </c>
      <c r="AF586" s="522">
        <v>314433000</v>
      </c>
      <c r="AG586" s="522">
        <v>316662000</v>
      </c>
      <c r="AH586" s="522">
        <v>320324000</v>
      </c>
      <c r="AI586" s="522">
        <v>323665000</v>
      </c>
      <c r="AJ586" s="522">
        <v>327457000</v>
      </c>
      <c r="AK586" s="522">
        <v>331520000</v>
      </c>
      <c r="AL586" s="522">
        <v>335603000</v>
      </c>
      <c r="AM586" s="522">
        <v>339821000</v>
      </c>
      <c r="AN586" s="522">
        <v>344270000</v>
      </c>
      <c r="AO586" s="522">
        <v>348871000</v>
      </c>
      <c r="AP586" s="522">
        <v>353573000</v>
      </c>
      <c r="AQ586" s="522">
        <v>358375000</v>
      </c>
      <c r="AR586" s="522">
        <v>363304000</v>
      </c>
      <c r="AS586" s="522">
        <v>368387000</v>
      </c>
      <c r="AT586" s="522">
        <v>373472000</v>
      </c>
      <c r="AU586" s="522">
        <v>378583000</v>
      </c>
      <c r="AV586" s="523"/>
      <c r="AW586" s="523"/>
      <c r="AX586" s="523"/>
      <c r="AY586" s="523"/>
      <c r="AZ586" s="523"/>
      <c r="BA586" s="523"/>
      <c r="BB586" s="523"/>
      <c r="BC586" s="523"/>
      <c r="BD586" s="523"/>
      <c r="BE586" s="523"/>
      <c r="BF586" s="523"/>
    </row>
    <row r="587" spans="1:58" s="2" customFormat="1" x14ac:dyDescent="0.35">
      <c r="A587" s="518" t="s">
        <v>83</v>
      </c>
      <c r="B587" s="522">
        <v>6107200</v>
      </c>
      <c r="C587" s="522">
        <v>6107200</v>
      </c>
      <c r="D587" s="522">
        <v>6107200</v>
      </c>
      <c r="E587" s="522">
        <v>6107200</v>
      </c>
      <c r="F587" s="522">
        <v>6107200</v>
      </c>
      <c r="G587" s="522">
        <v>6107200</v>
      </c>
      <c r="H587" s="522">
        <v>6107200</v>
      </c>
      <c r="I587" s="522">
        <v>6107200</v>
      </c>
      <c r="J587" s="522">
        <v>6107200</v>
      </c>
      <c r="K587" s="522">
        <v>6107200</v>
      </c>
      <c r="L587" s="522">
        <v>6107200</v>
      </c>
      <c r="M587" s="522">
        <v>6155500</v>
      </c>
      <c r="N587" s="522">
        <v>6220580</v>
      </c>
      <c r="O587" s="522">
        <v>6310950</v>
      </c>
      <c r="P587" s="522">
        <v>6420190</v>
      </c>
      <c r="Q587" s="522">
        <v>6543200</v>
      </c>
      <c r="R587" s="522">
        <v>6668070</v>
      </c>
      <c r="S587" s="522">
        <v>6796810</v>
      </c>
      <c r="T587" s="522">
        <v>6937950</v>
      </c>
      <c r="U587" s="522">
        <v>7082660</v>
      </c>
      <c r="V587" s="522">
        <v>7226460</v>
      </c>
      <c r="W587" s="522">
        <v>7372050</v>
      </c>
      <c r="X587" s="522">
        <v>7519920</v>
      </c>
      <c r="Y587" s="522">
        <v>7667560</v>
      </c>
      <c r="Z587" s="522">
        <v>7814740</v>
      </c>
      <c r="AA587" s="522">
        <v>7963590</v>
      </c>
      <c r="AB587" s="522">
        <v>8113540</v>
      </c>
      <c r="AC587" s="522">
        <v>8261910</v>
      </c>
      <c r="AD587" s="522">
        <v>8413570</v>
      </c>
      <c r="AE587" s="522">
        <v>8547660</v>
      </c>
      <c r="AF587" s="522">
        <v>8701720</v>
      </c>
      <c r="AG587" s="522">
        <v>8822370</v>
      </c>
      <c r="AH587" s="522">
        <v>8976730</v>
      </c>
      <c r="AI587" s="522">
        <v>9114900</v>
      </c>
      <c r="AJ587" s="522">
        <v>9261990</v>
      </c>
      <c r="AK587" s="522">
        <v>9408470</v>
      </c>
      <c r="AL587" s="522">
        <v>9547890</v>
      </c>
      <c r="AM587" s="522">
        <v>9687700</v>
      </c>
      <c r="AN587" s="522">
        <v>9831170</v>
      </c>
      <c r="AO587" s="522">
        <v>9974590</v>
      </c>
      <c r="AP587" s="522">
        <v>10118800</v>
      </c>
      <c r="AQ587" s="522">
        <v>10266000</v>
      </c>
      <c r="AR587" s="522">
        <v>10417200</v>
      </c>
      <c r="AS587" s="522">
        <v>10571600</v>
      </c>
      <c r="AT587" s="522">
        <v>10728600</v>
      </c>
      <c r="AU587" s="522">
        <v>10888600</v>
      </c>
      <c r="AV587" s="523"/>
      <c r="AW587" s="523"/>
      <c r="AX587" s="523"/>
      <c r="AY587" s="523"/>
      <c r="AZ587" s="523"/>
      <c r="BA587" s="523"/>
      <c r="BB587" s="523"/>
      <c r="BC587" s="523"/>
      <c r="BD587" s="523"/>
      <c r="BE587" s="523"/>
      <c r="BF587" s="523"/>
    </row>
    <row r="588" spans="1:58" s="2" customFormat="1" x14ac:dyDescent="0.35">
      <c r="A588" s="518" t="s">
        <v>144</v>
      </c>
      <c r="B588" s="522">
        <v>148600000</v>
      </c>
      <c r="C588" s="522">
        <v>148600000</v>
      </c>
      <c r="D588" s="522">
        <v>148600000</v>
      </c>
      <c r="E588" s="522">
        <v>148600000</v>
      </c>
      <c r="F588" s="522">
        <v>148600000</v>
      </c>
      <c r="G588" s="522">
        <v>148600000</v>
      </c>
      <c r="H588" s="522">
        <v>148600000</v>
      </c>
      <c r="I588" s="522">
        <v>148600000</v>
      </c>
      <c r="J588" s="522">
        <v>148600000</v>
      </c>
      <c r="K588" s="522">
        <v>148600000</v>
      </c>
      <c r="L588" s="522">
        <v>148600000</v>
      </c>
      <c r="M588" s="522">
        <v>144907000</v>
      </c>
      <c r="N588" s="522">
        <v>147095000</v>
      </c>
      <c r="O588" s="522">
        <v>149704000</v>
      </c>
      <c r="P588" s="522">
        <v>152817000</v>
      </c>
      <c r="Q588" s="522">
        <v>156530000</v>
      </c>
      <c r="R588" s="522">
        <v>160701000</v>
      </c>
      <c r="S588" s="522">
        <v>165140000</v>
      </c>
      <c r="T588" s="522">
        <v>169841000</v>
      </c>
      <c r="U588" s="522">
        <v>174819000</v>
      </c>
      <c r="V588" s="522">
        <v>180035000</v>
      </c>
      <c r="W588" s="522">
        <v>185439000</v>
      </c>
      <c r="X588" s="522">
        <v>191009000</v>
      </c>
      <c r="Y588" s="522">
        <v>196730000</v>
      </c>
      <c r="Z588" s="522">
        <v>202593000</v>
      </c>
      <c r="AA588" s="522">
        <v>208591000</v>
      </c>
      <c r="AB588" s="522">
        <v>214722000</v>
      </c>
      <c r="AC588" s="522">
        <v>220914000</v>
      </c>
      <c r="AD588" s="522">
        <v>227286000</v>
      </c>
      <c r="AE588" s="522">
        <v>232817000</v>
      </c>
      <c r="AF588" s="522">
        <v>239458000</v>
      </c>
      <c r="AG588" s="522">
        <v>244282000</v>
      </c>
      <c r="AH588" s="522">
        <v>251325000</v>
      </c>
      <c r="AI588" s="522">
        <v>257434000</v>
      </c>
      <c r="AJ588" s="522">
        <v>263971000</v>
      </c>
      <c r="AK588" s="522">
        <v>270677000</v>
      </c>
      <c r="AL588" s="522">
        <v>277426000</v>
      </c>
      <c r="AM588" s="522">
        <v>284354000</v>
      </c>
      <c r="AN588" s="522">
        <v>291481000</v>
      </c>
      <c r="AO588" s="522">
        <v>298759000</v>
      </c>
      <c r="AP588" s="522">
        <v>306194000</v>
      </c>
      <c r="AQ588" s="522">
        <v>313714000</v>
      </c>
      <c r="AR588" s="522">
        <v>321290000</v>
      </c>
      <c r="AS588" s="522">
        <v>328912000</v>
      </c>
      <c r="AT588" s="522">
        <v>336425000</v>
      </c>
      <c r="AU588" s="522">
        <v>343893000</v>
      </c>
      <c r="AV588" s="523"/>
      <c r="AW588" s="523"/>
      <c r="AX588" s="523"/>
      <c r="AY588" s="523"/>
      <c r="AZ588" s="523"/>
      <c r="BA588" s="523"/>
      <c r="BB588" s="523"/>
      <c r="BC588" s="523"/>
      <c r="BD588" s="523"/>
      <c r="BE588" s="523"/>
      <c r="BF588" s="523"/>
    </row>
    <row r="589" spans="1:58" s="2" customFormat="1" x14ac:dyDescent="0.35">
      <c r="A589" s="518" t="s">
        <v>85</v>
      </c>
      <c r="B589" s="522">
        <v>160176000</v>
      </c>
      <c r="C589" s="522">
        <v>160176000</v>
      </c>
      <c r="D589" s="522">
        <v>160176000</v>
      </c>
      <c r="E589" s="522">
        <v>160176000</v>
      </c>
      <c r="F589" s="522">
        <v>160176000</v>
      </c>
      <c r="G589" s="522">
        <v>160176000</v>
      </c>
      <c r="H589" s="522">
        <v>160176000</v>
      </c>
      <c r="I589" s="522">
        <v>160176000</v>
      </c>
      <c r="J589" s="522">
        <v>160176000</v>
      </c>
      <c r="K589" s="522">
        <v>160176000</v>
      </c>
      <c r="L589" s="522">
        <v>160176000</v>
      </c>
      <c r="M589" s="522">
        <v>161718000</v>
      </c>
      <c r="N589" s="522">
        <v>164599000</v>
      </c>
      <c r="O589" s="522">
        <v>167242000</v>
      </c>
      <c r="P589" s="522">
        <v>169930000</v>
      </c>
      <c r="Q589" s="522">
        <v>173863000</v>
      </c>
      <c r="R589" s="522">
        <v>178144000</v>
      </c>
      <c r="S589" s="522">
        <v>182406000</v>
      </c>
      <c r="T589" s="522">
        <v>186951000</v>
      </c>
      <c r="U589" s="522">
        <v>191809000</v>
      </c>
      <c r="V589" s="522">
        <v>196798000</v>
      </c>
      <c r="W589" s="522">
        <v>201873000</v>
      </c>
      <c r="X589" s="522">
        <v>207039000</v>
      </c>
      <c r="Y589" s="522">
        <v>212231000</v>
      </c>
      <c r="Z589" s="522">
        <v>217391000</v>
      </c>
      <c r="AA589" s="522">
        <v>222520000</v>
      </c>
      <c r="AB589" s="522">
        <v>227629000</v>
      </c>
      <c r="AC589" s="522">
        <v>232581000</v>
      </c>
      <c r="AD589" s="522">
        <v>237539000</v>
      </c>
      <c r="AE589" s="522">
        <v>240541000</v>
      </c>
      <c r="AF589" s="522">
        <v>244547000</v>
      </c>
      <c r="AG589" s="522">
        <v>244799000</v>
      </c>
      <c r="AH589" s="522">
        <v>247852000</v>
      </c>
      <c r="AI589" s="522">
        <v>249878000</v>
      </c>
      <c r="AJ589" s="522">
        <v>252494000</v>
      </c>
      <c r="AK589" s="522">
        <v>255400000</v>
      </c>
      <c r="AL589" s="522">
        <v>258273000</v>
      </c>
      <c r="AM589" s="522">
        <v>261191000</v>
      </c>
      <c r="AN589" s="522">
        <v>264175000</v>
      </c>
      <c r="AO589" s="522">
        <v>267222000</v>
      </c>
      <c r="AP589" s="522">
        <v>270380000</v>
      </c>
      <c r="AQ589" s="522">
        <v>273516000</v>
      </c>
      <c r="AR589" s="522">
        <v>276694000</v>
      </c>
      <c r="AS589" s="522">
        <v>279964000</v>
      </c>
      <c r="AT589" s="522">
        <v>283106000</v>
      </c>
      <c r="AU589" s="522">
        <v>286252000</v>
      </c>
      <c r="AV589" s="523"/>
      <c r="AW589" s="523"/>
      <c r="AX589" s="523"/>
      <c r="AY589" s="523"/>
      <c r="AZ589" s="523"/>
      <c r="BA589" s="523"/>
      <c r="BB589" s="523"/>
      <c r="BC589" s="523"/>
      <c r="BD589" s="523"/>
      <c r="BE589" s="523"/>
      <c r="BF589" s="523"/>
    </row>
    <row r="590" spans="1:58" s="2" customFormat="1" x14ac:dyDescent="0.35">
      <c r="A590" s="518" t="s">
        <v>145</v>
      </c>
      <c r="B590" s="522">
        <v>43113100</v>
      </c>
      <c r="C590" s="522">
        <v>43113100</v>
      </c>
      <c r="D590" s="522">
        <v>43113100</v>
      </c>
      <c r="E590" s="522">
        <v>43113100</v>
      </c>
      <c r="F590" s="522">
        <v>43113100</v>
      </c>
      <c r="G590" s="522">
        <v>43113100</v>
      </c>
      <c r="H590" s="522">
        <v>43113100</v>
      </c>
      <c r="I590" s="522">
        <v>43113100</v>
      </c>
      <c r="J590" s="522">
        <v>43113100</v>
      </c>
      <c r="K590" s="522">
        <v>43113100</v>
      </c>
      <c r="L590" s="522">
        <v>43113100</v>
      </c>
      <c r="M590" s="522">
        <v>43560900</v>
      </c>
      <c r="N590" s="522">
        <v>43945500</v>
      </c>
      <c r="O590" s="522">
        <v>44583500</v>
      </c>
      <c r="P590" s="522">
        <v>45420500</v>
      </c>
      <c r="Q590" s="522">
        <v>46342300</v>
      </c>
      <c r="R590" s="522">
        <v>47258600</v>
      </c>
      <c r="S590" s="522">
        <v>48184500</v>
      </c>
      <c r="T590" s="522">
        <v>49139600</v>
      </c>
      <c r="U590" s="522">
        <v>50119500</v>
      </c>
      <c r="V590" s="522">
        <v>51120000</v>
      </c>
      <c r="W590" s="522">
        <v>52157000</v>
      </c>
      <c r="X590" s="522">
        <v>53228900</v>
      </c>
      <c r="Y590" s="522">
        <v>54324700</v>
      </c>
      <c r="Z590" s="522">
        <v>55435500</v>
      </c>
      <c r="AA590" s="522">
        <v>56546700</v>
      </c>
      <c r="AB590" s="522">
        <v>57653500</v>
      </c>
      <c r="AC590" s="522">
        <v>58718200</v>
      </c>
      <c r="AD590" s="522">
        <v>59772400</v>
      </c>
      <c r="AE590" s="522">
        <v>60372500</v>
      </c>
      <c r="AF590" s="522">
        <v>61179900</v>
      </c>
      <c r="AG590" s="522">
        <v>61178900</v>
      </c>
      <c r="AH590" s="522">
        <v>61546200</v>
      </c>
      <c r="AI590" s="522">
        <v>61546200</v>
      </c>
      <c r="AJ590" s="522">
        <v>61478900</v>
      </c>
      <c r="AK590" s="522">
        <v>61368800</v>
      </c>
      <c r="AL590" s="522">
        <v>61236800</v>
      </c>
      <c r="AM590" s="522">
        <v>61114700</v>
      </c>
      <c r="AN590" s="522">
        <v>61001800</v>
      </c>
      <c r="AO590" s="522">
        <v>60947600</v>
      </c>
      <c r="AP590" s="522">
        <v>61014400</v>
      </c>
      <c r="AQ590" s="522">
        <v>61195600</v>
      </c>
      <c r="AR590" s="522">
        <v>61500900</v>
      </c>
      <c r="AS590" s="522">
        <v>61914900</v>
      </c>
      <c r="AT590" s="522">
        <v>62339400</v>
      </c>
      <c r="AU590" s="522">
        <v>62762200</v>
      </c>
      <c r="AV590" s="523"/>
      <c r="AW590" s="523"/>
      <c r="AX590" s="523"/>
      <c r="AY590" s="523"/>
      <c r="AZ590" s="523"/>
      <c r="BA590" s="523"/>
      <c r="BB590" s="523"/>
      <c r="BC590" s="523"/>
      <c r="BD590" s="523"/>
      <c r="BE590" s="523"/>
      <c r="BF590" s="523"/>
    </row>
    <row r="591" spans="1:58" s="2" customFormat="1" x14ac:dyDescent="0.35">
      <c r="A591" s="518" t="s">
        <v>87</v>
      </c>
      <c r="B591" s="522">
        <v>144640000</v>
      </c>
      <c r="C591" s="522">
        <v>144640000</v>
      </c>
      <c r="D591" s="522">
        <v>144640000</v>
      </c>
      <c r="E591" s="522">
        <v>144640000</v>
      </c>
      <c r="F591" s="522">
        <v>144640000</v>
      </c>
      <c r="G591" s="522">
        <v>144640000</v>
      </c>
      <c r="H591" s="522">
        <v>144640000</v>
      </c>
      <c r="I591" s="522">
        <v>144640000</v>
      </c>
      <c r="J591" s="522">
        <v>144640000</v>
      </c>
      <c r="K591" s="522">
        <v>144640000</v>
      </c>
      <c r="L591" s="522">
        <v>144640000</v>
      </c>
      <c r="M591" s="522">
        <v>145813000</v>
      </c>
      <c r="N591" s="522">
        <v>147003000</v>
      </c>
      <c r="O591" s="522">
        <v>148928000</v>
      </c>
      <c r="P591" s="522">
        <v>151258000</v>
      </c>
      <c r="Q591" s="522">
        <v>153750000</v>
      </c>
      <c r="R591" s="522">
        <v>156304000</v>
      </c>
      <c r="S591" s="522">
        <v>158942000</v>
      </c>
      <c r="T591" s="522">
        <v>161680000</v>
      </c>
      <c r="U591" s="522">
        <v>164453000</v>
      </c>
      <c r="V591" s="522">
        <v>167187000</v>
      </c>
      <c r="W591" s="522">
        <v>169917000</v>
      </c>
      <c r="X591" s="522">
        <v>172667000</v>
      </c>
      <c r="Y591" s="522">
        <v>175091000</v>
      </c>
      <c r="Z591" s="522">
        <v>177235000</v>
      </c>
      <c r="AA591" s="522">
        <v>179164000</v>
      </c>
      <c r="AB591" s="522">
        <v>180882000</v>
      </c>
      <c r="AC591" s="522">
        <v>182334000</v>
      </c>
      <c r="AD591" s="522">
        <v>183604000</v>
      </c>
      <c r="AE591" s="522">
        <v>184005000</v>
      </c>
      <c r="AF591" s="522">
        <v>184429000</v>
      </c>
      <c r="AG591" s="522">
        <v>183533000</v>
      </c>
      <c r="AH591" s="522">
        <v>183293000</v>
      </c>
      <c r="AI591" s="522">
        <v>182732000</v>
      </c>
      <c r="AJ591" s="522">
        <v>182185000</v>
      </c>
      <c r="AK591" s="522">
        <v>181560000</v>
      </c>
      <c r="AL591" s="522">
        <v>180779000</v>
      </c>
      <c r="AM591" s="522">
        <v>179927000</v>
      </c>
      <c r="AN591" s="522">
        <v>179017000</v>
      </c>
      <c r="AO591" s="522">
        <v>178041000</v>
      </c>
      <c r="AP591" s="522">
        <v>177020000</v>
      </c>
      <c r="AQ591" s="522">
        <v>175974000</v>
      </c>
      <c r="AR591" s="522">
        <v>174950000</v>
      </c>
      <c r="AS591" s="522">
        <v>173909000</v>
      </c>
      <c r="AT591" s="522">
        <v>172772000</v>
      </c>
      <c r="AU591" s="522">
        <v>171586000</v>
      </c>
      <c r="AV591" s="523"/>
      <c r="AW591" s="523"/>
      <c r="AX591" s="523"/>
      <c r="AY591" s="523"/>
      <c r="AZ591" s="523"/>
      <c r="BA591" s="523"/>
      <c r="BB591" s="523"/>
      <c r="BC591" s="523"/>
      <c r="BD591" s="523"/>
      <c r="BE591" s="523"/>
      <c r="BF591" s="523"/>
    </row>
    <row r="592" spans="1:58" s="2" customFormat="1" x14ac:dyDescent="0.35">
      <c r="A592" s="518" t="s">
        <v>146</v>
      </c>
      <c r="B592" s="522">
        <v>120547000</v>
      </c>
      <c r="C592" s="522">
        <v>120547000</v>
      </c>
      <c r="D592" s="522">
        <v>120547000</v>
      </c>
      <c r="E592" s="522">
        <v>120547000</v>
      </c>
      <c r="F592" s="522">
        <v>120547000</v>
      </c>
      <c r="G592" s="522">
        <v>120547000</v>
      </c>
      <c r="H592" s="522">
        <v>120547000</v>
      </c>
      <c r="I592" s="522">
        <v>120547000</v>
      </c>
      <c r="J592" s="522">
        <v>120547000</v>
      </c>
      <c r="K592" s="522">
        <v>120547000</v>
      </c>
      <c r="L592" s="522">
        <v>120547000</v>
      </c>
      <c r="M592" s="522">
        <v>115212000</v>
      </c>
      <c r="N592" s="522">
        <v>112499000</v>
      </c>
      <c r="O592" s="522">
        <v>110946000</v>
      </c>
      <c r="P592" s="522">
        <v>112368000</v>
      </c>
      <c r="Q592" s="522">
        <v>114867000</v>
      </c>
      <c r="R592" s="522">
        <v>117025000</v>
      </c>
      <c r="S592" s="522">
        <v>119386000</v>
      </c>
      <c r="T592" s="522">
        <v>122278000</v>
      </c>
      <c r="U592" s="522">
        <v>125254000</v>
      </c>
      <c r="V592" s="522">
        <v>128171000</v>
      </c>
      <c r="W592" s="522">
        <v>131234000</v>
      </c>
      <c r="X592" s="522">
        <v>134445000</v>
      </c>
      <c r="Y592" s="522">
        <v>137672000</v>
      </c>
      <c r="Z592" s="522">
        <v>140932000</v>
      </c>
      <c r="AA592" s="522">
        <v>144278000</v>
      </c>
      <c r="AB592" s="522">
        <v>147705000</v>
      </c>
      <c r="AC592" s="522">
        <v>151145000</v>
      </c>
      <c r="AD592" s="522">
        <v>154730000</v>
      </c>
      <c r="AE592" s="522">
        <v>157647000</v>
      </c>
      <c r="AF592" s="522">
        <v>161600000</v>
      </c>
      <c r="AG592" s="522">
        <v>164040000</v>
      </c>
      <c r="AH592" s="522">
        <v>168452000</v>
      </c>
      <c r="AI592" s="522">
        <v>171764000</v>
      </c>
      <c r="AJ592" s="522">
        <v>175659000</v>
      </c>
      <c r="AK592" s="522">
        <v>179591000</v>
      </c>
      <c r="AL592" s="522">
        <v>183471000</v>
      </c>
      <c r="AM592" s="522">
        <v>187507000</v>
      </c>
      <c r="AN592" s="522">
        <v>191658000</v>
      </c>
      <c r="AO592" s="522">
        <v>195836000</v>
      </c>
      <c r="AP592" s="522">
        <v>200094000</v>
      </c>
      <c r="AQ592" s="522">
        <v>204429000</v>
      </c>
      <c r="AR592" s="522">
        <v>208846000</v>
      </c>
      <c r="AS592" s="522">
        <v>213341000</v>
      </c>
      <c r="AT592" s="522">
        <v>217818000</v>
      </c>
      <c r="AU592" s="522">
        <v>222370000</v>
      </c>
      <c r="AV592" s="523"/>
      <c r="AW592" s="523"/>
      <c r="AX592" s="523"/>
      <c r="AY592" s="523"/>
      <c r="AZ592" s="523"/>
      <c r="BA592" s="523"/>
      <c r="BB592" s="523"/>
      <c r="BC592" s="523"/>
      <c r="BD592" s="523"/>
      <c r="BE592" s="523"/>
      <c r="BF592" s="523"/>
    </row>
    <row r="593" spans="1:58" s="2" customFormat="1" x14ac:dyDescent="0.35">
      <c r="A593" s="518" t="s">
        <v>89</v>
      </c>
      <c r="B593" s="522">
        <v>350629000</v>
      </c>
      <c r="C593" s="522">
        <v>350629000</v>
      </c>
      <c r="D593" s="522">
        <v>350629000</v>
      </c>
      <c r="E593" s="522">
        <v>350629000</v>
      </c>
      <c r="F593" s="522">
        <v>350629000</v>
      </c>
      <c r="G593" s="522">
        <v>350629000</v>
      </c>
      <c r="H593" s="522">
        <v>350629000</v>
      </c>
      <c r="I593" s="522">
        <v>350629000</v>
      </c>
      <c r="J593" s="522">
        <v>350629000</v>
      </c>
      <c r="K593" s="522">
        <v>350629000</v>
      </c>
      <c r="L593" s="522">
        <v>350629000</v>
      </c>
      <c r="M593" s="522">
        <v>352693000</v>
      </c>
      <c r="N593" s="522">
        <v>356326000</v>
      </c>
      <c r="O593" s="522">
        <v>360798000</v>
      </c>
      <c r="P593" s="522">
        <v>366060000</v>
      </c>
      <c r="Q593" s="522">
        <v>372154000</v>
      </c>
      <c r="R593" s="522">
        <v>378518000</v>
      </c>
      <c r="S593" s="522">
        <v>384954000</v>
      </c>
      <c r="T593" s="522">
        <v>391754000</v>
      </c>
      <c r="U593" s="522">
        <v>398872000</v>
      </c>
      <c r="V593" s="522">
        <v>406091000</v>
      </c>
      <c r="W593" s="522">
        <v>413372000</v>
      </c>
      <c r="X593" s="522">
        <v>420718000</v>
      </c>
      <c r="Y593" s="522">
        <v>428054000</v>
      </c>
      <c r="Z593" s="522">
        <v>435276000</v>
      </c>
      <c r="AA593" s="522">
        <v>442341000</v>
      </c>
      <c r="AB593" s="522">
        <v>449224000</v>
      </c>
      <c r="AC593" s="522">
        <v>455818000</v>
      </c>
      <c r="AD593" s="522">
        <v>462160000</v>
      </c>
      <c r="AE593" s="522">
        <v>467331000</v>
      </c>
      <c r="AF593" s="522">
        <v>472163000</v>
      </c>
      <c r="AG593" s="522">
        <v>474673000</v>
      </c>
      <c r="AH593" s="522">
        <v>477573000</v>
      </c>
      <c r="AI593" s="522">
        <v>479558000</v>
      </c>
      <c r="AJ593" s="522">
        <v>481962000</v>
      </c>
      <c r="AK593" s="522">
        <v>484531000</v>
      </c>
      <c r="AL593" s="522">
        <v>486917000</v>
      </c>
      <c r="AM593" s="522">
        <v>489082000</v>
      </c>
      <c r="AN593" s="522">
        <v>491058000</v>
      </c>
      <c r="AO593" s="522">
        <v>492825000</v>
      </c>
      <c r="AP593" s="522">
        <v>494513000</v>
      </c>
      <c r="AQ593" s="522">
        <v>496112000</v>
      </c>
      <c r="AR593" s="522">
        <v>497652000</v>
      </c>
      <c r="AS593" s="522">
        <v>499160000</v>
      </c>
      <c r="AT593" s="522">
        <v>500508000</v>
      </c>
      <c r="AU593" s="522">
        <v>501731000</v>
      </c>
      <c r="AV593" s="523"/>
      <c r="AW593" s="523"/>
      <c r="AX593" s="523"/>
      <c r="AY593" s="523"/>
      <c r="AZ593" s="523"/>
      <c r="BA593" s="523"/>
      <c r="BB593" s="523"/>
      <c r="BC593" s="523"/>
      <c r="BD593" s="523"/>
      <c r="BE593" s="523"/>
      <c r="BF593" s="523"/>
    </row>
    <row r="594" spans="1:58" s="2" customFormat="1" x14ac:dyDescent="0.35">
      <c r="A594" s="518" t="s">
        <v>90</v>
      </c>
      <c r="B594" s="522">
        <v>120332000</v>
      </c>
      <c r="C594" s="522">
        <v>120332000</v>
      </c>
      <c r="D594" s="522">
        <v>120332000</v>
      </c>
      <c r="E594" s="522">
        <v>120332000</v>
      </c>
      <c r="F594" s="522">
        <v>120332000</v>
      </c>
      <c r="G594" s="522">
        <v>120332000</v>
      </c>
      <c r="H594" s="522">
        <v>120332000</v>
      </c>
      <c r="I594" s="522">
        <v>120332000</v>
      </c>
      <c r="J594" s="522">
        <v>120332000</v>
      </c>
      <c r="K594" s="522">
        <v>120332000</v>
      </c>
      <c r="L594" s="522">
        <v>120332000</v>
      </c>
      <c r="M594" s="522">
        <v>121103000</v>
      </c>
      <c r="N594" s="522">
        <v>122708000</v>
      </c>
      <c r="O594" s="522">
        <v>125035000</v>
      </c>
      <c r="P594" s="522">
        <v>127799000</v>
      </c>
      <c r="Q594" s="522">
        <v>130852000</v>
      </c>
      <c r="R594" s="522">
        <v>134092000</v>
      </c>
      <c r="S594" s="522">
        <v>137503000</v>
      </c>
      <c r="T594" s="522">
        <v>141055000</v>
      </c>
      <c r="U594" s="522">
        <v>144684000</v>
      </c>
      <c r="V594" s="522">
        <v>148372000</v>
      </c>
      <c r="W594" s="522">
        <v>152147000</v>
      </c>
      <c r="X594" s="522">
        <v>155983000</v>
      </c>
      <c r="Y594" s="522">
        <v>159818000</v>
      </c>
      <c r="Z594" s="522">
        <v>163646000</v>
      </c>
      <c r="AA594" s="522">
        <v>167496000</v>
      </c>
      <c r="AB594" s="522">
        <v>171367000</v>
      </c>
      <c r="AC594" s="522">
        <v>175136000</v>
      </c>
      <c r="AD594" s="522">
        <v>178925000</v>
      </c>
      <c r="AE594" s="522">
        <v>181710000</v>
      </c>
      <c r="AF594" s="522">
        <v>185547000</v>
      </c>
      <c r="AG594" s="522">
        <v>187360000</v>
      </c>
      <c r="AH594" s="522">
        <v>191731000</v>
      </c>
      <c r="AI594" s="522">
        <v>194798000</v>
      </c>
      <c r="AJ594" s="522">
        <v>198221000</v>
      </c>
      <c r="AK594" s="522">
        <v>201684000</v>
      </c>
      <c r="AL594" s="522">
        <v>205074000</v>
      </c>
      <c r="AM594" s="522">
        <v>208513000</v>
      </c>
      <c r="AN594" s="522">
        <v>211998000</v>
      </c>
      <c r="AO594" s="522">
        <v>215548000</v>
      </c>
      <c r="AP594" s="522">
        <v>219257000</v>
      </c>
      <c r="AQ594" s="522">
        <v>223107000</v>
      </c>
      <c r="AR594" s="522">
        <v>227063000</v>
      </c>
      <c r="AS594" s="522">
        <v>231079000</v>
      </c>
      <c r="AT594" s="522">
        <v>234961000</v>
      </c>
      <c r="AU594" s="522">
        <v>238844000</v>
      </c>
      <c r="AV594" s="523"/>
      <c r="AW594" s="523"/>
      <c r="AX594" s="523"/>
      <c r="AY594" s="523"/>
      <c r="AZ594" s="523"/>
      <c r="BA594" s="523"/>
      <c r="BB594" s="523"/>
      <c r="BC594" s="523"/>
      <c r="BD594" s="523"/>
      <c r="BE594" s="523"/>
      <c r="BF594" s="523"/>
    </row>
    <row r="599" spans="1:58" x14ac:dyDescent="0.35">
      <c r="A599" s="298" t="s">
        <v>1377</v>
      </c>
    </row>
    <row r="600" spans="1:58" x14ac:dyDescent="0.35">
      <c r="A600" s="315" t="s">
        <v>1378</v>
      </c>
    </row>
    <row r="601" spans="1:58" x14ac:dyDescent="0.35">
      <c r="A601" s="309" t="s">
        <v>168</v>
      </c>
      <c r="B601" s="310" t="s">
        <v>169</v>
      </c>
    </row>
    <row r="602" spans="1:58" x14ac:dyDescent="0.35">
      <c r="A602" s="311">
        <v>0</v>
      </c>
      <c r="B602" s="329" t="s">
        <v>1379</v>
      </c>
    </row>
    <row r="603" spans="1:58" x14ac:dyDescent="0.35">
      <c r="A603" s="311">
        <v>1</v>
      </c>
      <c r="B603" s="329" t="s">
        <v>1380</v>
      </c>
    </row>
    <row r="604" spans="1:58" x14ac:dyDescent="0.35">
      <c r="A604" s="311">
        <v>2</v>
      </c>
      <c r="B604" s="329" t="s">
        <v>1381</v>
      </c>
    </row>
    <row r="605" spans="1:58" x14ac:dyDescent="0.35">
      <c r="A605" s="311">
        <v>3</v>
      </c>
      <c r="B605" s="329" t="s">
        <v>1382</v>
      </c>
    </row>
    <row r="606" spans="1:58" x14ac:dyDescent="0.35">
      <c r="A606" s="311">
        <v>4</v>
      </c>
      <c r="B606" s="329" t="s">
        <v>1383</v>
      </c>
    </row>
    <row r="607" spans="1:58" x14ac:dyDescent="0.35">
      <c r="A607" s="311">
        <v>5</v>
      </c>
      <c r="B607" s="329" t="s">
        <v>1384</v>
      </c>
    </row>
    <row r="608" spans="1:58" x14ac:dyDescent="0.35">
      <c r="A608" s="312" t="s">
        <v>170</v>
      </c>
      <c r="B608" s="303">
        <v>0</v>
      </c>
    </row>
    <row r="609" spans="1:47" s="243" customFormat="1" x14ac:dyDescent="0.35"/>
    <row r="610" spans="1:47" s="243" customFormat="1" x14ac:dyDescent="0.35">
      <c r="A610" s="298" t="s">
        <v>1609</v>
      </c>
      <c r="B610"/>
    </row>
    <row r="611" spans="1:47" s="243" customFormat="1" x14ac:dyDescent="0.35">
      <c r="A611" s="315" t="s">
        <v>1610</v>
      </c>
      <c r="B611"/>
    </row>
    <row r="612" spans="1:47" s="243" customFormat="1" x14ac:dyDescent="0.35">
      <c r="A612" s="309" t="s">
        <v>168</v>
      </c>
      <c r="B612" s="310" t="s">
        <v>169</v>
      </c>
    </row>
    <row r="613" spans="1:47" s="243" customFormat="1" x14ac:dyDescent="0.35">
      <c r="A613" s="311">
        <v>0</v>
      </c>
      <c r="B613" s="329" t="s">
        <v>1611</v>
      </c>
    </row>
    <row r="614" spans="1:47" s="243" customFormat="1" x14ac:dyDescent="0.35">
      <c r="A614" s="311">
        <v>1</v>
      </c>
      <c r="B614" s="329" t="s">
        <v>1612</v>
      </c>
    </row>
    <row r="615" spans="1:47" s="243" customFormat="1" x14ac:dyDescent="0.35">
      <c r="A615" s="311">
        <v>2</v>
      </c>
      <c r="B615" s="329" t="s">
        <v>1613</v>
      </c>
    </row>
    <row r="616" spans="1:47" s="243" customFormat="1" x14ac:dyDescent="0.35">
      <c r="A616" s="312" t="s">
        <v>170</v>
      </c>
      <c r="B616" s="303">
        <v>0</v>
      </c>
    </row>
    <row r="617" spans="1:47" s="243" customFormat="1" x14ac:dyDescent="0.35"/>
    <row r="623" spans="1:47" x14ac:dyDescent="0.35">
      <c r="C623">
        <v>2006</v>
      </c>
      <c r="D623">
        <v>2007</v>
      </c>
      <c r="E623">
        <v>2008</v>
      </c>
      <c r="F623">
        <v>2009</v>
      </c>
      <c r="G623">
        <v>2010</v>
      </c>
      <c r="H623">
        <v>2011</v>
      </c>
      <c r="I623">
        <v>2012</v>
      </c>
      <c r="J623">
        <v>2013</v>
      </c>
      <c r="K623">
        <v>2014</v>
      </c>
      <c r="L623">
        <v>2015</v>
      </c>
      <c r="M623">
        <v>2016</v>
      </c>
      <c r="N623">
        <v>2017</v>
      </c>
      <c r="O623">
        <v>2018</v>
      </c>
      <c r="P623">
        <v>2019</v>
      </c>
      <c r="Q623">
        <v>2020</v>
      </c>
      <c r="R623">
        <v>2021</v>
      </c>
      <c r="S623">
        <v>2022</v>
      </c>
      <c r="T623">
        <v>2023</v>
      </c>
      <c r="U623">
        <v>2024</v>
      </c>
      <c r="V623">
        <v>2025</v>
      </c>
      <c r="W623">
        <v>2026</v>
      </c>
      <c r="X623">
        <v>2027</v>
      </c>
      <c r="Y623">
        <v>2028</v>
      </c>
      <c r="Z623">
        <v>2029</v>
      </c>
      <c r="AA623">
        <v>2030</v>
      </c>
      <c r="AB623">
        <v>2031</v>
      </c>
      <c r="AC623">
        <v>2032</v>
      </c>
      <c r="AD623">
        <v>2033</v>
      </c>
      <c r="AE623">
        <v>2034</v>
      </c>
      <c r="AF623">
        <v>2035</v>
      </c>
      <c r="AG623">
        <v>2036</v>
      </c>
      <c r="AH623">
        <v>2037</v>
      </c>
      <c r="AI623">
        <v>2038</v>
      </c>
      <c r="AJ623">
        <v>2039</v>
      </c>
      <c r="AK623">
        <v>2040</v>
      </c>
      <c r="AL623">
        <v>2041</v>
      </c>
      <c r="AM623">
        <v>2042</v>
      </c>
      <c r="AN623">
        <v>2043</v>
      </c>
      <c r="AO623">
        <v>2044</v>
      </c>
      <c r="AP623">
        <v>2045</v>
      </c>
      <c r="AQ623">
        <v>2046</v>
      </c>
      <c r="AR623">
        <v>2047</v>
      </c>
      <c r="AS623">
        <v>2048</v>
      </c>
      <c r="AT623">
        <v>2049</v>
      </c>
      <c r="AU623">
        <v>2050</v>
      </c>
    </row>
    <row r="624" spans="1:47" x14ac:dyDescent="0.35">
      <c r="B624" s="524"/>
      <c r="C624" s="524">
        <v>252336000</v>
      </c>
      <c r="D624" s="524">
        <v>252336000</v>
      </c>
      <c r="E624" s="524">
        <v>252336000</v>
      </c>
      <c r="F624" s="524">
        <v>252336000</v>
      </c>
      <c r="G624" s="524">
        <v>252336000</v>
      </c>
      <c r="H624" s="524">
        <v>252336000</v>
      </c>
      <c r="I624" s="524">
        <v>252336000</v>
      </c>
      <c r="J624" s="524">
        <v>252336000</v>
      </c>
      <c r="K624" s="524">
        <v>252336000</v>
      </c>
      <c r="L624" s="524">
        <v>252336000</v>
      </c>
      <c r="M624" s="524">
        <v>254479000</v>
      </c>
      <c r="N624" s="524">
        <v>255780000</v>
      </c>
      <c r="O624" s="524">
        <v>258352000</v>
      </c>
      <c r="P624" s="524">
        <v>261778000</v>
      </c>
      <c r="Q624" s="524">
        <v>265070000</v>
      </c>
      <c r="R624" s="524">
        <v>267919000</v>
      </c>
      <c r="S624" s="524">
        <v>270844000</v>
      </c>
      <c r="T624" s="524">
        <v>274179000</v>
      </c>
      <c r="U624" s="524">
        <v>277527000</v>
      </c>
      <c r="V624" s="524">
        <v>280708000</v>
      </c>
      <c r="W624" s="524">
        <v>283947000</v>
      </c>
      <c r="X624" s="524">
        <v>287334000</v>
      </c>
      <c r="Y624" s="524">
        <v>290725000</v>
      </c>
      <c r="Z624" s="524">
        <v>294047000</v>
      </c>
      <c r="AA624" s="524">
        <v>297407000</v>
      </c>
      <c r="AB624" s="524">
        <v>300892000</v>
      </c>
      <c r="AC624" s="524">
        <v>304385000</v>
      </c>
      <c r="AD624" s="524">
        <v>307996000</v>
      </c>
      <c r="AE624" s="524">
        <v>310810000</v>
      </c>
      <c r="AF624" s="524">
        <v>314433000</v>
      </c>
      <c r="AG624" s="524">
        <v>316662000</v>
      </c>
      <c r="AH624" s="524">
        <v>320324000</v>
      </c>
      <c r="AI624" s="524">
        <v>323665000</v>
      </c>
      <c r="AJ624" s="524">
        <v>327457000</v>
      </c>
      <c r="AK624" s="524">
        <v>331520000</v>
      </c>
      <c r="AL624" s="524">
        <v>335603000</v>
      </c>
      <c r="AM624" s="524">
        <v>339821000</v>
      </c>
      <c r="AN624" s="524">
        <v>344270000</v>
      </c>
      <c r="AO624" s="524">
        <v>348871000</v>
      </c>
      <c r="AP624" s="524">
        <v>353573000</v>
      </c>
      <c r="AQ624" s="524">
        <v>358375000</v>
      </c>
      <c r="AR624" s="524">
        <v>363304000</v>
      </c>
      <c r="AS624" s="524">
        <v>368387000</v>
      </c>
      <c r="AT624" s="524">
        <v>373472000</v>
      </c>
      <c r="AU624" s="524">
        <v>378583000</v>
      </c>
    </row>
    <row r="625" spans="2:47" x14ac:dyDescent="0.35">
      <c r="B625" s="524"/>
      <c r="C625" s="524">
        <v>6107200</v>
      </c>
      <c r="D625" s="524">
        <v>6107200</v>
      </c>
      <c r="E625" s="524">
        <v>6107200</v>
      </c>
      <c r="F625" s="524">
        <v>6107200</v>
      </c>
      <c r="G625" s="524">
        <v>6107200</v>
      </c>
      <c r="H625" s="524">
        <v>6107200</v>
      </c>
      <c r="I625" s="524">
        <v>6107200</v>
      </c>
      <c r="J625" s="524">
        <v>6107200</v>
      </c>
      <c r="K625" s="524">
        <v>6107200</v>
      </c>
      <c r="L625" s="524">
        <v>6107200</v>
      </c>
      <c r="M625" s="524">
        <v>6155500</v>
      </c>
      <c r="N625" s="524">
        <v>6220580</v>
      </c>
      <c r="O625" s="524">
        <v>6310950</v>
      </c>
      <c r="P625" s="524">
        <v>6420190</v>
      </c>
      <c r="Q625" s="524">
        <v>6543200</v>
      </c>
      <c r="R625" s="524">
        <v>6668070</v>
      </c>
      <c r="S625" s="524">
        <v>6796810</v>
      </c>
      <c r="T625" s="524">
        <v>6937950</v>
      </c>
      <c r="U625" s="524">
        <v>7082660</v>
      </c>
      <c r="V625" s="524">
        <v>7226460</v>
      </c>
      <c r="W625" s="524">
        <v>7372050</v>
      </c>
      <c r="X625" s="524">
        <v>7519920</v>
      </c>
      <c r="Y625" s="524">
        <v>7667560</v>
      </c>
      <c r="Z625" s="524">
        <v>7814740</v>
      </c>
      <c r="AA625" s="524">
        <v>7963590</v>
      </c>
      <c r="AB625" s="524">
        <v>8113540</v>
      </c>
      <c r="AC625" s="524">
        <v>8261910</v>
      </c>
      <c r="AD625" s="524">
        <v>8413570</v>
      </c>
      <c r="AE625" s="524">
        <v>8547660</v>
      </c>
      <c r="AF625" s="524">
        <v>8701720</v>
      </c>
      <c r="AG625" s="524">
        <v>8822370</v>
      </c>
      <c r="AH625" s="524">
        <v>8976730</v>
      </c>
      <c r="AI625" s="524">
        <v>9114900</v>
      </c>
      <c r="AJ625" s="524">
        <v>9261990</v>
      </c>
      <c r="AK625" s="524">
        <v>9408470</v>
      </c>
      <c r="AL625" s="524">
        <v>9547890</v>
      </c>
      <c r="AM625" s="524">
        <v>9687700</v>
      </c>
      <c r="AN625" s="524">
        <v>9831170</v>
      </c>
      <c r="AO625" s="524">
        <v>9974590</v>
      </c>
      <c r="AP625" s="524">
        <v>10118800</v>
      </c>
      <c r="AQ625" s="524">
        <v>10266000</v>
      </c>
      <c r="AR625" s="524">
        <v>10417200</v>
      </c>
      <c r="AS625" s="524">
        <v>10571600</v>
      </c>
      <c r="AT625" s="524">
        <v>10728600</v>
      </c>
      <c r="AU625" s="524">
        <v>10888600</v>
      </c>
    </row>
    <row r="626" spans="2:47" x14ac:dyDescent="0.35">
      <c r="B626" s="524"/>
      <c r="C626" s="524">
        <v>148600000</v>
      </c>
      <c r="D626" s="524">
        <v>148600000</v>
      </c>
      <c r="E626" s="524">
        <v>148600000</v>
      </c>
      <c r="F626" s="524">
        <v>148600000</v>
      </c>
      <c r="G626" s="524">
        <v>148600000</v>
      </c>
      <c r="H626" s="524">
        <v>148600000</v>
      </c>
      <c r="I626" s="524">
        <v>148600000</v>
      </c>
      <c r="J626" s="524">
        <v>148600000</v>
      </c>
      <c r="K626" s="524">
        <v>148600000</v>
      </c>
      <c r="L626" s="524">
        <v>148600000</v>
      </c>
      <c r="M626" s="524">
        <v>144907000</v>
      </c>
      <c r="N626" s="524">
        <v>147095000</v>
      </c>
      <c r="O626" s="524">
        <v>149704000</v>
      </c>
      <c r="P626" s="524">
        <v>152817000</v>
      </c>
      <c r="Q626" s="524">
        <v>156530000</v>
      </c>
      <c r="R626" s="524">
        <v>160701000</v>
      </c>
      <c r="S626" s="524">
        <v>165140000</v>
      </c>
      <c r="T626" s="524">
        <v>169841000</v>
      </c>
      <c r="U626" s="524">
        <v>174819000</v>
      </c>
      <c r="V626" s="524">
        <v>180035000</v>
      </c>
      <c r="W626" s="524">
        <v>185439000</v>
      </c>
      <c r="X626" s="524">
        <v>191009000</v>
      </c>
      <c r="Y626" s="524">
        <v>196730000</v>
      </c>
      <c r="Z626" s="524">
        <v>202593000</v>
      </c>
      <c r="AA626" s="524">
        <v>208591000</v>
      </c>
      <c r="AB626" s="524">
        <v>214722000</v>
      </c>
      <c r="AC626" s="524">
        <v>220914000</v>
      </c>
      <c r="AD626" s="524">
        <v>227286000</v>
      </c>
      <c r="AE626" s="524">
        <v>232817000</v>
      </c>
      <c r="AF626" s="524">
        <v>239458000</v>
      </c>
      <c r="AG626" s="524">
        <v>244282000</v>
      </c>
      <c r="AH626" s="524">
        <v>251325000</v>
      </c>
      <c r="AI626" s="524">
        <v>257434000</v>
      </c>
      <c r="AJ626" s="524">
        <v>263971000</v>
      </c>
      <c r="AK626" s="524">
        <v>270677000</v>
      </c>
      <c r="AL626" s="524">
        <v>277426000</v>
      </c>
      <c r="AM626" s="524">
        <v>284354000</v>
      </c>
      <c r="AN626" s="524">
        <v>291481000</v>
      </c>
      <c r="AO626" s="524">
        <v>298759000</v>
      </c>
      <c r="AP626" s="524">
        <v>306194000</v>
      </c>
      <c r="AQ626" s="524">
        <v>313714000</v>
      </c>
      <c r="AR626" s="524">
        <v>321290000</v>
      </c>
      <c r="AS626" s="524">
        <v>328912000</v>
      </c>
      <c r="AT626" s="524">
        <v>336425000</v>
      </c>
      <c r="AU626" s="524">
        <v>343893000</v>
      </c>
    </row>
    <row r="627" spans="2:47" x14ac:dyDescent="0.35">
      <c r="B627" s="524"/>
      <c r="C627" s="524">
        <v>160176000</v>
      </c>
      <c r="D627" s="524">
        <v>160176000</v>
      </c>
      <c r="E627" s="524">
        <v>160176000</v>
      </c>
      <c r="F627" s="524">
        <v>160176000</v>
      </c>
      <c r="G627" s="524">
        <v>160176000</v>
      </c>
      <c r="H627" s="524">
        <v>160176000</v>
      </c>
      <c r="I627" s="524">
        <v>160176000</v>
      </c>
      <c r="J627" s="524">
        <v>160176000</v>
      </c>
      <c r="K627" s="524">
        <v>160176000</v>
      </c>
      <c r="L627" s="524">
        <v>160176000</v>
      </c>
      <c r="M627" s="524">
        <v>161718000</v>
      </c>
      <c r="N627" s="524">
        <v>164599000</v>
      </c>
      <c r="O627" s="524">
        <v>167242000</v>
      </c>
      <c r="P627" s="524">
        <v>169930000</v>
      </c>
      <c r="Q627" s="524">
        <v>173863000</v>
      </c>
      <c r="R627" s="524">
        <v>178144000</v>
      </c>
      <c r="S627" s="524">
        <v>182406000</v>
      </c>
      <c r="T627" s="524">
        <v>186951000</v>
      </c>
      <c r="U627" s="524">
        <v>191809000</v>
      </c>
      <c r="V627" s="524">
        <v>196798000</v>
      </c>
      <c r="W627" s="524">
        <v>201873000</v>
      </c>
      <c r="X627" s="524">
        <v>207039000</v>
      </c>
      <c r="Y627" s="524">
        <v>212231000</v>
      </c>
      <c r="Z627" s="524">
        <v>217391000</v>
      </c>
      <c r="AA627" s="524">
        <v>222520000</v>
      </c>
      <c r="AB627" s="524">
        <v>227629000</v>
      </c>
      <c r="AC627" s="524">
        <v>232581000</v>
      </c>
      <c r="AD627" s="524">
        <v>237539000</v>
      </c>
      <c r="AE627" s="524">
        <v>240541000</v>
      </c>
      <c r="AF627" s="524">
        <v>244547000</v>
      </c>
      <c r="AG627" s="524">
        <v>244799000</v>
      </c>
      <c r="AH627" s="524">
        <v>247852000</v>
      </c>
      <c r="AI627" s="524">
        <v>249878000</v>
      </c>
      <c r="AJ627" s="524">
        <v>252494000</v>
      </c>
      <c r="AK627" s="524">
        <v>255400000</v>
      </c>
      <c r="AL627" s="524">
        <v>258273000</v>
      </c>
      <c r="AM627" s="524">
        <v>261191000</v>
      </c>
      <c r="AN627" s="524">
        <v>264175000</v>
      </c>
      <c r="AO627" s="524">
        <v>267222000</v>
      </c>
      <c r="AP627" s="524">
        <v>270380000</v>
      </c>
      <c r="AQ627" s="524">
        <v>273516000</v>
      </c>
      <c r="AR627" s="524">
        <v>276694000</v>
      </c>
      <c r="AS627" s="524">
        <v>279964000</v>
      </c>
      <c r="AT627" s="524">
        <v>283106000</v>
      </c>
      <c r="AU627" s="524">
        <v>286252000</v>
      </c>
    </row>
    <row r="628" spans="2:47" x14ac:dyDescent="0.35">
      <c r="B628" s="524"/>
      <c r="C628" s="524">
        <v>43113100</v>
      </c>
      <c r="D628" s="524">
        <v>43113100</v>
      </c>
      <c r="E628" s="524">
        <v>43113100</v>
      </c>
      <c r="F628" s="524">
        <v>43113100</v>
      </c>
      <c r="G628" s="524">
        <v>43113100</v>
      </c>
      <c r="H628" s="524">
        <v>43113100</v>
      </c>
      <c r="I628" s="524">
        <v>43113100</v>
      </c>
      <c r="J628" s="524">
        <v>43113100</v>
      </c>
      <c r="K628" s="524">
        <v>43113100</v>
      </c>
      <c r="L628" s="524">
        <v>43113100</v>
      </c>
      <c r="M628" s="524">
        <v>43560900</v>
      </c>
      <c r="N628" s="524">
        <v>43945500</v>
      </c>
      <c r="O628" s="524">
        <v>44583500</v>
      </c>
      <c r="P628" s="524">
        <v>45420500</v>
      </c>
      <c r="Q628" s="524">
        <v>46342300</v>
      </c>
      <c r="R628" s="524">
        <v>47258600</v>
      </c>
      <c r="S628" s="524">
        <v>48184500</v>
      </c>
      <c r="T628" s="524">
        <v>49139600</v>
      </c>
      <c r="U628" s="524">
        <v>50119500</v>
      </c>
      <c r="V628" s="524">
        <v>51120000</v>
      </c>
      <c r="W628" s="524">
        <v>52157000</v>
      </c>
      <c r="X628" s="524">
        <v>53228900</v>
      </c>
      <c r="Y628" s="524">
        <v>54324700</v>
      </c>
      <c r="Z628" s="524">
        <v>55435500</v>
      </c>
      <c r="AA628" s="524">
        <v>56546700</v>
      </c>
      <c r="AB628" s="524">
        <v>57653500</v>
      </c>
      <c r="AC628" s="524">
        <v>58718200</v>
      </c>
      <c r="AD628" s="524">
        <v>59772400</v>
      </c>
      <c r="AE628" s="524">
        <v>60372500</v>
      </c>
      <c r="AF628" s="524">
        <v>61179900</v>
      </c>
      <c r="AG628" s="524">
        <v>61178900</v>
      </c>
      <c r="AH628" s="524">
        <v>61546200</v>
      </c>
      <c r="AI628" s="524">
        <v>61546200</v>
      </c>
      <c r="AJ628" s="524">
        <v>61478900</v>
      </c>
      <c r="AK628" s="524">
        <v>61368800</v>
      </c>
      <c r="AL628" s="524">
        <v>61236800</v>
      </c>
      <c r="AM628" s="524">
        <v>61114700</v>
      </c>
      <c r="AN628" s="524">
        <v>61001800</v>
      </c>
      <c r="AO628" s="524">
        <v>60947600</v>
      </c>
      <c r="AP628" s="524">
        <v>61014400</v>
      </c>
      <c r="AQ628" s="524">
        <v>61195600</v>
      </c>
      <c r="AR628" s="524">
        <v>61500900</v>
      </c>
      <c r="AS628" s="524">
        <v>61914900</v>
      </c>
      <c r="AT628" s="524">
        <v>62339400</v>
      </c>
      <c r="AU628" s="524">
        <v>62762200</v>
      </c>
    </row>
    <row r="629" spans="2:47" x14ac:dyDescent="0.35">
      <c r="B629" s="524"/>
      <c r="C629" s="524">
        <v>144640000</v>
      </c>
      <c r="D629" s="524">
        <v>144640000</v>
      </c>
      <c r="E629" s="524">
        <v>144640000</v>
      </c>
      <c r="F629" s="524">
        <v>144640000</v>
      </c>
      <c r="G629" s="524">
        <v>144640000</v>
      </c>
      <c r="H629" s="524">
        <v>144640000</v>
      </c>
      <c r="I629" s="524">
        <v>144640000</v>
      </c>
      <c r="J629" s="524">
        <v>144640000</v>
      </c>
      <c r="K629" s="524">
        <v>144640000</v>
      </c>
      <c r="L629" s="524">
        <v>144640000</v>
      </c>
      <c r="M629" s="524">
        <v>145813000</v>
      </c>
      <c r="N629" s="524">
        <v>147003000</v>
      </c>
      <c r="O629" s="524">
        <v>148928000</v>
      </c>
      <c r="P629" s="524">
        <v>151258000</v>
      </c>
      <c r="Q629" s="524">
        <v>153750000</v>
      </c>
      <c r="R629" s="524">
        <v>156304000</v>
      </c>
      <c r="S629" s="524">
        <v>158942000</v>
      </c>
      <c r="T629" s="524">
        <v>161680000</v>
      </c>
      <c r="U629" s="524">
        <v>164453000</v>
      </c>
      <c r="V629" s="524">
        <v>167187000</v>
      </c>
      <c r="W629" s="524">
        <v>169917000</v>
      </c>
      <c r="X629" s="524">
        <v>172667000</v>
      </c>
      <c r="Y629" s="524">
        <v>175091000</v>
      </c>
      <c r="Z629" s="524">
        <v>177235000</v>
      </c>
      <c r="AA629" s="524">
        <v>179164000</v>
      </c>
      <c r="AB629" s="524">
        <v>180882000</v>
      </c>
      <c r="AC629" s="524">
        <v>182334000</v>
      </c>
      <c r="AD629" s="524">
        <v>183604000</v>
      </c>
      <c r="AE629" s="524">
        <v>184005000</v>
      </c>
      <c r="AF629" s="524">
        <v>184429000</v>
      </c>
      <c r="AG629" s="524">
        <v>183533000</v>
      </c>
      <c r="AH629" s="524">
        <v>183293000</v>
      </c>
      <c r="AI629" s="524">
        <v>182732000</v>
      </c>
      <c r="AJ629" s="524">
        <v>182185000</v>
      </c>
      <c r="AK629" s="524">
        <v>181560000</v>
      </c>
      <c r="AL629" s="524">
        <v>180779000</v>
      </c>
      <c r="AM629" s="524">
        <v>179927000</v>
      </c>
      <c r="AN629" s="524">
        <v>179017000</v>
      </c>
      <c r="AO629" s="524">
        <v>178041000</v>
      </c>
      <c r="AP629" s="524">
        <v>177020000</v>
      </c>
      <c r="AQ629" s="524">
        <v>175974000</v>
      </c>
      <c r="AR629" s="524">
        <v>174950000</v>
      </c>
      <c r="AS629" s="524">
        <v>173909000</v>
      </c>
      <c r="AT629" s="524">
        <v>172772000</v>
      </c>
      <c r="AU629" s="524">
        <v>171586000</v>
      </c>
    </row>
    <row r="630" spans="2:47" x14ac:dyDescent="0.35">
      <c r="B630" s="524"/>
      <c r="C630" s="524">
        <v>120547000</v>
      </c>
      <c r="D630" s="524">
        <v>120547000</v>
      </c>
      <c r="E630" s="524">
        <v>120547000</v>
      </c>
      <c r="F630" s="524">
        <v>120547000</v>
      </c>
      <c r="G630" s="524">
        <v>120547000</v>
      </c>
      <c r="H630" s="524">
        <v>120547000</v>
      </c>
      <c r="I630" s="524">
        <v>120547000</v>
      </c>
      <c r="J630" s="524">
        <v>120547000</v>
      </c>
      <c r="K630" s="524">
        <v>120547000</v>
      </c>
      <c r="L630" s="524">
        <v>120547000</v>
      </c>
      <c r="M630" s="524">
        <v>115212000</v>
      </c>
      <c r="N630" s="524">
        <v>112499000</v>
      </c>
      <c r="O630" s="524">
        <v>110946000</v>
      </c>
      <c r="P630" s="524">
        <v>112368000</v>
      </c>
      <c r="Q630" s="524">
        <v>114867000</v>
      </c>
      <c r="R630" s="524">
        <v>117025000</v>
      </c>
      <c r="S630" s="524">
        <v>119386000</v>
      </c>
      <c r="T630" s="524">
        <v>122278000</v>
      </c>
      <c r="U630" s="524">
        <v>125254000</v>
      </c>
      <c r="V630" s="524">
        <v>128171000</v>
      </c>
      <c r="W630" s="524">
        <v>131234000</v>
      </c>
      <c r="X630" s="524">
        <v>134445000</v>
      </c>
      <c r="Y630" s="524">
        <v>137672000</v>
      </c>
      <c r="Z630" s="524">
        <v>140932000</v>
      </c>
      <c r="AA630" s="524">
        <v>144278000</v>
      </c>
      <c r="AB630" s="524">
        <v>147705000</v>
      </c>
      <c r="AC630" s="524">
        <v>151145000</v>
      </c>
      <c r="AD630" s="524">
        <v>154730000</v>
      </c>
      <c r="AE630" s="524">
        <v>157647000</v>
      </c>
      <c r="AF630" s="524">
        <v>161600000</v>
      </c>
      <c r="AG630" s="524">
        <v>164040000</v>
      </c>
      <c r="AH630" s="524">
        <v>168452000</v>
      </c>
      <c r="AI630" s="524">
        <v>171764000</v>
      </c>
      <c r="AJ630" s="524">
        <v>175659000</v>
      </c>
      <c r="AK630" s="524">
        <v>179591000</v>
      </c>
      <c r="AL630" s="524">
        <v>183471000</v>
      </c>
      <c r="AM630" s="524">
        <v>187507000</v>
      </c>
      <c r="AN630" s="524">
        <v>191658000</v>
      </c>
      <c r="AO630" s="524">
        <v>195836000</v>
      </c>
      <c r="AP630" s="524">
        <v>200094000</v>
      </c>
      <c r="AQ630" s="524">
        <v>204429000</v>
      </c>
      <c r="AR630" s="524">
        <v>208846000</v>
      </c>
      <c r="AS630" s="524">
        <v>213341000</v>
      </c>
      <c r="AT630" s="524">
        <v>217818000</v>
      </c>
      <c r="AU630" s="524">
        <v>222370000</v>
      </c>
    </row>
    <row r="631" spans="2:47" x14ac:dyDescent="0.35">
      <c r="B631" s="524"/>
      <c r="C631" s="524">
        <v>350629000</v>
      </c>
      <c r="D631" s="524">
        <v>350629000</v>
      </c>
      <c r="E631" s="524">
        <v>350629000</v>
      </c>
      <c r="F631" s="524">
        <v>350629000</v>
      </c>
      <c r="G631" s="524">
        <v>350629000</v>
      </c>
      <c r="H631" s="524">
        <v>350629000</v>
      </c>
      <c r="I631" s="524">
        <v>350629000</v>
      </c>
      <c r="J631" s="524">
        <v>350629000</v>
      </c>
      <c r="K631" s="524">
        <v>350629000</v>
      </c>
      <c r="L631" s="524">
        <v>350629000</v>
      </c>
      <c r="M631" s="524">
        <v>352693000</v>
      </c>
      <c r="N631" s="524">
        <v>356326000</v>
      </c>
      <c r="O631" s="524">
        <v>360798000</v>
      </c>
      <c r="P631" s="524">
        <v>366060000</v>
      </c>
      <c r="Q631" s="524">
        <v>372154000</v>
      </c>
      <c r="R631" s="524">
        <v>378518000</v>
      </c>
      <c r="S631" s="524">
        <v>384954000</v>
      </c>
      <c r="T631" s="524">
        <v>391754000</v>
      </c>
      <c r="U631" s="524">
        <v>398872000</v>
      </c>
      <c r="V631" s="524">
        <v>406091000</v>
      </c>
      <c r="W631" s="524">
        <v>413372000</v>
      </c>
      <c r="X631" s="524">
        <v>420718000</v>
      </c>
      <c r="Y631" s="524">
        <v>428054000</v>
      </c>
      <c r="Z631" s="524">
        <v>435276000</v>
      </c>
      <c r="AA631" s="524">
        <v>442341000</v>
      </c>
      <c r="AB631" s="524">
        <v>449224000</v>
      </c>
      <c r="AC631" s="524">
        <v>455818000</v>
      </c>
      <c r="AD631" s="524">
        <v>462160000</v>
      </c>
      <c r="AE631" s="524">
        <v>467331000</v>
      </c>
      <c r="AF631" s="524">
        <v>472163000</v>
      </c>
      <c r="AG631" s="524">
        <v>474673000</v>
      </c>
      <c r="AH631" s="524">
        <v>477573000</v>
      </c>
      <c r="AI631" s="524">
        <v>479558000</v>
      </c>
      <c r="AJ631" s="524">
        <v>481962000</v>
      </c>
      <c r="AK631" s="524">
        <v>484531000</v>
      </c>
      <c r="AL631" s="524">
        <v>486917000</v>
      </c>
      <c r="AM631" s="524">
        <v>489082000</v>
      </c>
      <c r="AN631" s="524">
        <v>491058000</v>
      </c>
      <c r="AO631" s="524">
        <v>492825000</v>
      </c>
      <c r="AP631" s="524">
        <v>494513000</v>
      </c>
      <c r="AQ631" s="524">
        <v>496112000</v>
      </c>
      <c r="AR631" s="524">
        <v>497652000</v>
      </c>
      <c r="AS631" s="524">
        <v>499160000</v>
      </c>
      <c r="AT631" s="524">
        <v>500508000</v>
      </c>
      <c r="AU631" s="524">
        <v>501731000</v>
      </c>
    </row>
    <row r="632" spans="2:47" x14ac:dyDescent="0.35">
      <c r="B632" s="524"/>
      <c r="C632" s="524">
        <v>120332000</v>
      </c>
      <c r="D632" s="524">
        <v>120332000</v>
      </c>
      <c r="E632" s="524">
        <v>120332000</v>
      </c>
      <c r="F632" s="524">
        <v>120332000</v>
      </c>
      <c r="G632" s="524">
        <v>120332000</v>
      </c>
      <c r="H632" s="524">
        <v>120332000</v>
      </c>
      <c r="I632" s="524">
        <v>120332000</v>
      </c>
      <c r="J632" s="524">
        <v>120332000</v>
      </c>
      <c r="K632" s="524">
        <v>120332000</v>
      </c>
      <c r="L632" s="524">
        <v>120332000</v>
      </c>
      <c r="M632" s="524">
        <v>121103000</v>
      </c>
      <c r="N632" s="524">
        <v>122708000</v>
      </c>
      <c r="O632" s="524">
        <v>125035000</v>
      </c>
      <c r="P632" s="524">
        <v>127799000</v>
      </c>
      <c r="Q632" s="524">
        <v>130852000</v>
      </c>
      <c r="R632" s="524">
        <v>134092000</v>
      </c>
      <c r="S632" s="524">
        <v>137503000</v>
      </c>
      <c r="T632" s="524">
        <v>141055000</v>
      </c>
      <c r="U632" s="524">
        <v>144684000</v>
      </c>
      <c r="V632" s="524">
        <v>148372000</v>
      </c>
      <c r="W632" s="524">
        <v>152147000</v>
      </c>
      <c r="X632" s="524">
        <v>155983000</v>
      </c>
      <c r="Y632" s="524">
        <v>159818000</v>
      </c>
      <c r="Z632" s="524">
        <v>163646000</v>
      </c>
      <c r="AA632" s="524">
        <v>167496000</v>
      </c>
      <c r="AB632" s="524">
        <v>171367000</v>
      </c>
      <c r="AC632" s="524">
        <v>175136000</v>
      </c>
      <c r="AD632" s="524">
        <v>178925000</v>
      </c>
      <c r="AE632" s="524">
        <v>181710000</v>
      </c>
      <c r="AF632" s="524">
        <v>185547000</v>
      </c>
      <c r="AG632" s="524">
        <v>187360000</v>
      </c>
      <c r="AH632" s="524">
        <v>191731000</v>
      </c>
      <c r="AI632" s="524">
        <v>194798000</v>
      </c>
      <c r="AJ632" s="524">
        <v>198221000</v>
      </c>
      <c r="AK632" s="524">
        <v>201684000</v>
      </c>
      <c r="AL632" s="524">
        <v>205074000</v>
      </c>
      <c r="AM632" s="524">
        <v>208513000</v>
      </c>
      <c r="AN632" s="524">
        <v>211998000</v>
      </c>
      <c r="AO632" s="524">
        <v>215548000</v>
      </c>
      <c r="AP632" s="524">
        <v>219257000</v>
      </c>
      <c r="AQ632" s="524">
        <v>223107000</v>
      </c>
      <c r="AR632" s="524">
        <v>227063000</v>
      </c>
      <c r="AS632" s="524">
        <v>231079000</v>
      </c>
      <c r="AT632" s="524">
        <v>234961000</v>
      </c>
      <c r="AU632" s="524">
        <v>238844000</v>
      </c>
    </row>
  </sheetData>
  <mergeCells count="1">
    <mergeCell ref="A1:C1"/>
  </mergeCells>
  <pageMargins left="0.7" right="0.7" top="0.75" bottom="0.75" header="0.3" footer="0.3"/>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S33"/>
  <sheetViews>
    <sheetView zoomScale="90" zoomScaleNormal="90" workbookViewId="0">
      <selection activeCell="D27" sqref="D27"/>
    </sheetView>
  </sheetViews>
  <sheetFormatPr baseColWidth="10" defaultColWidth="11.453125" defaultRowHeight="14.5" x14ac:dyDescent="0.35"/>
  <cols>
    <col min="1" max="1" width="52.453125" customWidth="1"/>
    <col min="2" max="2" width="69.54296875" customWidth="1"/>
    <col min="3" max="3" width="18" customWidth="1"/>
    <col min="4" max="4" width="42.453125" bestFit="1" customWidth="1"/>
    <col min="7" max="7" width="14.453125" bestFit="1" customWidth="1"/>
  </cols>
  <sheetData>
    <row r="1" spans="1:19" s="215" customFormat="1" ht="31" x14ac:dyDescent="0.35">
      <c r="A1" s="615" t="s">
        <v>598</v>
      </c>
      <c r="B1" s="615"/>
      <c r="C1" s="615"/>
    </row>
    <row r="3" spans="1:19" x14ac:dyDescent="0.35">
      <c r="A3" s="91" t="s">
        <v>391</v>
      </c>
    </row>
    <row r="4" spans="1:19" x14ac:dyDescent="0.35">
      <c r="A4" s="89" t="s">
        <v>125</v>
      </c>
      <c r="B4" s="84" t="s">
        <v>1000</v>
      </c>
    </row>
    <row r="5" spans="1:19" x14ac:dyDescent="0.35">
      <c r="A5" s="74" t="s">
        <v>380</v>
      </c>
      <c r="B5" s="57" t="s">
        <v>128</v>
      </c>
    </row>
    <row r="6" spans="1:19" x14ac:dyDescent="0.35">
      <c r="A6" s="74" t="s">
        <v>127</v>
      </c>
      <c r="B6" s="40">
        <v>3</v>
      </c>
    </row>
    <row r="7" spans="1:19" s="3" customFormat="1" x14ac:dyDescent="0.35">
      <c r="A7" s="67"/>
      <c r="B7"/>
    </row>
    <row r="8" spans="1:19" s="3" customFormat="1" x14ac:dyDescent="0.35">
      <c r="A8" s="91" t="s">
        <v>625</v>
      </c>
      <c r="B8"/>
    </row>
    <row r="9" spans="1:19" x14ac:dyDescent="0.35">
      <c r="A9" s="38" t="s">
        <v>168</v>
      </c>
      <c r="B9" s="9" t="s">
        <v>169</v>
      </c>
    </row>
    <row r="10" spans="1:19" x14ac:dyDescent="0.35">
      <c r="A10" s="76">
        <v>1</v>
      </c>
      <c r="B10" s="77" t="s">
        <v>384</v>
      </c>
    </row>
    <row r="11" spans="1:19" x14ac:dyDescent="0.35">
      <c r="A11" s="76">
        <v>2</v>
      </c>
      <c r="B11" s="77" t="s">
        <v>385</v>
      </c>
      <c r="J11" s="2"/>
      <c r="K11" s="2"/>
      <c r="L11" s="2"/>
      <c r="M11" s="2"/>
      <c r="N11" s="2"/>
      <c r="O11" s="2"/>
      <c r="P11" s="2"/>
      <c r="Q11" s="2"/>
      <c r="R11" s="2"/>
      <c r="S11" s="2"/>
    </row>
    <row r="12" spans="1:19" x14ac:dyDescent="0.35">
      <c r="A12" s="76">
        <v>3</v>
      </c>
      <c r="B12" s="77" t="s">
        <v>386</v>
      </c>
      <c r="C12" s="2"/>
    </row>
    <row r="13" spans="1:19" x14ac:dyDescent="0.35">
      <c r="A13" s="76">
        <v>4</v>
      </c>
      <c r="B13" s="77" t="s">
        <v>387</v>
      </c>
    </row>
    <row r="14" spans="1:19" x14ac:dyDescent="0.35">
      <c r="A14" s="73" t="s">
        <v>170</v>
      </c>
      <c r="B14" s="40">
        <v>2</v>
      </c>
    </row>
    <row r="15" spans="1:19" ht="15" customHeight="1" x14ac:dyDescent="0.35"/>
    <row r="16" spans="1:19" x14ac:dyDescent="0.35">
      <c r="A16" s="91" t="s">
        <v>388</v>
      </c>
    </row>
    <row r="17" spans="1:9" x14ac:dyDescent="0.35">
      <c r="A17" s="38" t="s">
        <v>168</v>
      </c>
      <c r="B17" s="9" t="s">
        <v>169</v>
      </c>
    </row>
    <row r="18" spans="1:9" x14ac:dyDescent="0.35">
      <c r="A18" s="76">
        <v>1</v>
      </c>
      <c r="B18" s="77" t="s">
        <v>389</v>
      </c>
    </row>
    <row r="19" spans="1:9" x14ac:dyDescent="0.35">
      <c r="A19" s="76">
        <v>2</v>
      </c>
      <c r="B19" s="77" t="s">
        <v>390</v>
      </c>
    </row>
    <row r="20" spans="1:9" x14ac:dyDescent="0.35">
      <c r="A20" s="73" t="s">
        <v>170</v>
      </c>
      <c r="B20" s="40">
        <v>2</v>
      </c>
    </row>
    <row r="21" spans="1:9" ht="14.5" customHeight="1" x14ac:dyDescent="0.35"/>
    <row r="24" spans="1:9" ht="13.5" customHeight="1" x14ac:dyDescent="0.35"/>
    <row r="25" spans="1:9" x14ac:dyDescent="0.35">
      <c r="A25" s="67"/>
      <c r="B25" s="3"/>
      <c r="C25" s="26"/>
      <c r="D25" s="26"/>
      <c r="E25" s="26"/>
      <c r="F25" s="26"/>
      <c r="G25" s="26"/>
      <c r="H25" s="26"/>
      <c r="I25" s="26"/>
    </row>
    <row r="26" spans="1:9" x14ac:dyDescent="0.35">
      <c r="A26" s="81"/>
      <c r="C26" s="27"/>
      <c r="D26" s="27"/>
      <c r="E26" s="27"/>
      <c r="F26" s="27"/>
      <c r="G26" s="27"/>
      <c r="H26" s="27"/>
      <c r="I26" s="27"/>
    </row>
    <row r="27" spans="1:9" x14ac:dyDescent="0.35">
      <c r="A27" s="90"/>
      <c r="C27" s="27"/>
      <c r="D27" s="27"/>
      <c r="E27" s="27"/>
      <c r="F27" s="27"/>
      <c r="G27" s="27"/>
      <c r="H27" s="27"/>
      <c r="I27" s="27"/>
    </row>
    <row r="28" spans="1:9" x14ac:dyDescent="0.35">
      <c r="A28" s="90"/>
      <c r="C28" s="27"/>
      <c r="D28" s="27"/>
      <c r="E28" s="27"/>
      <c r="F28" s="27"/>
      <c r="G28" s="27"/>
      <c r="H28" s="27"/>
      <c r="I28" s="27"/>
    </row>
    <row r="29" spans="1:9" x14ac:dyDescent="0.35">
      <c r="A29" s="90"/>
      <c r="C29" s="27"/>
      <c r="D29" s="27"/>
      <c r="E29" s="27"/>
      <c r="F29" s="27"/>
      <c r="G29" s="27"/>
      <c r="H29" s="27"/>
      <c r="I29" s="27"/>
    </row>
    <row r="30" spans="1:9" x14ac:dyDescent="0.35">
      <c r="C30" s="27"/>
      <c r="D30" s="27"/>
      <c r="E30" s="27"/>
      <c r="F30" s="27"/>
      <c r="G30" s="27"/>
      <c r="H30" s="27"/>
      <c r="I30" s="27"/>
    </row>
    <row r="31" spans="1:9" x14ac:dyDescent="0.35">
      <c r="C31" s="27"/>
      <c r="D31" s="27"/>
      <c r="E31" s="27"/>
      <c r="F31" s="27"/>
      <c r="G31" s="27"/>
      <c r="H31" s="27"/>
      <c r="I31" s="27"/>
    </row>
    <row r="32" spans="1:9" x14ac:dyDescent="0.35">
      <c r="A32" s="81"/>
      <c r="C32" s="27"/>
      <c r="D32" s="27"/>
      <c r="E32" s="27"/>
      <c r="F32" s="27"/>
      <c r="G32" s="27"/>
      <c r="H32" s="27"/>
      <c r="I32" s="27"/>
    </row>
    <row r="33" spans="1:9" x14ac:dyDescent="0.35">
      <c r="A33" s="90"/>
      <c r="C33" s="27"/>
      <c r="D33" s="27"/>
      <c r="E33" s="27"/>
      <c r="F33" s="27"/>
      <c r="G33" s="27"/>
      <c r="H33" s="27"/>
      <c r="I33" s="27"/>
    </row>
  </sheetData>
  <mergeCells count="1">
    <mergeCell ref="A1:C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8389-72F9-4133-B5D3-7148514285B0}">
  <dimension ref="A1:AL243"/>
  <sheetViews>
    <sheetView zoomScale="85" zoomScaleNormal="85" workbookViewId="0">
      <selection activeCell="U5" sqref="U5:AA39"/>
    </sheetView>
  </sheetViews>
  <sheetFormatPr baseColWidth="10" defaultColWidth="11.54296875" defaultRowHeight="14.5" x14ac:dyDescent="0.35"/>
  <cols>
    <col min="1" max="1" width="29.54296875" bestFit="1" customWidth="1"/>
    <col min="2" max="2" width="19.81640625" customWidth="1"/>
    <col min="3" max="4" width="12" bestFit="1" customWidth="1"/>
    <col min="5" max="5" width="11.54296875" bestFit="1" customWidth="1"/>
    <col min="6" max="6" width="12" bestFit="1" customWidth="1"/>
    <col min="7" max="7" width="20.54296875" customWidth="1"/>
    <col min="11" max="11" width="17.54296875" customWidth="1"/>
    <col min="15" max="15" width="20.453125" customWidth="1"/>
    <col min="29" max="29" width="13.453125" bestFit="1" customWidth="1"/>
    <col min="30" max="31" width="19.1796875" bestFit="1" customWidth="1"/>
    <col min="32" max="32" width="16.453125" bestFit="1" customWidth="1"/>
    <col min="33" max="33" width="19.1796875" bestFit="1" customWidth="1"/>
  </cols>
  <sheetData>
    <row r="1" spans="2:32" ht="15" thickBot="1" x14ac:dyDescent="0.4"/>
    <row r="2" spans="2:32" ht="14.5" customHeight="1" x14ac:dyDescent="0.35">
      <c r="B2" s="164" t="s">
        <v>92</v>
      </c>
      <c r="C2" s="165" t="s">
        <v>124</v>
      </c>
      <c r="K2" s="164" t="s">
        <v>93</v>
      </c>
      <c r="L2" s="165" t="s">
        <v>124</v>
      </c>
      <c r="T2" s="164" t="s">
        <v>91</v>
      </c>
      <c r="U2" s="165" t="s">
        <v>124</v>
      </c>
      <c r="AC2" s="619" t="s">
        <v>883</v>
      </c>
      <c r="AD2" s="620"/>
      <c r="AE2" s="620"/>
      <c r="AF2" s="621"/>
    </row>
    <row r="3" spans="2:32" x14ac:dyDescent="0.35">
      <c r="B3" s="292" t="s">
        <v>839</v>
      </c>
      <c r="C3" s="292" t="s">
        <v>840</v>
      </c>
      <c r="K3" s="292" t="s">
        <v>839</v>
      </c>
      <c r="L3" s="292" t="s">
        <v>840</v>
      </c>
      <c r="T3" s="292" t="s">
        <v>839</v>
      </c>
      <c r="U3" s="292" t="s">
        <v>840</v>
      </c>
      <c r="AC3" s="622"/>
      <c r="AD3" s="623"/>
      <c r="AE3" s="623"/>
      <c r="AF3" s="624"/>
    </row>
    <row r="4" spans="2:32" x14ac:dyDescent="0.35">
      <c r="B4" s="166" t="s">
        <v>841</v>
      </c>
      <c r="C4" s="293" t="s">
        <v>50</v>
      </c>
      <c r="D4" s="293" t="s">
        <v>51</v>
      </c>
      <c r="E4" s="293" t="s">
        <v>52</v>
      </c>
      <c r="F4" s="293" t="s">
        <v>53</v>
      </c>
      <c r="G4" s="293" t="s">
        <v>54</v>
      </c>
      <c r="H4" s="293" t="s">
        <v>55</v>
      </c>
      <c r="I4" s="293" t="s">
        <v>56</v>
      </c>
      <c r="K4" s="166" t="s">
        <v>841</v>
      </c>
      <c r="L4" s="293" t="s">
        <v>50</v>
      </c>
      <c r="M4" s="293" t="s">
        <v>51</v>
      </c>
      <c r="N4" s="293" t="s">
        <v>52</v>
      </c>
      <c r="O4" s="293" t="s">
        <v>53</v>
      </c>
      <c r="P4" s="293" t="s">
        <v>54</v>
      </c>
      <c r="Q4" s="293" t="s">
        <v>55</v>
      </c>
      <c r="R4" s="293" t="s">
        <v>56</v>
      </c>
      <c r="T4" s="166" t="s">
        <v>841</v>
      </c>
      <c r="U4" s="293" t="s">
        <v>50</v>
      </c>
      <c r="V4" s="293" t="s">
        <v>51</v>
      </c>
      <c r="W4" s="293" t="s">
        <v>52</v>
      </c>
      <c r="X4" s="293" t="s">
        <v>53</v>
      </c>
      <c r="Y4" s="293" t="s">
        <v>54</v>
      </c>
      <c r="Z4" s="293" t="s">
        <v>55</v>
      </c>
      <c r="AA4" s="293" t="s">
        <v>56</v>
      </c>
      <c r="AC4" s="32"/>
      <c r="AD4" t="s">
        <v>879</v>
      </c>
      <c r="AE4" t="s">
        <v>629</v>
      </c>
      <c r="AF4" s="7" t="s">
        <v>878</v>
      </c>
    </row>
    <row r="5" spans="2:32" x14ac:dyDescent="0.35">
      <c r="B5" s="167" t="s">
        <v>49</v>
      </c>
      <c r="C5" s="290">
        <v>8.3800000000000008</v>
      </c>
      <c r="D5" s="294">
        <v>32.235999999999997</v>
      </c>
      <c r="E5" s="294">
        <v>66.819000000000003</v>
      </c>
      <c r="F5" s="294">
        <v>87.64</v>
      </c>
      <c r="G5" s="294">
        <v>50.906999999999996</v>
      </c>
      <c r="H5" s="294">
        <v>11.031000000000001</v>
      </c>
      <c r="I5" s="294">
        <v>0.58699999999999997</v>
      </c>
      <c r="K5" s="295" t="s">
        <v>49</v>
      </c>
      <c r="L5" s="294">
        <v>11.011407407407409</v>
      </c>
      <c r="M5" s="294">
        <v>41.748370370370374</v>
      </c>
      <c r="N5" s="294">
        <v>90.530296296296299</v>
      </c>
      <c r="O5" s="294">
        <v>102.41348148148147</v>
      </c>
      <c r="P5" s="294">
        <v>53.61518518518519</v>
      </c>
      <c r="Q5" s="294">
        <v>11.542555555555559</v>
      </c>
      <c r="R5" s="294">
        <v>0.7416666666666667</v>
      </c>
      <c r="T5" s="295" t="s">
        <v>49</v>
      </c>
      <c r="U5" s="294">
        <v>7.2480000000000002</v>
      </c>
      <c r="V5" s="294">
        <v>54.789000000000001</v>
      </c>
      <c r="W5" s="294">
        <v>128.80500000000001</v>
      </c>
      <c r="X5" s="294">
        <v>129.001</v>
      </c>
      <c r="Y5" s="294">
        <v>60.84</v>
      </c>
      <c r="Z5" s="294">
        <v>13.958</v>
      </c>
      <c r="AA5" s="294">
        <v>0.77900000000000003</v>
      </c>
      <c r="AC5" s="32" t="s">
        <v>49</v>
      </c>
      <c r="AD5" t="s">
        <v>77</v>
      </c>
      <c r="AE5" t="s">
        <v>881</v>
      </c>
      <c r="AF5" s="7" t="s">
        <v>880</v>
      </c>
    </row>
    <row r="6" spans="2:32" x14ac:dyDescent="0.35">
      <c r="B6" s="167" t="s">
        <v>57</v>
      </c>
      <c r="C6" s="290">
        <v>8.3800000000000008</v>
      </c>
      <c r="D6" s="294">
        <v>32.235999999999997</v>
      </c>
      <c r="E6" s="294">
        <v>66.819000000000003</v>
      </c>
      <c r="F6" s="294">
        <v>87.64</v>
      </c>
      <c r="G6" s="294">
        <v>50.906999999999996</v>
      </c>
      <c r="H6" s="294">
        <v>11.031000000000001</v>
      </c>
      <c r="I6" s="294">
        <v>0.58699999999999997</v>
      </c>
      <c r="K6" s="295" t="s">
        <v>57</v>
      </c>
      <c r="L6" s="294">
        <v>11.011407407407409</v>
      </c>
      <c r="M6" s="294">
        <v>41.748370370370374</v>
      </c>
      <c r="N6" s="294">
        <v>90.530296296296299</v>
      </c>
      <c r="O6" s="294">
        <v>102.41348148148147</v>
      </c>
      <c r="P6" s="294">
        <v>53.61518518518519</v>
      </c>
      <c r="Q6" s="294">
        <v>11.542555555555559</v>
      </c>
      <c r="R6" s="294">
        <v>0.7416666666666667</v>
      </c>
      <c r="T6" s="295" t="s">
        <v>57</v>
      </c>
      <c r="U6" s="294">
        <v>7.2480000000000002</v>
      </c>
      <c r="V6" s="294">
        <v>54.789000000000001</v>
      </c>
      <c r="W6" s="294">
        <v>128.80500000000001</v>
      </c>
      <c r="X6" s="294">
        <v>129.001</v>
      </c>
      <c r="Y6" s="294">
        <v>60.84</v>
      </c>
      <c r="Z6" s="294">
        <v>13.958</v>
      </c>
      <c r="AA6" s="294">
        <v>0.77900000000000003</v>
      </c>
      <c r="AC6" s="32" t="s">
        <v>57</v>
      </c>
      <c r="AD6" t="s">
        <v>77</v>
      </c>
      <c r="AE6" t="s">
        <v>881</v>
      </c>
      <c r="AF6" s="7" t="s">
        <v>880</v>
      </c>
    </row>
    <row r="7" spans="2:32" x14ac:dyDescent="0.35">
      <c r="B7" s="167" t="s">
        <v>58</v>
      </c>
      <c r="C7" s="290">
        <v>8.3800000000000008</v>
      </c>
      <c r="D7" s="294">
        <v>32.235999999999997</v>
      </c>
      <c r="E7" s="294">
        <v>66.819000000000003</v>
      </c>
      <c r="F7" s="294">
        <v>87.64</v>
      </c>
      <c r="G7" s="294">
        <v>50.906999999999996</v>
      </c>
      <c r="H7" s="294">
        <v>11.031000000000001</v>
      </c>
      <c r="I7" s="294">
        <v>0.58699999999999997</v>
      </c>
      <c r="K7" s="295" t="s">
        <v>58</v>
      </c>
      <c r="L7" s="294">
        <v>11.011407407407409</v>
      </c>
      <c r="M7" s="294">
        <v>41.748370370370374</v>
      </c>
      <c r="N7" s="294">
        <v>90.530296296296299</v>
      </c>
      <c r="O7" s="294">
        <v>102.41348148148147</v>
      </c>
      <c r="P7" s="294">
        <v>53.61518518518519</v>
      </c>
      <c r="Q7" s="294">
        <v>11.542555555555559</v>
      </c>
      <c r="R7" s="294">
        <v>0.7416666666666667</v>
      </c>
      <c r="T7" s="295" t="s">
        <v>58</v>
      </c>
      <c r="U7" s="294">
        <v>7.2480000000000002</v>
      </c>
      <c r="V7" s="294">
        <v>54.789000000000001</v>
      </c>
      <c r="W7" s="294">
        <v>128.80500000000001</v>
      </c>
      <c r="X7" s="294">
        <v>129.001</v>
      </c>
      <c r="Y7" s="294">
        <v>60.84</v>
      </c>
      <c r="Z7" s="294">
        <v>13.958</v>
      </c>
      <c r="AA7" s="294">
        <v>0.77900000000000003</v>
      </c>
      <c r="AC7" s="32" t="s">
        <v>58</v>
      </c>
      <c r="AD7" t="s">
        <v>77</v>
      </c>
      <c r="AE7" t="s">
        <v>881</v>
      </c>
      <c r="AF7" s="7" t="s">
        <v>880</v>
      </c>
    </row>
    <row r="8" spans="2:32" x14ac:dyDescent="0.35">
      <c r="B8" s="167" t="s">
        <v>59</v>
      </c>
      <c r="C8" s="290">
        <v>8.3800000000000008</v>
      </c>
      <c r="D8" s="294">
        <v>32.235999999999997</v>
      </c>
      <c r="E8" s="294">
        <v>66.819000000000003</v>
      </c>
      <c r="F8" s="294">
        <v>87.64</v>
      </c>
      <c r="G8" s="294">
        <v>50.906999999999996</v>
      </c>
      <c r="H8" s="294">
        <v>11.031000000000001</v>
      </c>
      <c r="I8" s="294">
        <v>0.58699999999999997</v>
      </c>
      <c r="K8" s="295" t="s">
        <v>59</v>
      </c>
      <c r="L8" s="294">
        <v>11.011407407407409</v>
      </c>
      <c r="M8" s="294">
        <v>41.748370370370374</v>
      </c>
      <c r="N8" s="294">
        <v>90.530296296296299</v>
      </c>
      <c r="O8" s="294">
        <v>102.41348148148147</v>
      </c>
      <c r="P8" s="294">
        <v>53.61518518518519</v>
      </c>
      <c r="Q8" s="294">
        <v>11.542555555555559</v>
      </c>
      <c r="R8" s="294">
        <v>0.7416666666666667</v>
      </c>
      <c r="T8" s="295" t="s">
        <v>59</v>
      </c>
      <c r="U8" s="294">
        <v>7.2480000000000002</v>
      </c>
      <c r="V8" s="294">
        <v>54.789000000000001</v>
      </c>
      <c r="W8" s="294">
        <v>128.80500000000001</v>
      </c>
      <c r="X8" s="294">
        <v>129.001</v>
      </c>
      <c r="Y8" s="294">
        <v>60.84</v>
      </c>
      <c r="Z8" s="294">
        <v>13.958</v>
      </c>
      <c r="AA8" s="294">
        <v>0.77900000000000003</v>
      </c>
      <c r="AC8" s="32" t="s">
        <v>59</v>
      </c>
      <c r="AD8" t="s">
        <v>77</v>
      </c>
      <c r="AE8" t="s">
        <v>881</v>
      </c>
      <c r="AF8" s="7" t="s">
        <v>880</v>
      </c>
    </row>
    <row r="9" spans="2:32" x14ac:dyDescent="0.35">
      <c r="B9" s="167" t="s">
        <v>60</v>
      </c>
      <c r="C9" s="290">
        <v>8.3800000000000008</v>
      </c>
      <c r="D9" s="294">
        <v>32.235999999999997</v>
      </c>
      <c r="E9" s="294">
        <v>66.819000000000003</v>
      </c>
      <c r="F9" s="294">
        <v>87.64</v>
      </c>
      <c r="G9" s="294">
        <v>50.906999999999996</v>
      </c>
      <c r="H9" s="294">
        <v>11.031000000000001</v>
      </c>
      <c r="I9" s="294">
        <v>0.58699999999999997</v>
      </c>
      <c r="K9" s="295" t="s">
        <v>60</v>
      </c>
      <c r="L9" s="294">
        <v>11.011407407407409</v>
      </c>
      <c r="M9" s="294">
        <v>41.748370370370374</v>
      </c>
      <c r="N9" s="294">
        <v>90.530296296296299</v>
      </c>
      <c r="O9" s="294">
        <v>102.41348148148147</v>
      </c>
      <c r="P9" s="294">
        <v>53.61518518518519</v>
      </c>
      <c r="Q9" s="294">
        <v>11.542555555555559</v>
      </c>
      <c r="R9" s="294">
        <v>0.7416666666666667</v>
      </c>
      <c r="T9" s="295" t="s">
        <v>60</v>
      </c>
      <c r="U9" s="294">
        <v>7.2480000000000002</v>
      </c>
      <c r="V9" s="294">
        <v>54.789000000000001</v>
      </c>
      <c r="W9" s="294">
        <v>128.80500000000001</v>
      </c>
      <c r="X9" s="294">
        <v>129.001</v>
      </c>
      <c r="Y9" s="294">
        <v>60.84</v>
      </c>
      <c r="Z9" s="294">
        <v>13.958</v>
      </c>
      <c r="AA9" s="294">
        <v>0.77900000000000003</v>
      </c>
      <c r="AC9" s="32" t="s">
        <v>60</v>
      </c>
      <c r="AD9" t="s">
        <v>77</v>
      </c>
      <c r="AE9" t="s">
        <v>881</v>
      </c>
      <c r="AF9" s="7" t="s">
        <v>880</v>
      </c>
    </row>
    <row r="10" spans="2:32" ht="29" x14ac:dyDescent="0.35">
      <c r="B10" s="167" t="s">
        <v>61</v>
      </c>
      <c r="C10" s="290">
        <v>8.3800000000000008</v>
      </c>
      <c r="D10" s="294">
        <v>32.235999999999997</v>
      </c>
      <c r="E10" s="294">
        <v>66.819000000000003</v>
      </c>
      <c r="F10" s="294">
        <v>87.64</v>
      </c>
      <c r="G10" s="294">
        <v>50.906999999999996</v>
      </c>
      <c r="H10" s="294">
        <v>11.031000000000001</v>
      </c>
      <c r="I10" s="294">
        <v>0.58699999999999997</v>
      </c>
      <c r="K10" s="295" t="s">
        <v>61</v>
      </c>
      <c r="L10" s="294">
        <v>11.011407407407409</v>
      </c>
      <c r="M10" s="294">
        <v>41.748370370370374</v>
      </c>
      <c r="N10" s="294">
        <v>90.530296296296299</v>
      </c>
      <c r="O10" s="294">
        <v>102.41348148148147</v>
      </c>
      <c r="P10" s="294">
        <v>53.61518518518519</v>
      </c>
      <c r="Q10" s="294">
        <v>11.542555555555559</v>
      </c>
      <c r="R10" s="294">
        <v>0.7416666666666667</v>
      </c>
      <c r="T10" s="295" t="s">
        <v>61</v>
      </c>
      <c r="U10" s="294">
        <v>7.2480000000000002</v>
      </c>
      <c r="V10" s="294">
        <v>54.789000000000001</v>
      </c>
      <c r="W10" s="294">
        <v>128.80500000000001</v>
      </c>
      <c r="X10" s="294">
        <v>129.001</v>
      </c>
      <c r="Y10" s="294">
        <v>60.84</v>
      </c>
      <c r="Z10" s="294">
        <v>13.958</v>
      </c>
      <c r="AA10" s="294">
        <v>0.77900000000000003</v>
      </c>
      <c r="AC10" s="32" t="s">
        <v>61</v>
      </c>
      <c r="AD10" t="s">
        <v>77</v>
      </c>
      <c r="AE10" t="s">
        <v>881</v>
      </c>
      <c r="AF10" s="7" t="s">
        <v>880</v>
      </c>
    </row>
    <row r="11" spans="2:32" x14ac:dyDescent="0.35">
      <c r="B11" s="167" t="s">
        <v>62</v>
      </c>
      <c r="C11" s="290">
        <v>8.3800000000000008</v>
      </c>
      <c r="D11" s="294">
        <v>32.235999999999997</v>
      </c>
      <c r="E11" s="294">
        <v>66.819000000000003</v>
      </c>
      <c r="F11" s="294">
        <v>87.64</v>
      </c>
      <c r="G11" s="294">
        <v>50.906999999999996</v>
      </c>
      <c r="H11" s="294">
        <v>11.031000000000001</v>
      </c>
      <c r="I11" s="294">
        <v>0.58699999999999997</v>
      </c>
      <c r="K11" s="295" t="s">
        <v>62</v>
      </c>
      <c r="L11" s="294">
        <v>11.011407407407409</v>
      </c>
      <c r="M11" s="294">
        <v>41.748370370370374</v>
      </c>
      <c r="N11" s="294">
        <v>90.530296296296299</v>
      </c>
      <c r="O11" s="294">
        <v>102.41348148148147</v>
      </c>
      <c r="P11" s="294">
        <v>53.61518518518519</v>
      </c>
      <c r="Q11" s="294">
        <v>11.542555555555559</v>
      </c>
      <c r="R11" s="294">
        <v>0.7416666666666667</v>
      </c>
      <c r="T11" s="295" t="s">
        <v>62</v>
      </c>
      <c r="U11" s="294">
        <v>7.2480000000000002</v>
      </c>
      <c r="V11" s="294">
        <v>54.789000000000001</v>
      </c>
      <c r="W11" s="294">
        <v>128.80500000000001</v>
      </c>
      <c r="X11" s="294">
        <v>129.001</v>
      </c>
      <c r="Y11" s="294">
        <v>60.84</v>
      </c>
      <c r="Z11" s="294">
        <v>13.958</v>
      </c>
      <c r="AA11" s="294">
        <v>0.77900000000000003</v>
      </c>
      <c r="AC11" s="32" t="s">
        <v>62</v>
      </c>
      <c r="AD11" t="s">
        <v>77</v>
      </c>
      <c r="AE11" t="s">
        <v>881</v>
      </c>
      <c r="AF11" s="7" t="s">
        <v>880</v>
      </c>
    </row>
    <row r="12" spans="2:32" x14ac:dyDescent="0.35">
      <c r="B12" s="167" t="s">
        <v>63</v>
      </c>
      <c r="C12" s="290">
        <v>8.3800000000000008</v>
      </c>
      <c r="D12" s="294">
        <v>32.235999999999997</v>
      </c>
      <c r="E12" s="294">
        <v>66.819000000000003</v>
      </c>
      <c r="F12" s="294">
        <v>87.64</v>
      </c>
      <c r="G12" s="294">
        <v>50.906999999999996</v>
      </c>
      <c r="H12" s="294">
        <v>11.031000000000001</v>
      </c>
      <c r="I12" s="294">
        <v>0.58699999999999997</v>
      </c>
      <c r="K12" s="295" t="s">
        <v>63</v>
      </c>
      <c r="L12" s="294">
        <v>11.011407407407409</v>
      </c>
      <c r="M12" s="294">
        <v>41.748370370370374</v>
      </c>
      <c r="N12" s="294">
        <v>90.530296296296299</v>
      </c>
      <c r="O12" s="294">
        <v>102.41348148148147</v>
      </c>
      <c r="P12" s="294">
        <v>53.61518518518519</v>
      </c>
      <c r="Q12" s="294">
        <v>11.542555555555559</v>
      </c>
      <c r="R12" s="294">
        <v>0.7416666666666667</v>
      </c>
      <c r="T12" s="295" t="s">
        <v>63</v>
      </c>
      <c r="U12" s="294">
        <v>7.2480000000000002</v>
      </c>
      <c r="V12" s="294">
        <v>54.789000000000001</v>
      </c>
      <c r="W12" s="294">
        <v>128.80500000000001</v>
      </c>
      <c r="X12" s="294">
        <v>129.001</v>
      </c>
      <c r="Y12" s="294">
        <v>60.84</v>
      </c>
      <c r="Z12" s="294">
        <v>13.958</v>
      </c>
      <c r="AA12" s="294">
        <v>0.77900000000000003</v>
      </c>
      <c r="AC12" s="32" t="s">
        <v>63</v>
      </c>
      <c r="AD12" t="s">
        <v>77</v>
      </c>
      <c r="AE12" t="s">
        <v>881</v>
      </c>
      <c r="AF12" s="7" t="s">
        <v>880</v>
      </c>
    </row>
    <row r="13" spans="2:32" x14ac:dyDescent="0.35">
      <c r="B13" s="167" t="s">
        <v>64</v>
      </c>
      <c r="C13" s="290">
        <v>8.3800000000000008</v>
      </c>
      <c r="D13" s="294">
        <v>32.235999999999997</v>
      </c>
      <c r="E13" s="294">
        <v>66.819000000000003</v>
      </c>
      <c r="F13" s="294">
        <v>87.64</v>
      </c>
      <c r="G13" s="294">
        <v>50.906999999999996</v>
      </c>
      <c r="H13" s="294">
        <v>11.031000000000001</v>
      </c>
      <c r="I13" s="294">
        <v>0.58699999999999997</v>
      </c>
      <c r="K13" s="295" t="s">
        <v>64</v>
      </c>
      <c r="L13" s="294">
        <v>11.011407407407409</v>
      </c>
      <c r="M13" s="294">
        <v>41.748370370370374</v>
      </c>
      <c r="N13" s="294">
        <v>90.530296296296299</v>
      </c>
      <c r="O13" s="294">
        <v>102.41348148148147</v>
      </c>
      <c r="P13" s="294">
        <v>53.61518518518519</v>
      </c>
      <c r="Q13" s="294">
        <v>11.542555555555559</v>
      </c>
      <c r="R13" s="294">
        <v>0.7416666666666667</v>
      </c>
      <c r="T13" s="295" t="s">
        <v>64</v>
      </c>
      <c r="U13" s="294">
        <v>7.2480000000000002</v>
      </c>
      <c r="V13" s="294">
        <v>54.789000000000001</v>
      </c>
      <c r="W13" s="294">
        <v>128.80500000000001</v>
      </c>
      <c r="X13" s="294">
        <v>129.001</v>
      </c>
      <c r="Y13" s="294">
        <v>60.84</v>
      </c>
      <c r="Z13" s="294">
        <v>13.958</v>
      </c>
      <c r="AA13" s="294">
        <v>0.77900000000000003</v>
      </c>
      <c r="AC13" s="32" t="s">
        <v>64</v>
      </c>
      <c r="AD13" t="s">
        <v>77</v>
      </c>
      <c r="AE13" t="s">
        <v>881</v>
      </c>
      <c r="AF13" s="7" t="s">
        <v>880</v>
      </c>
    </row>
    <row r="14" spans="2:32" x14ac:dyDescent="0.35">
      <c r="B14" s="167" t="s">
        <v>65</v>
      </c>
      <c r="C14" s="290">
        <v>8.3800000000000008</v>
      </c>
      <c r="D14" s="294">
        <v>32.235999999999997</v>
      </c>
      <c r="E14" s="294">
        <v>66.819000000000003</v>
      </c>
      <c r="F14" s="294">
        <v>87.64</v>
      </c>
      <c r="G14" s="294">
        <v>50.906999999999996</v>
      </c>
      <c r="H14" s="294">
        <v>11.031000000000001</v>
      </c>
      <c r="I14" s="294">
        <v>0.58699999999999997</v>
      </c>
      <c r="K14" s="295" t="s">
        <v>65</v>
      </c>
      <c r="L14" s="294">
        <v>11.011407407407409</v>
      </c>
      <c r="M14" s="294">
        <v>41.748370370370374</v>
      </c>
      <c r="N14" s="294">
        <v>90.530296296296299</v>
      </c>
      <c r="O14" s="294">
        <v>102.41348148148147</v>
      </c>
      <c r="P14" s="294">
        <v>53.61518518518519</v>
      </c>
      <c r="Q14" s="294">
        <v>11.542555555555559</v>
      </c>
      <c r="R14" s="294">
        <v>0.7416666666666667</v>
      </c>
      <c r="T14" s="295" t="s">
        <v>65</v>
      </c>
      <c r="U14" s="294">
        <v>7.2480000000000002</v>
      </c>
      <c r="V14" s="294">
        <v>54.789000000000001</v>
      </c>
      <c r="W14" s="294">
        <v>128.80500000000001</v>
      </c>
      <c r="X14" s="294">
        <v>129.001</v>
      </c>
      <c r="Y14" s="294">
        <v>60.84</v>
      </c>
      <c r="Z14" s="294">
        <v>13.958</v>
      </c>
      <c r="AA14" s="294">
        <v>0.77900000000000003</v>
      </c>
      <c r="AC14" s="32" t="s">
        <v>65</v>
      </c>
      <c r="AD14" t="s">
        <v>77</v>
      </c>
      <c r="AE14" t="s">
        <v>881</v>
      </c>
      <c r="AF14" s="7" t="s">
        <v>880</v>
      </c>
    </row>
    <row r="15" spans="2:32" x14ac:dyDescent="0.35">
      <c r="B15" s="167" t="s">
        <v>66</v>
      </c>
      <c r="C15" s="290">
        <v>8.3800000000000008</v>
      </c>
      <c r="D15" s="294">
        <v>32.235999999999997</v>
      </c>
      <c r="E15" s="294">
        <v>66.819000000000003</v>
      </c>
      <c r="F15" s="294">
        <v>87.64</v>
      </c>
      <c r="G15" s="294">
        <v>50.906999999999996</v>
      </c>
      <c r="H15" s="294">
        <v>11.031000000000001</v>
      </c>
      <c r="I15" s="294">
        <v>0.58699999999999997</v>
      </c>
      <c r="K15" s="295" t="s">
        <v>66</v>
      </c>
      <c r="L15" s="294">
        <v>11.011407407407409</v>
      </c>
      <c r="M15" s="294">
        <v>41.748370370370374</v>
      </c>
      <c r="N15" s="294">
        <v>90.530296296296299</v>
      </c>
      <c r="O15" s="294">
        <v>102.41348148148147</v>
      </c>
      <c r="P15" s="294">
        <v>53.61518518518519</v>
      </c>
      <c r="Q15" s="294">
        <v>11.542555555555559</v>
      </c>
      <c r="R15" s="294">
        <v>0.7416666666666667</v>
      </c>
      <c r="T15" s="295" t="s">
        <v>66</v>
      </c>
      <c r="U15" s="294">
        <v>7.2480000000000002</v>
      </c>
      <c r="V15" s="294">
        <v>54.789000000000001</v>
      </c>
      <c r="W15" s="294">
        <v>128.80500000000001</v>
      </c>
      <c r="X15" s="294">
        <v>129.001</v>
      </c>
      <c r="Y15" s="294">
        <v>60.84</v>
      </c>
      <c r="Z15" s="294">
        <v>13.958</v>
      </c>
      <c r="AA15" s="294">
        <v>0.77900000000000003</v>
      </c>
      <c r="AC15" s="32" t="s">
        <v>66</v>
      </c>
      <c r="AD15" t="s">
        <v>77</v>
      </c>
      <c r="AE15" t="s">
        <v>881</v>
      </c>
      <c r="AF15" s="7" t="s">
        <v>880</v>
      </c>
    </row>
    <row r="16" spans="2:32" x14ac:dyDescent="0.35">
      <c r="B16" s="167" t="s">
        <v>67</v>
      </c>
      <c r="C16" s="290">
        <v>8.3800000000000008</v>
      </c>
      <c r="D16" s="294">
        <v>32.235999999999997</v>
      </c>
      <c r="E16" s="294">
        <v>66.819000000000003</v>
      </c>
      <c r="F16" s="294">
        <v>87.64</v>
      </c>
      <c r="G16" s="294">
        <v>50.906999999999996</v>
      </c>
      <c r="H16" s="294">
        <v>11.031000000000001</v>
      </c>
      <c r="I16" s="294">
        <v>0.58699999999999997</v>
      </c>
      <c r="K16" s="295" t="s">
        <v>67</v>
      </c>
      <c r="L16" s="294">
        <v>11.011407407407409</v>
      </c>
      <c r="M16" s="294">
        <v>41.748370370370374</v>
      </c>
      <c r="N16" s="294">
        <v>90.530296296296299</v>
      </c>
      <c r="O16" s="294">
        <v>102.41348148148147</v>
      </c>
      <c r="P16" s="294">
        <v>53.61518518518519</v>
      </c>
      <c r="Q16" s="294">
        <v>11.542555555555559</v>
      </c>
      <c r="R16" s="294">
        <v>0.7416666666666667</v>
      </c>
      <c r="T16" s="295" t="s">
        <v>67</v>
      </c>
      <c r="U16" s="294">
        <v>7.2480000000000002</v>
      </c>
      <c r="V16" s="294">
        <v>54.789000000000001</v>
      </c>
      <c r="W16" s="294">
        <v>128.80500000000001</v>
      </c>
      <c r="X16" s="294">
        <v>129.001</v>
      </c>
      <c r="Y16" s="294">
        <v>60.84</v>
      </c>
      <c r="Z16" s="294">
        <v>13.958</v>
      </c>
      <c r="AA16" s="294">
        <v>0.77900000000000003</v>
      </c>
      <c r="AC16" s="32" t="s">
        <v>67</v>
      </c>
      <c r="AD16" t="s">
        <v>77</v>
      </c>
      <c r="AE16" t="s">
        <v>881</v>
      </c>
      <c r="AF16" s="7" t="s">
        <v>880</v>
      </c>
    </row>
    <row r="17" spans="2:32" x14ac:dyDescent="0.35">
      <c r="B17" s="167" t="s">
        <v>68</v>
      </c>
      <c r="C17" s="290">
        <v>8.3800000000000008</v>
      </c>
      <c r="D17" s="294">
        <v>32.235999999999997</v>
      </c>
      <c r="E17" s="294">
        <v>66.819000000000003</v>
      </c>
      <c r="F17" s="294">
        <v>87.64</v>
      </c>
      <c r="G17" s="294">
        <v>50.906999999999996</v>
      </c>
      <c r="H17" s="294">
        <v>11.031000000000001</v>
      </c>
      <c r="I17" s="294">
        <v>0.58699999999999997</v>
      </c>
      <c r="K17" s="295" t="s">
        <v>68</v>
      </c>
      <c r="L17" s="294">
        <v>11.011407407407409</v>
      </c>
      <c r="M17" s="294">
        <v>41.748370370370374</v>
      </c>
      <c r="N17" s="294">
        <v>90.530296296296299</v>
      </c>
      <c r="O17" s="294">
        <v>102.41348148148147</v>
      </c>
      <c r="P17" s="294">
        <v>53.61518518518519</v>
      </c>
      <c r="Q17" s="294">
        <v>11.542555555555559</v>
      </c>
      <c r="R17" s="294">
        <v>0.7416666666666667</v>
      </c>
      <c r="T17" s="295" t="s">
        <v>68</v>
      </c>
      <c r="U17" s="294">
        <v>7.2480000000000002</v>
      </c>
      <c r="V17" s="294">
        <v>54.789000000000001</v>
      </c>
      <c r="W17" s="294">
        <v>128.80500000000001</v>
      </c>
      <c r="X17" s="294">
        <v>129.001</v>
      </c>
      <c r="Y17" s="294">
        <v>60.84</v>
      </c>
      <c r="Z17" s="294">
        <v>13.958</v>
      </c>
      <c r="AA17" s="294">
        <v>0.77900000000000003</v>
      </c>
      <c r="AC17" s="32" t="s">
        <v>68</v>
      </c>
      <c r="AD17" t="s">
        <v>77</v>
      </c>
      <c r="AE17" t="s">
        <v>881</v>
      </c>
      <c r="AF17" s="7" t="s">
        <v>880</v>
      </c>
    </row>
    <row r="18" spans="2:32" x14ac:dyDescent="0.35">
      <c r="B18" s="167" t="s">
        <v>69</v>
      </c>
      <c r="C18" s="290">
        <v>8.3800000000000008</v>
      </c>
      <c r="D18" s="294">
        <v>32.235999999999997</v>
      </c>
      <c r="E18" s="294">
        <v>66.819000000000003</v>
      </c>
      <c r="F18" s="294">
        <v>87.64</v>
      </c>
      <c r="G18" s="294">
        <v>50.906999999999996</v>
      </c>
      <c r="H18" s="294">
        <v>11.031000000000001</v>
      </c>
      <c r="I18" s="294">
        <v>0.58699999999999997</v>
      </c>
      <c r="K18" s="295" t="s">
        <v>69</v>
      </c>
      <c r="L18" s="294">
        <v>11.011407407407409</v>
      </c>
      <c r="M18" s="294">
        <v>41.748370370370374</v>
      </c>
      <c r="N18" s="294">
        <v>90.530296296296299</v>
      </c>
      <c r="O18" s="294">
        <v>102.41348148148147</v>
      </c>
      <c r="P18" s="294">
        <v>53.61518518518519</v>
      </c>
      <c r="Q18" s="294">
        <v>11.542555555555559</v>
      </c>
      <c r="R18" s="294">
        <v>0.7416666666666667</v>
      </c>
      <c r="T18" s="295" t="s">
        <v>69</v>
      </c>
      <c r="U18" s="294">
        <v>7.2480000000000002</v>
      </c>
      <c r="V18" s="294">
        <v>54.789000000000001</v>
      </c>
      <c r="W18" s="294">
        <v>128.80500000000001</v>
      </c>
      <c r="X18" s="294">
        <v>129.001</v>
      </c>
      <c r="Y18" s="294">
        <v>60.84</v>
      </c>
      <c r="Z18" s="294">
        <v>13.958</v>
      </c>
      <c r="AA18" s="294">
        <v>0.77900000000000003</v>
      </c>
      <c r="AC18" s="32" t="s">
        <v>69</v>
      </c>
      <c r="AD18" t="s">
        <v>77</v>
      </c>
      <c r="AE18" t="s">
        <v>881</v>
      </c>
      <c r="AF18" s="7" t="s">
        <v>880</v>
      </c>
    </row>
    <row r="19" spans="2:32" x14ac:dyDescent="0.35">
      <c r="B19" s="167" t="s">
        <v>70</v>
      </c>
      <c r="C19" s="290">
        <v>8.3800000000000008</v>
      </c>
      <c r="D19" s="294">
        <v>32.235999999999997</v>
      </c>
      <c r="E19" s="294">
        <v>66.819000000000003</v>
      </c>
      <c r="F19" s="294">
        <v>87.64</v>
      </c>
      <c r="G19" s="294">
        <v>50.906999999999996</v>
      </c>
      <c r="H19" s="294">
        <v>11.031000000000001</v>
      </c>
      <c r="I19" s="294">
        <v>0.58699999999999997</v>
      </c>
      <c r="K19" s="295" t="s">
        <v>70</v>
      </c>
      <c r="L19" s="294">
        <v>11.011407407407409</v>
      </c>
      <c r="M19" s="294">
        <v>41.748370370370374</v>
      </c>
      <c r="N19" s="294">
        <v>90.530296296296299</v>
      </c>
      <c r="O19" s="294">
        <v>102.41348148148147</v>
      </c>
      <c r="P19" s="294">
        <v>53.61518518518519</v>
      </c>
      <c r="Q19" s="294">
        <v>11.542555555555559</v>
      </c>
      <c r="R19" s="294">
        <v>0.7416666666666667</v>
      </c>
      <c r="T19" s="295" t="s">
        <v>70</v>
      </c>
      <c r="U19" s="294">
        <v>7.2480000000000002</v>
      </c>
      <c r="V19" s="294">
        <v>54.789000000000001</v>
      </c>
      <c r="W19" s="294">
        <v>128.80500000000001</v>
      </c>
      <c r="X19" s="294">
        <v>129.001</v>
      </c>
      <c r="Y19" s="294">
        <v>60.84</v>
      </c>
      <c r="Z19" s="294">
        <v>13.958</v>
      </c>
      <c r="AA19" s="294">
        <v>0.77900000000000003</v>
      </c>
      <c r="AC19" s="32" t="s">
        <v>70</v>
      </c>
      <c r="AD19" t="s">
        <v>77</v>
      </c>
      <c r="AE19" t="s">
        <v>881</v>
      </c>
      <c r="AF19" s="7" t="s">
        <v>880</v>
      </c>
    </row>
    <row r="20" spans="2:32" x14ac:dyDescent="0.35">
      <c r="B20" s="167" t="s">
        <v>71</v>
      </c>
      <c r="C20" s="290">
        <v>8.3800000000000008</v>
      </c>
      <c r="D20" s="294">
        <v>32.235999999999997</v>
      </c>
      <c r="E20" s="294">
        <v>66.819000000000003</v>
      </c>
      <c r="F20" s="294">
        <v>87.64</v>
      </c>
      <c r="G20" s="294">
        <v>50.906999999999996</v>
      </c>
      <c r="H20" s="294">
        <v>11.031000000000001</v>
      </c>
      <c r="I20" s="294">
        <v>0.58699999999999997</v>
      </c>
      <c r="K20" s="295" t="s">
        <v>71</v>
      </c>
      <c r="L20" s="294">
        <v>11.011407407407409</v>
      </c>
      <c r="M20" s="294">
        <v>41.748370370370374</v>
      </c>
      <c r="N20" s="294">
        <v>90.530296296296299</v>
      </c>
      <c r="O20" s="294">
        <v>102.41348148148147</v>
      </c>
      <c r="P20" s="294">
        <v>53.61518518518519</v>
      </c>
      <c r="Q20" s="294">
        <v>11.542555555555559</v>
      </c>
      <c r="R20" s="294">
        <v>0.7416666666666667</v>
      </c>
      <c r="T20" s="295" t="s">
        <v>71</v>
      </c>
      <c r="U20" s="294">
        <v>7.2480000000000002</v>
      </c>
      <c r="V20" s="294">
        <v>54.789000000000001</v>
      </c>
      <c r="W20" s="294">
        <v>128.80500000000001</v>
      </c>
      <c r="X20" s="294">
        <v>129.001</v>
      </c>
      <c r="Y20" s="294">
        <v>60.84</v>
      </c>
      <c r="Z20" s="294">
        <v>13.958</v>
      </c>
      <c r="AA20" s="294">
        <v>0.77900000000000003</v>
      </c>
      <c r="AC20" s="32" t="s">
        <v>71</v>
      </c>
      <c r="AD20" t="s">
        <v>77</v>
      </c>
      <c r="AE20" t="s">
        <v>881</v>
      </c>
      <c r="AF20" s="7" t="s">
        <v>880</v>
      </c>
    </row>
    <row r="21" spans="2:32" x14ac:dyDescent="0.35">
      <c r="B21" s="167" t="s">
        <v>72</v>
      </c>
      <c r="C21" s="290">
        <v>8.3800000000000008</v>
      </c>
      <c r="D21" s="294">
        <v>32.235999999999997</v>
      </c>
      <c r="E21" s="294">
        <v>66.819000000000003</v>
      </c>
      <c r="F21" s="294">
        <v>87.64</v>
      </c>
      <c r="G21" s="294">
        <v>50.906999999999996</v>
      </c>
      <c r="H21" s="294">
        <v>11.031000000000001</v>
      </c>
      <c r="I21" s="294">
        <v>0.58699999999999997</v>
      </c>
      <c r="K21" s="295" t="s">
        <v>72</v>
      </c>
      <c r="L21" s="294">
        <v>11.011407407407409</v>
      </c>
      <c r="M21" s="294">
        <v>41.748370370370374</v>
      </c>
      <c r="N21" s="294">
        <v>90.530296296296299</v>
      </c>
      <c r="O21" s="294">
        <v>102.41348148148147</v>
      </c>
      <c r="P21" s="294">
        <v>53.61518518518519</v>
      </c>
      <c r="Q21" s="294">
        <v>11.542555555555559</v>
      </c>
      <c r="R21" s="294">
        <v>0.7416666666666667</v>
      </c>
      <c r="T21" s="295" t="s">
        <v>72</v>
      </c>
      <c r="U21" s="294">
        <v>7.2480000000000002</v>
      </c>
      <c r="V21" s="294">
        <v>54.789000000000001</v>
      </c>
      <c r="W21" s="294">
        <v>128.80500000000001</v>
      </c>
      <c r="X21" s="294">
        <v>129.001</v>
      </c>
      <c r="Y21" s="294">
        <v>60.84</v>
      </c>
      <c r="Z21" s="294">
        <v>13.958</v>
      </c>
      <c r="AA21" s="294">
        <v>0.77900000000000003</v>
      </c>
      <c r="AC21" s="32" t="s">
        <v>72</v>
      </c>
      <c r="AD21" t="s">
        <v>77</v>
      </c>
      <c r="AE21" t="s">
        <v>881</v>
      </c>
      <c r="AF21" s="7" t="s">
        <v>880</v>
      </c>
    </row>
    <row r="22" spans="2:32" x14ac:dyDescent="0.35">
      <c r="B22" s="167" t="s">
        <v>73</v>
      </c>
      <c r="C22" s="290">
        <v>8.3800000000000008</v>
      </c>
      <c r="D22" s="294">
        <v>32.235999999999997</v>
      </c>
      <c r="E22" s="294">
        <v>66.819000000000003</v>
      </c>
      <c r="F22" s="294">
        <v>87.64</v>
      </c>
      <c r="G22" s="294">
        <v>50.906999999999996</v>
      </c>
      <c r="H22" s="294">
        <v>11.031000000000001</v>
      </c>
      <c r="I22" s="294">
        <v>0.58699999999999997</v>
      </c>
      <c r="K22" s="295" t="s">
        <v>73</v>
      </c>
      <c r="L22" s="294">
        <v>11.011407407407409</v>
      </c>
      <c r="M22" s="294">
        <v>41.748370370370374</v>
      </c>
      <c r="N22" s="294">
        <v>90.530296296296299</v>
      </c>
      <c r="O22" s="294">
        <v>102.41348148148147</v>
      </c>
      <c r="P22" s="294">
        <v>53.61518518518519</v>
      </c>
      <c r="Q22" s="294">
        <v>11.542555555555559</v>
      </c>
      <c r="R22" s="294">
        <v>0.7416666666666667</v>
      </c>
      <c r="T22" s="295" t="s">
        <v>73</v>
      </c>
      <c r="U22" s="294">
        <v>7.2480000000000002</v>
      </c>
      <c r="V22" s="294">
        <v>54.789000000000001</v>
      </c>
      <c r="W22" s="294">
        <v>128.80500000000001</v>
      </c>
      <c r="X22" s="294">
        <v>129.001</v>
      </c>
      <c r="Y22" s="294">
        <v>60.84</v>
      </c>
      <c r="Z22" s="294">
        <v>13.958</v>
      </c>
      <c r="AA22" s="294">
        <v>0.77900000000000003</v>
      </c>
      <c r="AC22" s="32" t="s">
        <v>73</v>
      </c>
      <c r="AD22" t="s">
        <v>77</v>
      </c>
      <c r="AE22" t="s">
        <v>881</v>
      </c>
      <c r="AF22" s="7" t="s">
        <v>880</v>
      </c>
    </row>
    <row r="23" spans="2:32" x14ac:dyDescent="0.35">
      <c r="B23" s="167" t="s">
        <v>74</v>
      </c>
      <c r="C23" s="290">
        <v>8.3800000000000008</v>
      </c>
      <c r="D23" s="294">
        <v>32.235999999999997</v>
      </c>
      <c r="E23" s="294">
        <v>66.819000000000003</v>
      </c>
      <c r="F23" s="294">
        <v>87.64</v>
      </c>
      <c r="G23" s="294">
        <v>50.906999999999996</v>
      </c>
      <c r="H23" s="294">
        <v>11.031000000000001</v>
      </c>
      <c r="I23" s="294">
        <v>0.58699999999999997</v>
      </c>
      <c r="K23" s="295" t="s">
        <v>74</v>
      </c>
      <c r="L23" s="294">
        <v>11.011407407407409</v>
      </c>
      <c r="M23" s="294">
        <v>41.748370370370374</v>
      </c>
      <c r="N23" s="294">
        <v>90.530296296296299</v>
      </c>
      <c r="O23" s="294">
        <v>102.41348148148147</v>
      </c>
      <c r="P23" s="294">
        <v>53.61518518518519</v>
      </c>
      <c r="Q23" s="294">
        <v>11.542555555555559</v>
      </c>
      <c r="R23" s="294">
        <v>0.7416666666666667</v>
      </c>
      <c r="T23" s="295" t="s">
        <v>74</v>
      </c>
      <c r="U23" s="294">
        <v>7.2480000000000002</v>
      </c>
      <c r="V23" s="294">
        <v>54.789000000000001</v>
      </c>
      <c r="W23" s="294">
        <v>128.80500000000001</v>
      </c>
      <c r="X23" s="294">
        <v>129.001</v>
      </c>
      <c r="Y23" s="294">
        <v>60.84</v>
      </c>
      <c r="Z23" s="294">
        <v>13.958</v>
      </c>
      <c r="AA23" s="294">
        <v>0.77900000000000003</v>
      </c>
      <c r="AC23" s="32" t="s">
        <v>74</v>
      </c>
      <c r="AD23" t="s">
        <v>77</v>
      </c>
      <c r="AE23" t="s">
        <v>881</v>
      </c>
      <c r="AF23" s="7" t="s">
        <v>880</v>
      </c>
    </row>
    <row r="24" spans="2:32" x14ac:dyDescent="0.35">
      <c r="B24" s="167" t="s">
        <v>75</v>
      </c>
      <c r="C24" s="290">
        <v>8.3800000000000008</v>
      </c>
      <c r="D24" s="294">
        <v>32.235999999999997</v>
      </c>
      <c r="E24" s="294">
        <v>66.819000000000003</v>
      </c>
      <c r="F24" s="294">
        <v>87.64</v>
      </c>
      <c r="G24" s="294">
        <v>50.906999999999996</v>
      </c>
      <c r="H24" s="294">
        <v>11.031000000000001</v>
      </c>
      <c r="I24" s="294">
        <v>0.58699999999999997</v>
      </c>
      <c r="K24" s="295" t="s">
        <v>75</v>
      </c>
      <c r="L24" s="294">
        <v>11.011407407407409</v>
      </c>
      <c r="M24" s="294">
        <v>41.748370370370374</v>
      </c>
      <c r="N24" s="294">
        <v>90.530296296296299</v>
      </c>
      <c r="O24" s="294">
        <v>102.41348148148147</v>
      </c>
      <c r="P24" s="294">
        <v>53.61518518518519</v>
      </c>
      <c r="Q24" s="294">
        <v>11.542555555555559</v>
      </c>
      <c r="R24" s="294">
        <v>0.7416666666666667</v>
      </c>
      <c r="T24" s="295" t="s">
        <v>75</v>
      </c>
      <c r="U24" s="294">
        <v>7.2480000000000002</v>
      </c>
      <c r="V24" s="294">
        <v>54.789000000000001</v>
      </c>
      <c r="W24" s="294">
        <v>128.80500000000001</v>
      </c>
      <c r="X24" s="294">
        <v>129.001</v>
      </c>
      <c r="Y24" s="294">
        <v>60.84</v>
      </c>
      <c r="Z24" s="294">
        <v>13.958</v>
      </c>
      <c r="AA24" s="294">
        <v>0.77900000000000003</v>
      </c>
      <c r="AC24" s="32" t="s">
        <v>75</v>
      </c>
      <c r="AD24" t="s">
        <v>77</v>
      </c>
      <c r="AE24" t="s">
        <v>881</v>
      </c>
      <c r="AF24" s="7" t="s">
        <v>880</v>
      </c>
    </row>
    <row r="25" spans="2:32" x14ac:dyDescent="0.35">
      <c r="B25" s="167" t="s">
        <v>76</v>
      </c>
      <c r="C25" s="290">
        <v>8.3800000000000008</v>
      </c>
      <c r="D25" s="294">
        <v>32.235999999999997</v>
      </c>
      <c r="E25" s="294">
        <v>66.819000000000003</v>
      </c>
      <c r="F25" s="294">
        <v>87.64</v>
      </c>
      <c r="G25" s="294">
        <v>50.906999999999996</v>
      </c>
      <c r="H25" s="294">
        <v>11.031000000000001</v>
      </c>
      <c r="I25" s="294">
        <v>0.58699999999999997</v>
      </c>
      <c r="K25" s="295" t="s">
        <v>76</v>
      </c>
      <c r="L25" s="294">
        <v>11.011407407407409</v>
      </c>
      <c r="M25" s="294">
        <v>41.748370370370374</v>
      </c>
      <c r="N25" s="294">
        <v>90.530296296296299</v>
      </c>
      <c r="O25" s="294">
        <v>102.41348148148147</v>
      </c>
      <c r="P25" s="294">
        <v>53.61518518518519</v>
      </c>
      <c r="Q25" s="294">
        <v>11.542555555555559</v>
      </c>
      <c r="R25" s="294">
        <v>0.7416666666666667</v>
      </c>
      <c r="T25" s="295" t="s">
        <v>76</v>
      </c>
      <c r="U25" s="294">
        <v>7.2480000000000002</v>
      </c>
      <c r="V25" s="294">
        <v>54.789000000000001</v>
      </c>
      <c r="W25" s="294">
        <v>128.80500000000001</v>
      </c>
      <c r="X25" s="294">
        <v>129.001</v>
      </c>
      <c r="Y25" s="294">
        <v>60.84</v>
      </c>
      <c r="Z25" s="294">
        <v>13.958</v>
      </c>
      <c r="AA25" s="294">
        <v>0.77900000000000003</v>
      </c>
      <c r="AC25" s="32" t="s">
        <v>76</v>
      </c>
      <c r="AD25" t="s">
        <v>77</v>
      </c>
      <c r="AE25" t="s">
        <v>881</v>
      </c>
      <c r="AF25" s="7" t="s">
        <v>880</v>
      </c>
    </row>
    <row r="26" spans="2:32" x14ac:dyDescent="0.35">
      <c r="B26" s="167" t="s">
        <v>77</v>
      </c>
      <c r="C26" s="290">
        <v>8.3800000000000008</v>
      </c>
      <c r="D26" s="294">
        <v>32.235999999999997</v>
      </c>
      <c r="E26" s="294">
        <v>66.819000000000003</v>
      </c>
      <c r="F26" s="294">
        <v>87.64</v>
      </c>
      <c r="G26" s="294">
        <v>50.906999999999996</v>
      </c>
      <c r="H26" s="294">
        <v>11.031000000000001</v>
      </c>
      <c r="I26" s="294">
        <v>0.58699999999999997</v>
      </c>
      <c r="K26" s="295" t="s">
        <v>77</v>
      </c>
      <c r="L26" s="294">
        <v>11.011407407407409</v>
      </c>
      <c r="M26" s="294">
        <v>41.748370370370374</v>
      </c>
      <c r="N26" s="294">
        <v>90.530296296296299</v>
      </c>
      <c r="O26" s="294">
        <v>102.41348148148147</v>
      </c>
      <c r="P26" s="294">
        <v>53.61518518518519</v>
      </c>
      <c r="Q26" s="294">
        <v>11.542555555555559</v>
      </c>
      <c r="R26" s="294">
        <v>0.7416666666666667</v>
      </c>
      <c r="T26" s="295" t="s">
        <v>77</v>
      </c>
      <c r="U26" s="294">
        <v>7.2480000000000002</v>
      </c>
      <c r="V26" s="294">
        <v>54.789000000000001</v>
      </c>
      <c r="W26" s="294">
        <v>128.80500000000001</v>
      </c>
      <c r="X26" s="294">
        <v>129.001</v>
      </c>
      <c r="Y26" s="294">
        <v>60.84</v>
      </c>
      <c r="Z26" s="294">
        <v>13.958</v>
      </c>
      <c r="AA26" s="294">
        <v>0.77900000000000003</v>
      </c>
      <c r="AC26" s="32" t="s">
        <v>77</v>
      </c>
      <c r="AD26" t="s">
        <v>77</v>
      </c>
      <c r="AE26" t="s">
        <v>881</v>
      </c>
      <c r="AF26" s="7" t="s">
        <v>880</v>
      </c>
    </row>
    <row r="27" spans="2:32" x14ac:dyDescent="0.35">
      <c r="B27" s="167" t="s">
        <v>78</v>
      </c>
      <c r="C27" s="290">
        <v>8.3800000000000008</v>
      </c>
      <c r="D27" s="294">
        <v>32.235999999999997</v>
      </c>
      <c r="E27" s="294">
        <v>66.819000000000003</v>
      </c>
      <c r="F27" s="294">
        <v>87.64</v>
      </c>
      <c r="G27" s="294">
        <v>50.906999999999996</v>
      </c>
      <c r="H27" s="294">
        <v>11.031000000000001</v>
      </c>
      <c r="I27" s="294">
        <v>0.58699999999999997</v>
      </c>
      <c r="K27" s="295" t="s">
        <v>78</v>
      </c>
      <c r="L27" s="294">
        <v>11.011407407407409</v>
      </c>
      <c r="M27" s="294">
        <v>41.748370370370374</v>
      </c>
      <c r="N27" s="294">
        <v>90.530296296296299</v>
      </c>
      <c r="O27" s="294">
        <v>102.41348148148147</v>
      </c>
      <c r="P27" s="294">
        <v>53.61518518518519</v>
      </c>
      <c r="Q27" s="294">
        <v>11.542555555555559</v>
      </c>
      <c r="R27" s="294">
        <v>0.7416666666666667</v>
      </c>
      <c r="T27" s="295" t="s">
        <v>78</v>
      </c>
      <c r="U27" s="294">
        <v>7.2480000000000002</v>
      </c>
      <c r="V27" s="294">
        <v>54.789000000000001</v>
      </c>
      <c r="W27" s="294">
        <v>128.80500000000001</v>
      </c>
      <c r="X27" s="294">
        <v>129.001</v>
      </c>
      <c r="Y27" s="294">
        <v>60.84</v>
      </c>
      <c r="Z27" s="294">
        <v>13.958</v>
      </c>
      <c r="AA27" s="294">
        <v>0.77900000000000003</v>
      </c>
      <c r="AC27" s="32" t="s">
        <v>78</v>
      </c>
      <c r="AD27" t="s">
        <v>77</v>
      </c>
      <c r="AE27" t="s">
        <v>881</v>
      </c>
      <c r="AF27" s="7" t="s">
        <v>880</v>
      </c>
    </row>
    <row r="28" spans="2:32" x14ac:dyDescent="0.35">
      <c r="B28" s="167" t="s">
        <v>79</v>
      </c>
      <c r="C28" s="290">
        <v>8.3800000000000008</v>
      </c>
      <c r="D28" s="294">
        <v>32.235999999999997</v>
      </c>
      <c r="E28" s="294">
        <v>66.819000000000003</v>
      </c>
      <c r="F28" s="294">
        <v>87.64</v>
      </c>
      <c r="G28" s="294">
        <v>50.906999999999996</v>
      </c>
      <c r="H28" s="294">
        <v>11.031000000000001</v>
      </c>
      <c r="I28" s="294">
        <v>0.58699999999999997</v>
      </c>
      <c r="K28" s="295" t="s">
        <v>79</v>
      </c>
      <c r="L28" s="294">
        <v>11.011407407407409</v>
      </c>
      <c r="M28" s="294">
        <v>41.748370370370374</v>
      </c>
      <c r="N28" s="294">
        <v>90.530296296296299</v>
      </c>
      <c r="O28" s="294">
        <v>102.41348148148147</v>
      </c>
      <c r="P28" s="294">
        <v>53.61518518518519</v>
      </c>
      <c r="Q28" s="294">
        <v>11.542555555555559</v>
      </c>
      <c r="R28" s="294">
        <v>0.7416666666666667</v>
      </c>
      <c r="T28" s="295" t="s">
        <v>79</v>
      </c>
      <c r="U28" s="294">
        <v>7.2480000000000002</v>
      </c>
      <c r="V28" s="294">
        <v>54.789000000000001</v>
      </c>
      <c r="W28" s="294">
        <v>128.80500000000001</v>
      </c>
      <c r="X28" s="294">
        <v>129.001</v>
      </c>
      <c r="Y28" s="294">
        <v>60.84</v>
      </c>
      <c r="Z28" s="294">
        <v>13.958</v>
      </c>
      <c r="AA28" s="294">
        <v>0.77900000000000003</v>
      </c>
      <c r="AC28" s="32" t="s">
        <v>79</v>
      </c>
      <c r="AD28" t="s">
        <v>77</v>
      </c>
      <c r="AE28" t="s">
        <v>881</v>
      </c>
      <c r="AF28" s="7" t="s">
        <v>880</v>
      </c>
    </row>
    <row r="29" spans="2:32" x14ac:dyDescent="0.35">
      <c r="B29" s="167" t="s">
        <v>80</v>
      </c>
      <c r="C29" s="290">
        <v>8.3800000000000008</v>
      </c>
      <c r="D29" s="294">
        <v>32.235999999999997</v>
      </c>
      <c r="E29" s="294">
        <v>66.819000000000003</v>
      </c>
      <c r="F29" s="294">
        <v>87.64</v>
      </c>
      <c r="G29" s="294">
        <v>50.906999999999996</v>
      </c>
      <c r="H29" s="294">
        <v>11.031000000000001</v>
      </c>
      <c r="I29" s="294">
        <v>0.58699999999999997</v>
      </c>
      <c r="K29" s="295" t="s">
        <v>80</v>
      </c>
      <c r="L29" s="294">
        <v>11.011407407407409</v>
      </c>
      <c r="M29" s="294">
        <v>41.748370370370374</v>
      </c>
      <c r="N29" s="294">
        <v>90.530296296296299</v>
      </c>
      <c r="O29" s="294">
        <v>102.41348148148147</v>
      </c>
      <c r="P29" s="294">
        <v>53.61518518518519</v>
      </c>
      <c r="Q29" s="294">
        <v>11.542555555555559</v>
      </c>
      <c r="R29" s="294">
        <v>0.7416666666666667</v>
      </c>
      <c r="T29" s="295" t="s">
        <v>80</v>
      </c>
      <c r="U29" s="294">
        <v>7.2480000000000002</v>
      </c>
      <c r="V29" s="294">
        <v>54.789000000000001</v>
      </c>
      <c r="W29" s="294">
        <v>128.80500000000001</v>
      </c>
      <c r="X29" s="294">
        <v>129.001</v>
      </c>
      <c r="Y29" s="294">
        <v>60.84</v>
      </c>
      <c r="Z29" s="294">
        <v>13.958</v>
      </c>
      <c r="AA29" s="294">
        <v>0.77900000000000003</v>
      </c>
      <c r="AC29" s="32" t="s">
        <v>80</v>
      </c>
      <c r="AD29" t="s">
        <v>77</v>
      </c>
      <c r="AE29" t="s">
        <v>881</v>
      </c>
      <c r="AF29" s="7" t="s">
        <v>880</v>
      </c>
    </row>
    <row r="30" spans="2:32" x14ac:dyDescent="0.35">
      <c r="B30" s="167" t="s">
        <v>81</v>
      </c>
      <c r="C30" s="290">
        <v>8.3800000000000008</v>
      </c>
      <c r="D30" s="294">
        <v>32.235999999999997</v>
      </c>
      <c r="E30" s="294">
        <v>66.819000000000003</v>
      </c>
      <c r="F30" s="294">
        <v>87.64</v>
      </c>
      <c r="G30" s="294">
        <v>50.906999999999996</v>
      </c>
      <c r="H30" s="294">
        <v>11.031000000000001</v>
      </c>
      <c r="I30" s="294">
        <v>0.58699999999999997</v>
      </c>
      <c r="K30" s="295" t="s">
        <v>81</v>
      </c>
      <c r="L30" s="294">
        <v>11.011407407407409</v>
      </c>
      <c r="M30" s="294">
        <v>41.748370370370374</v>
      </c>
      <c r="N30" s="294">
        <v>90.530296296296299</v>
      </c>
      <c r="O30" s="294">
        <v>102.41348148148147</v>
      </c>
      <c r="P30" s="294">
        <v>53.61518518518519</v>
      </c>
      <c r="Q30" s="294">
        <v>11.542555555555559</v>
      </c>
      <c r="R30" s="294">
        <v>0.7416666666666667</v>
      </c>
      <c r="T30" s="295" t="s">
        <v>81</v>
      </c>
      <c r="U30" s="294">
        <v>7.2480000000000002</v>
      </c>
      <c r="V30" s="294">
        <v>54.789000000000001</v>
      </c>
      <c r="W30" s="294">
        <v>128.80500000000001</v>
      </c>
      <c r="X30" s="294">
        <v>129.001</v>
      </c>
      <c r="Y30" s="294">
        <v>60.84</v>
      </c>
      <c r="Z30" s="294">
        <v>13.958</v>
      </c>
      <c r="AA30" s="294">
        <v>0.77900000000000003</v>
      </c>
      <c r="AC30" s="32" t="s">
        <v>81</v>
      </c>
      <c r="AD30" t="s">
        <v>77</v>
      </c>
      <c r="AE30" t="s">
        <v>881</v>
      </c>
      <c r="AF30" s="7" t="s">
        <v>880</v>
      </c>
    </row>
    <row r="31" spans="2:32" x14ac:dyDescent="0.35">
      <c r="B31" s="167" t="s">
        <v>82</v>
      </c>
      <c r="C31" s="290">
        <v>8.3800000000000008</v>
      </c>
      <c r="D31" s="294">
        <v>32.235999999999997</v>
      </c>
      <c r="E31" s="294">
        <v>66.819000000000003</v>
      </c>
      <c r="F31" s="294">
        <v>87.64</v>
      </c>
      <c r="G31" s="294">
        <v>50.906999999999996</v>
      </c>
      <c r="H31" s="294">
        <v>11.031000000000001</v>
      </c>
      <c r="I31" s="294">
        <v>0.58699999999999997</v>
      </c>
      <c r="K31" s="295" t="s">
        <v>82</v>
      </c>
      <c r="L31" s="294">
        <v>11.011407407407409</v>
      </c>
      <c r="M31" s="294">
        <v>41.748370370370374</v>
      </c>
      <c r="N31" s="294">
        <v>90.530296296296299</v>
      </c>
      <c r="O31" s="294">
        <v>102.41348148148147</v>
      </c>
      <c r="P31" s="294">
        <v>53.61518518518519</v>
      </c>
      <c r="Q31" s="294">
        <v>11.542555555555559</v>
      </c>
      <c r="R31" s="294">
        <v>0.7416666666666667</v>
      </c>
      <c r="T31" s="295" t="s">
        <v>82</v>
      </c>
      <c r="U31" s="294">
        <v>7.2480000000000002</v>
      </c>
      <c r="V31" s="294">
        <v>54.789000000000001</v>
      </c>
      <c r="W31" s="294">
        <v>128.80500000000001</v>
      </c>
      <c r="X31" s="294">
        <v>129.001</v>
      </c>
      <c r="Y31" s="294">
        <v>60.84</v>
      </c>
      <c r="Z31" s="294">
        <v>13.958</v>
      </c>
      <c r="AA31" s="294">
        <v>0.77900000000000003</v>
      </c>
      <c r="AC31" s="32" t="s">
        <v>82</v>
      </c>
      <c r="AD31" t="s">
        <v>77</v>
      </c>
      <c r="AE31" t="s">
        <v>881</v>
      </c>
      <c r="AF31" s="7" t="s">
        <v>880</v>
      </c>
    </row>
    <row r="32" spans="2:32" x14ac:dyDescent="0.35">
      <c r="B32" s="168" t="s">
        <v>83</v>
      </c>
      <c r="C32" s="290">
        <v>8.3800000000000008</v>
      </c>
      <c r="D32" s="294">
        <v>32.235999999999997</v>
      </c>
      <c r="E32" s="294">
        <v>66.819000000000003</v>
      </c>
      <c r="F32" s="294">
        <v>87.64</v>
      </c>
      <c r="G32" s="294">
        <v>50.906999999999996</v>
      </c>
      <c r="H32" s="294">
        <v>11.031000000000001</v>
      </c>
      <c r="I32" s="294">
        <v>0.58699999999999997</v>
      </c>
      <c r="K32" s="293" t="s">
        <v>83</v>
      </c>
      <c r="L32" s="294">
        <v>11.011407407407409</v>
      </c>
      <c r="M32" s="294">
        <v>41.748370370370374</v>
      </c>
      <c r="N32" s="294">
        <v>90.530296296296299</v>
      </c>
      <c r="O32" s="294">
        <v>102.41348148148147</v>
      </c>
      <c r="P32" s="294">
        <v>53.61518518518519</v>
      </c>
      <c r="Q32" s="294">
        <v>11.542555555555559</v>
      </c>
      <c r="R32" s="294">
        <v>0.7416666666666667</v>
      </c>
      <c r="T32" s="293" t="s">
        <v>83</v>
      </c>
      <c r="U32" s="294">
        <v>7.2480000000000002</v>
      </c>
      <c r="V32" s="294">
        <v>54.789000000000001</v>
      </c>
      <c r="W32" s="294">
        <v>128.80500000000001</v>
      </c>
      <c r="X32" s="294">
        <v>129.001</v>
      </c>
      <c r="Y32" s="294">
        <v>60.84</v>
      </c>
      <c r="Z32" s="294">
        <v>13.958</v>
      </c>
      <c r="AA32" s="294">
        <v>0.77900000000000003</v>
      </c>
      <c r="AC32" s="32" t="s">
        <v>83</v>
      </c>
      <c r="AD32" t="s">
        <v>77</v>
      </c>
      <c r="AE32" t="s">
        <v>881</v>
      </c>
      <c r="AF32" s="7" t="s">
        <v>880</v>
      </c>
    </row>
    <row r="33" spans="1:33" x14ac:dyDescent="0.35">
      <c r="B33" s="168" t="s">
        <v>84</v>
      </c>
      <c r="C33" s="290">
        <v>10.538</v>
      </c>
      <c r="D33" s="294">
        <v>48.683999999999997</v>
      </c>
      <c r="E33" s="294">
        <v>95.891999999999996</v>
      </c>
      <c r="F33" s="294">
        <v>84.331999999999994</v>
      </c>
      <c r="G33" s="294">
        <v>36.953000000000003</v>
      </c>
      <c r="H33" s="294">
        <v>7.3289999999999997</v>
      </c>
      <c r="I33" s="294">
        <v>0.312</v>
      </c>
      <c r="K33" s="293" t="s">
        <v>84</v>
      </c>
      <c r="L33" s="294">
        <v>20.699000000000002</v>
      </c>
      <c r="M33" s="294">
        <v>85.486000000000004</v>
      </c>
      <c r="N33" s="294">
        <v>115.71</v>
      </c>
      <c r="O33" s="294">
        <v>88.435000000000002</v>
      </c>
      <c r="P33" s="294">
        <v>43.866999999999997</v>
      </c>
      <c r="Q33" s="294">
        <v>9.4260000000000002</v>
      </c>
      <c r="R33" s="294">
        <v>0.47699999999999998</v>
      </c>
      <c r="T33" s="293" t="s">
        <v>84</v>
      </c>
      <c r="U33" s="294">
        <v>13.177</v>
      </c>
      <c r="V33" s="294">
        <v>157.57599999999999</v>
      </c>
      <c r="W33" s="294">
        <v>157.239</v>
      </c>
      <c r="X33" s="294">
        <v>81.149000000000001</v>
      </c>
      <c r="Y33" s="294">
        <v>26.43</v>
      </c>
      <c r="Z33" s="294">
        <v>9.3780000000000001</v>
      </c>
      <c r="AA33" s="294">
        <v>3.0910000000000002</v>
      </c>
      <c r="AC33" s="32" t="s">
        <v>84</v>
      </c>
      <c r="AD33" t="s">
        <v>76</v>
      </c>
      <c r="AE33" t="s">
        <v>88</v>
      </c>
      <c r="AF33" s="7" t="s">
        <v>86</v>
      </c>
    </row>
    <row r="34" spans="1:33" x14ac:dyDescent="0.35">
      <c r="B34" s="168" t="s">
        <v>85</v>
      </c>
      <c r="C34" s="290">
        <v>5.17</v>
      </c>
      <c r="D34" s="294">
        <v>68.078000000000003</v>
      </c>
      <c r="E34" s="294">
        <v>88.768499999999989</v>
      </c>
      <c r="F34" s="294">
        <v>82.698999999999998</v>
      </c>
      <c r="G34" s="294">
        <v>44.967500000000001</v>
      </c>
      <c r="H34" s="294">
        <v>11.144500000000001</v>
      </c>
      <c r="I34" s="294">
        <v>0.79249999999999998</v>
      </c>
      <c r="J34" s="296"/>
      <c r="K34" s="293" t="s">
        <v>85</v>
      </c>
      <c r="L34" s="294">
        <v>11.011407407407409</v>
      </c>
      <c r="M34" s="294">
        <v>41.748370370370374</v>
      </c>
      <c r="N34" s="294">
        <v>90.530296296296299</v>
      </c>
      <c r="O34" s="294">
        <v>102.41348148148147</v>
      </c>
      <c r="P34" s="294">
        <v>53.61518518518519</v>
      </c>
      <c r="Q34" s="294">
        <v>11.542555555555559</v>
      </c>
      <c r="R34" s="294">
        <v>0.7416666666666667</v>
      </c>
      <c r="T34" s="293" t="s">
        <v>85</v>
      </c>
      <c r="U34" s="294">
        <v>56.656333333333329</v>
      </c>
      <c r="V34" s="294">
        <v>90.135166666666677</v>
      </c>
      <c r="W34" s="294">
        <v>91.041666666666671</v>
      </c>
      <c r="X34" s="294">
        <v>79.403833333333338</v>
      </c>
      <c r="Y34" s="294">
        <v>49.379333333333335</v>
      </c>
      <c r="Z34" s="294">
        <v>15.223666666666668</v>
      </c>
      <c r="AA34" s="294">
        <v>1.89</v>
      </c>
      <c r="AC34" s="32" t="s">
        <v>85</v>
      </c>
      <c r="AD34" t="s">
        <v>84</v>
      </c>
      <c r="AE34" t="s">
        <v>881</v>
      </c>
      <c r="AF34" s="7" t="s">
        <v>87</v>
      </c>
    </row>
    <row r="35" spans="1:33" x14ac:dyDescent="0.35">
      <c r="B35" s="168" t="s">
        <v>86</v>
      </c>
      <c r="C35" s="290">
        <v>7.2480000000000002</v>
      </c>
      <c r="D35" s="294">
        <v>54.789000000000001</v>
      </c>
      <c r="E35" s="294">
        <v>128.80500000000001</v>
      </c>
      <c r="F35" s="294">
        <v>129.001</v>
      </c>
      <c r="G35" s="294">
        <v>60.84</v>
      </c>
      <c r="H35" s="294">
        <v>13.958</v>
      </c>
      <c r="I35" s="294">
        <v>0.77900000000000003</v>
      </c>
      <c r="J35" s="297"/>
      <c r="K35" s="293" t="s">
        <v>86</v>
      </c>
      <c r="L35" s="294">
        <v>24.241833333333332</v>
      </c>
      <c r="M35" s="294">
        <v>72.041083333333333</v>
      </c>
      <c r="N35" s="294">
        <v>102.10033333333332</v>
      </c>
      <c r="O35" s="294">
        <v>102.11474999999997</v>
      </c>
      <c r="P35" s="294">
        <v>55.229166666666664</v>
      </c>
      <c r="Q35" s="294">
        <v>13.867000000000003</v>
      </c>
      <c r="R35" s="294">
        <v>1.9474999999999998</v>
      </c>
      <c r="T35" s="293" t="s">
        <v>86</v>
      </c>
      <c r="U35" s="294">
        <v>13.177</v>
      </c>
      <c r="V35" s="294">
        <v>157.57599999999999</v>
      </c>
      <c r="W35" s="294">
        <v>157.239</v>
      </c>
      <c r="X35" s="294">
        <v>81.149000000000001</v>
      </c>
      <c r="Y35" s="294">
        <v>26.43</v>
      </c>
      <c r="Z35" s="294">
        <v>9.3780000000000001</v>
      </c>
      <c r="AA35" s="294">
        <v>3.0910000000000002</v>
      </c>
      <c r="AC35" s="32" t="s">
        <v>86</v>
      </c>
      <c r="AD35" t="s">
        <v>84</v>
      </c>
      <c r="AE35" t="s">
        <v>85</v>
      </c>
      <c r="AF35" s="7" t="s">
        <v>86</v>
      </c>
    </row>
    <row r="36" spans="1:33" x14ac:dyDescent="0.35">
      <c r="B36" s="168" t="s">
        <v>87</v>
      </c>
      <c r="C36" s="290">
        <v>7.2480000000000002</v>
      </c>
      <c r="D36" s="294">
        <v>54.789000000000001</v>
      </c>
      <c r="E36" s="294">
        <v>128.80500000000001</v>
      </c>
      <c r="F36" s="294">
        <v>129.001</v>
      </c>
      <c r="G36" s="294">
        <v>60.84</v>
      </c>
      <c r="H36" s="294">
        <v>13.958</v>
      </c>
      <c r="I36" s="294">
        <v>0.77900000000000003</v>
      </c>
      <c r="J36" s="297"/>
      <c r="K36" s="293" t="s">
        <v>87</v>
      </c>
      <c r="L36" s="294">
        <v>29.537333333333336</v>
      </c>
      <c r="M36" s="294">
        <v>75.975000000000009</v>
      </c>
      <c r="N36" s="294">
        <v>102.25433333333335</v>
      </c>
      <c r="O36" s="294">
        <v>94.766333333333321</v>
      </c>
      <c r="P36" s="294">
        <v>48.961999999999996</v>
      </c>
      <c r="Q36" s="294">
        <v>10.254666666666665</v>
      </c>
      <c r="R36" s="294">
        <v>1.0103333333333333</v>
      </c>
      <c r="T36" s="293" t="s">
        <v>87</v>
      </c>
      <c r="U36" s="294">
        <v>13.177</v>
      </c>
      <c r="V36" s="294">
        <v>157.57599999999999</v>
      </c>
      <c r="W36" s="294">
        <v>157.239</v>
      </c>
      <c r="X36" s="294">
        <v>81.149000000000001</v>
      </c>
      <c r="Y36" s="294">
        <v>26.43</v>
      </c>
      <c r="Z36" s="294">
        <v>9.3780000000000001</v>
      </c>
      <c r="AA36" s="294">
        <v>3.0910000000000002</v>
      </c>
      <c r="AC36" s="32" t="s">
        <v>87</v>
      </c>
      <c r="AD36" t="s">
        <v>1428</v>
      </c>
      <c r="AE36" t="s">
        <v>1429</v>
      </c>
      <c r="AF36" s="7" t="s">
        <v>86</v>
      </c>
    </row>
    <row r="37" spans="1:33" x14ac:dyDescent="0.35">
      <c r="B37" s="168" t="s">
        <v>88</v>
      </c>
      <c r="C37" s="290">
        <v>7.2480000000000002</v>
      </c>
      <c r="D37" s="294">
        <v>54.789000000000001</v>
      </c>
      <c r="E37" s="294">
        <v>128.80500000000001</v>
      </c>
      <c r="F37" s="294">
        <v>129.001</v>
      </c>
      <c r="G37" s="294">
        <v>60.84</v>
      </c>
      <c r="H37" s="294">
        <v>13.958</v>
      </c>
      <c r="I37" s="294">
        <v>0.77900000000000003</v>
      </c>
      <c r="J37" s="297"/>
      <c r="K37" s="293" t="s">
        <v>88</v>
      </c>
      <c r="L37" s="294">
        <v>56.656333333333329</v>
      </c>
      <c r="M37" s="294">
        <v>90.135166666666677</v>
      </c>
      <c r="N37" s="294">
        <v>91.041666666666671</v>
      </c>
      <c r="O37" s="294">
        <v>79.403833333333338</v>
      </c>
      <c r="P37" s="294">
        <v>49.379333333333335</v>
      </c>
      <c r="Q37" s="294">
        <v>15.223666666666668</v>
      </c>
      <c r="R37" s="294">
        <v>1.89</v>
      </c>
      <c r="T37" s="293" t="s">
        <v>88</v>
      </c>
      <c r="U37" s="294">
        <v>24.241833333333332</v>
      </c>
      <c r="V37" s="294">
        <v>72.041083333333333</v>
      </c>
      <c r="W37" s="294">
        <v>102.10033333333332</v>
      </c>
      <c r="X37" s="294">
        <v>102.11474999999997</v>
      </c>
      <c r="Y37" s="294">
        <v>55.229166666666664</v>
      </c>
      <c r="Z37" s="294">
        <v>13.867000000000003</v>
      </c>
      <c r="AA37" s="294">
        <v>1.9474999999999998</v>
      </c>
      <c r="AC37" s="32" t="s">
        <v>88</v>
      </c>
      <c r="AD37" t="s">
        <v>77</v>
      </c>
      <c r="AE37" t="s">
        <v>882</v>
      </c>
      <c r="AF37" s="7" t="s">
        <v>85</v>
      </c>
    </row>
    <row r="38" spans="1:33" x14ac:dyDescent="0.35">
      <c r="B38" s="168" t="s">
        <v>89</v>
      </c>
      <c r="C38" s="290">
        <v>7.2229999999999999</v>
      </c>
      <c r="D38" s="294">
        <v>26.382000000000001</v>
      </c>
      <c r="E38" s="294">
        <v>68.742000000000004</v>
      </c>
      <c r="F38" s="294">
        <v>91.977999999999994</v>
      </c>
      <c r="G38" s="294">
        <v>52.265999999999998</v>
      </c>
      <c r="H38" s="294">
        <v>11.868</v>
      </c>
      <c r="I38" s="294">
        <v>2.0209999999999999</v>
      </c>
      <c r="K38" s="293" t="s">
        <v>89</v>
      </c>
      <c r="L38" s="294">
        <v>11.011407407407409</v>
      </c>
      <c r="M38" s="294">
        <v>41.748370370370374</v>
      </c>
      <c r="N38" s="294">
        <v>90.530296296296299</v>
      </c>
      <c r="O38" s="294">
        <v>102.41348148148147</v>
      </c>
      <c r="P38" s="294">
        <v>53.61518518518519</v>
      </c>
      <c r="Q38" s="294">
        <v>11.542555555555559</v>
      </c>
      <c r="R38" s="294">
        <v>0.7416666666666667</v>
      </c>
      <c r="T38" s="293" t="s">
        <v>89</v>
      </c>
      <c r="U38" s="294">
        <v>56.656333333333329</v>
      </c>
      <c r="V38" s="294">
        <v>90.135166666666677</v>
      </c>
      <c r="W38" s="294">
        <v>91.041666666666671</v>
      </c>
      <c r="X38" s="294">
        <v>79.403833333333338</v>
      </c>
      <c r="Y38" s="294">
        <v>49.379333333333335</v>
      </c>
      <c r="Z38" s="294">
        <v>15.223666666666668</v>
      </c>
      <c r="AA38" s="294">
        <v>1.89</v>
      </c>
      <c r="AC38" s="32" t="s">
        <v>89</v>
      </c>
      <c r="AD38" t="s">
        <v>67</v>
      </c>
      <c r="AE38" t="s">
        <v>882</v>
      </c>
      <c r="AF38" s="7" t="s">
        <v>87</v>
      </c>
    </row>
    <row r="39" spans="1:33" ht="15" thickBot="1" x14ac:dyDescent="0.4">
      <c r="B39" s="168" t="s">
        <v>90</v>
      </c>
      <c r="C39" s="290">
        <v>20.699000000000002</v>
      </c>
      <c r="D39" s="294">
        <v>85.486000000000004</v>
      </c>
      <c r="E39" s="294">
        <v>115.71</v>
      </c>
      <c r="F39" s="294">
        <v>88.435000000000002</v>
      </c>
      <c r="G39" s="294">
        <v>43.866999999999997</v>
      </c>
      <c r="H39" s="294">
        <v>9.4260000000000002</v>
      </c>
      <c r="I39" s="294">
        <v>0.47699999999999998</v>
      </c>
      <c r="J39" s="296"/>
      <c r="K39" s="293" t="s">
        <v>90</v>
      </c>
      <c r="L39" s="294">
        <v>13.177</v>
      </c>
      <c r="M39" s="294">
        <v>157.57599999999999</v>
      </c>
      <c r="N39" s="294">
        <v>157.239</v>
      </c>
      <c r="O39" s="294">
        <v>81.149000000000001</v>
      </c>
      <c r="P39" s="294">
        <v>26.43</v>
      </c>
      <c r="Q39" s="294">
        <v>9.3780000000000001</v>
      </c>
      <c r="R39" s="294">
        <v>3.0910000000000002</v>
      </c>
      <c r="T39" s="293" t="s">
        <v>90</v>
      </c>
      <c r="U39" s="294">
        <v>57.186293706293718</v>
      </c>
      <c r="V39" s="294">
        <v>140.24937062937062</v>
      </c>
      <c r="W39" s="294">
        <v>159.65337062937067</v>
      </c>
      <c r="X39" s="294">
        <v>132.98171328671333</v>
      </c>
      <c r="Y39" s="294">
        <v>85.086391608391651</v>
      </c>
      <c r="Z39" s="294">
        <v>34.17686713286713</v>
      </c>
      <c r="AA39" s="294">
        <v>8.6921468531468538</v>
      </c>
      <c r="AC39" s="33" t="s">
        <v>90</v>
      </c>
      <c r="AD39" s="12" t="s">
        <v>88</v>
      </c>
      <c r="AE39" s="12" t="s">
        <v>86</v>
      </c>
      <c r="AF39" s="11" t="s">
        <v>90</v>
      </c>
    </row>
    <row r="43" spans="1:33" x14ac:dyDescent="0.35">
      <c r="E43" s="616" t="s">
        <v>426</v>
      </c>
      <c r="F43" s="616"/>
      <c r="G43" s="616"/>
      <c r="H43" s="616"/>
      <c r="I43" s="616"/>
    </row>
    <row r="44" spans="1:33" x14ac:dyDescent="0.35">
      <c r="A44" s="625" t="s">
        <v>26</v>
      </c>
      <c r="B44" s="626"/>
      <c r="E44" s="616"/>
      <c r="F44" s="616"/>
      <c r="G44" s="616"/>
      <c r="H44" s="616"/>
      <c r="I44" s="616"/>
      <c r="Z44" s="25" t="s">
        <v>1521</v>
      </c>
    </row>
    <row r="45" spans="1:33" x14ac:dyDescent="0.35">
      <c r="A45" s="17" t="s">
        <v>27</v>
      </c>
      <c r="B45" s="17" t="s">
        <v>28</v>
      </c>
      <c r="E45" s="21" t="s">
        <v>29</v>
      </c>
      <c r="F45" s="21" t="s">
        <v>30</v>
      </c>
      <c r="G45" s="21" t="s">
        <v>31</v>
      </c>
      <c r="H45" s="21" t="s">
        <v>32</v>
      </c>
      <c r="I45" s="21" t="s">
        <v>33</v>
      </c>
      <c r="J45" s="21">
        <v>2005</v>
      </c>
      <c r="K45" s="21">
        <v>2010</v>
      </c>
      <c r="L45" s="21">
        <v>2020</v>
      </c>
      <c r="M45" s="21">
        <v>2030</v>
      </c>
      <c r="N45" s="21">
        <v>2040</v>
      </c>
      <c r="O45" s="21">
        <v>2050</v>
      </c>
      <c r="P45" s="21">
        <v>2060</v>
      </c>
      <c r="Q45" s="21">
        <v>2070</v>
      </c>
      <c r="R45" s="21">
        <v>2080</v>
      </c>
      <c r="S45" s="21">
        <v>2090</v>
      </c>
      <c r="T45" s="21">
        <v>2100</v>
      </c>
      <c r="U45" s="21" t="s">
        <v>34</v>
      </c>
      <c r="AA45" t="str">
        <f>+U2</f>
        <v>FERTILITY - births per 1000 women</v>
      </c>
    </row>
    <row r="46" spans="1:33" x14ac:dyDescent="0.35">
      <c r="A46" s="18">
        <v>90</v>
      </c>
      <c r="B46" s="18">
        <v>85</v>
      </c>
      <c r="E46" s="22" t="s">
        <v>35</v>
      </c>
      <c r="F46" s="22" t="s">
        <v>36</v>
      </c>
      <c r="G46" s="22" t="s">
        <v>37</v>
      </c>
      <c r="H46" s="22" t="s">
        <v>16</v>
      </c>
      <c r="I46" s="22" t="s">
        <v>38</v>
      </c>
      <c r="J46" s="23">
        <v>6490.9879000000001</v>
      </c>
      <c r="K46" s="23">
        <v>6879.5896000000002</v>
      </c>
      <c r="L46" s="23">
        <v>7697.8539000000001</v>
      </c>
      <c r="M46" s="23">
        <v>8514.3073000000004</v>
      </c>
      <c r="N46" s="23">
        <v>9257.2201999999997</v>
      </c>
      <c r="O46" s="23">
        <v>9957.1308000000008</v>
      </c>
      <c r="P46" s="23">
        <v>10574.3619</v>
      </c>
      <c r="Q46" s="23">
        <v>11117.3765</v>
      </c>
      <c r="R46" s="23">
        <v>11633.415300000001</v>
      </c>
      <c r="S46" s="23">
        <v>12134.326999999999</v>
      </c>
      <c r="T46" s="23">
        <v>12620.1355</v>
      </c>
      <c r="AA46" t="s">
        <v>840</v>
      </c>
    </row>
    <row r="47" spans="1:33" x14ac:dyDescent="0.35">
      <c r="E47" s="22" t="s">
        <v>39</v>
      </c>
      <c r="F47" s="22" t="s">
        <v>40</v>
      </c>
      <c r="G47" s="22" t="s">
        <v>37</v>
      </c>
      <c r="H47" s="22" t="s">
        <v>16</v>
      </c>
      <c r="I47" s="22" t="s">
        <v>38</v>
      </c>
      <c r="J47" s="23">
        <v>6506.6419999999998</v>
      </c>
      <c r="K47" s="23">
        <v>6895.8819999999996</v>
      </c>
      <c r="L47" s="23">
        <v>7626.3530000000001</v>
      </c>
      <c r="M47" s="23">
        <v>8258.5650000000005</v>
      </c>
      <c r="N47" s="23">
        <v>8765.68</v>
      </c>
      <c r="O47" s="23">
        <v>9146.527</v>
      </c>
      <c r="P47" s="23">
        <v>9377.4500000000007</v>
      </c>
      <c r="Q47" s="23">
        <v>9472.5290000000005</v>
      </c>
      <c r="R47" s="23">
        <v>9471.44</v>
      </c>
      <c r="S47" s="23">
        <v>9401.5859999999993</v>
      </c>
      <c r="T47" s="23">
        <v>9292.4459999999999</v>
      </c>
      <c r="Z47" s="224" t="s">
        <v>89</v>
      </c>
      <c r="AA47" t="str">
        <f>+U4</f>
        <v>15-19</v>
      </c>
      <c r="AB47" t="str">
        <f t="shared" ref="AB47:AG47" si="0">+V4</f>
        <v>20-24</v>
      </c>
      <c r="AC47" t="str">
        <f t="shared" si="0"/>
        <v>25-29</v>
      </c>
      <c r="AD47" t="str">
        <f t="shared" si="0"/>
        <v>30-34</v>
      </c>
      <c r="AE47" t="str">
        <f t="shared" si="0"/>
        <v>35-39</v>
      </c>
      <c r="AF47" t="str">
        <f t="shared" si="0"/>
        <v>40-44</v>
      </c>
      <c r="AG47" t="str">
        <f t="shared" si="0"/>
        <v>45-49</v>
      </c>
    </row>
    <row r="48" spans="1:33" x14ac:dyDescent="0.35">
      <c r="E48" s="22" t="s">
        <v>41</v>
      </c>
      <c r="F48" s="22" t="s">
        <v>42</v>
      </c>
      <c r="G48" s="22" t="s">
        <v>37</v>
      </c>
      <c r="H48" s="22" t="s">
        <v>16</v>
      </c>
      <c r="I48" s="22" t="s">
        <v>38</v>
      </c>
      <c r="J48" s="23">
        <v>6530.5478515625</v>
      </c>
      <c r="K48" s="23">
        <v>6921.7978515625</v>
      </c>
      <c r="L48" s="23">
        <v>7576.10498046875</v>
      </c>
      <c r="M48" s="23">
        <v>8061.93798828125</v>
      </c>
      <c r="N48" s="23">
        <v>8388.7626953125</v>
      </c>
      <c r="O48" s="23">
        <v>8530.5</v>
      </c>
      <c r="P48" s="23">
        <v>8492.17578125</v>
      </c>
      <c r="Q48" s="23">
        <v>8298.9501953125</v>
      </c>
      <c r="R48" s="23">
        <v>7967.38720703125</v>
      </c>
      <c r="S48" s="23">
        <v>7510.4541015625</v>
      </c>
      <c r="T48" s="23">
        <v>6957.98876953125</v>
      </c>
      <c r="Z48" s="168" t="s">
        <v>1518</v>
      </c>
      <c r="AA48" s="290">
        <f>+C38</f>
        <v>7.2229999999999999</v>
      </c>
      <c r="AB48" s="290">
        <f t="shared" ref="AB48:AG48" si="1">+D38</f>
        <v>26.382000000000001</v>
      </c>
      <c r="AC48" s="290">
        <f t="shared" si="1"/>
        <v>68.742000000000004</v>
      </c>
      <c r="AD48" s="290">
        <f t="shared" si="1"/>
        <v>91.977999999999994</v>
      </c>
      <c r="AE48" s="290">
        <f t="shared" si="1"/>
        <v>52.265999999999998</v>
      </c>
      <c r="AF48" s="290">
        <f t="shared" si="1"/>
        <v>11.868</v>
      </c>
      <c r="AG48" s="290">
        <f t="shared" si="1"/>
        <v>2.0209999999999999</v>
      </c>
    </row>
    <row r="49" spans="1:33" x14ac:dyDescent="0.35">
      <c r="E49" s="22" t="s">
        <v>43</v>
      </c>
      <c r="F49" s="22" t="s">
        <v>44</v>
      </c>
      <c r="G49" s="22" t="s">
        <v>37</v>
      </c>
      <c r="H49" s="22" t="s">
        <v>16</v>
      </c>
      <c r="I49" s="22" t="s">
        <v>38</v>
      </c>
      <c r="J49" s="23">
        <v>6503.13</v>
      </c>
      <c r="K49" s="23">
        <v>6867.39</v>
      </c>
      <c r="L49" s="23">
        <v>7611.25</v>
      </c>
      <c r="M49" s="23">
        <v>8261.99</v>
      </c>
      <c r="N49" s="23">
        <v>8787.1200000000008</v>
      </c>
      <c r="O49" s="23">
        <v>9169.11</v>
      </c>
      <c r="P49" s="23">
        <v>9384.7000000000007</v>
      </c>
      <c r="Q49" s="23">
        <v>9456.8799999999992</v>
      </c>
      <c r="R49" s="23">
        <v>9407.26</v>
      </c>
      <c r="S49" s="23">
        <v>9253.9500000000007</v>
      </c>
      <c r="T49" s="23">
        <v>9032.42</v>
      </c>
      <c r="Z49" s="168" t="s">
        <v>1519</v>
      </c>
      <c r="AA49" s="290">
        <f>+L38</f>
        <v>11.011407407407409</v>
      </c>
      <c r="AB49" s="294">
        <f t="shared" ref="AB49:AG49" si="2">+M38</f>
        <v>41.748370370370374</v>
      </c>
      <c r="AC49" s="294">
        <f t="shared" si="2"/>
        <v>90.530296296296299</v>
      </c>
      <c r="AD49" s="294">
        <f t="shared" si="2"/>
        <v>102.41348148148147</v>
      </c>
      <c r="AE49" s="294">
        <f t="shared" si="2"/>
        <v>53.61518518518519</v>
      </c>
      <c r="AF49" s="294">
        <f t="shared" si="2"/>
        <v>11.542555555555559</v>
      </c>
      <c r="AG49" s="294">
        <f t="shared" si="2"/>
        <v>0.7416666666666667</v>
      </c>
    </row>
    <row r="50" spans="1:33" x14ac:dyDescent="0.35">
      <c r="E50" s="22" t="s">
        <v>45</v>
      </c>
      <c r="F50" s="22" t="s">
        <v>46</v>
      </c>
      <c r="G50" s="22" t="s">
        <v>37</v>
      </c>
      <c r="H50" s="22" t="s">
        <v>16</v>
      </c>
      <c r="I50" s="22" t="s">
        <v>38</v>
      </c>
      <c r="J50" s="23">
        <v>6505</v>
      </c>
      <c r="K50" s="23">
        <v>6894</v>
      </c>
      <c r="L50" s="23">
        <v>7552</v>
      </c>
      <c r="M50" s="23">
        <v>8054</v>
      </c>
      <c r="N50" s="23">
        <v>8403</v>
      </c>
      <c r="O50" s="23">
        <v>8579</v>
      </c>
      <c r="P50" s="23">
        <v>8589</v>
      </c>
      <c r="Q50" s="23">
        <v>8457</v>
      </c>
      <c r="R50" s="23">
        <v>8200</v>
      </c>
      <c r="S50" s="23">
        <v>7831</v>
      </c>
      <c r="T50" s="23">
        <v>7375</v>
      </c>
      <c r="Z50" s="168" t="s">
        <v>1520</v>
      </c>
      <c r="AA50" s="290">
        <f>+U38</f>
        <v>56.656333333333329</v>
      </c>
      <c r="AB50" s="294">
        <f t="shared" ref="AB50:AG50" si="3">+V38</f>
        <v>90.135166666666677</v>
      </c>
      <c r="AC50" s="294">
        <f t="shared" si="3"/>
        <v>91.041666666666671</v>
      </c>
      <c r="AD50" s="294">
        <f t="shared" si="3"/>
        <v>79.403833333333338</v>
      </c>
      <c r="AE50" s="294">
        <f t="shared" si="3"/>
        <v>49.379333333333335</v>
      </c>
      <c r="AF50" s="294">
        <f t="shared" si="3"/>
        <v>15.223666666666668</v>
      </c>
      <c r="AG50" s="294">
        <f t="shared" si="3"/>
        <v>1.89</v>
      </c>
    </row>
    <row r="51" spans="1:33" x14ac:dyDescent="0.35">
      <c r="Z51" s="200"/>
      <c r="AA51" s="294"/>
      <c r="AB51" s="294"/>
      <c r="AC51" s="294"/>
      <c r="AD51" s="294"/>
      <c r="AE51" s="294"/>
      <c r="AF51" s="294"/>
      <c r="AG51" s="294"/>
    </row>
    <row r="52" spans="1:33" x14ac:dyDescent="0.35">
      <c r="AA52" s="290"/>
      <c r="AB52" s="294"/>
      <c r="AC52" s="294"/>
      <c r="AD52" s="294"/>
      <c r="AE52" s="294"/>
      <c r="AF52" s="294"/>
      <c r="AG52" s="294"/>
    </row>
    <row r="53" spans="1:33" x14ac:dyDescent="0.35">
      <c r="AA53" s="294"/>
      <c r="AB53" s="294"/>
      <c r="AC53" s="294"/>
      <c r="AD53" s="294"/>
      <c r="AE53" s="294"/>
      <c r="AF53" s="294"/>
      <c r="AG53" s="294"/>
    </row>
    <row r="54" spans="1:33" x14ac:dyDescent="0.35">
      <c r="AA54" s="294"/>
      <c r="AB54" s="294"/>
      <c r="AC54" s="294"/>
      <c r="AD54" s="294"/>
      <c r="AE54" s="294"/>
      <c r="AF54" s="294"/>
      <c r="AG54" s="294"/>
    </row>
    <row r="56" spans="1:33" x14ac:dyDescent="0.35">
      <c r="A56" s="627" t="s">
        <v>47</v>
      </c>
      <c r="B56" s="628"/>
      <c r="C56" s="628"/>
      <c r="D56" s="628"/>
      <c r="E56" s="628"/>
      <c r="F56" s="628"/>
      <c r="G56" s="628"/>
      <c r="H56" s="628"/>
      <c r="I56" s="628"/>
      <c r="J56" s="628"/>
      <c r="K56" s="628"/>
      <c r="L56" s="628"/>
      <c r="M56" s="628"/>
      <c r="N56" s="628"/>
      <c r="O56" s="628"/>
      <c r="P56" s="628"/>
      <c r="Q56" s="628"/>
      <c r="AA56" s="23"/>
      <c r="AB56" s="23"/>
      <c r="AC56" s="23"/>
      <c r="AD56" s="23"/>
      <c r="AE56" s="23"/>
      <c r="AF56" s="23"/>
      <c r="AG56" s="23"/>
    </row>
    <row r="57" spans="1:33" ht="18.5" x14ac:dyDescent="0.45">
      <c r="A57" s="629" t="s">
        <v>48</v>
      </c>
      <c r="B57" s="628"/>
      <c r="C57" s="628"/>
      <c r="D57" s="628"/>
      <c r="E57" s="628"/>
      <c r="F57" s="628"/>
      <c r="G57" s="628"/>
      <c r="H57" s="628"/>
      <c r="I57" s="628"/>
      <c r="J57" s="628"/>
      <c r="K57" s="628"/>
      <c r="L57" s="628"/>
      <c r="M57" s="628"/>
      <c r="N57" s="628"/>
      <c r="O57" s="628"/>
      <c r="P57" s="628"/>
      <c r="Q57" s="628"/>
      <c r="AA57" s="23"/>
      <c r="AB57" s="23"/>
      <c r="AC57" s="23"/>
      <c r="AD57" s="23"/>
      <c r="AE57" s="23"/>
      <c r="AF57" s="23"/>
      <c r="AG57" s="23"/>
    </row>
    <row r="58" spans="1:33" x14ac:dyDescent="0.35">
      <c r="AA58" s="23"/>
      <c r="AB58" s="23"/>
      <c r="AC58" s="23"/>
      <c r="AD58" s="23"/>
      <c r="AE58" s="23"/>
      <c r="AF58" s="23"/>
      <c r="AG58" s="23"/>
    </row>
    <row r="74" spans="1:17" ht="23.5" x14ac:dyDescent="0.55000000000000004">
      <c r="A74" s="185" t="s">
        <v>868</v>
      </c>
      <c r="B74" s="6"/>
      <c r="C74" s="6"/>
      <c r="E74" s="50"/>
    </row>
    <row r="76" spans="1:17" x14ac:dyDescent="0.35">
      <c r="A76" s="616" t="s">
        <v>123</v>
      </c>
      <c r="B76" s="616"/>
      <c r="C76" s="616"/>
      <c r="D76" s="616"/>
      <c r="E76" s="616"/>
    </row>
    <row r="77" spans="1:17" ht="15" thickBot="1" x14ac:dyDescent="0.4">
      <c r="A77" s="616"/>
      <c r="B77" s="616"/>
      <c r="C77" s="616"/>
      <c r="D77" s="616"/>
      <c r="E77" s="616"/>
      <c r="G77" s="617" t="s">
        <v>916</v>
      </c>
      <c r="H77" s="617"/>
      <c r="I77" s="617"/>
      <c r="K77" s="617" t="s">
        <v>915</v>
      </c>
      <c r="L77" s="617"/>
      <c r="M77" s="617"/>
      <c r="O77" s="618" t="s">
        <v>914</v>
      </c>
      <c r="P77" s="618"/>
      <c r="Q77" s="618"/>
    </row>
    <row r="78" spans="1:17" ht="15" thickBot="1" x14ac:dyDescent="0.4">
      <c r="A78" t="s">
        <v>122</v>
      </c>
      <c r="B78" t="s">
        <v>121</v>
      </c>
      <c r="C78" s="28" t="s">
        <v>92</v>
      </c>
      <c r="D78" s="29" t="s">
        <v>93</v>
      </c>
      <c r="E78" s="30" t="s">
        <v>91</v>
      </c>
      <c r="G78" s="169" t="s">
        <v>842</v>
      </c>
      <c r="H78" s="170" t="s">
        <v>27</v>
      </c>
      <c r="I78" s="171" t="s">
        <v>28</v>
      </c>
      <c r="K78" s="169" t="s">
        <v>843</v>
      </c>
      <c r="L78" s="170" t="s">
        <v>27</v>
      </c>
      <c r="M78" s="171" t="s">
        <v>28</v>
      </c>
      <c r="O78" s="199" t="s">
        <v>844</v>
      </c>
      <c r="P78" s="200" t="s">
        <v>27</v>
      </c>
      <c r="Q78" s="201" t="s">
        <v>28</v>
      </c>
    </row>
    <row r="79" spans="1:17" x14ac:dyDescent="0.35">
      <c r="A79" t="s">
        <v>94</v>
      </c>
      <c r="B79" s="293" t="s">
        <v>27</v>
      </c>
      <c r="C79" s="31">
        <v>82.281000000000006</v>
      </c>
      <c r="D79" s="16">
        <v>83.319062500000001</v>
      </c>
      <c r="E79" s="15">
        <v>83.944999999999993</v>
      </c>
      <c r="G79" s="172" t="s">
        <v>49</v>
      </c>
      <c r="H79">
        <f>C79</f>
        <v>82.281000000000006</v>
      </c>
      <c r="I79" s="7">
        <f>C80</f>
        <v>76.647999999999996</v>
      </c>
      <c r="K79" s="172" t="s">
        <v>49</v>
      </c>
      <c r="L79">
        <f>D79</f>
        <v>83.319062500000001</v>
      </c>
      <c r="M79" s="7">
        <f>D80</f>
        <v>78.179062500000001</v>
      </c>
      <c r="O79" s="172" t="s">
        <v>49</v>
      </c>
      <c r="P79">
        <f>E79</f>
        <v>83.944999999999993</v>
      </c>
      <c r="Q79" s="7">
        <f>E80</f>
        <v>79.349999999999994</v>
      </c>
    </row>
    <row r="80" spans="1:17" x14ac:dyDescent="0.35">
      <c r="B80" s="293" t="s">
        <v>28</v>
      </c>
      <c r="C80" s="32">
        <v>76.647999999999996</v>
      </c>
      <c r="D80">
        <v>78.179062500000001</v>
      </c>
      <c r="E80" s="7">
        <v>79.349999999999994</v>
      </c>
      <c r="G80" s="172" t="s">
        <v>57</v>
      </c>
      <c r="H80">
        <f>C81</f>
        <v>81.817999999999998</v>
      </c>
      <c r="I80" s="7">
        <f>C82</f>
        <v>76.066999999999993</v>
      </c>
      <c r="K80" s="172" t="s">
        <v>57</v>
      </c>
      <c r="L80">
        <f>D81</f>
        <v>82.975999999999999</v>
      </c>
      <c r="M80" s="7">
        <f>D82</f>
        <v>77.908812499999996</v>
      </c>
      <c r="O80" s="172" t="s">
        <v>57</v>
      </c>
      <c r="P80">
        <f>E81</f>
        <v>84.007000000000005</v>
      </c>
      <c r="Q80" s="7">
        <f>E82</f>
        <v>79.516000000000005</v>
      </c>
    </row>
    <row r="81" spans="1:17" x14ac:dyDescent="0.35">
      <c r="A81" t="s">
        <v>95</v>
      </c>
      <c r="B81" s="293" t="s">
        <v>27</v>
      </c>
      <c r="C81" s="32">
        <v>81.817999999999998</v>
      </c>
      <c r="D81">
        <v>82.975999999999999</v>
      </c>
      <c r="E81" s="7">
        <v>84.007000000000005</v>
      </c>
      <c r="G81" s="172" t="s">
        <v>58</v>
      </c>
      <c r="H81">
        <f>C83</f>
        <v>76.253</v>
      </c>
      <c r="I81" s="7">
        <f>C84</f>
        <v>69.241</v>
      </c>
      <c r="K81" s="172" t="s">
        <v>58</v>
      </c>
      <c r="L81">
        <f>D83</f>
        <v>77.659125000000003</v>
      </c>
      <c r="M81" s="7">
        <f>D84</f>
        <v>70.614562500000005</v>
      </c>
      <c r="O81" s="172" t="s">
        <v>58</v>
      </c>
      <c r="P81">
        <f>E83</f>
        <v>78.78</v>
      </c>
      <c r="Q81" s="7">
        <f>E84</f>
        <v>71.680000000000007</v>
      </c>
    </row>
    <row r="82" spans="1:17" x14ac:dyDescent="0.35">
      <c r="B82" s="293" t="s">
        <v>28</v>
      </c>
      <c r="C82" s="32">
        <v>76.066999999999993</v>
      </c>
      <c r="D82">
        <v>77.908812499999996</v>
      </c>
      <c r="E82" s="7">
        <v>79.516000000000005</v>
      </c>
      <c r="G82" s="172" t="s">
        <v>59</v>
      </c>
      <c r="H82">
        <f>C85</f>
        <v>78.927999999999997</v>
      </c>
      <c r="I82" s="7">
        <f>C86</f>
        <v>71.879000000000005</v>
      </c>
      <c r="K82" s="172" t="s">
        <v>59</v>
      </c>
      <c r="L82">
        <f>D85</f>
        <v>80.487687499999993</v>
      </c>
      <c r="M82" s="7">
        <f>D86</f>
        <v>73.910125000000008</v>
      </c>
      <c r="O82" s="172" t="s">
        <v>59</v>
      </c>
      <c r="P82">
        <f>E85</f>
        <v>81.715999999999994</v>
      </c>
      <c r="Q82" s="7">
        <f>E86</f>
        <v>75.471000000000004</v>
      </c>
    </row>
    <row r="83" spans="1:17" x14ac:dyDescent="0.35">
      <c r="A83" t="s">
        <v>96</v>
      </c>
      <c r="B83" s="293" t="s">
        <v>27</v>
      </c>
      <c r="C83" s="32">
        <v>76.253</v>
      </c>
      <c r="D83">
        <v>77.659125000000003</v>
      </c>
      <c r="E83" s="7">
        <v>78.78</v>
      </c>
      <c r="G83" s="172" t="s">
        <v>60</v>
      </c>
      <c r="H83">
        <f>C87</f>
        <v>80.748000000000005</v>
      </c>
      <c r="I83" s="7">
        <f>C88</f>
        <v>76.534999999999997</v>
      </c>
      <c r="K83" s="172" t="s">
        <v>60</v>
      </c>
      <c r="L83">
        <f>D87</f>
        <v>82.036500000000004</v>
      </c>
      <c r="M83" s="7">
        <f>D88</f>
        <v>77.739437500000008</v>
      </c>
      <c r="O83" s="172" t="s">
        <v>60</v>
      </c>
      <c r="P83">
        <f>E87</f>
        <v>83.150999999999996</v>
      </c>
      <c r="Q83" s="7">
        <f>E88</f>
        <v>79.102999999999994</v>
      </c>
    </row>
    <row r="84" spans="1:17" ht="16.5" customHeight="1" x14ac:dyDescent="0.35">
      <c r="B84" s="293" t="s">
        <v>28</v>
      </c>
      <c r="C84" s="32">
        <v>69.241</v>
      </c>
      <c r="D84">
        <v>70.614562500000005</v>
      </c>
      <c r="E84" s="7">
        <v>71.680000000000007</v>
      </c>
      <c r="G84" s="172" t="s">
        <v>61</v>
      </c>
      <c r="H84">
        <f>C89</f>
        <v>79.441999999999993</v>
      </c>
      <c r="I84" s="7">
        <f>C90</f>
        <v>73.013000000000005</v>
      </c>
      <c r="K84" s="172" t="s">
        <v>61</v>
      </c>
      <c r="L84">
        <f>D89</f>
        <v>80.975999999999999</v>
      </c>
      <c r="M84" s="7">
        <f>D90</f>
        <v>75.102812499999999</v>
      </c>
      <c r="O84" s="172" t="s">
        <v>61</v>
      </c>
      <c r="P84">
        <f>E89</f>
        <v>82.058000000000007</v>
      </c>
      <c r="Q84" s="7">
        <f>E90</f>
        <v>76.941999999999993</v>
      </c>
    </row>
    <row r="85" spans="1:17" x14ac:dyDescent="0.35">
      <c r="A85" t="s">
        <v>97</v>
      </c>
      <c r="B85" s="293" t="s">
        <v>27</v>
      </c>
      <c r="C85" s="32">
        <v>78.927999999999997</v>
      </c>
      <c r="D85">
        <v>80.487687499999993</v>
      </c>
      <c r="E85" s="7">
        <v>81.715999999999994</v>
      </c>
      <c r="G85" s="172" t="s">
        <v>62</v>
      </c>
      <c r="H85">
        <f>C91</f>
        <v>80.174999999999997</v>
      </c>
      <c r="I85" s="7">
        <f>C92</f>
        <v>75.664000000000001</v>
      </c>
      <c r="K85" s="172" t="s">
        <v>62</v>
      </c>
      <c r="L85">
        <f>D91</f>
        <v>81.852500000000006</v>
      </c>
      <c r="M85" s="7">
        <f>D92</f>
        <v>77.704937499999986</v>
      </c>
      <c r="O85" s="172" t="s">
        <v>62</v>
      </c>
      <c r="P85">
        <f>E91</f>
        <v>82.971999999999994</v>
      </c>
      <c r="Q85" s="7">
        <f>E92</f>
        <v>79.096999999999994</v>
      </c>
    </row>
    <row r="86" spans="1:17" x14ac:dyDescent="0.35">
      <c r="B86" s="293" t="s">
        <v>28</v>
      </c>
      <c r="C86" s="32">
        <v>71.879000000000005</v>
      </c>
      <c r="D86">
        <v>73.910125000000008</v>
      </c>
      <c r="E86" s="7">
        <v>75.471000000000004</v>
      </c>
      <c r="G86" s="172" t="s">
        <v>63</v>
      </c>
      <c r="H86">
        <f>C93</f>
        <v>78.022000000000006</v>
      </c>
      <c r="I86" s="7">
        <f>C94</f>
        <v>67.096999999999994</v>
      </c>
      <c r="K86" s="172" t="s">
        <v>63</v>
      </c>
      <c r="L86">
        <f>D93</f>
        <v>80.872875000000008</v>
      </c>
      <c r="M86" s="7">
        <f>D94</f>
        <v>71.348062499999997</v>
      </c>
      <c r="O86" s="172" t="s">
        <v>63</v>
      </c>
      <c r="P86">
        <f>E93</f>
        <v>82.83</v>
      </c>
      <c r="Q86" s="7">
        <f>E94</f>
        <v>74.569000000000003</v>
      </c>
    </row>
    <row r="87" spans="1:17" x14ac:dyDescent="0.35">
      <c r="A87" t="s">
        <v>98</v>
      </c>
      <c r="B87" s="293" t="s">
        <v>27</v>
      </c>
      <c r="C87" s="32">
        <v>80.748000000000005</v>
      </c>
      <c r="D87">
        <v>82.036500000000004</v>
      </c>
      <c r="E87" s="7">
        <v>83.150999999999996</v>
      </c>
      <c r="G87" s="172" t="s">
        <v>64</v>
      </c>
      <c r="H87">
        <f>C95</f>
        <v>82.346000000000004</v>
      </c>
      <c r="I87" s="7">
        <f>C96</f>
        <v>67.096999999999994</v>
      </c>
      <c r="K87" s="172" t="s">
        <v>64</v>
      </c>
      <c r="L87">
        <f>D95</f>
        <v>83.681750000000008</v>
      </c>
      <c r="M87" s="7">
        <f>D96</f>
        <v>76.991124999999982</v>
      </c>
      <c r="O87" s="172" t="s">
        <v>64</v>
      </c>
      <c r="P87">
        <f>E95</f>
        <v>84.847999999999999</v>
      </c>
      <c r="Q87" s="7">
        <f>E96</f>
        <v>79.302000000000007</v>
      </c>
    </row>
    <row r="88" spans="1:17" x14ac:dyDescent="0.35">
      <c r="B88" s="293" t="s">
        <v>28</v>
      </c>
      <c r="C88" s="32">
        <v>76.534999999999997</v>
      </c>
      <c r="D88">
        <v>77.739437500000008</v>
      </c>
      <c r="E88" s="7">
        <v>79.102999999999994</v>
      </c>
      <c r="G88" s="172" t="s">
        <v>65</v>
      </c>
      <c r="H88">
        <f>C97</f>
        <v>83.772999999999996</v>
      </c>
      <c r="I88" s="7">
        <f>C98</f>
        <v>76.695999999999998</v>
      </c>
      <c r="K88" s="172" t="s">
        <v>65</v>
      </c>
      <c r="L88">
        <f>D97</f>
        <v>84.878749999999997</v>
      </c>
      <c r="M88" s="7">
        <f>D98</f>
        <v>78.513437499999995</v>
      </c>
      <c r="O88" s="172" t="s">
        <v>65</v>
      </c>
      <c r="P88">
        <f>E97</f>
        <v>85.569000000000003</v>
      </c>
      <c r="Q88" s="7">
        <f>E98</f>
        <v>79.885000000000005</v>
      </c>
    </row>
    <row r="89" spans="1:17" x14ac:dyDescent="0.35">
      <c r="A89" t="s">
        <v>99</v>
      </c>
      <c r="B89" s="293" t="s">
        <v>27</v>
      </c>
      <c r="C89" s="32">
        <v>79.441999999999993</v>
      </c>
      <c r="D89">
        <v>80.975999999999999</v>
      </c>
      <c r="E89" s="7">
        <v>82.058000000000007</v>
      </c>
      <c r="G89" s="172" t="s">
        <v>66</v>
      </c>
      <c r="H89">
        <f>C99</f>
        <v>81.959000000000003</v>
      </c>
      <c r="I89" s="7">
        <f>C100</f>
        <v>76.337999999999994</v>
      </c>
      <c r="K89" s="172" t="s">
        <v>66</v>
      </c>
      <c r="L89">
        <f>D99</f>
        <v>82.936875000000001</v>
      </c>
      <c r="M89" s="7">
        <f>D100</f>
        <v>77.855625000000003</v>
      </c>
      <c r="O89" s="172" t="s">
        <v>66</v>
      </c>
      <c r="P89">
        <f>E99</f>
        <v>83.849000000000004</v>
      </c>
      <c r="Q89" s="7">
        <f>E100</f>
        <v>79.126999999999995</v>
      </c>
    </row>
    <row r="90" spans="1:17" x14ac:dyDescent="0.35">
      <c r="B90" s="293" t="s">
        <v>28</v>
      </c>
      <c r="C90" s="32">
        <v>73.013000000000005</v>
      </c>
      <c r="D90">
        <v>75.102812499999999</v>
      </c>
      <c r="E90" s="7">
        <v>76.941999999999993</v>
      </c>
      <c r="G90" s="172" t="s">
        <v>67</v>
      </c>
      <c r="H90">
        <f>C101</f>
        <v>82.37</v>
      </c>
      <c r="I90" s="7">
        <f>C102</f>
        <v>76.83</v>
      </c>
      <c r="K90" s="172" t="s">
        <v>67</v>
      </c>
      <c r="L90">
        <f>D101</f>
        <v>83.648750000000007</v>
      </c>
      <c r="M90" s="7">
        <f>D102</f>
        <v>78.433687500000005</v>
      </c>
      <c r="O90" s="172" t="s">
        <v>67</v>
      </c>
      <c r="P90">
        <f>E101</f>
        <v>84.796000000000006</v>
      </c>
      <c r="Q90" s="7">
        <f>E102</f>
        <v>80.007999999999996</v>
      </c>
    </row>
    <row r="91" spans="1:17" x14ac:dyDescent="0.35">
      <c r="A91" t="s">
        <v>100</v>
      </c>
      <c r="B91" s="293" t="s">
        <v>27</v>
      </c>
      <c r="C91" s="32">
        <v>80.174999999999997</v>
      </c>
      <c r="D91">
        <v>81.852500000000006</v>
      </c>
      <c r="E91" s="7">
        <v>82.971999999999994</v>
      </c>
      <c r="G91" s="172" t="s">
        <v>68</v>
      </c>
      <c r="H91">
        <f>C103</f>
        <v>77.284999999999997</v>
      </c>
      <c r="I91" s="7">
        <f>C104</f>
        <v>68.927999999999997</v>
      </c>
      <c r="K91" s="172" t="s">
        <v>68</v>
      </c>
      <c r="L91">
        <f>D103</f>
        <v>78.856124999999992</v>
      </c>
      <c r="M91" s="7">
        <f>D104</f>
        <v>71.361312499999983</v>
      </c>
      <c r="O91" s="172" t="s">
        <v>68</v>
      </c>
      <c r="P91">
        <f>E103</f>
        <v>80.427000000000007</v>
      </c>
      <c r="Q91" s="7">
        <f>E104</f>
        <v>73.415000000000006</v>
      </c>
    </row>
    <row r="92" spans="1:17" x14ac:dyDescent="0.35">
      <c r="B92" s="293" t="s">
        <v>28</v>
      </c>
      <c r="C92" s="32">
        <v>75.664000000000001</v>
      </c>
      <c r="D92">
        <v>77.704937499999986</v>
      </c>
      <c r="E92" s="7">
        <v>79.096999999999994</v>
      </c>
      <c r="G92" s="172" t="s">
        <v>69</v>
      </c>
      <c r="H92">
        <f>C105</f>
        <v>81.260000000000005</v>
      </c>
      <c r="I92" s="7">
        <f>C106</f>
        <v>76.373999999999995</v>
      </c>
      <c r="K92" s="172" t="s">
        <v>69</v>
      </c>
      <c r="L92">
        <f>D105</f>
        <v>82.703000000000003</v>
      </c>
      <c r="M92" s="7">
        <f>D106</f>
        <v>78.765124999999983</v>
      </c>
      <c r="O92" s="172" t="s">
        <v>69</v>
      </c>
      <c r="P92">
        <f>E105</f>
        <v>84.052999999999997</v>
      </c>
      <c r="Q92" s="7">
        <f>E106</f>
        <v>80.875</v>
      </c>
    </row>
    <row r="93" spans="1:17" x14ac:dyDescent="0.35">
      <c r="A93" t="s">
        <v>101</v>
      </c>
      <c r="B93" s="293" t="s">
        <v>27</v>
      </c>
      <c r="C93" s="32">
        <v>78.022000000000006</v>
      </c>
      <c r="D93">
        <v>80.872875000000008</v>
      </c>
      <c r="E93" s="7">
        <v>82.83</v>
      </c>
      <c r="G93" s="172" t="s">
        <v>70</v>
      </c>
      <c r="H93">
        <f>C107</f>
        <v>83.623000000000005</v>
      </c>
      <c r="I93" s="7">
        <f>C108</f>
        <v>78.090999999999994</v>
      </c>
      <c r="K93" s="172" t="s">
        <v>70</v>
      </c>
      <c r="L93">
        <f>D107</f>
        <v>84.683875</v>
      </c>
      <c r="M93" s="7">
        <f>D108</f>
        <v>79.884562500000015</v>
      </c>
      <c r="O93" s="172" t="s">
        <v>70</v>
      </c>
      <c r="P93">
        <f>E107</f>
        <v>85.665000000000006</v>
      </c>
      <c r="Q93" s="7">
        <f>E108</f>
        <v>81.506</v>
      </c>
    </row>
    <row r="94" spans="1:17" x14ac:dyDescent="0.35">
      <c r="B94" s="293" t="s">
        <v>28</v>
      </c>
      <c r="C94" s="32">
        <v>67.096999999999994</v>
      </c>
      <c r="D94">
        <v>71.348062499999997</v>
      </c>
      <c r="E94" s="7">
        <v>74.569000000000003</v>
      </c>
      <c r="G94" s="172" t="s">
        <v>71</v>
      </c>
      <c r="H94">
        <f>C109</f>
        <v>76.555000000000007</v>
      </c>
      <c r="I94" s="7">
        <f>C110</f>
        <v>65.506</v>
      </c>
      <c r="K94" s="172" t="s">
        <v>71</v>
      </c>
      <c r="L94">
        <f>D109</f>
        <v>78.549187500000002</v>
      </c>
      <c r="M94" s="7">
        <f>D110</f>
        <v>68.329750000000004</v>
      </c>
      <c r="O94" s="172" t="s">
        <v>71</v>
      </c>
      <c r="P94">
        <f>E109</f>
        <v>80.123999999999995</v>
      </c>
      <c r="Q94" s="7">
        <f>E110</f>
        <v>70.385999999999996</v>
      </c>
    </row>
    <row r="95" spans="1:17" x14ac:dyDescent="0.35">
      <c r="A95" t="s">
        <v>102</v>
      </c>
      <c r="B95" s="293" t="s">
        <v>27</v>
      </c>
      <c r="C95" s="32">
        <v>82.346000000000004</v>
      </c>
      <c r="D95">
        <v>83.681750000000008</v>
      </c>
      <c r="E95" s="7">
        <v>84.847999999999999</v>
      </c>
      <c r="G95" s="172" t="s">
        <v>72</v>
      </c>
      <c r="H95">
        <f>C111</f>
        <v>77.661000000000001</v>
      </c>
      <c r="I95" s="7">
        <f>C112</f>
        <v>65.763999999999996</v>
      </c>
      <c r="K95" s="172" t="s">
        <v>72</v>
      </c>
      <c r="L95">
        <f>D111</f>
        <v>79.450625000000002</v>
      </c>
      <c r="M95" s="7">
        <f>D112</f>
        <v>68.172312500000004</v>
      </c>
      <c r="O95" s="172" t="s">
        <v>72</v>
      </c>
      <c r="P95">
        <f>E111</f>
        <v>81.513999999999996</v>
      </c>
      <c r="Q95" s="7">
        <f>E112</f>
        <v>70.498000000000005</v>
      </c>
    </row>
    <row r="96" spans="1:17" x14ac:dyDescent="0.35">
      <c r="B96" s="293" t="s">
        <v>28</v>
      </c>
      <c r="C96" s="32">
        <v>67.096999999999994</v>
      </c>
      <c r="D96">
        <v>76.991124999999982</v>
      </c>
      <c r="E96" s="7">
        <v>79.302000000000007</v>
      </c>
      <c r="G96" s="172" t="s">
        <v>73</v>
      </c>
      <c r="H96">
        <f>C113</f>
        <v>81.760999999999996</v>
      </c>
      <c r="I96" s="7">
        <f>C114</f>
        <v>75.894000000000005</v>
      </c>
      <c r="K96" s="172" t="s">
        <v>73</v>
      </c>
      <c r="L96">
        <f>D113</f>
        <v>83.256750000000011</v>
      </c>
      <c r="M96" s="7">
        <f>D114</f>
        <v>78.425187500000007</v>
      </c>
      <c r="O96" s="172" t="s">
        <v>73</v>
      </c>
      <c r="P96">
        <f>E113</f>
        <v>84.463999999999999</v>
      </c>
      <c r="Q96" s="7">
        <f>E114</f>
        <v>80.347999999999999</v>
      </c>
    </row>
    <row r="97" spans="1:17" x14ac:dyDescent="0.35">
      <c r="A97" t="s">
        <v>103</v>
      </c>
      <c r="B97" s="293" t="s">
        <v>27</v>
      </c>
      <c r="C97" s="32">
        <v>83.772999999999996</v>
      </c>
      <c r="D97">
        <v>84.878749999999997</v>
      </c>
      <c r="E97" s="7">
        <v>85.569000000000003</v>
      </c>
      <c r="G97" s="172" t="s">
        <v>74</v>
      </c>
      <c r="H97">
        <f>C115</f>
        <v>81.981999999999999</v>
      </c>
      <c r="I97" s="7">
        <f>C116</f>
        <v>77.602000000000004</v>
      </c>
      <c r="K97" s="172" t="s">
        <v>74</v>
      </c>
      <c r="L97">
        <f>D115</f>
        <v>83.263937499999983</v>
      </c>
      <c r="M97" s="7">
        <f>D116</f>
        <v>79.298750000000013</v>
      </c>
      <c r="O97" s="172" t="s">
        <v>74</v>
      </c>
      <c r="P97">
        <f>E115</f>
        <v>84.385000000000005</v>
      </c>
      <c r="Q97" s="7">
        <f>E116</f>
        <v>80.891000000000005</v>
      </c>
    </row>
    <row r="98" spans="1:17" x14ac:dyDescent="0.35">
      <c r="B98" s="293" t="s">
        <v>28</v>
      </c>
      <c r="C98" s="32">
        <v>76.695999999999998</v>
      </c>
      <c r="D98">
        <v>78.513437499999995</v>
      </c>
      <c r="E98" s="7">
        <v>79.885000000000005</v>
      </c>
      <c r="G98" s="172" t="s">
        <v>75</v>
      </c>
      <c r="H98">
        <f>C117</f>
        <v>81.543999999999997</v>
      </c>
      <c r="I98" s="7">
        <f>C118</f>
        <v>77.111000000000004</v>
      </c>
      <c r="K98" s="172" t="s">
        <v>75</v>
      </c>
      <c r="L98">
        <f>D117</f>
        <v>83.00524999999999</v>
      </c>
      <c r="M98" s="7">
        <f>D118</f>
        <v>79.19387500000002</v>
      </c>
      <c r="O98" s="172" t="s">
        <v>75</v>
      </c>
      <c r="P98">
        <f>E117</f>
        <v>84.066000000000003</v>
      </c>
      <c r="Q98" s="7">
        <f>E118</f>
        <v>80.766000000000005</v>
      </c>
    </row>
    <row r="99" spans="1:17" x14ac:dyDescent="0.35">
      <c r="A99" t="s">
        <v>104</v>
      </c>
      <c r="B99" s="293" t="s">
        <v>27</v>
      </c>
      <c r="C99" s="32">
        <v>81.959000000000003</v>
      </c>
      <c r="D99">
        <v>82.936875000000001</v>
      </c>
      <c r="E99" s="7">
        <v>83.849000000000004</v>
      </c>
      <c r="G99" s="172" t="s">
        <v>76</v>
      </c>
      <c r="H99">
        <f>C119</f>
        <v>79.311000000000007</v>
      </c>
      <c r="I99" s="7">
        <f>C120</f>
        <v>70.849000000000004</v>
      </c>
      <c r="K99" s="172" t="s">
        <v>76</v>
      </c>
      <c r="L99">
        <f>D119</f>
        <v>81.104687499999997</v>
      </c>
      <c r="M99" s="7">
        <f>D120</f>
        <v>72.96668750000002</v>
      </c>
      <c r="O99" s="172" t="s">
        <v>76</v>
      </c>
      <c r="P99">
        <f>E119</f>
        <v>82.721999999999994</v>
      </c>
      <c r="Q99" s="7">
        <f>E120</f>
        <v>75.025000000000006</v>
      </c>
    </row>
    <row r="100" spans="1:17" x14ac:dyDescent="0.35">
      <c r="B100" s="293" t="s">
        <v>28</v>
      </c>
      <c r="C100" s="32">
        <v>76.337999999999994</v>
      </c>
      <c r="D100">
        <v>77.855625000000003</v>
      </c>
      <c r="E100" s="7">
        <v>79.126999999999995</v>
      </c>
      <c r="G100" s="172" t="s">
        <v>77</v>
      </c>
      <c r="H100">
        <f>C121</f>
        <v>81.766999999999996</v>
      </c>
      <c r="I100" s="7">
        <f>C122</f>
        <v>75.06</v>
      </c>
      <c r="K100" s="172" t="s">
        <v>77</v>
      </c>
      <c r="L100">
        <f>D121</f>
        <v>83.571437500000002</v>
      </c>
      <c r="M100" s="7">
        <f>D122</f>
        <v>77.341249999999988</v>
      </c>
      <c r="O100" s="172" t="s">
        <v>77</v>
      </c>
      <c r="P100">
        <f>E121</f>
        <v>84.986999999999995</v>
      </c>
      <c r="Q100" s="7">
        <f>E122</f>
        <v>79.257000000000005</v>
      </c>
    </row>
    <row r="101" spans="1:17" x14ac:dyDescent="0.35">
      <c r="A101" t="s">
        <v>105</v>
      </c>
      <c r="B101" s="293" t="s">
        <v>27</v>
      </c>
      <c r="C101" s="32">
        <v>82.37</v>
      </c>
      <c r="D101">
        <v>83.648750000000007</v>
      </c>
      <c r="E101" s="7">
        <v>84.796000000000006</v>
      </c>
      <c r="G101" s="172" t="s">
        <v>78</v>
      </c>
      <c r="H101">
        <f>C123</f>
        <v>75.957999999999998</v>
      </c>
      <c r="I101" s="7">
        <f>C124</f>
        <v>68.691999999999993</v>
      </c>
      <c r="K101" s="172" t="s">
        <v>78</v>
      </c>
      <c r="L101">
        <f>D123</f>
        <v>78.129125000000002</v>
      </c>
      <c r="M101" s="7">
        <f>D124</f>
        <v>71.098375000000004</v>
      </c>
      <c r="O101" s="172" t="s">
        <v>78</v>
      </c>
      <c r="P101">
        <f>E123</f>
        <v>79.641999999999996</v>
      </c>
      <c r="Q101" s="7">
        <f>E124</f>
        <v>72.753</v>
      </c>
    </row>
    <row r="102" spans="1:17" x14ac:dyDescent="0.35">
      <c r="B102" s="293" t="s">
        <v>28</v>
      </c>
      <c r="C102" s="32">
        <v>76.83</v>
      </c>
      <c r="D102">
        <v>78.433687500000005</v>
      </c>
      <c r="E102" s="7">
        <v>80.007999999999996</v>
      </c>
      <c r="G102" s="172" t="s">
        <v>79</v>
      </c>
      <c r="H102">
        <f>C125</f>
        <v>78.188999999999993</v>
      </c>
      <c r="I102" s="7">
        <f>C126</f>
        <v>70.275000000000006</v>
      </c>
      <c r="K102" s="172" t="s">
        <v>79</v>
      </c>
      <c r="L102">
        <f>D125</f>
        <v>79.727812500000013</v>
      </c>
      <c r="M102" s="7">
        <f>D126</f>
        <v>72.356125000000006</v>
      </c>
      <c r="O102" s="172" t="s">
        <v>79</v>
      </c>
      <c r="P102">
        <f>E125</f>
        <v>81.084000000000003</v>
      </c>
      <c r="Q102" s="7">
        <f>E126</f>
        <v>74.192999999999998</v>
      </c>
    </row>
    <row r="103" spans="1:17" x14ac:dyDescent="0.35">
      <c r="A103" t="s">
        <v>106</v>
      </c>
      <c r="B103" s="293" t="s">
        <v>27</v>
      </c>
      <c r="C103" s="32">
        <v>77.284999999999997</v>
      </c>
      <c r="D103">
        <v>78.856124999999992</v>
      </c>
      <c r="E103" s="7">
        <v>80.427000000000007</v>
      </c>
      <c r="G103" s="172" t="s">
        <v>80</v>
      </c>
      <c r="H103">
        <f>C127</f>
        <v>81.212999999999994</v>
      </c>
      <c r="I103" s="7">
        <f>C128</f>
        <v>73.837000000000003</v>
      </c>
      <c r="K103" s="172" t="s">
        <v>80</v>
      </c>
      <c r="L103">
        <f>D127</f>
        <v>82.954499999999996</v>
      </c>
      <c r="M103" s="7">
        <f>D128</f>
        <v>76.721812499999999</v>
      </c>
      <c r="O103" s="172" t="s">
        <v>80</v>
      </c>
      <c r="P103">
        <f>E127</f>
        <v>84.156000000000006</v>
      </c>
      <c r="Q103" s="7">
        <f>E128</f>
        <v>78.772000000000006</v>
      </c>
    </row>
    <row r="104" spans="1:17" x14ac:dyDescent="0.35">
      <c r="B104" s="293" t="s">
        <v>28</v>
      </c>
      <c r="C104" s="32">
        <v>68.927999999999997</v>
      </c>
      <c r="D104">
        <v>71.361312499999983</v>
      </c>
      <c r="E104" s="7">
        <v>73.415000000000006</v>
      </c>
      <c r="G104" s="172" t="s">
        <v>81</v>
      </c>
      <c r="H104">
        <f>C129</f>
        <v>83.816000000000003</v>
      </c>
      <c r="I104" s="7">
        <f>C130</f>
        <v>77.275000000000006</v>
      </c>
      <c r="K104" s="172" t="s">
        <v>81</v>
      </c>
      <c r="L104">
        <f>D129</f>
        <v>85.225687500000021</v>
      </c>
      <c r="M104" s="7">
        <f>D130</f>
        <v>79.400999999999996</v>
      </c>
      <c r="O104" s="172" t="s">
        <v>81</v>
      </c>
      <c r="P104">
        <f>E129</f>
        <v>86.373999999999995</v>
      </c>
      <c r="Q104" s="7">
        <f>E130</f>
        <v>80.959999999999994</v>
      </c>
    </row>
    <row r="105" spans="1:17" x14ac:dyDescent="0.35">
      <c r="A105" t="s">
        <v>107</v>
      </c>
      <c r="B105" s="293" t="s">
        <v>27</v>
      </c>
      <c r="C105" s="32">
        <v>81.260000000000005</v>
      </c>
      <c r="D105">
        <v>82.703000000000003</v>
      </c>
      <c r="E105" s="7">
        <v>84.052999999999997</v>
      </c>
      <c r="G105" s="172" t="s">
        <v>82</v>
      </c>
      <c r="H105">
        <f>C131</f>
        <v>82.68</v>
      </c>
      <c r="I105" s="7">
        <f>C132</f>
        <v>78.441000000000003</v>
      </c>
      <c r="K105" s="172" t="s">
        <v>82</v>
      </c>
      <c r="L105">
        <f>D131</f>
        <v>83.728375</v>
      </c>
      <c r="M105" s="7">
        <f>D132</f>
        <v>79.925062499999996</v>
      </c>
      <c r="O105" s="172" t="s">
        <v>82</v>
      </c>
      <c r="P105">
        <f>E131</f>
        <v>84.677999999999997</v>
      </c>
      <c r="Q105" s="7">
        <f>E132</f>
        <v>81.209000000000003</v>
      </c>
    </row>
    <row r="106" spans="1:17" x14ac:dyDescent="0.35">
      <c r="B106" s="293" t="s">
        <v>28</v>
      </c>
      <c r="C106" s="32">
        <v>76.373999999999995</v>
      </c>
      <c r="D106">
        <v>78.765124999999983</v>
      </c>
      <c r="E106" s="7">
        <v>80.875</v>
      </c>
      <c r="G106" s="173" t="s">
        <v>83</v>
      </c>
      <c r="H106">
        <f>C133</f>
        <v>81.198999999999998</v>
      </c>
      <c r="I106" s="7">
        <f>C134</f>
        <v>76.807000000000002</v>
      </c>
      <c r="K106" s="173" t="s">
        <v>83</v>
      </c>
      <c r="L106">
        <f>D133</f>
        <v>82.433750000000003</v>
      </c>
      <c r="M106" s="7">
        <f>D134</f>
        <v>78.595249999999993</v>
      </c>
      <c r="O106" s="173" t="s">
        <v>83</v>
      </c>
      <c r="P106">
        <f>E133</f>
        <v>83.06</v>
      </c>
      <c r="Q106" s="7">
        <f>E134</f>
        <v>79.763000000000005</v>
      </c>
    </row>
    <row r="107" spans="1:17" x14ac:dyDescent="0.35">
      <c r="A107" t="s">
        <v>108</v>
      </c>
      <c r="B107" s="293" t="s">
        <v>27</v>
      </c>
      <c r="C107" s="32">
        <v>83.623000000000005</v>
      </c>
      <c r="D107">
        <v>84.683875</v>
      </c>
      <c r="E107" s="7">
        <v>85.665000000000006</v>
      </c>
      <c r="G107" s="173" t="s">
        <v>84</v>
      </c>
      <c r="H107">
        <f>C135</f>
        <v>79.932500000000005</v>
      </c>
      <c r="I107" s="7">
        <f>C136</f>
        <v>75.156499999999994</v>
      </c>
      <c r="K107" s="173" t="s">
        <v>84</v>
      </c>
      <c r="L107">
        <f>D135</f>
        <v>81.902593750000008</v>
      </c>
      <c r="M107" s="7">
        <f>D136</f>
        <v>76.850968749999993</v>
      </c>
      <c r="O107" s="173" t="s">
        <v>84</v>
      </c>
      <c r="P107">
        <f>E135</f>
        <v>83.65</v>
      </c>
      <c r="Q107" s="7">
        <f>E136</f>
        <v>78.533500000000004</v>
      </c>
    </row>
    <row r="108" spans="1:17" x14ac:dyDescent="0.35">
      <c r="B108" s="293" t="s">
        <v>28</v>
      </c>
      <c r="C108" s="32">
        <v>78.090999999999994</v>
      </c>
      <c r="D108">
        <v>79.884562500000015</v>
      </c>
      <c r="E108" s="7">
        <v>81.506</v>
      </c>
      <c r="G108" s="173" t="s">
        <v>85</v>
      </c>
      <c r="H108">
        <f>C137</f>
        <v>77.290083333333328</v>
      </c>
      <c r="I108" s="7">
        <f>C138</f>
        <v>71.860166666666672</v>
      </c>
      <c r="K108" s="173" t="s">
        <v>85</v>
      </c>
      <c r="L108">
        <f>D137</f>
        <v>79.149583333333339</v>
      </c>
      <c r="M108" s="7">
        <f>D138</f>
        <v>73.82521354166667</v>
      </c>
      <c r="O108" s="173" t="s">
        <v>85</v>
      </c>
      <c r="P108">
        <f>E137</f>
        <v>80.645416666666677</v>
      </c>
      <c r="Q108" s="7">
        <f>E138</f>
        <v>75.423333333333332</v>
      </c>
    </row>
    <row r="109" spans="1:17" x14ac:dyDescent="0.35">
      <c r="A109" t="s">
        <v>109</v>
      </c>
      <c r="B109" s="293" t="s">
        <v>27</v>
      </c>
      <c r="C109" s="32">
        <v>76.555000000000007</v>
      </c>
      <c r="D109">
        <v>78.549187500000002</v>
      </c>
      <c r="E109" s="7">
        <v>80.123999999999995</v>
      </c>
      <c r="G109" s="173" t="s">
        <v>86</v>
      </c>
      <c r="H109">
        <f>C139</f>
        <v>65.356999999999999</v>
      </c>
      <c r="I109" s="7">
        <f>C140</f>
        <v>63.689</v>
      </c>
      <c r="K109" s="173" t="s">
        <v>86</v>
      </c>
      <c r="L109">
        <f>D139</f>
        <v>68.615000000000009</v>
      </c>
      <c r="M109" s="7">
        <f>D140</f>
        <v>66.464750000000009</v>
      </c>
      <c r="O109" s="173" t="s">
        <v>86</v>
      </c>
      <c r="P109">
        <f>E139</f>
        <v>71.201999999999998</v>
      </c>
      <c r="Q109" s="7">
        <f>E140</f>
        <v>68.677999999999997</v>
      </c>
    </row>
    <row r="110" spans="1:17" x14ac:dyDescent="0.35">
      <c r="B110" s="293" t="s">
        <v>28</v>
      </c>
      <c r="C110" s="32">
        <v>65.506</v>
      </c>
      <c r="D110">
        <v>68.329750000000004</v>
      </c>
      <c r="E110" s="7">
        <v>70.385999999999996</v>
      </c>
      <c r="G110" s="173" t="s">
        <v>87</v>
      </c>
      <c r="H110">
        <f>C141</f>
        <v>77.895333333333326</v>
      </c>
      <c r="I110" s="7">
        <f>C142</f>
        <v>71.857500000000002</v>
      </c>
      <c r="K110" s="173" t="s">
        <v>87</v>
      </c>
      <c r="L110">
        <f>D141</f>
        <v>79.500833333333333</v>
      </c>
      <c r="M110" s="7">
        <f>D142</f>
        <v>73.556906249999997</v>
      </c>
      <c r="O110" s="173" t="s">
        <v>87</v>
      </c>
      <c r="P110">
        <f>E141</f>
        <v>80.885333333333335</v>
      </c>
      <c r="Q110" s="7">
        <f>E142</f>
        <v>75.136166666666668</v>
      </c>
    </row>
    <row r="111" spans="1:17" x14ac:dyDescent="0.35">
      <c r="A111" t="s">
        <v>110</v>
      </c>
      <c r="B111" s="293" t="s">
        <v>27</v>
      </c>
      <c r="C111" s="32">
        <v>77.661000000000001</v>
      </c>
      <c r="D111">
        <v>79.450625000000002</v>
      </c>
      <c r="E111" s="7">
        <v>81.513999999999996</v>
      </c>
      <c r="G111" s="173" t="s">
        <v>88</v>
      </c>
      <c r="H111">
        <f>C143</f>
        <v>72.641000000000005</v>
      </c>
      <c r="I111" s="7">
        <f>C144</f>
        <v>59.454000000000001</v>
      </c>
      <c r="K111" s="173" t="s">
        <v>88</v>
      </c>
      <c r="L111">
        <f>D143</f>
        <v>75.666437500000015</v>
      </c>
      <c r="M111" s="7">
        <f>D144</f>
        <v>64.012687499999998</v>
      </c>
      <c r="O111" s="173" t="s">
        <v>88</v>
      </c>
      <c r="P111">
        <f>E143</f>
        <v>77.921999999999997</v>
      </c>
      <c r="Q111" s="7">
        <f>E144</f>
        <v>67.328999999999994</v>
      </c>
    </row>
    <row r="112" spans="1:17" x14ac:dyDescent="0.35">
      <c r="B112" s="293" t="s">
        <v>28</v>
      </c>
      <c r="C112" s="32">
        <v>65.763999999999996</v>
      </c>
      <c r="D112">
        <v>68.172312500000004</v>
      </c>
      <c r="E112" s="7">
        <v>70.498000000000005</v>
      </c>
      <c r="G112" s="173" t="s">
        <v>89</v>
      </c>
      <c r="H112">
        <f>C145</f>
        <v>80.240333333333339</v>
      </c>
      <c r="I112" s="7">
        <f>C146</f>
        <v>75.172333333333327</v>
      </c>
      <c r="K112" s="173" t="s">
        <v>89</v>
      </c>
      <c r="L112">
        <f>D145</f>
        <v>80.895375000000001</v>
      </c>
      <c r="M112" s="7">
        <f>D146</f>
        <v>75.905208333333334</v>
      </c>
      <c r="O112" s="173" t="s">
        <v>89</v>
      </c>
      <c r="P112">
        <f>E145</f>
        <v>81.289000000000001</v>
      </c>
      <c r="Q112" s="7">
        <f>E146</f>
        <v>76.434666666666672</v>
      </c>
    </row>
    <row r="113" spans="1:17" ht="15" thickBot="1" x14ac:dyDescent="0.4">
      <c r="A113" t="s">
        <v>111</v>
      </c>
      <c r="B113" s="293" t="s">
        <v>27</v>
      </c>
      <c r="C113" s="32">
        <v>81.760999999999996</v>
      </c>
      <c r="D113">
        <v>83.256750000000011</v>
      </c>
      <c r="E113" s="7">
        <v>84.463999999999999</v>
      </c>
      <c r="G113" s="174" t="s">
        <v>90</v>
      </c>
      <c r="H113" s="12">
        <f>C147</f>
        <v>67.819951048951054</v>
      </c>
      <c r="I113" s="11">
        <f>C148</f>
        <v>63.419881118881115</v>
      </c>
      <c r="K113" s="174" t="s">
        <v>90</v>
      </c>
      <c r="L113" s="12">
        <f>D147</f>
        <v>70.746942307692308</v>
      </c>
      <c r="M113" s="11">
        <f>D148</f>
        <v>66.224443618881125</v>
      </c>
      <c r="O113" s="174" t="s">
        <v>90</v>
      </c>
      <c r="P113" s="12">
        <f>E147</f>
        <v>73.114069930069917</v>
      </c>
      <c r="Q113" s="11">
        <f>E148</f>
        <v>68.523846153846165</v>
      </c>
    </row>
    <row r="114" spans="1:17" x14ac:dyDescent="0.35">
      <c r="B114" s="293" t="s">
        <v>28</v>
      </c>
      <c r="C114" s="32">
        <v>75.894000000000005</v>
      </c>
      <c r="D114">
        <v>78.425187500000007</v>
      </c>
      <c r="E114" s="7">
        <v>80.347999999999999</v>
      </c>
    </row>
    <row r="115" spans="1:17" x14ac:dyDescent="0.35">
      <c r="A115" t="s">
        <v>112</v>
      </c>
      <c r="B115" s="293" t="s">
        <v>27</v>
      </c>
      <c r="C115" s="32">
        <v>81.981999999999999</v>
      </c>
      <c r="D115">
        <v>83.263937499999983</v>
      </c>
      <c r="E115" s="7">
        <v>84.385000000000005</v>
      </c>
    </row>
    <row r="116" spans="1:17" x14ac:dyDescent="0.35">
      <c r="B116" s="293" t="s">
        <v>28</v>
      </c>
      <c r="C116" s="32">
        <v>77.602000000000004</v>
      </c>
      <c r="D116">
        <v>79.298750000000013</v>
      </c>
      <c r="E116" s="7">
        <v>80.891000000000005</v>
      </c>
    </row>
    <row r="117" spans="1:17" x14ac:dyDescent="0.35">
      <c r="A117" t="s">
        <v>113</v>
      </c>
      <c r="B117" s="293" t="s">
        <v>27</v>
      </c>
      <c r="C117" s="32">
        <v>81.543999999999997</v>
      </c>
      <c r="D117">
        <v>83.00524999999999</v>
      </c>
      <c r="E117" s="7">
        <v>84.066000000000003</v>
      </c>
    </row>
    <row r="118" spans="1:17" x14ac:dyDescent="0.35">
      <c r="B118" s="293" t="s">
        <v>28</v>
      </c>
      <c r="C118" s="32">
        <v>77.111000000000004</v>
      </c>
      <c r="D118">
        <v>79.19387500000002</v>
      </c>
      <c r="E118" s="7">
        <v>80.766000000000005</v>
      </c>
    </row>
    <row r="119" spans="1:17" x14ac:dyDescent="0.35">
      <c r="A119" t="s">
        <v>114</v>
      </c>
      <c r="B119" s="293" t="s">
        <v>27</v>
      </c>
      <c r="C119" s="32">
        <v>79.311000000000007</v>
      </c>
      <c r="D119">
        <v>81.104687499999997</v>
      </c>
      <c r="E119" s="7">
        <v>82.721999999999994</v>
      </c>
    </row>
    <row r="120" spans="1:17" x14ac:dyDescent="0.35">
      <c r="B120" s="293" t="s">
        <v>28</v>
      </c>
      <c r="C120" s="32">
        <v>70.849000000000004</v>
      </c>
      <c r="D120">
        <v>72.96668750000002</v>
      </c>
      <c r="E120" s="7">
        <v>75.025000000000006</v>
      </c>
    </row>
    <row r="121" spans="1:17" x14ac:dyDescent="0.35">
      <c r="A121" t="s">
        <v>115</v>
      </c>
      <c r="B121" s="293" t="s">
        <v>27</v>
      </c>
      <c r="C121" s="32">
        <v>81.766999999999996</v>
      </c>
      <c r="D121">
        <v>83.571437500000002</v>
      </c>
      <c r="E121" s="7">
        <v>84.986999999999995</v>
      </c>
    </row>
    <row r="122" spans="1:17" x14ac:dyDescent="0.35">
      <c r="B122" s="293" t="s">
        <v>28</v>
      </c>
      <c r="C122" s="32">
        <v>75.06</v>
      </c>
      <c r="D122">
        <v>77.341249999999988</v>
      </c>
      <c r="E122" s="7">
        <v>79.257000000000005</v>
      </c>
    </row>
    <row r="123" spans="1:17" x14ac:dyDescent="0.35">
      <c r="A123" t="s">
        <v>116</v>
      </c>
      <c r="B123" s="293" t="s">
        <v>27</v>
      </c>
      <c r="C123" s="32">
        <v>75.957999999999998</v>
      </c>
      <c r="D123">
        <v>78.129125000000002</v>
      </c>
      <c r="E123" s="7">
        <v>79.641999999999996</v>
      </c>
    </row>
    <row r="124" spans="1:17" x14ac:dyDescent="0.35">
      <c r="B124" s="293" t="s">
        <v>28</v>
      </c>
      <c r="C124" s="32">
        <v>68.691999999999993</v>
      </c>
      <c r="D124">
        <v>71.098375000000004</v>
      </c>
      <c r="E124" s="7">
        <v>72.753</v>
      </c>
    </row>
    <row r="125" spans="1:17" x14ac:dyDescent="0.35">
      <c r="A125" t="s">
        <v>117</v>
      </c>
      <c r="B125" s="293" t="s">
        <v>27</v>
      </c>
      <c r="C125" s="32">
        <v>78.188999999999993</v>
      </c>
      <c r="D125">
        <v>79.727812500000013</v>
      </c>
      <c r="E125" s="7">
        <v>81.084000000000003</v>
      </c>
    </row>
    <row r="126" spans="1:17" x14ac:dyDescent="0.35">
      <c r="B126" s="293" t="s">
        <v>28</v>
      </c>
      <c r="C126" s="32">
        <v>70.275000000000006</v>
      </c>
      <c r="D126">
        <v>72.356125000000006</v>
      </c>
      <c r="E126" s="7">
        <v>74.192999999999998</v>
      </c>
    </row>
    <row r="127" spans="1:17" x14ac:dyDescent="0.35">
      <c r="A127" t="s">
        <v>118</v>
      </c>
      <c r="B127" s="293" t="s">
        <v>27</v>
      </c>
      <c r="C127" s="32">
        <v>81.212999999999994</v>
      </c>
      <c r="D127">
        <v>82.954499999999996</v>
      </c>
      <c r="E127" s="7">
        <v>84.156000000000006</v>
      </c>
    </row>
    <row r="128" spans="1:17" x14ac:dyDescent="0.35">
      <c r="B128" s="293" t="s">
        <v>28</v>
      </c>
      <c r="C128" s="32">
        <v>73.837000000000003</v>
      </c>
      <c r="D128">
        <v>76.721812499999999</v>
      </c>
      <c r="E128" s="7">
        <v>78.772000000000006</v>
      </c>
    </row>
    <row r="129" spans="1:5" x14ac:dyDescent="0.35">
      <c r="A129" t="s">
        <v>119</v>
      </c>
      <c r="B129" s="293" t="s">
        <v>27</v>
      </c>
      <c r="C129" s="32">
        <v>83.816000000000003</v>
      </c>
      <c r="D129">
        <v>85.225687500000021</v>
      </c>
      <c r="E129" s="7">
        <v>86.373999999999995</v>
      </c>
    </row>
    <row r="130" spans="1:5" x14ac:dyDescent="0.35">
      <c r="B130" s="293" t="s">
        <v>28</v>
      </c>
      <c r="C130" s="32">
        <v>77.275000000000006</v>
      </c>
      <c r="D130">
        <v>79.400999999999996</v>
      </c>
      <c r="E130" s="7">
        <v>80.959999999999994</v>
      </c>
    </row>
    <row r="131" spans="1:5" x14ac:dyDescent="0.35">
      <c r="A131" t="s">
        <v>120</v>
      </c>
      <c r="B131" s="293" t="s">
        <v>27</v>
      </c>
      <c r="C131" s="32">
        <v>82.68</v>
      </c>
      <c r="D131">
        <v>83.728375</v>
      </c>
      <c r="E131" s="7">
        <v>84.677999999999997</v>
      </c>
    </row>
    <row r="132" spans="1:5" x14ac:dyDescent="0.35">
      <c r="B132" s="293" t="s">
        <v>28</v>
      </c>
      <c r="C132" s="32">
        <v>78.441000000000003</v>
      </c>
      <c r="D132">
        <v>79.925062499999996</v>
      </c>
      <c r="E132" s="7">
        <v>81.209000000000003</v>
      </c>
    </row>
    <row r="133" spans="1:5" x14ac:dyDescent="0.35">
      <c r="A133" s="293" t="s">
        <v>83</v>
      </c>
      <c r="B133" s="293" t="s">
        <v>27</v>
      </c>
      <c r="C133" s="32">
        <v>81.198999999999998</v>
      </c>
      <c r="D133">
        <v>82.433750000000003</v>
      </c>
      <c r="E133" s="7">
        <v>83.06</v>
      </c>
    </row>
    <row r="134" spans="1:5" x14ac:dyDescent="0.35">
      <c r="A134" s="293" t="s">
        <v>83</v>
      </c>
      <c r="B134" s="293" t="s">
        <v>28</v>
      </c>
      <c r="C134" s="32">
        <v>76.807000000000002</v>
      </c>
      <c r="D134">
        <v>78.595249999999993</v>
      </c>
      <c r="E134" s="7">
        <v>79.763000000000005</v>
      </c>
    </row>
    <row r="135" spans="1:5" x14ac:dyDescent="0.35">
      <c r="A135" s="293" t="s">
        <v>84</v>
      </c>
      <c r="B135" s="293" t="s">
        <v>27</v>
      </c>
      <c r="C135" s="32">
        <v>79.932500000000005</v>
      </c>
      <c r="D135">
        <v>81.902593750000008</v>
      </c>
      <c r="E135" s="7">
        <v>83.65</v>
      </c>
    </row>
    <row r="136" spans="1:5" x14ac:dyDescent="0.35">
      <c r="A136" s="293" t="s">
        <v>84</v>
      </c>
      <c r="B136" s="293" t="s">
        <v>28</v>
      </c>
      <c r="C136" s="32">
        <v>75.156499999999994</v>
      </c>
      <c r="D136">
        <v>76.850968749999993</v>
      </c>
      <c r="E136" s="7">
        <v>78.533500000000004</v>
      </c>
    </row>
    <row r="137" spans="1:5" x14ac:dyDescent="0.35">
      <c r="A137" s="293" t="s">
        <v>85</v>
      </c>
      <c r="B137" s="293" t="s">
        <v>27</v>
      </c>
      <c r="C137" s="32">
        <v>77.290083333333328</v>
      </c>
      <c r="D137">
        <v>79.149583333333339</v>
      </c>
      <c r="E137" s="7">
        <v>80.645416666666677</v>
      </c>
    </row>
    <row r="138" spans="1:5" x14ac:dyDescent="0.35">
      <c r="A138" s="293" t="s">
        <v>85</v>
      </c>
      <c r="B138" s="293" t="s">
        <v>28</v>
      </c>
      <c r="C138" s="32">
        <v>71.860166666666672</v>
      </c>
      <c r="D138">
        <v>73.82521354166667</v>
      </c>
      <c r="E138" s="7">
        <v>75.423333333333332</v>
      </c>
    </row>
    <row r="139" spans="1:5" x14ac:dyDescent="0.35">
      <c r="A139" s="293" t="s">
        <v>86</v>
      </c>
      <c r="B139" s="293" t="s">
        <v>27</v>
      </c>
      <c r="C139" s="32">
        <v>65.356999999999999</v>
      </c>
      <c r="D139">
        <v>68.615000000000009</v>
      </c>
      <c r="E139" s="7">
        <v>71.201999999999998</v>
      </c>
    </row>
    <row r="140" spans="1:5" x14ac:dyDescent="0.35">
      <c r="A140" s="293" t="s">
        <v>86</v>
      </c>
      <c r="B140" s="293" t="s">
        <v>28</v>
      </c>
      <c r="C140" s="32">
        <v>63.689</v>
      </c>
      <c r="D140">
        <v>66.464750000000009</v>
      </c>
      <c r="E140" s="7">
        <v>68.677999999999997</v>
      </c>
    </row>
    <row r="141" spans="1:5" x14ac:dyDescent="0.35">
      <c r="A141" s="293" t="s">
        <v>87</v>
      </c>
      <c r="B141" s="293" t="s">
        <v>27</v>
      </c>
      <c r="C141" s="32">
        <v>77.895333333333326</v>
      </c>
      <c r="D141">
        <v>79.500833333333333</v>
      </c>
      <c r="E141" s="7">
        <v>80.885333333333335</v>
      </c>
    </row>
    <row r="142" spans="1:5" x14ac:dyDescent="0.35">
      <c r="A142" s="293" t="s">
        <v>87</v>
      </c>
      <c r="B142" s="293" t="s">
        <v>28</v>
      </c>
      <c r="C142" s="32">
        <v>71.857500000000002</v>
      </c>
      <c r="D142">
        <v>73.556906249999997</v>
      </c>
      <c r="E142" s="7">
        <v>75.136166666666668</v>
      </c>
    </row>
    <row r="143" spans="1:5" x14ac:dyDescent="0.35">
      <c r="A143" s="293" t="s">
        <v>88</v>
      </c>
      <c r="B143" s="293" t="s">
        <v>27</v>
      </c>
      <c r="C143" s="32">
        <v>72.641000000000005</v>
      </c>
      <c r="D143">
        <v>75.666437500000015</v>
      </c>
      <c r="E143" s="7">
        <v>77.921999999999997</v>
      </c>
    </row>
    <row r="144" spans="1:5" x14ac:dyDescent="0.35">
      <c r="A144" s="293" t="s">
        <v>88</v>
      </c>
      <c r="B144" s="293" t="s">
        <v>28</v>
      </c>
      <c r="C144" s="32">
        <v>59.454000000000001</v>
      </c>
      <c r="D144">
        <v>64.012687499999998</v>
      </c>
      <c r="E144" s="7">
        <v>67.328999999999994</v>
      </c>
    </row>
    <row r="145" spans="1:38" x14ac:dyDescent="0.35">
      <c r="A145" s="293" t="s">
        <v>89</v>
      </c>
      <c r="B145" s="293" t="s">
        <v>27</v>
      </c>
      <c r="C145" s="32">
        <v>80.240333333333339</v>
      </c>
      <c r="D145">
        <v>80.895375000000001</v>
      </c>
      <c r="E145" s="7">
        <v>81.289000000000001</v>
      </c>
    </row>
    <row r="146" spans="1:38" x14ac:dyDescent="0.35">
      <c r="A146" s="293" t="s">
        <v>89</v>
      </c>
      <c r="B146" s="293" t="s">
        <v>28</v>
      </c>
      <c r="C146" s="32">
        <v>75.172333333333327</v>
      </c>
      <c r="D146">
        <v>75.905208333333334</v>
      </c>
      <c r="E146" s="7">
        <v>76.434666666666672</v>
      </c>
    </row>
    <row r="147" spans="1:38" x14ac:dyDescent="0.35">
      <c r="A147" s="293" t="s">
        <v>90</v>
      </c>
      <c r="B147" s="293" t="s">
        <v>27</v>
      </c>
      <c r="C147" s="32">
        <v>67.819951048951054</v>
      </c>
      <c r="D147">
        <v>70.746942307692308</v>
      </c>
      <c r="E147" s="7">
        <v>73.114069930069917</v>
      </c>
    </row>
    <row r="148" spans="1:38" ht="15" thickBot="1" x14ac:dyDescent="0.4">
      <c r="A148" s="293" t="s">
        <v>90</v>
      </c>
      <c r="B148" s="293" t="s">
        <v>28</v>
      </c>
      <c r="C148" s="33">
        <v>63.419881118881115</v>
      </c>
      <c r="D148" s="12">
        <v>66.224443618881125</v>
      </c>
      <c r="E148" s="11">
        <v>68.523846153846165</v>
      </c>
    </row>
    <row r="155" spans="1:38" ht="58" x14ac:dyDescent="0.35">
      <c r="A155" s="1" t="s">
        <v>431</v>
      </c>
      <c r="B155" t="s">
        <v>49</v>
      </c>
      <c r="C155" t="s">
        <v>57</v>
      </c>
      <c r="D155" t="s">
        <v>58</v>
      </c>
      <c r="E155" t="s">
        <v>59</v>
      </c>
      <c r="F155" t="s">
        <v>60</v>
      </c>
      <c r="G155" t="s">
        <v>61</v>
      </c>
      <c r="H155" t="s">
        <v>62</v>
      </c>
      <c r="I155" t="s">
        <v>63</v>
      </c>
      <c r="J155" t="s">
        <v>64</v>
      </c>
      <c r="K155" t="s">
        <v>65</v>
      </c>
      <c r="L155" t="s">
        <v>66</v>
      </c>
      <c r="M155" t="s">
        <v>67</v>
      </c>
      <c r="N155" t="s">
        <v>68</v>
      </c>
      <c r="O155" t="s">
        <v>69</v>
      </c>
      <c r="P155" t="s">
        <v>70</v>
      </c>
      <c r="Q155" t="s">
        <v>71</v>
      </c>
      <c r="R155" t="s">
        <v>72</v>
      </c>
      <c r="S155" t="s">
        <v>73</v>
      </c>
      <c r="T155" t="s">
        <v>74</v>
      </c>
      <c r="U155" t="s">
        <v>75</v>
      </c>
      <c r="V155" t="s">
        <v>76</v>
      </c>
      <c r="W155" t="s">
        <v>77</v>
      </c>
      <c r="X155" t="s">
        <v>78</v>
      </c>
      <c r="Y155" t="s">
        <v>79</v>
      </c>
      <c r="Z155" t="s">
        <v>80</v>
      </c>
      <c r="AA155" t="s">
        <v>81</v>
      </c>
      <c r="AB155" t="s">
        <v>82</v>
      </c>
      <c r="AC155" t="s">
        <v>83</v>
      </c>
      <c r="AD155" t="s">
        <v>84</v>
      </c>
      <c r="AE155" t="s">
        <v>85</v>
      </c>
      <c r="AF155" t="s">
        <v>86</v>
      </c>
      <c r="AG155" t="s">
        <v>87</v>
      </c>
      <c r="AH155" t="s">
        <v>88</v>
      </c>
      <c r="AI155" t="s">
        <v>89</v>
      </c>
      <c r="AJ155" t="s">
        <v>90</v>
      </c>
    </row>
    <row r="156" spans="1:38" x14ac:dyDescent="0.35">
      <c r="A156" t="s">
        <v>49</v>
      </c>
      <c r="B156">
        <f>B201/$AL201</f>
        <v>0</v>
      </c>
      <c r="C156">
        <f t="shared" ref="C156:AJ156" si="4">C201/$AL201</f>
        <v>2.7872111952611496E-3</v>
      </c>
      <c r="D156">
        <f t="shared" si="4"/>
        <v>8.3722943608965858E-3</v>
      </c>
      <c r="E156">
        <f t="shared" si="4"/>
        <v>1.2557714670314439E-2</v>
      </c>
      <c r="F156">
        <f t="shared" si="4"/>
        <v>9.0924297197890361E-4</v>
      </c>
      <c r="G156">
        <f t="shared" si="4"/>
        <v>7.3936352055105478E-3</v>
      </c>
      <c r="H156">
        <f t="shared" si="4"/>
        <v>1.9233007465474289E-3</v>
      </c>
      <c r="I156">
        <f t="shared" si="4"/>
        <v>1.2833311859678613E-4</v>
      </c>
      <c r="J156">
        <f t="shared" si="4"/>
        <v>7.2742022188642752E-4</v>
      </c>
      <c r="K156">
        <f t="shared" si="4"/>
        <v>1.1585387369238019E-2</v>
      </c>
      <c r="L156">
        <f t="shared" si="4"/>
        <v>0.21593609976624714</v>
      </c>
      <c r="M156">
        <f t="shared" si="4"/>
        <v>5.1169943747208669E-3</v>
      </c>
      <c r="N156">
        <f t="shared" si="4"/>
        <v>4.7165885836230666E-2</v>
      </c>
      <c r="O156">
        <f t="shared" si="4"/>
        <v>8.6925698895985466E-4</v>
      </c>
      <c r="P156">
        <f t="shared" si="4"/>
        <v>2.2563159015095889E-2</v>
      </c>
      <c r="Q156">
        <f t="shared" si="4"/>
        <v>7.2031303847766906E-4</v>
      </c>
      <c r="R156">
        <f t="shared" si="4"/>
        <v>9.6349177988416562E-4</v>
      </c>
      <c r="S156">
        <f t="shared" si="4"/>
        <v>1.6513863704041569E-3</v>
      </c>
      <c r="T156">
        <f t="shared" si="4"/>
        <v>1.6709957355365041E-4</v>
      </c>
      <c r="U156">
        <f t="shared" si="4"/>
        <v>8.8614785643835164E-3</v>
      </c>
      <c r="V156">
        <f t="shared" si="4"/>
        <v>2.7609905342897006E-2</v>
      </c>
      <c r="W156">
        <f t="shared" si="4"/>
        <v>1.8472215786945829E-3</v>
      </c>
      <c r="X156">
        <f t="shared" si="4"/>
        <v>8.2260252958064245E-2</v>
      </c>
      <c r="Y156">
        <f t="shared" si="4"/>
        <v>1.3761687692447686E-2</v>
      </c>
      <c r="Z156">
        <f t="shared" si="4"/>
        <v>1.2564821853723197E-2</v>
      </c>
      <c r="AA156">
        <f t="shared" si="4"/>
        <v>1.5658239585074878E-2</v>
      </c>
      <c r="AB156">
        <f t="shared" si="4"/>
        <v>5.2697019018717811E-3</v>
      </c>
      <c r="AC156">
        <f t="shared" si="4"/>
        <v>1.6565374631065503E-2</v>
      </c>
      <c r="AD156">
        <f t="shared" si="4"/>
        <v>1.4068879542601704E-2</v>
      </c>
      <c r="AE156">
        <f t="shared" si="4"/>
        <v>3.0640117599979429E-2</v>
      </c>
      <c r="AF156">
        <f t="shared" si="4"/>
        <v>1.3410156709436752E-2</v>
      </c>
      <c r="AG156">
        <f t="shared" si="4"/>
        <v>1.2093615593722512E-2</v>
      </c>
      <c r="AH156">
        <f t="shared" si="4"/>
        <v>7.581943260463516E-3</v>
      </c>
      <c r="AI156">
        <f t="shared" si="4"/>
        <v>5.416922360377343E-2</v>
      </c>
      <c r="AJ156">
        <f t="shared" si="4"/>
        <v>0.34209915297799581</v>
      </c>
      <c r="AL156">
        <f>SUM(B156:AJ156)</f>
        <v>0.99999999999999978</v>
      </c>
    </row>
    <row r="157" spans="1:38" x14ac:dyDescent="0.35">
      <c r="A157" t="s">
        <v>57</v>
      </c>
      <c r="B157">
        <f t="shared" ref="B157:AJ164" si="5">B202/$AL202</f>
        <v>1.4882186059224085E-3</v>
      </c>
      <c r="C157">
        <f t="shared" si="5"/>
        <v>0</v>
      </c>
      <c r="D157">
        <f t="shared" si="5"/>
        <v>7.6671708310590714E-3</v>
      </c>
      <c r="E157">
        <f t="shared" si="5"/>
        <v>3.9996142422375129E-4</v>
      </c>
      <c r="F157">
        <f t="shared" si="5"/>
        <v>4.7411737312243315E-3</v>
      </c>
      <c r="G157">
        <f t="shared" si="5"/>
        <v>3.4651800783444889E-4</v>
      </c>
      <c r="H157">
        <f t="shared" si="5"/>
        <v>1.8361740927759743E-3</v>
      </c>
      <c r="I157">
        <f t="shared" si="5"/>
        <v>1.9202323897033689E-4</v>
      </c>
      <c r="J157">
        <f t="shared" si="5"/>
        <v>1.0195833328449043E-3</v>
      </c>
      <c r="K157">
        <f t="shared" si="5"/>
        <v>0.11244292876732725</v>
      </c>
      <c r="L157">
        <f t="shared" si="5"/>
        <v>5.0743214728964495E-2</v>
      </c>
      <c r="M157">
        <f t="shared" si="5"/>
        <v>7.780697447878359E-3</v>
      </c>
      <c r="N157">
        <f t="shared" si="5"/>
        <v>3.1919050491031279E-3</v>
      </c>
      <c r="O157">
        <f t="shared" si="5"/>
        <v>1.3235930325426171E-3</v>
      </c>
      <c r="P157">
        <f t="shared" si="5"/>
        <v>3.8259393961754734E-2</v>
      </c>
      <c r="Q157">
        <f t="shared" si="5"/>
        <v>8.0360211022262274E-4</v>
      </c>
      <c r="R157">
        <f t="shared" si="5"/>
        <v>1.9111454687610954E-3</v>
      </c>
      <c r="S157">
        <f t="shared" si="5"/>
        <v>8.9972838577241105E-3</v>
      </c>
      <c r="T157">
        <f t="shared" si="5"/>
        <v>4.8506360472455205E-4</v>
      </c>
      <c r="U157">
        <f t="shared" si="5"/>
        <v>8.0382012787385534E-2</v>
      </c>
      <c r="V157">
        <f t="shared" si="5"/>
        <v>1.8936698309715481E-2</v>
      </c>
      <c r="W157">
        <f t="shared" si="5"/>
        <v>1.3771647952729119E-2</v>
      </c>
      <c r="X157">
        <f t="shared" si="5"/>
        <v>6.0656651881538973E-2</v>
      </c>
      <c r="Y157">
        <f t="shared" si="5"/>
        <v>7.0777017561484388E-4</v>
      </c>
      <c r="Z157">
        <f t="shared" si="5"/>
        <v>2.950596815191648E-4</v>
      </c>
      <c r="AA157">
        <f t="shared" si="5"/>
        <v>4.3315726411497654E-2</v>
      </c>
      <c r="AB157">
        <f t="shared" si="5"/>
        <v>2.8712103250763828E-3</v>
      </c>
      <c r="AC157">
        <f t="shared" si="5"/>
        <v>1.4033868083799654E-2</v>
      </c>
      <c r="AD157">
        <f t="shared" si="5"/>
        <v>1.4361305268939875E-2</v>
      </c>
      <c r="AE157">
        <f t="shared" si="5"/>
        <v>2.8327731628759307E-2</v>
      </c>
      <c r="AF157">
        <f t="shared" si="5"/>
        <v>2.4045909451947348E-2</v>
      </c>
      <c r="AG157">
        <f t="shared" si="5"/>
        <v>2.1525478233226369E-2</v>
      </c>
      <c r="AH157">
        <f t="shared" si="5"/>
        <v>2.0081410768605398E-3</v>
      </c>
      <c r="AI157">
        <f t="shared" si="5"/>
        <v>2.9949755573377829E-2</v>
      </c>
      <c r="AJ157">
        <f t="shared" si="5"/>
        <v>0.40118138186415364</v>
      </c>
      <c r="AL157">
        <f t="shared" ref="AL157:AL190" si="6">SUM(B157:AJ157)</f>
        <v>1</v>
      </c>
    </row>
    <row r="158" spans="1:38" x14ac:dyDescent="0.35">
      <c r="A158" t="s">
        <v>58</v>
      </c>
      <c r="B158">
        <f t="shared" si="5"/>
        <v>1.4109762128831341E-2</v>
      </c>
      <c r="C158">
        <f t="shared" si="5"/>
        <v>2.0882393496101926E-2</v>
      </c>
      <c r="D158">
        <f t="shared" si="5"/>
        <v>0</v>
      </c>
      <c r="E158">
        <f t="shared" si="5"/>
        <v>3.0443993379102393E-4</v>
      </c>
      <c r="F158">
        <f t="shared" si="5"/>
        <v>1.2239831144162442E-3</v>
      </c>
      <c r="G158">
        <f t="shared" si="5"/>
        <v>6.2532125764381691E-3</v>
      </c>
      <c r="H158">
        <f t="shared" si="5"/>
        <v>5.8044680362379589E-3</v>
      </c>
      <c r="I158">
        <f t="shared" si="5"/>
        <v>8.4669074725476044E-4</v>
      </c>
      <c r="J158">
        <f t="shared" si="5"/>
        <v>1.1609325033679178E-3</v>
      </c>
      <c r="K158">
        <f t="shared" si="5"/>
        <v>2.4898145646911521E-2</v>
      </c>
      <c r="L158">
        <f t="shared" si="5"/>
        <v>9.3850970681854815E-2</v>
      </c>
      <c r="M158">
        <f t="shared" si="5"/>
        <v>4.7964206234231269E-2</v>
      </c>
      <c r="N158">
        <f t="shared" si="5"/>
        <v>1.5054354410946455E-3</v>
      </c>
      <c r="O158">
        <f t="shared" si="5"/>
        <v>1.704972538366647E-3</v>
      </c>
      <c r="P158">
        <f t="shared" si="5"/>
        <v>3.8750804420388488E-2</v>
      </c>
      <c r="Q158">
        <f t="shared" si="5"/>
        <v>3.9323199727104817E-3</v>
      </c>
      <c r="R158">
        <f t="shared" si="5"/>
        <v>2.3142024710316282E-3</v>
      </c>
      <c r="S158">
        <f t="shared" si="5"/>
        <v>1.0828290937534581E-3</v>
      </c>
      <c r="T158">
        <f t="shared" si="5"/>
        <v>1.3651371350790302E-3</v>
      </c>
      <c r="U158">
        <f t="shared" si="5"/>
        <v>1.6719886283302617E-2</v>
      </c>
      <c r="V158">
        <f t="shared" si="5"/>
        <v>4.3009385050392845E-3</v>
      </c>
      <c r="W158">
        <f t="shared" si="5"/>
        <v>3.9804733696739789E-3</v>
      </c>
      <c r="X158">
        <f t="shared" si="5"/>
        <v>9.3576286280113146E-3</v>
      </c>
      <c r="Y158">
        <f t="shared" si="5"/>
        <v>1.4213031328296673E-3</v>
      </c>
      <c r="Z158">
        <f t="shared" si="5"/>
        <v>8.6139348073796063E-4</v>
      </c>
      <c r="AA158">
        <f t="shared" si="5"/>
        <v>8.6916998207472285E-2</v>
      </c>
      <c r="AB158">
        <f t="shared" si="5"/>
        <v>6.4602177288127479E-3</v>
      </c>
      <c r="AC158">
        <f t="shared" si="5"/>
        <v>6.8374323037335774E-2</v>
      </c>
      <c r="AD158">
        <f t="shared" si="5"/>
        <v>4.8042154059364421E-3</v>
      </c>
      <c r="AE158">
        <f t="shared" si="5"/>
        <v>1.3899839767432318E-2</v>
      </c>
      <c r="AF158">
        <f t="shared" si="5"/>
        <v>2.6915337343134372E-3</v>
      </c>
      <c r="AG158">
        <f t="shared" si="5"/>
        <v>3.071315453175781E-3</v>
      </c>
      <c r="AH158">
        <f t="shared" si="5"/>
        <v>3.1780502969621545E-2</v>
      </c>
      <c r="AI158">
        <f t="shared" si="5"/>
        <v>8.9282582453454468E-2</v>
      </c>
      <c r="AJ158">
        <f t="shared" si="5"/>
        <v>0.38812194167098901</v>
      </c>
      <c r="AL158">
        <f t="shared" si="6"/>
        <v>0.99999999999999989</v>
      </c>
    </row>
    <row r="159" spans="1:38" x14ac:dyDescent="0.35">
      <c r="A159" t="s">
        <v>59</v>
      </c>
      <c r="B159">
        <f t="shared" si="5"/>
        <v>3.5151631219326324E-2</v>
      </c>
      <c r="C159">
        <f t="shared" si="5"/>
        <v>7.776708217294378E-4</v>
      </c>
      <c r="D159">
        <f t="shared" si="5"/>
        <v>2.0971343154186958E-4</v>
      </c>
      <c r="E159">
        <f t="shared" si="5"/>
        <v>0</v>
      </c>
      <c r="F159">
        <f t="shared" si="5"/>
        <v>9.5261337063594516E-4</v>
      </c>
      <c r="G159">
        <f t="shared" si="5"/>
        <v>1.5814074402566503E-3</v>
      </c>
      <c r="H159">
        <f t="shared" si="5"/>
        <v>4.4326198163563224E-3</v>
      </c>
      <c r="I159">
        <f t="shared" si="5"/>
        <v>2.710447181248692E-5</v>
      </c>
      <c r="J159">
        <f t="shared" si="5"/>
        <v>1.8898939196261401E-4</v>
      </c>
      <c r="K159">
        <f t="shared" si="5"/>
        <v>1.0786640027785054E-2</v>
      </c>
      <c r="L159">
        <f t="shared" si="5"/>
        <v>0.18451240588491502</v>
      </c>
      <c r="M159">
        <f t="shared" si="5"/>
        <v>5.2517387172442711E-4</v>
      </c>
      <c r="N159">
        <f t="shared" si="5"/>
        <v>2.3972619339555036E-3</v>
      </c>
      <c r="O159">
        <f t="shared" si="5"/>
        <v>3.7951206608980315E-4</v>
      </c>
      <c r="P159">
        <f t="shared" si="5"/>
        <v>1.77618373587266E-2</v>
      </c>
      <c r="Q159">
        <f t="shared" si="5"/>
        <v>2.3790603908405482E-5</v>
      </c>
      <c r="R159">
        <f t="shared" si="5"/>
        <v>3.393005048059494E-5</v>
      </c>
      <c r="S159">
        <f t="shared" si="5"/>
        <v>1.818522107900924E-3</v>
      </c>
      <c r="T159">
        <f t="shared" si="5"/>
        <v>8.6704633370966353E-5</v>
      </c>
      <c r="U159">
        <f t="shared" si="5"/>
        <v>1.9211036307824894E-3</v>
      </c>
      <c r="V159">
        <f t="shared" si="5"/>
        <v>1.3521570262951959E-3</v>
      </c>
      <c r="W159">
        <f t="shared" si="5"/>
        <v>1.2538291249024515E-4</v>
      </c>
      <c r="X159">
        <f t="shared" si="5"/>
        <v>9.4746945627737107E-4</v>
      </c>
      <c r="Y159">
        <f t="shared" si="5"/>
        <v>8.7159671948840221E-4</v>
      </c>
      <c r="Z159">
        <f t="shared" si="5"/>
        <v>5.1481481957769852E-2</v>
      </c>
      <c r="AA159">
        <f t="shared" si="5"/>
        <v>1.7201942065081799E-3</v>
      </c>
      <c r="AB159">
        <f t="shared" si="5"/>
        <v>1.4439462211667527E-2</v>
      </c>
      <c r="AC159">
        <f t="shared" si="5"/>
        <v>5.4790107026062747E-3</v>
      </c>
      <c r="AD159">
        <f t="shared" si="5"/>
        <v>1.0035084463568377E-3</v>
      </c>
      <c r="AE159">
        <f t="shared" si="5"/>
        <v>5.0769000358392345E-2</v>
      </c>
      <c r="AF159">
        <f t="shared" si="5"/>
        <v>2.401812319734242E-4</v>
      </c>
      <c r="AG159">
        <f t="shared" si="5"/>
        <v>3.038767407327685E-3</v>
      </c>
      <c r="AH159">
        <f t="shared" si="5"/>
        <v>9.6027978145882026E-4</v>
      </c>
      <c r="AI159">
        <f t="shared" si="5"/>
        <v>9.1236372460155216E-2</v>
      </c>
      <c r="AJ159">
        <f t="shared" si="5"/>
        <v>0.51276650298797111</v>
      </c>
      <c r="AL159">
        <f t="shared" si="6"/>
        <v>0.99999999999999978</v>
      </c>
    </row>
    <row r="160" spans="1:38" x14ac:dyDescent="0.35">
      <c r="A160" t="s">
        <v>60</v>
      </c>
      <c r="B160">
        <f t="shared" si="5"/>
        <v>2.2409328369055849E-3</v>
      </c>
      <c r="C160">
        <f t="shared" si="5"/>
        <v>3.6959127288812725E-2</v>
      </c>
      <c r="D160">
        <f t="shared" si="5"/>
        <v>5.1956632930759946E-3</v>
      </c>
      <c r="E160">
        <f t="shared" si="5"/>
        <v>1.9848852112660728E-3</v>
      </c>
      <c r="F160">
        <f t="shared" si="5"/>
        <v>0</v>
      </c>
      <c r="G160">
        <f t="shared" si="5"/>
        <v>1.3745890837339341E-3</v>
      </c>
      <c r="H160">
        <f t="shared" si="5"/>
        <v>2.8759465713582523E-3</v>
      </c>
      <c r="I160">
        <f t="shared" si="5"/>
        <v>5.793851698933744E-4</v>
      </c>
      <c r="J160">
        <f t="shared" si="5"/>
        <v>1.2782294739105656E-3</v>
      </c>
      <c r="K160">
        <f t="shared" si="5"/>
        <v>0.10223369610187714</v>
      </c>
      <c r="L160">
        <f t="shared" si="5"/>
        <v>6.343977471379883E-2</v>
      </c>
      <c r="M160">
        <f t="shared" si="5"/>
        <v>9.3584319150169602E-3</v>
      </c>
      <c r="N160">
        <f t="shared" si="5"/>
        <v>5.4464103032359351E-3</v>
      </c>
      <c r="O160">
        <f t="shared" si="5"/>
        <v>2.5218654573228748E-3</v>
      </c>
      <c r="P160">
        <f t="shared" si="5"/>
        <v>2.9010045335885217E-2</v>
      </c>
      <c r="Q160">
        <f t="shared" si="5"/>
        <v>2.4286862167872498E-3</v>
      </c>
      <c r="R160">
        <f t="shared" si="5"/>
        <v>3.0765330202957224E-3</v>
      </c>
      <c r="S160">
        <f t="shared" si="5"/>
        <v>3.2054774663303504E-4</v>
      </c>
      <c r="T160">
        <f t="shared" si="5"/>
        <v>5.1449447723293578E-4</v>
      </c>
      <c r="U160">
        <f t="shared" si="5"/>
        <v>1.2028603013863003E-2</v>
      </c>
      <c r="V160">
        <f t="shared" si="5"/>
        <v>1.1727583850575757E-2</v>
      </c>
      <c r="W160">
        <f t="shared" si="5"/>
        <v>4.8641237438169005E-2</v>
      </c>
      <c r="X160">
        <f t="shared" si="5"/>
        <v>2.4348070327673443E-2</v>
      </c>
      <c r="Y160">
        <f t="shared" si="5"/>
        <v>1.2376100205513229E-3</v>
      </c>
      <c r="Z160">
        <f t="shared" si="5"/>
        <v>1.1470531897792749E-3</v>
      </c>
      <c r="AA160">
        <f t="shared" si="5"/>
        <v>2.4659746517872245E-2</v>
      </c>
      <c r="AB160">
        <f t="shared" si="5"/>
        <v>6.4630125562653348E-3</v>
      </c>
      <c r="AC160">
        <f t="shared" si="5"/>
        <v>9.3177510861100599E-2</v>
      </c>
      <c r="AD160">
        <f t="shared" si="5"/>
        <v>2.4579511938297258E-2</v>
      </c>
      <c r="AE160">
        <f t="shared" si="5"/>
        <v>9.1072385372376871E-2</v>
      </c>
      <c r="AF160">
        <f t="shared" si="5"/>
        <v>2.0716423376785548E-2</v>
      </c>
      <c r="AG160">
        <f t="shared" si="5"/>
        <v>3.0926357321631355E-2</v>
      </c>
      <c r="AH160">
        <f t="shared" si="5"/>
        <v>7.3281845944362378E-3</v>
      </c>
      <c r="AI160">
        <f t="shared" si="5"/>
        <v>6.8735814925272185E-2</v>
      </c>
      <c r="AJ160">
        <f t="shared" si="5"/>
        <v>0.26237165047830796</v>
      </c>
      <c r="AL160">
        <f t="shared" si="6"/>
        <v>0.99999999999999978</v>
      </c>
    </row>
    <row r="161" spans="1:38" x14ac:dyDescent="0.35">
      <c r="A161" t="s">
        <v>61</v>
      </c>
      <c r="B161">
        <f t="shared" si="5"/>
        <v>1.8023471893758993E-2</v>
      </c>
      <c r="C161">
        <f t="shared" si="5"/>
        <v>1.7161872811078522E-3</v>
      </c>
      <c r="D161">
        <f t="shared" si="5"/>
        <v>1.335055673898174E-2</v>
      </c>
      <c r="E161">
        <f t="shared" si="5"/>
        <v>1.475533855117858E-3</v>
      </c>
      <c r="F161">
        <f t="shared" si="5"/>
        <v>4.7144980600031025E-4</v>
      </c>
      <c r="G161">
        <f t="shared" si="5"/>
        <v>0</v>
      </c>
      <c r="H161">
        <f t="shared" si="5"/>
        <v>1.5497913401654189E-3</v>
      </c>
      <c r="I161">
        <f t="shared" si="5"/>
        <v>3.6906838389164445E-4</v>
      </c>
      <c r="J161">
        <f t="shared" si="5"/>
        <v>5.0989710932398242E-4</v>
      </c>
      <c r="K161">
        <f t="shared" si="5"/>
        <v>1.4840659082937429E-2</v>
      </c>
      <c r="L161">
        <f t="shared" si="5"/>
        <v>0.2263202198548982</v>
      </c>
      <c r="M161">
        <f t="shared" si="5"/>
        <v>5.5771584233273858E-3</v>
      </c>
      <c r="N161">
        <f t="shared" si="5"/>
        <v>4.0667631070611717E-3</v>
      </c>
      <c r="O161">
        <f t="shared" si="5"/>
        <v>3.8459202530890628E-3</v>
      </c>
      <c r="P161">
        <f t="shared" si="5"/>
        <v>1.752862567356548E-2</v>
      </c>
      <c r="Q161">
        <f t="shared" si="5"/>
        <v>2.7922936939170466E-3</v>
      </c>
      <c r="R161">
        <f t="shared" si="5"/>
        <v>2.0324489129648084E-3</v>
      </c>
      <c r="S161">
        <f t="shared" si="5"/>
        <v>8.0174928637318714E-4</v>
      </c>
      <c r="T161">
        <f t="shared" si="5"/>
        <v>1.4115032562743353E-4</v>
      </c>
      <c r="U161">
        <f t="shared" si="5"/>
        <v>5.7743315029404633E-3</v>
      </c>
      <c r="V161">
        <f t="shared" si="5"/>
        <v>2.3513959064508125E-2</v>
      </c>
      <c r="W161">
        <f t="shared" si="5"/>
        <v>1.747897060344273E-3</v>
      </c>
      <c r="X161">
        <f t="shared" si="5"/>
        <v>1.914961929692505E-2</v>
      </c>
      <c r="Y161">
        <f t="shared" si="5"/>
        <v>0.1229968629348169</v>
      </c>
      <c r="Z161">
        <f t="shared" si="5"/>
        <v>1.0257116622377227E-3</v>
      </c>
      <c r="AA161">
        <f t="shared" si="5"/>
        <v>1.3550077500019015E-2</v>
      </c>
      <c r="AB161">
        <f t="shared" si="5"/>
        <v>2.5515437878685238E-3</v>
      </c>
      <c r="AC161">
        <f t="shared" si="5"/>
        <v>5.353073839388714E-2</v>
      </c>
      <c r="AD161">
        <f t="shared" si="5"/>
        <v>1.7945419526409302E-2</v>
      </c>
      <c r="AE161">
        <f t="shared" si="5"/>
        <v>9.0098127777128223E-2</v>
      </c>
      <c r="AF161">
        <f t="shared" si="5"/>
        <v>1.4301914436113377E-2</v>
      </c>
      <c r="AG161">
        <f t="shared" si="5"/>
        <v>8.6331642772227782E-3</v>
      </c>
      <c r="AH161">
        <f t="shared" si="5"/>
        <v>2.5649673800118112E-2</v>
      </c>
      <c r="AI161">
        <f t="shared" si="5"/>
        <v>8.5119885397127268E-2</v>
      </c>
      <c r="AJ161">
        <f t="shared" si="5"/>
        <v>0.1989981285602247</v>
      </c>
      <c r="AL161">
        <f t="shared" si="6"/>
        <v>1</v>
      </c>
    </row>
    <row r="162" spans="1:38" x14ac:dyDescent="0.35">
      <c r="A162" t="s">
        <v>62</v>
      </c>
      <c r="B162">
        <f t="shared" si="5"/>
        <v>2.4042358661690165E-3</v>
      </c>
      <c r="C162">
        <f t="shared" si="5"/>
        <v>4.2944514825933172E-3</v>
      </c>
      <c r="D162">
        <f t="shared" si="5"/>
        <v>4.7738638029530094E-3</v>
      </c>
      <c r="E162">
        <f t="shared" si="5"/>
        <v>3.4255081917239586E-3</v>
      </c>
      <c r="F162">
        <f t="shared" si="5"/>
        <v>1.3970864635573768E-3</v>
      </c>
      <c r="G162">
        <f t="shared" si="5"/>
        <v>2.1941066260828907E-3</v>
      </c>
      <c r="H162">
        <f t="shared" si="5"/>
        <v>0</v>
      </c>
      <c r="I162">
        <f t="shared" si="5"/>
        <v>7.2238976460787402E-4</v>
      </c>
      <c r="J162">
        <f t="shared" si="5"/>
        <v>2.9833659491635238E-3</v>
      </c>
      <c r="K162">
        <f t="shared" si="5"/>
        <v>1.5945862910817444E-2</v>
      </c>
      <c r="L162">
        <f t="shared" si="5"/>
        <v>6.3455240328606582E-2</v>
      </c>
      <c r="M162">
        <f t="shared" si="5"/>
        <v>5.7073303519978363E-3</v>
      </c>
      <c r="N162">
        <f t="shared" si="5"/>
        <v>6.3429972479251157E-3</v>
      </c>
      <c r="O162">
        <f t="shared" si="5"/>
        <v>3.0551085928691157E-3</v>
      </c>
      <c r="P162">
        <f t="shared" si="5"/>
        <v>1.4112635318921549E-2</v>
      </c>
      <c r="Q162">
        <f t="shared" si="5"/>
        <v>3.3359426899908775E-3</v>
      </c>
      <c r="R162">
        <f t="shared" si="5"/>
        <v>1.9431021275484035E-2</v>
      </c>
      <c r="S162">
        <f t="shared" si="5"/>
        <v>2.3335761302929435E-3</v>
      </c>
      <c r="T162">
        <f t="shared" si="5"/>
        <v>4.6059679682181E-4</v>
      </c>
      <c r="U162">
        <f t="shared" si="5"/>
        <v>1.4044412125661888E-2</v>
      </c>
      <c r="V162">
        <f t="shared" si="5"/>
        <v>3.2745643766369674E-2</v>
      </c>
      <c r="W162">
        <f t="shared" si="5"/>
        <v>4.5534920596460218E-3</v>
      </c>
      <c r="X162">
        <f t="shared" si="5"/>
        <v>4.8823215341952289E-2</v>
      </c>
      <c r="Y162">
        <f t="shared" si="5"/>
        <v>3.0055204385090874E-3</v>
      </c>
      <c r="Z162">
        <f t="shared" si="5"/>
        <v>9.0206222198879553E-4</v>
      </c>
      <c r="AA162">
        <f t="shared" si="5"/>
        <v>2.4810726887893007E-2</v>
      </c>
      <c r="AB162">
        <f t="shared" si="5"/>
        <v>5.6448330338867585E-2</v>
      </c>
      <c r="AC162">
        <f t="shared" si="5"/>
        <v>4.037075876328497E-2</v>
      </c>
      <c r="AD162">
        <f t="shared" si="5"/>
        <v>2.4710512792502994E-2</v>
      </c>
      <c r="AE162">
        <f t="shared" si="5"/>
        <v>7.7206319795947678E-2</v>
      </c>
      <c r="AF162">
        <f t="shared" si="5"/>
        <v>3.9103576118110231E-2</v>
      </c>
      <c r="AG162">
        <f t="shared" si="5"/>
        <v>2.3669522520218908E-2</v>
      </c>
      <c r="AH162">
        <f t="shared" si="5"/>
        <v>4.1081913359161592E-3</v>
      </c>
      <c r="AI162">
        <f t="shared" si="5"/>
        <v>5.4755835643649511E-2</v>
      </c>
      <c r="AJ162">
        <f t="shared" si="5"/>
        <v>0.39436656005890303</v>
      </c>
      <c r="AL162">
        <f t="shared" si="6"/>
        <v>1</v>
      </c>
    </row>
    <row r="163" spans="1:38" x14ac:dyDescent="0.35">
      <c r="A163" t="s">
        <v>63</v>
      </c>
      <c r="B163">
        <f t="shared" si="5"/>
        <v>2.3621289883651664E-3</v>
      </c>
      <c r="C163">
        <f t="shared" si="5"/>
        <v>3.9681681239423644E-3</v>
      </c>
      <c r="D163">
        <f t="shared" si="5"/>
        <v>1.1435066291745693E-3</v>
      </c>
      <c r="E163">
        <f t="shared" si="5"/>
        <v>2.7720945767640838E-4</v>
      </c>
      <c r="F163">
        <f t="shared" si="5"/>
        <v>1.1251152543770241E-3</v>
      </c>
      <c r="G163">
        <f t="shared" si="5"/>
        <v>2.1300171547133889E-3</v>
      </c>
      <c r="H163">
        <f t="shared" si="5"/>
        <v>5.650168569986052E-3</v>
      </c>
      <c r="I163">
        <f t="shared" si="5"/>
        <v>0</v>
      </c>
      <c r="J163">
        <f t="shared" si="5"/>
        <v>0.10177406301758772</v>
      </c>
      <c r="K163">
        <f t="shared" si="5"/>
        <v>1.4242675247429172E-2</v>
      </c>
      <c r="L163">
        <f t="shared" si="5"/>
        <v>4.6307226859017427E-2</v>
      </c>
      <c r="M163">
        <f t="shared" si="5"/>
        <v>2.8101456970348669E-3</v>
      </c>
      <c r="N163">
        <f t="shared" si="5"/>
        <v>1.8728197676979111E-3</v>
      </c>
      <c r="O163">
        <f t="shared" si="5"/>
        <v>7.8922251343856355E-3</v>
      </c>
      <c r="P163">
        <f t="shared" si="5"/>
        <v>1.4296933326333808E-2</v>
      </c>
      <c r="Q163">
        <f t="shared" si="5"/>
        <v>3.3890864454510769E-2</v>
      </c>
      <c r="R163">
        <f t="shared" si="5"/>
        <v>1.4718032390663809E-2</v>
      </c>
      <c r="S163">
        <f t="shared" si="5"/>
        <v>2.0284065705828908E-3</v>
      </c>
      <c r="T163">
        <f t="shared" si="5"/>
        <v>2.2182393817115749E-4</v>
      </c>
      <c r="U163">
        <f t="shared" si="5"/>
        <v>5.8941185299442953E-3</v>
      </c>
      <c r="V163">
        <f t="shared" si="5"/>
        <v>3.3456799823273686E-3</v>
      </c>
      <c r="W163">
        <f t="shared" si="5"/>
        <v>2.541110183712923E-3</v>
      </c>
      <c r="X163">
        <f t="shared" si="5"/>
        <v>1.0930536622970122E-3</v>
      </c>
      <c r="Y163">
        <f t="shared" si="5"/>
        <v>9.7340402855666125E-4</v>
      </c>
      <c r="Z163">
        <f t="shared" si="5"/>
        <v>3.4386938318781721E-4</v>
      </c>
      <c r="AA163">
        <f t="shared" si="5"/>
        <v>1.3930796991283828E-2</v>
      </c>
      <c r="AB163">
        <f t="shared" si="5"/>
        <v>5.716109752114569E-2</v>
      </c>
      <c r="AC163">
        <f t="shared" si="5"/>
        <v>5.754315895467936E-2</v>
      </c>
      <c r="AD163">
        <f t="shared" si="5"/>
        <v>5.2289285755809751E-3</v>
      </c>
      <c r="AE163">
        <f t="shared" si="5"/>
        <v>2.1036632306739949E-2</v>
      </c>
      <c r="AF163">
        <f t="shared" si="5"/>
        <v>1.0248998779897876E-2</v>
      </c>
      <c r="AG163">
        <f t="shared" si="5"/>
        <v>6.8554025720443355E-3</v>
      </c>
      <c r="AH163">
        <f t="shared" si="5"/>
        <v>0.28944007424196355</v>
      </c>
      <c r="AI163">
        <f t="shared" si="5"/>
        <v>5.7253547650396176E-2</v>
      </c>
      <c r="AJ163">
        <f t="shared" si="5"/>
        <v>0.21039859605459213</v>
      </c>
      <c r="AL163">
        <f t="shared" si="6"/>
        <v>1.0000000000000002</v>
      </c>
    </row>
    <row r="164" spans="1:38" x14ac:dyDescent="0.35">
      <c r="A164" t="s">
        <v>64</v>
      </c>
      <c r="B164">
        <f t="shared" si="5"/>
        <v>2.2206903891131237E-3</v>
      </c>
      <c r="C164">
        <f t="shared" si="5"/>
        <v>3.6486685628729131E-3</v>
      </c>
      <c r="D164">
        <f t="shared" si="5"/>
        <v>2.6889837111635693E-3</v>
      </c>
      <c r="E164">
        <f t="shared" si="5"/>
        <v>4.1622448117037707E-4</v>
      </c>
      <c r="F164">
        <f t="shared" si="5"/>
        <v>9.2950710871807598E-4</v>
      </c>
      <c r="G164">
        <f t="shared" si="5"/>
        <v>8.799503610383611E-4</v>
      </c>
      <c r="H164">
        <f t="shared" si="5"/>
        <v>6.3736045689298639E-3</v>
      </c>
      <c r="I164">
        <f t="shared" si="5"/>
        <v>3.3604890608291631E-2</v>
      </c>
      <c r="J164">
        <f t="shared" si="5"/>
        <v>0</v>
      </c>
      <c r="K164">
        <f t="shared" si="5"/>
        <v>1.1092163838457533E-2</v>
      </c>
      <c r="L164">
        <f t="shared" ref="L164:AJ164" si="7">L209/$AL209</f>
        <v>3.1462825473890885E-2</v>
      </c>
      <c r="M164">
        <f t="shared" si="7"/>
        <v>5.4043933378113843E-3</v>
      </c>
      <c r="N164">
        <f t="shared" si="7"/>
        <v>4.8241976822906143E-3</v>
      </c>
      <c r="O164">
        <f t="shared" si="7"/>
        <v>1.9805734286636816E-3</v>
      </c>
      <c r="P164">
        <f t="shared" si="7"/>
        <v>8.8219493262517105E-3</v>
      </c>
      <c r="Q164">
        <f t="shared" si="7"/>
        <v>5.3693545313544967E-3</v>
      </c>
      <c r="R164">
        <f t="shared" si="7"/>
        <v>4.0383366302109746E-3</v>
      </c>
      <c r="S164">
        <f t="shared" si="7"/>
        <v>1.5232419678511448E-3</v>
      </c>
      <c r="T164">
        <f t="shared" si="7"/>
        <v>3.3577224958500714E-4</v>
      </c>
      <c r="U164">
        <f t="shared" si="7"/>
        <v>7.6351320997259248E-3</v>
      </c>
      <c r="V164">
        <f t="shared" si="7"/>
        <v>8.718268388709819E-3</v>
      </c>
      <c r="W164">
        <f t="shared" si="7"/>
        <v>1.377736309752706E-3</v>
      </c>
      <c r="X164">
        <f t="shared" si="7"/>
        <v>1.156659058286728E-2</v>
      </c>
      <c r="Y164">
        <f t="shared" si="7"/>
        <v>8.0334783072106631E-4</v>
      </c>
      <c r="Z164">
        <f t="shared" si="7"/>
        <v>4.1602873364827162E-4</v>
      </c>
      <c r="AA164">
        <f t="shared" si="7"/>
        <v>2.0893111771933003E-2</v>
      </c>
      <c r="AB164">
        <f t="shared" si="7"/>
        <v>0.21226241429969583</v>
      </c>
      <c r="AC164">
        <f t="shared" si="7"/>
        <v>3.1486706671587761E-2</v>
      </c>
      <c r="AD164">
        <f t="shared" si="7"/>
        <v>3.952899361729318E-2</v>
      </c>
      <c r="AE164">
        <f t="shared" si="7"/>
        <v>0.10163472344414895</v>
      </c>
      <c r="AF164">
        <f t="shared" si="7"/>
        <v>3.0950227962670555E-2</v>
      </c>
      <c r="AG164">
        <f t="shared" si="7"/>
        <v>1.5407483212447821E-2</v>
      </c>
      <c r="AH164">
        <f t="shared" si="7"/>
        <v>1.6503147342846469E-2</v>
      </c>
      <c r="AI164">
        <f t="shared" si="7"/>
        <v>5.5398571480258098E-2</v>
      </c>
      <c r="AJ164">
        <f t="shared" si="7"/>
        <v>0.31980218799402799</v>
      </c>
      <c r="AL164">
        <f t="shared" si="6"/>
        <v>1</v>
      </c>
    </row>
    <row r="165" spans="1:38" x14ac:dyDescent="0.35">
      <c r="A165" t="s">
        <v>65</v>
      </c>
      <c r="B165">
        <f t="shared" ref="B165:AJ172" si="8">B210/$AL210</f>
        <v>1.467067598585132E-3</v>
      </c>
      <c r="C165">
        <f t="shared" si="8"/>
        <v>2.7970406329902435E-2</v>
      </c>
      <c r="D165">
        <f t="shared" si="8"/>
        <v>2.0082985039137796E-3</v>
      </c>
      <c r="E165">
        <f t="shared" si="8"/>
        <v>6.6506828547616354E-4</v>
      </c>
      <c r="F165">
        <f t="shared" si="8"/>
        <v>1.8331454999915057E-3</v>
      </c>
      <c r="G165">
        <f t="shared" si="8"/>
        <v>7.0402215483759858E-4</v>
      </c>
      <c r="H165">
        <f t="shared" si="8"/>
        <v>1.2211193552803794E-3</v>
      </c>
      <c r="I165">
        <f t="shared" si="8"/>
        <v>1.0472237061227656E-4</v>
      </c>
      <c r="J165">
        <f t="shared" si="8"/>
        <v>4.0716310773562266E-4</v>
      </c>
      <c r="K165">
        <f t="shared" si="8"/>
        <v>0</v>
      </c>
      <c r="L165">
        <f t="shared" si="8"/>
        <v>3.6626787189384412E-2</v>
      </c>
      <c r="M165">
        <f t="shared" si="8"/>
        <v>2.3186372519895539E-3</v>
      </c>
      <c r="N165">
        <f t="shared" si="8"/>
        <v>1.4215132869409819E-3</v>
      </c>
      <c r="O165">
        <f t="shared" si="8"/>
        <v>1.5923687648765814E-3</v>
      </c>
      <c r="P165">
        <f t="shared" si="8"/>
        <v>3.0359568047647112E-2</v>
      </c>
      <c r="Q165">
        <f t="shared" si="8"/>
        <v>2.0946618864058143E-4</v>
      </c>
      <c r="R165">
        <f t="shared" si="8"/>
        <v>3.6173748058764216E-4</v>
      </c>
      <c r="S165">
        <f t="shared" si="8"/>
        <v>3.5469629390554491E-3</v>
      </c>
      <c r="T165">
        <f t="shared" si="8"/>
        <v>1.1932806092756213E-4</v>
      </c>
      <c r="U165">
        <f t="shared" si="8"/>
        <v>9.1603951361474874E-3</v>
      </c>
      <c r="V165">
        <f t="shared" si="8"/>
        <v>7.1347832056448471E-3</v>
      </c>
      <c r="W165">
        <f t="shared" si="8"/>
        <v>4.188873377075035E-2</v>
      </c>
      <c r="X165">
        <f t="shared" si="8"/>
        <v>1.7881150414838471E-2</v>
      </c>
      <c r="Y165">
        <f t="shared" si="8"/>
        <v>5.0959596668687611E-4</v>
      </c>
      <c r="Z165">
        <f t="shared" si="8"/>
        <v>3.2467098383669917E-4</v>
      </c>
      <c r="AA165">
        <f t="shared" si="8"/>
        <v>4.9137761999724042E-2</v>
      </c>
      <c r="AB165">
        <f t="shared" si="8"/>
        <v>1.5505570273293726E-3</v>
      </c>
      <c r="AC165">
        <f t="shared" si="8"/>
        <v>2.4851153123137737E-2</v>
      </c>
      <c r="AD165">
        <f t="shared" si="8"/>
        <v>2.3395720747747966E-2</v>
      </c>
      <c r="AE165">
        <f t="shared" si="8"/>
        <v>5.1279919188924571E-2</v>
      </c>
      <c r="AF165">
        <f t="shared" si="8"/>
        <v>1.2066670139896964E-2</v>
      </c>
      <c r="AG165">
        <f t="shared" si="8"/>
        <v>2.1180041816402363E-2</v>
      </c>
      <c r="AH165">
        <f t="shared" si="8"/>
        <v>4.6332799227438342E-3</v>
      </c>
      <c r="AI165">
        <f t="shared" si="8"/>
        <v>3.9558825901637909E-2</v>
      </c>
      <c r="AJ165">
        <f t="shared" si="8"/>
        <v>0.58250935823816574</v>
      </c>
      <c r="AL165">
        <f t="shared" si="6"/>
        <v>1</v>
      </c>
    </row>
    <row r="166" spans="1:38" x14ac:dyDescent="0.35">
      <c r="A166" t="s">
        <v>66</v>
      </c>
      <c r="B166">
        <f t="shared" si="8"/>
        <v>1.5112833011656191E-2</v>
      </c>
      <c r="C166">
        <f t="shared" si="8"/>
        <v>4.1820403129652446E-3</v>
      </c>
      <c r="D166">
        <f t="shared" si="8"/>
        <v>1.9995367902946499E-2</v>
      </c>
      <c r="E166">
        <f t="shared" si="8"/>
        <v>2.0467105374712708E-2</v>
      </c>
      <c r="F166">
        <f t="shared" si="8"/>
        <v>1.4255922633205286E-3</v>
      </c>
      <c r="G166">
        <f t="shared" si="8"/>
        <v>1.4924217384874081E-2</v>
      </c>
      <c r="H166">
        <f t="shared" si="8"/>
        <v>3.1494597665891735E-3</v>
      </c>
      <c r="I166">
        <f t="shared" si="8"/>
        <v>3.6067628333025752E-4</v>
      </c>
      <c r="J166">
        <f t="shared" si="8"/>
        <v>9.9500740777580836E-4</v>
      </c>
      <c r="K166">
        <f t="shared" si="8"/>
        <v>2.0800088714982005E-2</v>
      </c>
      <c r="L166">
        <f t="shared" si="8"/>
        <v>0</v>
      </c>
      <c r="M166">
        <f t="shared" si="8"/>
        <v>3.5704984383634703E-2</v>
      </c>
      <c r="N166">
        <f t="shared" si="8"/>
        <v>1.4223267749643194E-2</v>
      </c>
      <c r="O166">
        <f t="shared" si="8"/>
        <v>1.267655663015414E-3</v>
      </c>
      <c r="P166">
        <f t="shared" si="8"/>
        <v>5.822455112297175E-2</v>
      </c>
      <c r="Q166">
        <f t="shared" si="8"/>
        <v>1.8894727225507431E-3</v>
      </c>
      <c r="R166">
        <f t="shared" si="8"/>
        <v>2.9637037174032772E-3</v>
      </c>
      <c r="S166">
        <f t="shared" si="8"/>
        <v>2.7313534815160204E-3</v>
      </c>
      <c r="T166">
        <f t="shared" si="8"/>
        <v>1.1983104512503642E-4</v>
      </c>
      <c r="U166">
        <f t="shared" si="8"/>
        <v>1.6997818873115488E-2</v>
      </c>
      <c r="V166">
        <f t="shared" si="8"/>
        <v>8.4320122489232777E-2</v>
      </c>
      <c r="W166">
        <f t="shared" si="8"/>
        <v>1.1762006923783659E-2</v>
      </c>
      <c r="X166">
        <f t="shared" si="8"/>
        <v>3.3161796932677838E-2</v>
      </c>
      <c r="Y166">
        <f t="shared" si="8"/>
        <v>2.734001912707929E-3</v>
      </c>
      <c r="Z166">
        <f t="shared" si="8"/>
        <v>2.8430644912134937E-3</v>
      </c>
      <c r="AA166">
        <f t="shared" si="8"/>
        <v>3.5353181709968061E-2</v>
      </c>
      <c r="AB166">
        <f t="shared" si="8"/>
        <v>4.4360803812118019E-3</v>
      </c>
      <c r="AC166">
        <f t="shared" si="8"/>
        <v>1.9276640104518791E-2</v>
      </c>
      <c r="AD166">
        <f t="shared" si="8"/>
        <v>1.4300418097456975E-2</v>
      </c>
      <c r="AE166">
        <f t="shared" si="8"/>
        <v>3.8264266287236837E-2</v>
      </c>
      <c r="AF166">
        <f t="shared" si="8"/>
        <v>1.2930247214697025E-2</v>
      </c>
      <c r="AG166">
        <f t="shared" si="8"/>
        <v>1.3400685043940196E-2</v>
      </c>
      <c r="AH166">
        <f t="shared" si="8"/>
        <v>2.8815584829683851E-2</v>
      </c>
      <c r="AI166">
        <f t="shared" si="8"/>
        <v>7.515002868965423E-2</v>
      </c>
      <c r="AJ166">
        <f t="shared" si="8"/>
        <v>0.38771684770988857</v>
      </c>
      <c r="AL166">
        <f t="shared" si="6"/>
        <v>1.0000000000000002</v>
      </c>
    </row>
    <row r="167" spans="1:38" x14ac:dyDescent="0.35">
      <c r="A167" t="s">
        <v>67</v>
      </c>
      <c r="B167">
        <f t="shared" si="8"/>
        <v>2.587619891305265E-3</v>
      </c>
      <c r="C167">
        <f t="shared" si="8"/>
        <v>7.559237290650808E-3</v>
      </c>
      <c r="D167">
        <f t="shared" si="8"/>
        <v>1.8292357531191877E-2</v>
      </c>
      <c r="E167">
        <f t="shared" si="8"/>
        <v>1.7384202149991988E-4</v>
      </c>
      <c r="F167">
        <f t="shared" si="8"/>
        <v>3.6651804906721305E-4</v>
      </c>
      <c r="G167">
        <f t="shared" si="8"/>
        <v>1.6594540789118416E-3</v>
      </c>
      <c r="H167">
        <f t="shared" si="8"/>
        <v>1.7378151963628882E-3</v>
      </c>
      <c r="I167">
        <f t="shared" si="8"/>
        <v>7.8428341743970025E-5</v>
      </c>
      <c r="J167">
        <f t="shared" si="8"/>
        <v>9.857546233311388E-4</v>
      </c>
      <c r="K167">
        <f t="shared" si="8"/>
        <v>8.7603785485085295E-3</v>
      </c>
      <c r="L167">
        <f t="shared" si="8"/>
        <v>0.14903825173187427</v>
      </c>
      <c r="M167">
        <f t="shared" si="8"/>
        <v>0</v>
      </c>
      <c r="N167">
        <f t="shared" si="8"/>
        <v>2.8560689010460535E-3</v>
      </c>
      <c r="O167">
        <f t="shared" si="8"/>
        <v>4.8681592125364258E-4</v>
      </c>
      <c r="P167">
        <f t="shared" si="8"/>
        <v>2.2416859207311981E-2</v>
      </c>
      <c r="Q167">
        <f t="shared" si="8"/>
        <v>1.9510730616135636E-4</v>
      </c>
      <c r="R167">
        <f t="shared" si="8"/>
        <v>3.0486216840763211E-4</v>
      </c>
      <c r="S167">
        <f t="shared" si="8"/>
        <v>5.8953464084060211E-4</v>
      </c>
      <c r="T167">
        <f t="shared" si="8"/>
        <v>1.4350145729382404E-4</v>
      </c>
      <c r="U167">
        <f t="shared" si="8"/>
        <v>7.6746614016002905E-3</v>
      </c>
      <c r="V167">
        <f t="shared" si="8"/>
        <v>6.3972429793721476E-3</v>
      </c>
      <c r="W167">
        <f t="shared" si="8"/>
        <v>2.7633666011046815E-4</v>
      </c>
      <c r="X167">
        <f t="shared" si="8"/>
        <v>2.4934633058269828E-2</v>
      </c>
      <c r="Y167">
        <f t="shared" si="8"/>
        <v>4.0137384494799748E-4</v>
      </c>
      <c r="Z167">
        <f t="shared" si="8"/>
        <v>1.1764251261595506E-4</v>
      </c>
      <c r="AA167">
        <f t="shared" si="8"/>
        <v>4.317480213005551E-3</v>
      </c>
      <c r="AB167">
        <f t="shared" si="8"/>
        <v>1.0037550481662622E-2</v>
      </c>
      <c r="AC167">
        <f t="shared" si="8"/>
        <v>2.7916344162789722E-2</v>
      </c>
      <c r="AD167">
        <f t="shared" si="8"/>
        <v>3.1992713245176667E-3</v>
      </c>
      <c r="AE167">
        <f t="shared" si="8"/>
        <v>5.6473828815287556E-2</v>
      </c>
      <c r="AF167">
        <f t="shared" si="8"/>
        <v>9.8692208521824198E-3</v>
      </c>
      <c r="AG167">
        <f t="shared" si="8"/>
        <v>4.2155233687383902E-3</v>
      </c>
      <c r="AH167">
        <f t="shared" si="8"/>
        <v>1.8259529668147617E-2</v>
      </c>
      <c r="AI167">
        <f t="shared" si="8"/>
        <v>8.3996485110620231E-2</v>
      </c>
      <c r="AJ167">
        <f t="shared" si="8"/>
        <v>0.52368046863936868</v>
      </c>
      <c r="AL167">
        <f t="shared" si="6"/>
        <v>1</v>
      </c>
    </row>
    <row r="168" spans="1:38" x14ac:dyDescent="0.35">
      <c r="A168" t="s">
        <v>68</v>
      </c>
      <c r="B168">
        <f t="shared" si="8"/>
        <v>3.5672065810913034E-2</v>
      </c>
      <c r="C168">
        <f t="shared" si="8"/>
        <v>7.7096451392292317E-3</v>
      </c>
      <c r="D168">
        <f t="shared" si="8"/>
        <v>6.4719779124223131E-4</v>
      </c>
      <c r="E168">
        <f t="shared" si="8"/>
        <v>1.532203142987422E-3</v>
      </c>
      <c r="F168">
        <f t="shared" si="8"/>
        <v>1.2446910788048958E-3</v>
      </c>
      <c r="G168">
        <f t="shared" si="8"/>
        <v>1.5048244545871415E-3</v>
      </c>
      <c r="H168">
        <f t="shared" si="8"/>
        <v>3.4253104363403206E-3</v>
      </c>
      <c r="I168">
        <f t="shared" si="8"/>
        <v>1.6606392938075859E-4</v>
      </c>
      <c r="J168">
        <f t="shared" si="8"/>
        <v>1.6057385730886989E-3</v>
      </c>
      <c r="K168">
        <f t="shared" si="8"/>
        <v>1.6458426178383764E-2</v>
      </c>
      <c r="L168">
        <f t="shared" si="8"/>
        <v>0.13327816503730028</v>
      </c>
      <c r="M168">
        <f t="shared" si="8"/>
        <v>2.7763925180781762E-3</v>
      </c>
      <c r="N168">
        <f t="shared" si="8"/>
        <v>0</v>
      </c>
      <c r="O168">
        <f t="shared" si="8"/>
        <v>6.0086186964332733E-3</v>
      </c>
      <c r="P168">
        <f t="shared" si="8"/>
        <v>2.0885423915986703E-2</v>
      </c>
      <c r="Q168">
        <f t="shared" si="8"/>
        <v>1.0255898996434894E-3</v>
      </c>
      <c r="R168">
        <f t="shared" si="8"/>
        <v>7.0621964961299296E-4</v>
      </c>
      <c r="S168">
        <f t="shared" si="8"/>
        <v>1.9050406745535443E-3</v>
      </c>
      <c r="T168">
        <f t="shared" si="8"/>
        <v>5.8434148305624718E-4</v>
      </c>
      <c r="U168">
        <f t="shared" si="8"/>
        <v>1.4306153080697321E-2</v>
      </c>
      <c r="V168">
        <f t="shared" si="8"/>
        <v>3.2684205177324313E-3</v>
      </c>
      <c r="W168">
        <f t="shared" si="8"/>
        <v>1.6727876908857204E-3</v>
      </c>
      <c r="X168">
        <f t="shared" si="8"/>
        <v>0.22457182813236207</v>
      </c>
      <c r="Y168">
        <f t="shared" si="8"/>
        <v>1.5829827260544344E-2</v>
      </c>
      <c r="Z168">
        <f t="shared" si="8"/>
        <v>7.3771947566514807E-4</v>
      </c>
      <c r="AA168">
        <f t="shared" si="8"/>
        <v>2.4518260510083597E-2</v>
      </c>
      <c r="AB168">
        <f t="shared" si="8"/>
        <v>1.1024759938356381E-2</v>
      </c>
      <c r="AC168">
        <f t="shared" si="8"/>
        <v>6.8743156223799409E-2</v>
      </c>
      <c r="AD168">
        <f t="shared" si="8"/>
        <v>3.36347545357241E-2</v>
      </c>
      <c r="AE168">
        <f t="shared" si="8"/>
        <v>4.3188555020197875E-2</v>
      </c>
      <c r="AF168">
        <f t="shared" si="8"/>
        <v>1.0548678949615902E-2</v>
      </c>
      <c r="AG168">
        <f t="shared" si="8"/>
        <v>5.9341515308628775E-3</v>
      </c>
      <c r="AH168">
        <f t="shared" si="8"/>
        <v>1.0740114752540376E-2</v>
      </c>
      <c r="AI168">
        <f t="shared" si="8"/>
        <v>9.0316630947751275E-2</v>
      </c>
      <c r="AJ168">
        <f t="shared" si="8"/>
        <v>0.20382824302355901</v>
      </c>
      <c r="AL168">
        <f t="shared" si="6"/>
        <v>1</v>
      </c>
    </row>
    <row r="169" spans="1:38" x14ac:dyDescent="0.35">
      <c r="A169" t="s">
        <v>69</v>
      </c>
      <c r="B169">
        <f t="shared" si="8"/>
        <v>1.1096709018565789E-3</v>
      </c>
      <c r="C169">
        <f t="shared" si="8"/>
        <v>2.9224251376151582E-3</v>
      </c>
      <c r="D169">
        <f t="shared" si="8"/>
        <v>7.793630777544262E-4</v>
      </c>
      <c r="E169">
        <f t="shared" si="8"/>
        <v>2.2326332167941156E-4</v>
      </c>
      <c r="F169">
        <f t="shared" si="8"/>
        <v>9.4095100093012347E-4</v>
      </c>
      <c r="G169">
        <f t="shared" si="8"/>
        <v>3.1858868793442968E-3</v>
      </c>
      <c r="H169">
        <f t="shared" si="8"/>
        <v>1.9557179715805925E-3</v>
      </c>
      <c r="I169">
        <f t="shared" si="8"/>
        <v>1.0545601646916303E-3</v>
      </c>
      <c r="J169">
        <f t="shared" si="8"/>
        <v>8.1612518125151533E-4</v>
      </c>
      <c r="K169">
        <f t="shared" si="8"/>
        <v>1.7433341577791556E-2</v>
      </c>
      <c r="L169">
        <f t="shared" si="8"/>
        <v>2.7247494070206255E-2</v>
      </c>
      <c r="M169">
        <f t="shared" si="8"/>
        <v>9.7734029649933218E-4</v>
      </c>
      <c r="N169">
        <f t="shared" si="8"/>
        <v>6.6784488019711883E-3</v>
      </c>
      <c r="O169">
        <f t="shared" si="8"/>
        <v>0</v>
      </c>
      <c r="P169">
        <f t="shared" si="8"/>
        <v>7.4332389745661873E-3</v>
      </c>
      <c r="Q169">
        <f t="shared" si="8"/>
        <v>1.2371161024545562E-2</v>
      </c>
      <c r="R169">
        <f t="shared" si="8"/>
        <v>3.414262532347774E-2</v>
      </c>
      <c r="S169">
        <f t="shared" si="8"/>
        <v>9.9935217328462602E-4</v>
      </c>
      <c r="T169">
        <f t="shared" si="8"/>
        <v>8.8254982857562082E-4</v>
      </c>
      <c r="U169">
        <f t="shared" si="8"/>
        <v>8.7470141124171841E-3</v>
      </c>
      <c r="V169">
        <f t="shared" si="8"/>
        <v>8.0738948104925726E-2</v>
      </c>
      <c r="W169">
        <f t="shared" si="8"/>
        <v>2.6154907496870809E-3</v>
      </c>
      <c r="X169">
        <f t="shared" si="8"/>
        <v>1.7737844609668239E-2</v>
      </c>
      <c r="Y169">
        <f t="shared" si="8"/>
        <v>5.2207698039583028E-3</v>
      </c>
      <c r="Z169">
        <f t="shared" si="8"/>
        <v>1.7405267519918116E-4</v>
      </c>
      <c r="AA169">
        <f t="shared" si="8"/>
        <v>2.1709156747855108E-2</v>
      </c>
      <c r="AB169">
        <f t="shared" si="8"/>
        <v>3.9925459810357155E-3</v>
      </c>
      <c r="AC169">
        <f t="shared" si="8"/>
        <v>0.38380089904090631</v>
      </c>
      <c r="AD169">
        <f t="shared" si="8"/>
        <v>1.9159636792362537E-2</v>
      </c>
      <c r="AE169">
        <f t="shared" si="8"/>
        <v>7.8760861657672307E-2</v>
      </c>
      <c r="AF169">
        <f t="shared" si="8"/>
        <v>3.3660211864800338E-2</v>
      </c>
      <c r="AG169">
        <f t="shared" si="8"/>
        <v>1.1135772805791531E-2</v>
      </c>
      <c r="AH169">
        <f t="shared" si="8"/>
        <v>3.7590061277790743E-3</v>
      </c>
      <c r="AI169">
        <f t="shared" si="8"/>
        <v>8.5370616546671427E-2</v>
      </c>
      <c r="AJ169">
        <f t="shared" si="8"/>
        <v>0.12226365667164826</v>
      </c>
      <c r="AL169">
        <f t="shared" si="6"/>
        <v>1</v>
      </c>
    </row>
    <row r="170" spans="1:38" x14ac:dyDescent="0.35">
      <c r="A170" t="s">
        <v>70</v>
      </c>
      <c r="B170">
        <f t="shared" si="8"/>
        <v>3.027810283121323E-3</v>
      </c>
      <c r="C170">
        <f t="shared" si="8"/>
        <v>1.1618273377523065E-2</v>
      </c>
      <c r="D170">
        <f t="shared" si="8"/>
        <v>2.8214155987247554E-3</v>
      </c>
      <c r="E170">
        <f t="shared" si="8"/>
        <v>1.2622988778445245E-3</v>
      </c>
      <c r="F170">
        <f t="shared" si="8"/>
        <v>1.0669029671438704E-3</v>
      </c>
      <c r="G170">
        <f t="shared" si="8"/>
        <v>7.0852004727061638E-4</v>
      </c>
      <c r="H170">
        <f t="shared" si="8"/>
        <v>1.1343553907624503E-3</v>
      </c>
      <c r="I170">
        <f t="shared" si="8"/>
        <v>1.1153519296338E-4</v>
      </c>
      <c r="J170">
        <f t="shared" si="8"/>
        <v>3.7764940468534603E-4</v>
      </c>
      <c r="K170">
        <f t="shared" si="8"/>
        <v>3.5443414531374645E-2</v>
      </c>
      <c r="L170">
        <f t="shared" si="8"/>
        <v>5.4690282160409893E-2</v>
      </c>
      <c r="M170">
        <f t="shared" si="8"/>
        <v>7.4092061971536101E-3</v>
      </c>
      <c r="N170">
        <f t="shared" si="8"/>
        <v>2.1126675975951569E-3</v>
      </c>
      <c r="O170">
        <f t="shared" si="8"/>
        <v>8.5125423281821899E-4</v>
      </c>
      <c r="P170">
        <f t="shared" si="8"/>
        <v>0</v>
      </c>
      <c r="Q170">
        <f t="shared" si="8"/>
        <v>3.2568469229341484E-4</v>
      </c>
      <c r="R170">
        <f t="shared" si="8"/>
        <v>8.1684196756795231E-4</v>
      </c>
      <c r="S170">
        <f t="shared" si="8"/>
        <v>1.536632579674038E-3</v>
      </c>
      <c r="T170">
        <f t="shared" si="8"/>
        <v>5.9717335461370266E-4</v>
      </c>
      <c r="U170">
        <f t="shared" si="8"/>
        <v>4.5262825100560525E-3</v>
      </c>
      <c r="V170">
        <f t="shared" si="8"/>
        <v>7.570720273698938E-3</v>
      </c>
      <c r="W170">
        <f t="shared" si="8"/>
        <v>1.0674947704316139E-3</v>
      </c>
      <c r="X170">
        <f t="shared" si="8"/>
        <v>0.11015667707100683</v>
      </c>
      <c r="Y170">
        <f t="shared" si="8"/>
        <v>7.0496922754415567E-4</v>
      </c>
      <c r="Z170">
        <f t="shared" si="8"/>
        <v>6.3905987620176607E-4</v>
      </c>
      <c r="AA170">
        <f t="shared" si="8"/>
        <v>1.9788889300959324E-2</v>
      </c>
      <c r="AB170">
        <f t="shared" si="8"/>
        <v>2.1358399841063551E-3</v>
      </c>
      <c r="AC170">
        <f t="shared" si="8"/>
        <v>1.8030501453775737E-2</v>
      </c>
      <c r="AD170">
        <f t="shared" si="8"/>
        <v>4.8751124097467097E-2</v>
      </c>
      <c r="AE170">
        <f t="shared" si="8"/>
        <v>3.9699071973537704E-2</v>
      </c>
      <c r="AF170">
        <f t="shared" si="8"/>
        <v>3.8992678034374915E-2</v>
      </c>
      <c r="AG170">
        <f t="shared" si="8"/>
        <v>7.5443376831313344E-2</v>
      </c>
      <c r="AH170">
        <f t="shared" si="8"/>
        <v>5.7031600629748828E-3</v>
      </c>
      <c r="AI170">
        <f t="shared" si="8"/>
        <v>4.9043409165691498E-2</v>
      </c>
      <c r="AJ170">
        <f t="shared" si="8"/>
        <v>0.45183482691331994</v>
      </c>
      <c r="AL170">
        <f t="shared" si="6"/>
        <v>1</v>
      </c>
    </row>
    <row r="171" spans="1:38" x14ac:dyDescent="0.35">
      <c r="A171" t="s">
        <v>71</v>
      </c>
      <c r="B171">
        <f t="shared" si="8"/>
        <v>2.2707536063531091E-3</v>
      </c>
      <c r="C171">
        <f t="shared" si="8"/>
        <v>2.385791784648531E-3</v>
      </c>
      <c r="D171">
        <f t="shared" si="8"/>
        <v>3.8651716427278197E-4</v>
      </c>
      <c r="E171">
        <f t="shared" si="8"/>
        <v>5.5712934174473601E-5</v>
      </c>
      <c r="F171">
        <f t="shared" si="8"/>
        <v>6.8293498238061094E-4</v>
      </c>
      <c r="G171">
        <f t="shared" si="8"/>
        <v>1.2070672621142811E-3</v>
      </c>
      <c r="H171">
        <f t="shared" si="8"/>
        <v>8.3702778859734081E-3</v>
      </c>
      <c r="I171">
        <f t="shared" si="8"/>
        <v>1.0191298903990429E-2</v>
      </c>
      <c r="J171">
        <f t="shared" si="8"/>
        <v>2.7121500948127158E-3</v>
      </c>
      <c r="K171">
        <f t="shared" si="8"/>
        <v>7.7438199802559492E-3</v>
      </c>
      <c r="L171">
        <f t="shared" si="8"/>
        <v>5.1464440872425653E-2</v>
      </c>
      <c r="M171">
        <f t="shared" si="8"/>
        <v>1.0163095099408341E-3</v>
      </c>
      <c r="N171">
        <f t="shared" si="8"/>
        <v>7.505268588790684E-4</v>
      </c>
      <c r="O171">
        <f t="shared" si="8"/>
        <v>3.6067247595573566E-2</v>
      </c>
      <c r="P171">
        <f t="shared" si="8"/>
        <v>6.9082649026367855E-3</v>
      </c>
      <c r="Q171">
        <f t="shared" si="8"/>
        <v>0</v>
      </c>
      <c r="R171">
        <f t="shared" si="8"/>
        <v>3.1778879949116455E-2</v>
      </c>
      <c r="S171">
        <f t="shared" si="8"/>
        <v>8.5639532731036233E-4</v>
      </c>
      <c r="T171">
        <f t="shared" si="8"/>
        <v>5.0947463745085967E-4</v>
      </c>
      <c r="U171">
        <f t="shared" si="8"/>
        <v>6.3837852854082625E-3</v>
      </c>
      <c r="V171">
        <f t="shared" si="8"/>
        <v>4.845496988201848E-3</v>
      </c>
      <c r="W171">
        <f t="shared" si="8"/>
        <v>5.1503203736851281E-4</v>
      </c>
      <c r="X171">
        <f t="shared" si="8"/>
        <v>4.1777753880958141E-4</v>
      </c>
      <c r="Y171">
        <f t="shared" si="8"/>
        <v>3.6581584957952367E-4</v>
      </c>
      <c r="Z171">
        <f t="shared" si="8"/>
        <v>1.5588506769017305E-4</v>
      </c>
      <c r="AA171">
        <f t="shared" si="8"/>
        <v>9.220143268380528E-3</v>
      </c>
      <c r="AB171">
        <f t="shared" si="8"/>
        <v>1.093571262296008E-2</v>
      </c>
      <c r="AC171">
        <f t="shared" si="8"/>
        <v>0.18124987452433</v>
      </c>
      <c r="AD171">
        <f t="shared" si="8"/>
        <v>3.2349624920659436E-3</v>
      </c>
      <c r="AE171">
        <f t="shared" si="8"/>
        <v>1.3014735932154152E-2</v>
      </c>
      <c r="AF171">
        <f t="shared" si="8"/>
        <v>1.8572274784805318E-2</v>
      </c>
      <c r="AG171">
        <f t="shared" si="8"/>
        <v>1.5764954216402791E-3</v>
      </c>
      <c r="AH171">
        <f t="shared" si="8"/>
        <v>0.29923180755613271</v>
      </c>
      <c r="AI171">
        <f t="shared" si="8"/>
        <v>5.4499336967456076E-2</v>
      </c>
      <c r="AJ171">
        <f t="shared" si="8"/>
        <v>0.23042299941070715</v>
      </c>
      <c r="AL171">
        <f t="shared" si="6"/>
        <v>1.0000000000000002</v>
      </c>
    </row>
    <row r="172" spans="1:38" x14ac:dyDescent="0.35">
      <c r="A172" t="s">
        <v>72</v>
      </c>
      <c r="B172">
        <f t="shared" si="8"/>
        <v>1.6433992744472703E-3</v>
      </c>
      <c r="C172">
        <f t="shared" si="8"/>
        <v>3.1660461529657517E-3</v>
      </c>
      <c r="D172">
        <f t="shared" si="8"/>
        <v>5.3971070875997952E-4</v>
      </c>
      <c r="E172">
        <f t="shared" si="8"/>
        <v>2.1817099554283657E-4</v>
      </c>
      <c r="F172">
        <f t="shared" si="8"/>
        <v>6.0743705256351794E-4</v>
      </c>
      <c r="G172">
        <f t="shared" si="8"/>
        <v>1.0784880656673696E-3</v>
      </c>
      <c r="H172">
        <f t="shared" si="8"/>
        <v>1.5378955144101652E-2</v>
      </c>
      <c r="I172">
        <f t="shared" si="8"/>
        <v>3.0942947292979203E-3</v>
      </c>
      <c r="J172">
        <f t="shared" si="8"/>
        <v>1.6269489480453775E-3</v>
      </c>
      <c r="K172">
        <f t="shared" si="8"/>
        <v>7.8489057353713001E-3</v>
      </c>
      <c r="L172">
        <f t="shared" ref="L172:AJ172" si="9">L217/$AL217</f>
        <v>6.6023093341543715E-2</v>
      </c>
      <c r="M172">
        <f t="shared" si="9"/>
        <v>1.2905922741683732E-3</v>
      </c>
      <c r="N172">
        <f t="shared" si="9"/>
        <v>8.2566638259714143E-4</v>
      </c>
      <c r="O172">
        <f t="shared" si="9"/>
        <v>4.9060123434615806E-2</v>
      </c>
      <c r="P172">
        <f t="shared" si="9"/>
        <v>1.2622533785441193E-2</v>
      </c>
      <c r="Q172">
        <f t="shared" si="9"/>
        <v>2.7414760621208664E-2</v>
      </c>
      <c r="R172">
        <f t="shared" si="9"/>
        <v>0</v>
      </c>
      <c r="S172">
        <f t="shared" si="9"/>
        <v>9.4641877852593066E-4</v>
      </c>
      <c r="T172">
        <f t="shared" si="9"/>
        <v>2.6845532660110528E-4</v>
      </c>
      <c r="U172">
        <f t="shared" si="9"/>
        <v>7.906656881250286E-3</v>
      </c>
      <c r="V172">
        <f t="shared" si="9"/>
        <v>5.7202568327626567E-2</v>
      </c>
      <c r="W172">
        <f t="shared" si="9"/>
        <v>1.6386158462027484E-3</v>
      </c>
      <c r="X172">
        <f t="shared" si="9"/>
        <v>2.0968916058242797E-3</v>
      </c>
      <c r="Y172">
        <f t="shared" si="9"/>
        <v>4.1884164384961678E-4</v>
      </c>
      <c r="Z172">
        <f t="shared" si="9"/>
        <v>1.3008591445468596E-4</v>
      </c>
      <c r="AA172">
        <f t="shared" si="9"/>
        <v>2.6883683417085132E-2</v>
      </c>
      <c r="AB172">
        <f t="shared" si="9"/>
        <v>1.6996337235657983E-2</v>
      </c>
      <c r="AC172">
        <f t="shared" si="9"/>
        <v>0.1975445029455126</v>
      </c>
      <c r="AD172">
        <f t="shared" si="9"/>
        <v>1.8979709922411045E-3</v>
      </c>
      <c r="AE172">
        <f t="shared" si="9"/>
        <v>8.6191543517209288E-3</v>
      </c>
      <c r="AF172">
        <f t="shared" si="9"/>
        <v>7.0811071676347183E-3</v>
      </c>
      <c r="AG172">
        <f t="shared" si="9"/>
        <v>2.7578213864393429E-3</v>
      </c>
      <c r="AH172">
        <f t="shared" si="9"/>
        <v>0.13993767659673315</v>
      </c>
      <c r="AI172">
        <f t="shared" si="9"/>
        <v>7.7702825086887764E-2</v>
      </c>
      <c r="AJ172">
        <f t="shared" si="9"/>
        <v>0.25753125984941411</v>
      </c>
      <c r="AL172">
        <f t="shared" si="6"/>
        <v>1</v>
      </c>
    </row>
    <row r="173" spans="1:38" x14ac:dyDescent="0.35">
      <c r="A173" t="s">
        <v>73</v>
      </c>
      <c r="B173">
        <f t="shared" ref="B173:AJ180" si="10">B218/$AL218</f>
        <v>2.2763875855530079E-3</v>
      </c>
      <c r="C173">
        <f t="shared" si="10"/>
        <v>5.2369321864680574E-2</v>
      </c>
      <c r="D173">
        <f t="shared" si="10"/>
        <v>3.6543481619940978E-3</v>
      </c>
      <c r="E173">
        <f t="shared" si="10"/>
        <v>2.5343957077965992E-3</v>
      </c>
      <c r="F173">
        <f t="shared" si="10"/>
        <v>3.7883644828155295E-4</v>
      </c>
      <c r="G173">
        <f t="shared" si="10"/>
        <v>1.4997338366847207E-3</v>
      </c>
      <c r="H173">
        <f t="shared" si="10"/>
        <v>2.5076910454624696E-3</v>
      </c>
      <c r="I173">
        <f t="shared" si="10"/>
        <v>7.9226570530977836E-4</v>
      </c>
      <c r="J173">
        <f t="shared" si="10"/>
        <v>1.3953802331021217E-3</v>
      </c>
      <c r="K173">
        <f t="shared" si="10"/>
        <v>0.14336919742095411</v>
      </c>
      <c r="L173">
        <f t="shared" si="10"/>
        <v>7.9143169816303566E-2</v>
      </c>
      <c r="M173">
        <f t="shared" si="10"/>
        <v>1.2667952297584925E-2</v>
      </c>
      <c r="N173">
        <f t="shared" si="10"/>
        <v>6.5820008357326794E-3</v>
      </c>
      <c r="O173">
        <f t="shared" si="10"/>
        <v>1.6701506664723665E-3</v>
      </c>
      <c r="P173">
        <f t="shared" si="10"/>
        <v>2.7821328060655251E-2</v>
      </c>
      <c r="Q173">
        <f t="shared" si="10"/>
        <v>2.8026748540148552E-3</v>
      </c>
      <c r="R173">
        <f t="shared" si="10"/>
        <v>3.922052130869773E-3</v>
      </c>
      <c r="S173">
        <f t="shared" si="10"/>
        <v>0</v>
      </c>
      <c r="T173">
        <f t="shared" si="10"/>
        <v>7.5767289656310591E-4</v>
      </c>
      <c r="U173">
        <f t="shared" si="10"/>
        <v>1.1848981929941018E-2</v>
      </c>
      <c r="V173">
        <f t="shared" si="10"/>
        <v>1.5172520951759095E-2</v>
      </c>
      <c r="W173">
        <f t="shared" si="10"/>
        <v>7.1053053988322831E-2</v>
      </c>
      <c r="X173">
        <f t="shared" si="10"/>
        <v>2.8805949502962551E-2</v>
      </c>
      <c r="Y173">
        <f t="shared" si="10"/>
        <v>1.2078724194206328E-3</v>
      </c>
      <c r="Z173">
        <f t="shared" si="10"/>
        <v>1.4717144832818339E-3</v>
      </c>
      <c r="AA173">
        <f t="shared" si="10"/>
        <v>2.9930421207708908E-2</v>
      </c>
      <c r="AB173">
        <f t="shared" si="10"/>
        <v>2.7928968391909732E-3</v>
      </c>
      <c r="AC173">
        <f t="shared" si="10"/>
        <v>1.2921523337471461E-2</v>
      </c>
      <c r="AD173">
        <f t="shared" si="10"/>
        <v>3.0993184600415471E-2</v>
      </c>
      <c r="AE173">
        <f t="shared" si="10"/>
        <v>3.5445468072953359E-2</v>
      </c>
      <c r="AF173">
        <f t="shared" si="10"/>
        <v>2.5575917883409835E-2</v>
      </c>
      <c r="AG173">
        <f t="shared" si="10"/>
        <v>4.3037069481299733E-2</v>
      </c>
      <c r="AH173">
        <f t="shared" si="10"/>
        <v>7.1086989451535128E-3</v>
      </c>
      <c r="AI173">
        <f t="shared" si="10"/>
        <v>5.781559395339067E-2</v>
      </c>
      <c r="AJ173">
        <f t="shared" si="10"/>
        <v>0.27867457283530267</v>
      </c>
      <c r="AL173">
        <f t="shared" si="6"/>
        <v>1</v>
      </c>
    </row>
    <row r="174" spans="1:38" x14ac:dyDescent="0.35">
      <c r="A174" t="s">
        <v>74</v>
      </c>
      <c r="B174">
        <f t="shared" si="10"/>
        <v>2.1631070196286464E-3</v>
      </c>
      <c r="C174">
        <f t="shared" si="10"/>
        <v>4.3499997091898017E-3</v>
      </c>
      <c r="D174">
        <f t="shared" si="10"/>
        <v>8.4456490063275942E-3</v>
      </c>
      <c r="E174">
        <f t="shared" si="10"/>
        <v>8.21213275772012E-4</v>
      </c>
      <c r="F174">
        <f t="shared" si="10"/>
        <v>4.9871778745351047E-4</v>
      </c>
      <c r="G174">
        <f t="shared" si="10"/>
        <v>1.1083774952491596E-3</v>
      </c>
      <c r="H174">
        <f t="shared" si="10"/>
        <v>3.6503190535108992E-3</v>
      </c>
      <c r="I174">
        <f t="shared" si="10"/>
        <v>1.2882457729869619E-4</v>
      </c>
      <c r="J174">
        <f t="shared" si="10"/>
        <v>1.0290340561312295E-3</v>
      </c>
      <c r="K174">
        <f t="shared" si="10"/>
        <v>1.5183243846260887E-2</v>
      </c>
      <c r="L174">
        <f t="shared" si="10"/>
        <v>3.0176723187147821E-2</v>
      </c>
      <c r="M174">
        <f t="shared" si="10"/>
        <v>2.353392379088715E-3</v>
      </c>
      <c r="N174">
        <f t="shared" si="10"/>
        <v>3.0398780645860802E-3</v>
      </c>
      <c r="O174">
        <f t="shared" si="10"/>
        <v>4.3182276099368883E-3</v>
      </c>
      <c r="P174">
        <f t="shared" si="10"/>
        <v>3.1484066943292269E-2</v>
      </c>
      <c r="Q174">
        <f t="shared" si="10"/>
        <v>1.6353082123671421E-3</v>
      </c>
      <c r="R174">
        <f t="shared" si="10"/>
        <v>1.2859887386138041E-3</v>
      </c>
      <c r="S174">
        <f t="shared" si="10"/>
        <v>9.9743557490702094E-4</v>
      </c>
      <c r="T174">
        <f t="shared" si="10"/>
        <v>0</v>
      </c>
      <c r="U174">
        <f t="shared" si="10"/>
        <v>1.2392507652865682E-2</v>
      </c>
      <c r="V174">
        <f t="shared" si="10"/>
        <v>4.4333363629679347E-3</v>
      </c>
      <c r="W174">
        <f t="shared" si="10"/>
        <v>1.2227917761653869E-3</v>
      </c>
      <c r="X174">
        <f t="shared" si="10"/>
        <v>1.4897121334955967E-2</v>
      </c>
      <c r="Y174">
        <f t="shared" si="10"/>
        <v>1.2988364727379328E-3</v>
      </c>
      <c r="Z174">
        <f t="shared" si="10"/>
        <v>4.5956692198065877E-4</v>
      </c>
      <c r="AA174">
        <f t="shared" si="10"/>
        <v>1.3490988920478689E-2</v>
      </c>
      <c r="AB174">
        <f t="shared" si="10"/>
        <v>1.4209420323257671E-2</v>
      </c>
      <c r="AC174">
        <f t="shared" si="10"/>
        <v>0.26263407543755429</v>
      </c>
      <c r="AD174">
        <f t="shared" si="10"/>
        <v>1.0995750611938445E-2</v>
      </c>
      <c r="AE174">
        <f t="shared" si="10"/>
        <v>0.20849146680410272</v>
      </c>
      <c r="AF174">
        <f t="shared" si="10"/>
        <v>1.0421595791012855E-2</v>
      </c>
      <c r="AG174">
        <f t="shared" si="10"/>
        <v>5.2967388197151253E-3</v>
      </c>
      <c r="AH174">
        <f t="shared" si="10"/>
        <v>7.7824281366766267E-3</v>
      </c>
      <c r="AI174">
        <f t="shared" si="10"/>
        <v>9.1720494766241112E-2</v>
      </c>
      <c r="AJ174">
        <f t="shared" si="10"/>
        <v>0.22758337333058667</v>
      </c>
      <c r="AL174">
        <f t="shared" si="6"/>
        <v>1</v>
      </c>
    </row>
    <row r="175" spans="1:38" x14ac:dyDescent="0.35">
      <c r="A175" t="s">
        <v>75</v>
      </c>
      <c r="B175">
        <f t="shared" si="10"/>
        <v>2.9116178552126477E-3</v>
      </c>
      <c r="C175">
        <f t="shared" si="10"/>
        <v>4.0176544876434697E-2</v>
      </c>
      <c r="D175">
        <f t="shared" si="10"/>
        <v>6.2753255500330356E-3</v>
      </c>
      <c r="E175">
        <f t="shared" si="10"/>
        <v>5.509864517677358E-4</v>
      </c>
      <c r="F175">
        <f t="shared" si="10"/>
        <v>1.1913608290634063E-3</v>
      </c>
      <c r="G175">
        <f t="shared" si="10"/>
        <v>9.8285171469722726E-4</v>
      </c>
      <c r="H175">
        <f t="shared" si="10"/>
        <v>3.1118881982265634E-3</v>
      </c>
      <c r="I175">
        <f t="shared" si="10"/>
        <v>2.5470424241459807E-4</v>
      </c>
      <c r="J175">
        <f t="shared" si="10"/>
        <v>1.3791750277588192E-3</v>
      </c>
      <c r="K175">
        <f t="shared" si="10"/>
        <v>2.5297072966784306E-2</v>
      </c>
      <c r="L175">
        <f t="shared" si="10"/>
        <v>7.0191854802590298E-2</v>
      </c>
      <c r="M175">
        <f t="shared" si="10"/>
        <v>8.8692450937665878E-3</v>
      </c>
      <c r="N175">
        <f t="shared" si="10"/>
        <v>6.4152827562398013E-3</v>
      </c>
      <c r="O175">
        <f t="shared" si="10"/>
        <v>2.8404242097119278E-3</v>
      </c>
      <c r="P175">
        <f t="shared" si="10"/>
        <v>1.7146317717987327E-2</v>
      </c>
      <c r="Q175">
        <f t="shared" si="10"/>
        <v>1.7688508830594988E-3</v>
      </c>
      <c r="R175">
        <f t="shared" si="10"/>
        <v>4.4214687330592231E-3</v>
      </c>
      <c r="S175">
        <f t="shared" si="10"/>
        <v>1.8748966479057588E-3</v>
      </c>
      <c r="T175">
        <f t="shared" si="10"/>
        <v>5.078250102210542E-4</v>
      </c>
      <c r="U175">
        <f t="shared" si="10"/>
        <v>0</v>
      </c>
      <c r="V175">
        <f t="shared" si="10"/>
        <v>5.087716458333276E-2</v>
      </c>
      <c r="W175">
        <f t="shared" si="10"/>
        <v>6.2105912266962214E-3</v>
      </c>
      <c r="X175">
        <f t="shared" si="10"/>
        <v>1.8686238935422182E-2</v>
      </c>
      <c r="Y175">
        <f t="shared" si="10"/>
        <v>1.024492393501436E-3</v>
      </c>
      <c r="Z175">
        <f t="shared" si="10"/>
        <v>4.7841314522229834E-4</v>
      </c>
      <c r="AA175">
        <f t="shared" si="10"/>
        <v>2.9227570503521007E-2</v>
      </c>
      <c r="AB175">
        <f t="shared" si="10"/>
        <v>5.7018255384901333E-3</v>
      </c>
      <c r="AC175">
        <f t="shared" si="10"/>
        <v>3.4949557906823733E-2</v>
      </c>
      <c r="AD175">
        <f t="shared" si="10"/>
        <v>3.8336374924143136E-2</v>
      </c>
      <c r="AE175">
        <f t="shared" si="10"/>
        <v>0.10486871016155244</v>
      </c>
      <c r="AF175">
        <f t="shared" si="10"/>
        <v>3.9425084268089612E-2</v>
      </c>
      <c r="AG175">
        <f t="shared" si="10"/>
        <v>2.5083162792987387E-2</v>
      </c>
      <c r="AH175">
        <f t="shared" si="10"/>
        <v>1.5972398626563108E-3</v>
      </c>
      <c r="AI175">
        <f t="shared" si="10"/>
        <v>6.197586353553116E-2</v>
      </c>
      <c r="AJ175">
        <f t="shared" si="10"/>
        <v>0.3853900166550957</v>
      </c>
      <c r="AL175">
        <f t="shared" si="6"/>
        <v>1.0000000000000002</v>
      </c>
    </row>
    <row r="176" spans="1:38" x14ac:dyDescent="0.35">
      <c r="A176" t="s">
        <v>76</v>
      </c>
      <c r="B176">
        <f t="shared" si="10"/>
        <v>1.1861595258807835E-2</v>
      </c>
      <c r="C176">
        <f t="shared" si="10"/>
        <v>1.4941488274209868E-2</v>
      </c>
      <c r="D176">
        <f t="shared" si="10"/>
        <v>6.8163501350734573E-4</v>
      </c>
      <c r="E176">
        <f t="shared" si="10"/>
        <v>4.1734147449045469E-4</v>
      </c>
      <c r="F176">
        <f t="shared" si="10"/>
        <v>3.9662388212854325E-4</v>
      </c>
      <c r="G176">
        <f t="shared" si="10"/>
        <v>4.7000218505037408E-3</v>
      </c>
      <c r="H176">
        <f t="shared" si="10"/>
        <v>6.3261561649103565E-3</v>
      </c>
      <c r="I176">
        <f t="shared" si="10"/>
        <v>2.401667225954244E-4</v>
      </c>
      <c r="J176">
        <f t="shared" si="10"/>
        <v>7.105871932131055E-4</v>
      </c>
      <c r="K176">
        <f t="shared" si="10"/>
        <v>3.7595703475551828E-2</v>
      </c>
      <c r="L176">
        <f t="shared" si="10"/>
        <v>0.32709624533237885</v>
      </c>
      <c r="M176">
        <f t="shared" si="10"/>
        <v>4.295556753038221E-3</v>
      </c>
      <c r="N176">
        <f t="shared" si="10"/>
        <v>1.3436145390713335E-3</v>
      </c>
      <c r="O176">
        <f t="shared" si="10"/>
        <v>2.3286127993180711E-2</v>
      </c>
      <c r="P176">
        <f t="shared" si="10"/>
        <v>2.7185729596502076E-2</v>
      </c>
      <c r="Q176">
        <f t="shared" si="10"/>
        <v>2.7895582495302352E-3</v>
      </c>
      <c r="R176">
        <f t="shared" si="10"/>
        <v>3.6609690315527355E-2</v>
      </c>
      <c r="S176">
        <f t="shared" si="10"/>
        <v>7.2762020111065179E-4</v>
      </c>
      <c r="T176">
        <f t="shared" si="10"/>
        <v>6.5627563146434772E-5</v>
      </c>
      <c r="U176">
        <f t="shared" si="10"/>
        <v>1.9673504381272511E-2</v>
      </c>
      <c r="V176">
        <f t="shared" si="10"/>
        <v>0</v>
      </c>
      <c r="W176">
        <f t="shared" si="10"/>
        <v>5.4555452393018294E-4</v>
      </c>
      <c r="X176">
        <f t="shared" si="10"/>
        <v>1.8225449574376731E-3</v>
      </c>
      <c r="Y176">
        <f t="shared" si="10"/>
        <v>1.447438524085014E-3</v>
      </c>
      <c r="Z176">
        <f t="shared" si="10"/>
        <v>1.8742864887415361E-4</v>
      </c>
      <c r="AA176">
        <f t="shared" si="10"/>
        <v>1.6310357296122367E-2</v>
      </c>
      <c r="AB176">
        <f t="shared" si="10"/>
        <v>1.4090375487741951E-2</v>
      </c>
      <c r="AC176">
        <f t="shared" si="10"/>
        <v>0.15013963132755917</v>
      </c>
      <c r="AD176">
        <f t="shared" si="10"/>
        <v>1.4625833463495759E-3</v>
      </c>
      <c r="AE176">
        <f t="shared" si="10"/>
        <v>1.5980619767562251E-2</v>
      </c>
      <c r="AF176">
        <f t="shared" si="10"/>
        <v>1.3375172729648216E-3</v>
      </c>
      <c r="AG176">
        <f t="shared" si="10"/>
        <v>4.0616577577522878E-3</v>
      </c>
      <c r="AH176">
        <f t="shared" si="10"/>
        <v>1.8823899520830932E-2</v>
      </c>
      <c r="AI176">
        <f t="shared" si="10"/>
        <v>0.11231805364566162</v>
      </c>
      <c r="AJ176">
        <f t="shared" si="10"/>
        <v>0.14052774368845106</v>
      </c>
      <c r="AL176">
        <f t="shared" si="6"/>
        <v>0.99999999999999978</v>
      </c>
    </row>
    <row r="177" spans="1:38" x14ac:dyDescent="0.35">
      <c r="A177" t="s">
        <v>77</v>
      </c>
      <c r="B177">
        <f t="shared" si="10"/>
        <v>7.972451750712287E-4</v>
      </c>
      <c r="C177">
        <f t="shared" si="10"/>
        <v>1.00235196505278E-2</v>
      </c>
      <c r="D177">
        <f t="shared" si="10"/>
        <v>1.3034089341974477E-3</v>
      </c>
      <c r="E177">
        <f t="shared" si="10"/>
        <v>3.7189657089872835E-5</v>
      </c>
      <c r="F177">
        <f t="shared" si="10"/>
        <v>1.1493407371994283E-2</v>
      </c>
      <c r="G177">
        <f t="shared" si="10"/>
        <v>1.9182260991419892E-4</v>
      </c>
      <c r="H177">
        <f t="shared" si="10"/>
        <v>8.2637923280307437E-4</v>
      </c>
      <c r="I177">
        <f t="shared" si="10"/>
        <v>6.9541635208705314E-5</v>
      </c>
      <c r="J177">
        <f t="shared" si="10"/>
        <v>2.665690693729968E-4</v>
      </c>
      <c r="K177">
        <f t="shared" si="10"/>
        <v>0.21728128424135904</v>
      </c>
      <c r="L177">
        <f t="shared" si="10"/>
        <v>4.6287214749849946E-2</v>
      </c>
      <c r="M177">
        <f t="shared" si="10"/>
        <v>2.8347934899051731E-4</v>
      </c>
      <c r="N177">
        <f t="shared" si="10"/>
        <v>4.2105084472947784E-4</v>
      </c>
      <c r="O177">
        <f t="shared" si="10"/>
        <v>1.2861747028631166E-3</v>
      </c>
      <c r="P177">
        <f t="shared" si="10"/>
        <v>3.8287853409861242E-3</v>
      </c>
      <c r="Q177">
        <f t="shared" si="10"/>
        <v>1.0506834015228301E-4</v>
      </c>
      <c r="R177">
        <f t="shared" si="10"/>
        <v>2.5235838739556571E-4</v>
      </c>
      <c r="S177">
        <f t="shared" si="10"/>
        <v>2.2912586607276672E-2</v>
      </c>
      <c r="T177">
        <f t="shared" si="10"/>
        <v>7.4228136711900679E-5</v>
      </c>
      <c r="U177">
        <f t="shared" si="10"/>
        <v>9.4091128244245519E-3</v>
      </c>
      <c r="V177">
        <f t="shared" si="10"/>
        <v>5.9108230249287443E-4</v>
      </c>
      <c r="W177">
        <f t="shared" si="10"/>
        <v>0</v>
      </c>
      <c r="X177">
        <f t="shared" si="10"/>
        <v>1.4894112115996139E-2</v>
      </c>
      <c r="Y177">
        <f t="shared" si="10"/>
        <v>7.0427103234654652E-5</v>
      </c>
      <c r="Z177">
        <f t="shared" si="10"/>
        <v>4.6972998937557154E-5</v>
      </c>
      <c r="AA177">
        <f t="shared" si="10"/>
        <v>4.191157731410617E-2</v>
      </c>
      <c r="AB177">
        <f t="shared" si="10"/>
        <v>1.7202916001706277E-3</v>
      </c>
      <c r="AC177">
        <f t="shared" si="10"/>
        <v>4.1890088516891057E-2</v>
      </c>
      <c r="AD177">
        <f t="shared" si="10"/>
        <v>1.1481064811583798E-2</v>
      </c>
      <c r="AE177">
        <f t="shared" si="10"/>
        <v>1.1859677981411069E-2</v>
      </c>
      <c r="AF177">
        <f t="shared" si="10"/>
        <v>1.4688100420885631E-2</v>
      </c>
      <c r="AG177">
        <f t="shared" si="10"/>
        <v>0.12121944971984819</v>
      </c>
      <c r="AH177">
        <f t="shared" si="10"/>
        <v>2.919647242928466E-3</v>
      </c>
      <c r="AI177">
        <f t="shared" si="10"/>
        <v>8.5493449680088512E-2</v>
      </c>
      <c r="AJ177">
        <f t="shared" si="10"/>
        <v>0.32406363133050642</v>
      </c>
      <c r="AL177">
        <f t="shared" si="6"/>
        <v>1</v>
      </c>
    </row>
    <row r="178" spans="1:38" x14ac:dyDescent="0.35">
      <c r="A178" t="s">
        <v>78</v>
      </c>
      <c r="B178">
        <f t="shared" si="10"/>
        <v>1.4469763305635867E-2</v>
      </c>
      <c r="C178">
        <f t="shared" si="10"/>
        <v>1.404315402203082E-2</v>
      </c>
      <c r="D178">
        <f t="shared" si="10"/>
        <v>2.0256412251490417E-3</v>
      </c>
      <c r="E178">
        <f t="shared" si="10"/>
        <v>3.7309746015607337E-4</v>
      </c>
      <c r="F178">
        <f t="shared" si="10"/>
        <v>7.0332550432781473E-4</v>
      </c>
      <c r="G178">
        <f t="shared" si="10"/>
        <v>1.4195009321372651E-3</v>
      </c>
      <c r="H178">
        <f t="shared" si="10"/>
        <v>5.2828719881492913E-3</v>
      </c>
      <c r="I178">
        <f t="shared" si="10"/>
        <v>1.1889245214980788E-4</v>
      </c>
      <c r="J178">
        <f t="shared" si="10"/>
        <v>6.0860671522829448E-4</v>
      </c>
      <c r="K178">
        <f t="shared" si="10"/>
        <v>4.4232216458773399E-2</v>
      </c>
      <c r="L178">
        <f t="shared" si="10"/>
        <v>0.11368925513790155</v>
      </c>
      <c r="M178">
        <f t="shared" si="10"/>
        <v>1.4225151453654069E-2</v>
      </c>
      <c r="N178">
        <f t="shared" si="10"/>
        <v>3.0843277523013326E-2</v>
      </c>
      <c r="O178">
        <f t="shared" si="10"/>
        <v>6.1107722543743614E-3</v>
      </c>
      <c r="P178">
        <f t="shared" si="10"/>
        <v>0.21268323967038186</v>
      </c>
      <c r="Q178">
        <f t="shared" si="10"/>
        <v>1.2196389727468658E-3</v>
      </c>
      <c r="R178">
        <f t="shared" si="10"/>
        <v>8.0188700649395353E-4</v>
      </c>
      <c r="S178">
        <f t="shared" si="10"/>
        <v>1.1040305413383879E-3</v>
      </c>
      <c r="T178">
        <f t="shared" si="10"/>
        <v>3.0262046731724163E-4</v>
      </c>
      <c r="U178">
        <f t="shared" si="10"/>
        <v>4.9810282394306214E-3</v>
      </c>
      <c r="V178">
        <f t="shared" si="10"/>
        <v>1.7469491413246441E-3</v>
      </c>
      <c r="W178">
        <f t="shared" si="10"/>
        <v>1.0605956197077276E-2</v>
      </c>
      <c r="X178">
        <f t="shared" si="10"/>
        <v>0</v>
      </c>
      <c r="Y178">
        <f t="shared" si="10"/>
        <v>1.488492620989354E-3</v>
      </c>
      <c r="Z178">
        <f t="shared" si="10"/>
        <v>2.7965957541209251E-4</v>
      </c>
      <c r="AA178">
        <f t="shared" si="10"/>
        <v>0.15589940055175094</v>
      </c>
      <c r="AB178">
        <f t="shared" si="10"/>
        <v>5.6089847864128108E-3</v>
      </c>
      <c r="AC178">
        <f t="shared" si="10"/>
        <v>6.1165976438636492E-2</v>
      </c>
      <c r="AD178">
        <f t="shared" si="10"/>
        <v>6.1247940690748945E-3</v>
      </c>
      <c r="AE178">
        <f t="shared" si="10"/>
        <v>1.3936225761627435E-2</v>
      </c>
      <c r="AF178">
        <f t="shared" si="10"/>
        <v>1.5405872736619862E-3</v>
      </c>
      <c r="AG178">
        <f t="shared" si="10"/>
        <v>6.1744359261730886E-3</v>
      </c>
      <c r="AH178">
        <f t="shared" si="10"/>
        <v>2.3897805308015874E-2</v>
      </c>
      <c r="AI178">
        <f t="shared" si="10"/>
        <v>8.0880443507954994E-2</v>
      </c>
      <c r="AJ178">
        <f t="shared" si="10"/>
        <v>0.16141231751149826</v>
      </c>
      <c r="AL178">
        <f t="shared" si="6"/>
        <v>1.0000000000000002</v>
      </c>
    </row>
    <row r="179" spans="1:38" x14ac:dyDescent="0.35">
      <c r="A179" t="s">
        <v>79</v>
      </c>
      <c r="B179">
        <f t="shared" si="10"/>
        <v>5.9605480314754142E-2</v>
      </c>
      <c r="C179">
        <f t="shared" si="10"/>
        <v>6.2388898783819818E-3</v>
      </c>
      <c r="D179">
        <f t="shared" si="10"/>
        <v>4.3428321344683588E-3</v>
      </c>
      <c r="E179">
        <f t="shared" si="10"/>
        <v>3.936825883416345E-3</v>
      </c>
      <c r="F179">
        <f t="shared" si="10"/>
        <v>1.1766389913181838E-3</v>
      </c>
      <c r="G179">
        <f t="shared" si="10"/>
        <v>0.23742101560758155</v>
      </c>
      <c r="H179">
        <f t="shared" si="10"/>
        <v>4.1272392995427747E-3</v>
      </c>
      <c r="I179">
        <f t="shared" si="10"/>
        <v>2.1958353526356223E-4</v>
      </c>
      <c r="J179">
        <f t="shared" si="10"/>
        <v>8.1828360263513542E-4</v>
      </c>
      <c r="K179">
        <f t="shared" si="10"/>
        <v>2.213860015828828E-2</v>
      </c>
      <c r="L179">
        <f t="shared" si="10"/>
        <v>8.9374299519258377E-2</v>
      </c>
      <c r="M179">
        <f t="shared" si="10"/>
        <v>4.4052580897553165E-3</v>
      </c>
      <c r="N179">
        <f t="shared" si="10"/>
        <v>5.9414591815254138E-2</v>
      </c>
      <c r="O179">
        <f t="shared" si="10"/>
        <v>1.9642797163581228E-2</v>
      </c>
      <c r="P179">
        <f t="shared" si="10"/>
        <v>3.0801745475317829E-2</v>
      </c>
      <c r="Q179">
        <f t="shared" si="10"/>
        <v>7.7096529862766944E-4</v>
      </c>
      <c r="R179">
        <f t="shared" si="10"/>
        <v>1.0974425929442422E-3</v>
      </c>
      <c r="S179">
        <f t="shared" si="10"/>
        <v>1.7776669672202449E-3</v>
      </c>
      <c r="T179">
        <f t="shared" si="10"/>
        <v>5.7561101541612288E-4</v>
      </c>
      <c r="U179">
        <f t="shared" si="10"/>
        <v>5.6174808257538136E-3</v>
      </c>
      <c r="V179">
        <f t="shared" si="10"/>
        <v>2.1456665483867429E-2</v>
      </c>
      <c r="W179">
        <f t="shared" si="10"/>
        <v>1.6730536083603646E-3</v>
      </c>
      <c r="X179">
        <f t="shared" si="10"/>
        <v>3.9068006142067881E-2</v>
      </c>
      <c r="Y179">
        <f t="shared" si="10"/>
        <v>0</v>
      </c>
      <c r="Z179">
        <f t="shared" si="10"/>
        <v>2.3178367629681251E-3</v>
      </c>
      <c r="AA179">
        <f t="shared" si="10"/>
        <v>2.3022160216451783E-2</v>
      </c>
      <c r="AB179">
        <f t="shared" si="10"/>
        <v>4.7355360510604409E-3</v>
      </c>
      <c r="AC179">
        <f t="shared" si="10"/>
        <v>0.15282263422613693</v>
      </c>
      <c r="AD179">
        <f t="shared" si="10"/>
        <v>7.7053772359145737E-3</v>
      </c>
      <c r="AE179">
        <f t="shared" si="10"/>
        <v>3.3673909518566185E-2</v>
      </c>
      <c r="AF179">
        <f t="shared" si="10"/>
        <v>1.9019487777458784E-3</v>
      </c>
      <c r="AG179">
        <f t="shared" si="10"/>
        <v>4.5688768036124582E-3</v>
      </c>
      <c r="AH179">
        <f t="shared" si="10"/>
        <v>7.1303363205467343E-3</v>
      </c>
      <c r="AI179">
        <f t="shared" si="10"/>
        <v>4.8259919253879659E-2</v>
      </c>
      <c r="AJ179">
        <f t="shared" si="10"/>
        <v>9.8160491430042296E-2</v>
      </c>
      <c r="AL179">
        <f t="shared" si="6"/>
        <v>1</v>
      </c>
    </row>
    <row r="180" spans="1:38" x14ac:dyDescent="0.35">
      <c r="A180" t="s">
        <v>80</v>
      </c>
      <c r="B180">
        <f t="shared" si="10"/>
        <v>4.1195752455204668E-2</v>
      </c>
      <c r="C180">
        <f t="shared" si="10"/>
        <v>1.4978880114351078E-3</v>
      </c>
      <c r="D180">
        <f t="shared" si="10"/>
        <v>1.9819352885554076E-3</v>
      </c>
      <c r="E180">
        <f t="shared" si="10"/>
        <v>9.3300172542136781E-2</v>
      </c>
      <c r="F180">
        <f t="shared" si="10"/>
        <v>3.1342121070738441E-3</v>
      </c>
      <c r="G180">
        <f t="shared" si="10"/>
        <v>1.181616646052943E-3</v>
      </c>
      <c r="H180">
        <f t="shared" si="10"/>
        <v>5.5376828769413385E-3</v>
      </c>
      <c r="I180">
        <f t="shared" si="10"/>
        <v>2.379519890247489E-4</v>
      </c>
      <c r="J180">
        <f t="shared" si="10"/>
        <v>2.2250367166984575E-4</v>
      </c>
      <c r="K180">
        <f t="shared" si="10"/>
        <v>1.6454972825331985E-2</v>
      </c>
      <c r="L180">
        <f t="shared" ref="L180:AJ180" si="11">L225/$AL225</f>
        <v>0.10006581701719577</v>
      </c>
      <c r="M180">
        <f t="shared" si="11"/>
        <v>1.4756136933885033E-3</v>
      </c>
      <c r="N180">
        <f t="shared" si="11"/>
        <v>2.5276560806972194E-3</v>
      </c>
      <c r="O180">
        <f t="shared" si="11"/>
        <v>5.8068907638701933E-4</v>
      </c>
      <c r="P180">
        <f t="shared" si="11"/>
        <v>3.3920553016230079E-2</v>
      </c>
      <c r="Q180">
        <f t="shared" si="11"/>
        <v>1.1743116277688414E-3</v>
      </c>
      <c r="R180">
        <f t="shared" si="11"/>
        <v>7.316993723911504E-4</v>
      </c>
      <c r="S180">
        <f t="shared" si="11"/>
        <v>6.1576513959051655E-3</v>
      </c>
      <c r="T180">
        <f t="shared" si="11"/>
        <v>1.1077281824252277E-4</v>
      </c>
      <c r="U180">
        <f t="shared" si="11"/>
        <v>2.5244227119485189E-3</v>
      </c>
      <c r="V180">
        <f t="shared" si="11"/>
        <v>1.3708285950509817E-3</v>
      </c>
      <c r="W180">
        <f t="shared" si="11"/>
        <v>4.2680467482848772E-4</v>
      </c>
      <c r="X180">
        <f t="shared" si="11"/>
        <v>3.8071120699978817E-3</v>
      </c>
      <c r="Y180">
        <f t="shared" si="11"/>
        <v>1.3497518209853775E-3</v>
      </c>
      <c r="Z180">
        <f t="shared" si="11"/>
        <v>0</v>
      </c>
      <c r="AA180">
        <f t="shared" si="11"/>
        <v>3.2090586058863596E-3</v>
      </c>
      <c r="AB180">
        <f t="shared" si="11"/>
        <v>1.4145269749176808E-2</v>
      </c>
      <c r="AC180">
        <f t="shared" si="11"/>
        <v>1.0346420732647828E-2</v>
      </c>
      <c r="AD180">
        <f t="shared" si="11"/>
        <v>7.3996242586005208E-3</v>
      </c>
      <c r="AE180">
        <f t="shared" si="11"/>
        <v>4.0903671478238715E-2</v>
      </c>
      <c r="AF180">
        <f t="shared" si="11"/>
        <v>2.1463580771467409E-3</v>
      </c>
      <c r="AG180">
        <f t="shared" si="11"/>
        <v>7.1966405538209785E-3</v>
      </c>
      <c r="AH180">
        <f t="shared" si="11"/>
        <v>9.2925820293676097E-3</v>
      </c>
      <c r="AI180">
        <f t="shared" si="11"/>
        <v>9.2963542929077603E-2</v>
      </c>
      <c r="AJ180">
        <f t="shared" si="11"/>
        <v>0.49142845920159267</v>
      </c>
      <c r="AL180">
        <f t="shared" si="6"/>
        <v>1</v>
      </c>
    </row>
    <row r="181" spans="1:38" x14ac:dyDescent="0.35">
      <c r="A181" t="s">
        <v>81</v>
      </c>
      <c r="B181">
        <f t="shared" ref="B181:AJ188" si="12">B226/$AL226</f>
        <v>2.2704547027808191E-3</v>
      </c>
      <c r="C181">
        <f t="shared" si="12"/>
        <v>1.0518449393345633E-2</v>
      </c>
      <c r="D181">
        <f t="shared" si="12"/>
        <v>6.9809202001305986E-3</v>
      </c>
      <c r="E181">
        <f t="shared" si="12"/>
        <v>1.9006361348442992E-4</v>
      </c>
      <c r="F181">
        <f t="shared" si="12"/>
        <v>4.7966068481513816E-4</v>
      </c>
      <c r="G181">
        <f t="shared" si="12"/>
        <v>1.0992995397333186E-3</v>
      </c>
      <c r="H181">
        <f t="shared" si="12"/>
        <v>1.7810739894638856E-3</v>
      </c>
      <c r="I181">
        <f t="shared" si="12"/>
        <v>1.8273775579340004E-4</v>
      </c>
      <c r="J181">
        <f t="shared" si="12"/>
        <v>1.1592849556646993E-3</v>
      </c>
      <c r="K181">
        <f t="shared" si="12"/>
        <v>5.0426897887489497E-2</v>
      </c>
      <c r="L181">
        <f t="shared" si="12"/>
        <v>3.4927475244067946E-2</v>
      </c>
      <c r="M181">
        <f t="shared" si="12"/>
        <v>1.2949444686109976E-3</v>
      </c>
      <c r="N181">
        <f t="shared" si="12"/>
        <v>2.4516553094167336E-3</v>
      </c>
      <c r="O181">
        <f t="shared" si="12"/>
        <v>1.871613294799403E-3</v>
      </c>
      <c r="P181">
        <f t="shared" si="12"/>
        <v>2.9811562257238508E-2</v>
      </c>
      <c r="Q181">
        <f t="shared" si="12"/>
        <v>5.7656512961825745E-4</v>
      </c>
      <c r="R181">
        <f t="shared" si="12"/>
        <v>1.1785603181157019E-3</v>
      </c>
      <c r="S181">
        <f t="shared" si="12"/>
        <v>7.9069244717522107E-4</v>
      </c>
      <c r="T181">
        <f t="shared" si="12"/>
        <v>1.6862892245505522E-4</v>
      </c>
      <c r="U181">
        <f t="shared" si="12"/>
        <v>1.130656772566189E-2</v>
      </c>
      <c r="V181">
        <f t="shared" si="12"/>
        <v>4.5673642305458151E-3</v>
      </c>
      <c r="W181">
        <f t="shared" si="12"/>
        <v>8.1228085312034428E-3</v>
      </c>
      <c r="X181">
        <f t="shared" si="12"/>
        <v>4.1717837747056355E-2</v>
      </c>
      <c r="Y181">
        <f t="shared" si="12"/>
        <v>9.1120616108169704E-4</v>
      </c>
      <c r="Z181">
        <f t="shared" si="12"/>
        <v>1.4275357830405703E-4</v>
      </c>
      <c r="AA181">
        <f t="shared" si="12"/>
        <v>0</v>
      </c>
      <c r="AB181">
        <f t="shared" si="12"/>
        <v>4.8869326605483591E-3</v>
      </c>
      <c r="AC181">
        <f t="shared" si="12"/>
        <v>3.2263357862014855E-2</v>
      </c>
      <c r="AD181">
        <f t="shared" si="12"/>
        <v>3.6735577439550943E-2</v>
      </c>
      <c r="AE181">
        <f t="shared" si="12"/>
        <v>1.8343294979926737E-2</v>
      </c>
      <c r="AF181">
        <f t="shared" si="12"/>
        <v>1.4130493721909226E-2</v>
      </c>
      <c r="AG181">
        <f t="shared" si="12"/>
        <v>0.2241505975284587</v>
      </c>
      <c r="AH181">
        <f t="shared" si="12"/>
        <v>6.9105590273861933E-3</v>
      </c>
      <c r="AI181">
        <f t="shared" si="12"/>
        <v>4.4789708342325325E-2</v>
      </c>
      <c r="AJ181">
        <f t="shared" si="12"/>
        <v>0.40286040034982712</v>
      </c>
      <c r="AL181">
        <f t="shared" si="6"/>
        <v>1</v>
      </c>
    </row>
    <row r="182" spans="1:38" x14ac:dyDescent="0.35">
      <c r="A182" t="s">
        <v>82</v>
      </c>
      <c r="B182">
        <f t="shared" si="12"/>
        <v>2.5535700743731784E-3</v>
      </c>
      <c r="C182">
        <f t="shared" si="12"/>
        <v>2.5074356890763725E-3</v>
      </c>
      <c r="D182">
        <f t="shared" si="12"/>
        <v>1.7160353423241455E-3</v>
      </c>
      <c r="E182">
        <f t="shared" si="12"/>
        <v>4.4330139553876652E-3</v>
      </c>
      <c r="F182">
        <f t="shared" si="12"/>
        <v>7.0355392551842795E-4</v>
      </c>
      <c r="G182">
        <f t="shared" si="12"/>
        <v>7.9138214778366853E-4</v>
      </c>
      <c r="H182">
        <f t="shared" si="12"/>
        <v>1.5552128770660218E-2</v>
      </c>
      <c r="I182">
        <f t="shared" si="12"/>
        <v>1.8654488741926957E-3</v>
      </c>
      <c r="J182">
        <f t="shared" si="12"/>
        <v>3.7599087241651306E-2</v>
      </c>
      <c r="K182">
        <f t="shared" si="12"/>
        <v>1.0156098195009917E-2</v>
      </c>
      <c r="L182">
        <f t="shared" si="12"/>
        <v>3.280855454892409E-2</v>
      </c>
      <c r="M182">
        <f t="shared" si="12"/>
        <v>9.3171075454761727E-3</v>
      </c>
      <c r="N182">
        <f t="shared" si="12"/>
        <v>4.7653271212731389E-3</v>
      </c>
      <c r="O182">
        <f t="shared" si="12"/>
        <v>1.3930946452465048E-3</v>
      </c>
      <c r="P182">
        <f t="shared" si="12"/>
        <v>8.7818758801589888E-3</v>
      </c>
      <c r="Q182">
        <f t="shared" si="12"/>
        <v>2.7425481638887728E-3</v>
      </c>
      <c r="R182">
        <f t="shared" si="12"/>
        <v>9.1616519560460685E-3</v>
      </c>
      <c r="S182">
        <f t="shared" si="12"/>
        <v>1.0545574321138887E-3</v>
      </c>
      <c r="T182">
        <f t="shared" si="12"/>
        <v>3.5255041892296715E-4</v>
      </c>
      <c r="U182">
        <f t="shared" si="12"/>
        <v>9.0494553148804634E-3</v>
      </c>
      <c r="V182">
        <f t="shared" si="12"/>
        <v>2.3482256524325673E-2</v>
      </c>
      <c r="W182">
        <f t="shared" si="12"/>
        <v>1.8617180856381216E-3</v>
      </c>
      <c r="X182">
        <f t="shared" si="12"/>
        <v>1.5493346102214976E-2</v>
      </c>
      <c r="Y182">
        <f t="shared" si="12"/>
        <v>4.9364702216010139E-4</v>
      </c>
      <c r="Z182">
        <f t="shared" si="12"/>
        <v>8.8821885948556331E-4</v>
      </c>
      <c r="AA182">
        <f t="shared" si="12"/>
        <v>1.4888030208977479E-2</v>
      </c>
      <c r="AB182">
        <f t="shared" si="12"/>
        <v>0</v>
      </c>
      <c r="AC182">
        <f t="shared" si="12"/>
        <v>1.9854383136952203E-2</v>
      </c>
      <c r="AD182">
        <f t="shared" si="12"/>
        <v>2.2936433059307215E-2</v>
      </c>
      <c r="AE182">
        <f t="shared" si="12"/>
        <v>6.4366439580543611E-2</v>
      </c>
      <c r="AF182">
        <f t="shared" si="12"/>
        <v>3.8176340325370976E-2</v>
      </c>
      <c r="AG182">
        <f t="shared" si="12"/>
        <v>3.6109301476451375E-2</v>
      </c>
      <c r="AH182">
        <f t="shared" si="12"/>
        <v>4.898889351526891E-3</v>
      </c>
      <c r="AI182">
        <f t="shared" si="12"/>
        <v>3.1142620967042591E-2</v>
      </c>
      <c r="AJ182">
        <f t="shared" si="12"/>
        <v>0.56810389805709438</v>
      </c>
      <c r="AL182">
        <f t="shared" si="6"/>
        <v>0.99999999999999978</v>
      </c>
    </row>
    <row r="183" spans="1:38" x14ac:dyDescent="0.35">
      <c r="A183" t="s">
        <v>83</v>
      </c>
      <c r="B183">
        <f t="shared" si="12"/>
        <v>1.3384379840428718E-3</v>
      </c>
      <c r="C183">
        <f t="shared" si="12"/>
        <v>4.2893452406402386E-3</v>
      </c>
      <c r="D183">
        <f t="shared" si="12"/>
        <v>5.4068265031965157E-3</v>
      </c>
      <c r="E183">
        <f t="shared" si="12"/>
        <v>5.6017716114041094E-4</v>
      </c>
      <c r="F183">
        <f t="shared" si="12"/>
        <v>2.9739657511794779E-3</v>
      </c>
      <c r="G183">
        <f t="shared" si="12"/>
        <v>1.7025159793365976E-3</v>
      </c>
      <c r="H183">
        <f t="shared" si="12"/>
        <v>2.8417430714378516E-3</v>
      </c>
      <c r="I183">
        <f t="shared" si="12"/>
        <v>4.079956285384224E-4</v>
      </c>
      <c r="J183">
        <f t="shared" si="12"/>
        <v>1.6551331520813302E-3</v>
      </c>
      <c r="K183">
        <f t="shared" si="12"/>
        <v>2.2330238895444783E-2</v>
      </c>
      <c r="L183">
        <f t="shared" si="12"/>
        <v>3.228623674711513E-2</v>
      </c>
      <c r="M183">
        <f t="shared" si="12"/>
        <v>8.487341683287776E-3</v>
      </c>
      <c r="N183">
        <f t="shared" si="12"/>
        <v>3.9538165769941978E-3</v>
      </c>
      <c r="O183">
        <f t="shared" si="12"/>
        <v>2.1690594896245041E-2</v>
      </c>
      <c r="P183">
        <f t="shared" si="12"/>
        <v>3.1207090137392448E-2</v>
      </c>
      <c r="Q183">
        <f t="shared" si="12"/>
        <v>2.7643547455662035E-3</v>
      </c>
      <c r="R183">
        <f t="shared" si="12"/>
        <v>1.9646674226801584E-2</v>
      </c>
      <c r="S183">
        <f t="shared" si="12"/>
        <v>1.1567615175915352E-3</v>
      </c>
      <c r="T183">
        <f t="shared" si="12"/>
        <v>4.79116998476742E-3</v>
      </c>
      <c r="U183">
        <f t="shared" si="12"/>
        <v>1.1537670099164891E-2</v>
      </c>
      <c r="V183">
        <f t="shared" si="12"/>
        <v>2.9117070605344537E-2</v>
      </c>
      <c r="W183">
        <f t="shared" si="12"/>
        <v>9.5025891487056802E-3</v>
      </c>
      <c r="X183">
        <f t="shared" si="12"/>
        <v>6.7727784902145149E-2</v>
      </c>
      <c r="Y183">
        <f t="shared" si="12"/>
        <v>2.6027534440671274E-3</v>
      </c>
      <c r="Z183">
        <f t="shared" si="12"/>
        <v>3.3522353322314039E-4</v>
      </c>
      <c r="AA183">
        <f t="shared" si="12"/>
        <v>3.5355172076602624E-2</v>
      </c>
      <c r="AB183">
        <f t="shared" si="12"/>
        <v>8.0926328230653873E-3</v>
      </c>
      <c r="AC183">
        <f t="shared" si="12"/>
        <v>0</v>
      </c>
      <c r="AD183">
        <f t="shared" si="12"/>
        <v>2.0855368338152238E-2</v>
      </c>
      <c r="AE183">
        <f t="shared" si="12"/>
        <v>0.11838239275407689</v>
      </c>
      <c r="AF183">
        <f t="shared" si="12"/>
        <v>9.263784714354005E-2</v>
      </c>
      <c r="AG183">
        <f t="shared" si="12"/>
        <v>9.4786711530808407E-3</v>
      </c>
      <c r="AH183">
        <f t="shared" si="12"/>
        <v>1.6297861793274605E-3</v>
      </c>
      <c r="AI183">
        <f t="shared" si="12"/>
        <v>6.7991027866496578E-2</v>
      </c>
      <c r="AJ183">
        <f t="shared" si="12"/>
        <v>0.35526359005020752</v>
      </c>
      <c r="AL183">
        <f t="shared" si="6"/>
        <v>1</v>
      </c>
    </row>
    <row r="184" spans="1:38" x14ac:dyDescent="0.35">
      <c r="A184" t="s">
        <v>84</v>
      </c>
      <c r="B184">
        <f t="shared" si="12"/>
        <v>1.1989895257952154E-3</v>
      </c>
      <c r="C184">
        <f t="shared" si="12"/>
        <v>1.599796083980712E-3</v>
      </c>
      <c r="D184">
        <f t="shared" si="12"/>
        <v>7.5024273231929736E-5</v>
      </c>
      <c r="E184">
        <f t="shared" si="12"/>
        <v>3.2344591464762327E-5</v>
      </c>
      <c r="F184">
        <f t="shared" si="12"/>
        <v>6.8539729532472561E-5</v>
      </c>
      <c r="G184">
        <f t="shared" si="12"/>
        <v>3.7430289248559213E-4</v>
      </c>
      <c r="H184">
        <f t="shared" si="12"/>
        <v>1.0553325146587613E-3</v>
      </c>
      <c r="I184">
        <f t="shared" si="12"/>
        <v>2.5313158537640084E-5</v>
      </c>
      <c r="J184">
        <f t="shared" si="12"/>
        <v>7.4633638069311842E-4</v>
      </c>
      <c r="K184">
        <f t="shared" si="12"/>
        <v>9.8524810208325108E-3</v>
      </c>
      <c r="L184">
        <f t="shared" si="12"/>
        <v>7.5510893034505195E-3</v>
      </c>
      <c r="M184">
        <f t="shared" si="12"/>
        <v>2.7418868080894684E-4</v>
      </c>
      <c r="N184">
        <f t="shared" si="12"/>
        <v>1.1111970632480036E-3</v>
      </c>
      <c r="O184">
        <f t="shared" si="12"/>
        <v>1.0888155285974387E-3</v>
      </c>
      <c r="P184">
        <f t="shared" si="12"/>
        <v>1.5964373656491743E-2</v>
      </c>
      <c r="Q184">
        <f t="shared" si="12"/>
        <v>2.0848756679149773E-5</v>
      </c>
      <c r="R184">
        <f t="shared" si="12"/>
        <v>4.5462492258959702E-6</v>
      </c>
      <c r="S184">
        <f t="shared" si="12"/>
        <v>8.7591564463579972E-5</v>
      </c>
      <c r="T184">
        <f t="shared" si="12"/>
        <v>4.9487894601365144E-5</v>
      </c>
      <c r="U184">
        <f t="shared" si="12"/>
        <v>5.5177625956615763E-3</v>
      </c>
      <c r="V184">
        <f t="shared" si="12"/>
        <v>9.3968218451456975E-5</v>
      </c>
      <c r="W184">
        <f t="shared" si="12"/>
        <v>8.7247061453499806E-4</v>
      </c>
      <c r="X184">
        <f t="shared" si="12"/>
        <v>3.0454661344668098E-4</v>
      </c>
      <c r="Y184">
        <f t="shared" si="12"/>
        <v>8.1296757843108636E-5</v>
      </c>
      <c r="Z184">
        <f t="shared" si="12"/>
        <v>6.8253263746552767E-5</v>
      </c>
      <c r="AA184">
        <f t="shared" si="12"/>
        <v>1.3671062506473618E-2</v>
      </c>
      <c r="AB184">
        <f t="shared" si="12"/>
        <v>2.5178556821606607E-3</v>
      </c>
      <c r="AC184">
        <f t="shared" si="12"/>
        <v>1.7960340761394886E-2</v>
      </c>
      <c r="AD184">
        <f t="shared" si="12"/>
        <v>0</v>
      </c>
      <c r="AE184">
        <f t="shared" si="12"/>
        <v>0.30100802436426477</v>
      </c>
      <c r="AF184">
        <f t="shared" si="12"/>
        <v>1.163704381639661E-2</v>
      </c>
      <c r="AG184">
        <f t="shared" si="12"/>
        <v>1.3172820377726572E-2</v>
      </c>
      <c r="AH184">
        <f t="shared" si="12"/>
        <v>4.1391850644388242E-3</v>
      </c>
      <c r="AI184">
        <f t="shared" si="12"/>
        <v>0.28198387616534981</v>
      </c>
      <c r="AJ184">
        <f t="shared" si="12"/>
        <v>0.30579089432933043</v>
      </c>
      <c r="AL184">
        <f t="shared" si="6"/>
        <v>1</v>
      </c>
    </row>
    <row r="185" spans="1:38" x14ac:dyDescent="0.35">
      <c r="A185" t="s">
        <v>85</v>
      </c>
      <c r="B185">
        <f t="shared" si="12"/>
        <v>1.1790594828749894E-3</v>
      </c>
      <c r="C185">
        <f t="shared" si="12"/>
        <v>1.2592093528061778E-3</v>
      </c>
      <c r="D185">
        <f t="shared" si="12"/>
        <v>1.1482228022472395E-4</v>
      </c>
      <c r="E185">
        <f t="shared" si="12"/>
        <v>1.1572895621173485E-3</v>
      </c>
      <c r="F185">
        <f t="shared" si="12"/>
        <v>1.5449631320160703E-3</v>
      </c>
      <c r="G185">
        <f t="shared" si="12"/>
        <v>1.4170991913523162E-3</v>
      </c>
      <c r="H185">
        <f t="shared" si="12"/>
        <v>1.7135350107854894E-3</v>
      </c>
      <c r="I185">
        <f t="shared" si="12"/>
        <v>7.7443669272789692E-5</v>
      </c>
      <c r="J185">
        <f t="shared" si="12"/>
        <v>6.9082281412381503E-4</v>
      </c>
      <c r="K185">
        <f t="shared" si="12"/>
        <v>1.0382345111083437E-2</v>
      </c>
      <c r="L185">
        <f t="shared" si="12"/>
        <v>1.5464324176024684E-2</v>
      </c>
      <c r="M185">
        <f t="shared" si="12"/>
        <v>3.315512421370786E-3</v>
      </c>
      <c r="N185">
        <f t="shared" si="12"/>
        <v>7.4809837484021886E-4</v>
      </c>
      <c r="O185">
        <f t="shared" si="12"/>
        <v>2.8690036787637437E-3</v>
      </c>
      <c r="P185">
        <f t="shared" si="12"/>
        <v>8.7823376421851101E-3</v>
      </c>
      <c r="Q185">
        <f t="shared" si="12"/>
        <v>1.1000786485301434E-4</v>
      </c>
      <c r="R185">
        <f t="shared" si="12"/>
        <v>1.1075669409956521E-4</v>
      </c>
      <c r="S185">
        <f t="shared" si="12"/>
        <v>5.9243706649784452E-5</v>
      </c>
      <c r="T185">
        <f t="shared" si="12"/>
        <v>3.0306825573823562E-3</v>
      </c>
      <c r="U185">
        <f t="shared" si="12"/>
        <v>8.0904786782405279E-3</v>
      </c>
      <c r="V185">
        <f t="shared" si="12"/>
        <v>1.3346004757269106E-3</v>
      </c>
      <c r="W185">
        <f t="shared" si="12"/>
        <v>5.3014237450060224E-4</v>
      </c>
      <c r="X185">
        <f t="shared" si="12"/>
        <v>4.2174350486319848E-4</v>
      </c>
      <c r="Y185">
        <f t="shared" si="12"/>
        <v>2.1319186606839473E-4</v>
      </c>
      <c r="Z185">
        <f t="shared" si="12"/>
        <v>2.3042212175342029E-4</v>
      </c>
      <c r="AA185">
        <f t="shared" si="12"/>
        <v>3.0071653683827644E-3</v>
      </c>
      <c r="AB185">
        <f t="shared" si="12"/>
        <v>2.9493277367930496E-3</v>
      </c>
      <c r="AC185">
        <f t="shared" si="12"/>
        <v>4.9473674005920266E-2</v>
      </c>
      <c r="AD185">
        <f t="shared" si="12"/>
        <v>0.17285337732733291</v>
      </c>
      <c r="AE185">
        <f t="shared" si="12"/>
        <v>0</v>
      </c>
      <c r="AF185">
        <f t="shared" si="12"/>
        <v>8.010657969942174E-2</v>
      </c>
      <c r="AG185">
        <f t="shared" si="12"/>
        <v>2.1699115989386276E-2</v>
      </c>
      <c r="AH185">
        <f t="shared" si="12"/>
        <v>1.4737139147480227E-3</v>
      </c>
      <c r="AI185">
        <f t="shared" si="12"/>
        <v>0.15548013117128781</v>
      </c>
      <c r="AJ185">
        <f t="shared" si="12"/>
        <v>0.44810977904274774</v>
      </c>
      <c r="AL185">
        <f t="shared" si="6"/>
        <v>1</v>
      </c>
    </row>
    <row r="186" spans="1:38" x14ac:dyDescent="0.35">
      <c r="A186" t="s">
        <v>86</v>
      </c>
      <c r="B186">
        <f t="shared" si="12"/>
        <v>4.3785360536527623E-4</v>
      </c>
      <c r="C186">
        <f t="shared" si="12"/>
        <v>7.1776730232807318E-4</v>
      </c>
      <c r="D186">
        <f t="shared" si="12"/>
        <v>8.0539969665908568E-6</v>
      </c>
      <c r="E186">
        <f t="shared" si="12"/>
        <v>2.1618797950667929E-6</v>
      </c>
      <c r="F186">
        <f t="shared" si="12"/>
        <v>1.1774287043377578E-5</v>
      </c>
      <c r="G186">
        <f t="shared" si="12"/>
        <v>5.7492076329237904E-5</v>
      </c>
      <c r="H186">
        <f t="shared" si="12"/>
        <v>3.8358113836274056E-4</v>
      </c>
      <c r="I186">
        <f t="shared" si="12"/>
        <v>1.0295455159022072E-5</v>
      </c>
      <c r="J186">
        <f t="shared" si="12"/>
        <v>1.862565547979861E-4</v>
      </c>
      <c r="K186">
        <f t="shared" si="12"/>
        <v>1.9235424949603495E-3</v>
      </c>
      <c r="L186">
        <f t="shared" si="12"/>
        <v>2.2956212391373743E-3</v>
      </c>
      <c r="M186">
        <f t="shared" si="12"/>
        <v>5.371939714085294E-4</v>
      </c>
      <c r="N186">
        <f t="shared" si="12"/>
        <v>4.0057775773315825E-5</v>
      </c>
      <c r="O186">
        <f t="shared" si="12"/>
        <v>7.264479791739088E-4</v>
      </c>
      <c r="P186">
        <f t="shared" si="12"/>
        <v>4.9082596030087062E-3</v>
      </c>
      <c r="Q186">
        <f t="shared" si="12"/>
        <v>4.6387574130344217E-6</v>
      </c>
      <c r="R186">
        <f t="shared" si="12"/>
        <v>5.4378571532354906E-7</v>
      </c>
      <c r="S186">
        <f t="shared" si="12"/>
        <v>7.2084764945938778E-6</v>
      </c>
      <c r="T186">
        <f t="shared" si="12"/>
        <v>1.634009759216128E-5</v>
      </c>
      <c r="U186">
        <f t="shared" si="12"/>
        <v>9.3259581754644356E-4</v>
      </c>
      <c r="V186">
        <f t="shared" si="12"/>
        <v>2.9961266607704809E-5</v>
      </c>
      <c r="W186">
        <f t="shared" si="12"/>
        <v>2.9087893696630283E-4</v>
      </c>
      <c r="X186">
        <f t="shared" si="12"/>
        <v>3.0206633332911782E-6</v>
      </c>
      <c r="Y186">
        <f t="shared" si="12"/>
        <v>5.272068825392946E-6</v>
      </c>
      <c r="Z186">
        <f t="shared" si="12"/>
        <v>5.049912466083934E-6</v>
      </c>
      <c r="AA186">
        <f t="shared" si="12"/>
        <v>1.3306768030622931E-3</v>
      </c>
      <c r="AB186">
        <f t="shared" si="12"/>
        <v>8.1689214354513113E-4</v>
      </c>
      <c r="AC186">
        <f t="shared" si="12"/>
        <v>3.0057748782976065E-2</v>
      </c>
      <c r="AD186">
        <f t="shared" si="12"/>
        <v>6.5830267647416455E-3</v>
      </c>
      <c r="AE186">
        <f t="shared" si="12"/>
        <v>3.715475915322828E-2</v>
      </c>
      <c r="AF186">
        <f t="shared" si="12"/>
        <v>0</v>
      </c>
      <c r="AG186">
        <f t="shared" si="12"/>
        <v>1.1137991441117889E-4</v>
      </c>
      <c r="AH186">
        <f t="shared" si="12"/>
        <v>2.2103894597935212E-4</v>
      </c>
      <c r="AI186">
        <f t="shared" si="12"/>
        <v>0.11128086914835919</v>
      </c>
      <c r="AJ186">
        <f t="shared" si="12"/>
        <v>0.79890173920112706</v>
      </c>
      <c r="AL186">
        <f t="shared" si="6"/>
        <v>1</v>
      </c>
    </row>
    <row r="187" spans="1:38" x14ac:dyDescent="0.35">
      <c r="A187" t="s">
        <v>87</v>
      </c>
      <c r="B187">
        <f t="shared" si="12"/>
        <v>4.3535299438645096E-4</v>
      </c>
      <c r="C187">
        <f t="shared" si="12"/>
        <v>9.7707072287800205E-4</v>
      </c>
      <c r="D187">
        <f t="shared" si="12"/>
        <v>2.4389523495039272E-5</v>
      </c>
      <c r="E187">
        <f t="shared" si="12"/>
        <v>5.6520966800009788E-5</v>
      </c>
      <c r="F187">
        <f t="shared" si="12"/>
        <v>2.1906517310795999E-4</v>
      </c>
      <c r="G187">
        <f t="shared" si="12"/>
        <v>9.0711694745255174E-5</v>
      </c>
      <c r="H187">
        <f t="shared" si="12"/>
        <v>4.1062919823437312E-4</v>
      </c>
      <c r="I187">
        <f t="shared" si="12"/>
        <v>1.1218768125425424E-5</v>
      </c>
      <c r="J187">
        <f t="shared" si="12"/>
        <v>1.1475043829155027E-4</v>
      </c>
      <c r="K187">
        <f t="shared" si="12"/>
        <v>6.5685918325537806E-3</v>
      </c>
      <c r="L187">
        <f t="shared" si="12"/>
        <v>6.9582361362073965E-3</v>
      </c>
      <c r="M187">
        <f t="shared" si="12"/>
        <v>2.7979034076424243E-4</v>
      </c>
      <c r="N187">
        <f t="shared" si="12"/>
        <v>1.7599868075375422E-4</v>
      </c>
      <c r="O187">
        <f t="shared" si="12"/>
        <v>3.2293421104831818E-4</v>
      </c>
      <c r="P187">
        <f t="shared" si="12"/>
        <v>1.5285731485280538E-2</v>
      </c>
      <c r="Q187">
        <f t="shared" si="12"/>
        <v>1.237840536774455E-5</v>
      </c>
      <c r="R187">
        <f t="shared" si="12"/>
        <v>5.5460373307924321E-5</v>
      </c>
      <c r="S187">
        <f t="shared" si="12"/>
        <v>4.2383915842178781E-4</v>
      </c>
      <c r="T187">
        <f t="shared" si="12"/>
        <v>1.4291187794132149E-5</v>
      </c>
      <c r="U187">
        <f t="shared" si="12"/>
        <v>1.8862407647364395E-3</v>
      </c>
      <c r="V187">
        <f t="shared" si="12"/>
        <v>3.5946278418137067E-4</v>
      </c>
      <c r="W187">
        <f t="shared" si="12"/>
        <v>1.2363070093750041E-2</v>
      </c>
      <c r="X187">
        <f t="shared" si="12"/>
        <v>1.6869420417402162E-4</v>
      </c>
      <c r="Y187">
        <f t="shared" si="12"/>
        <v>1.6119370350528496E-5</v>
      </c>
      <c r="Z187">
        <f t="shared" si="12"/>
        <v>5.0334859233332314E-5</v>
      </c>
      <c r="AA187">
        <f t="shared" si="12"/>
        <v>3.5110951682312222E-2</v>
      </c>
      <c r="AB187">
        <f t="shared" si="12"/>
        <v>1.52967913707233E-3</v>
      </c>
      <c r="AC187">
        <f t="shared" si="12"/>
        <v>4.0418083107072273E-3</v>
      </c>
      <c r="AD187">
        <f t="shared" si="12"/>
        <v>9.3598654991649387E-3</v>
      </c>
      <c r="AE187">
        <f t="shared" si="12"/>
        <v>1.6458593131667323E-2</v>
      </c>
      <c r="AF187">
        <f t="shared" si="12"/>
        <v>5.6751449860449382E-4</v>
      </c>
      <c r="AG187">
        <f t="shared" si="12"/>
        <v>0</v>
      </c>
      <c r="AH187">
        <f t="shared" si="12"/>
        <v>1.865117621587648E-4</v>
      </c>
      <c r="AI187">
        <f t="shared" si="12"/>
        <v>6.6204909640173656E-2</v>
      </c>
      <c r="AJ187">
        <f t="shared" si="12"/>
        <v>0.81925928297014972</v>
      </c>
      <c r="AL187">
        <f t="shared" si="6"/>
        <v>1</v>
      </c>
    </row>
    <row r="188" spans="1:38" x14ac:dyDescent="0.35">
      <c r="A188" t="s">
        <v>88</v>
      </c>
      <c r="B188">
        <f t="shared" si="12"/>
        <v>1.5235068134565894E-3</v>
      </c>
      <c r="C188">
        <f t="shared" si="12"/>
        <v>3.9919485391086814E-4</v>
      </c>
      <c r="D188">
        <f t="shared" si="12"/>
        <v>9.277945322002844E-4</v>
      </c>
      <c r="E188">
        <f t="shared" si="12"/>
        <v>7.2857825169340339E-5</v>
      </c>
      <c r="F188">
        <f t="shared" si="12"/>
        <v>5.5964069346715282E-5</v>
      </c>
      <c r="G188">
        <f t="shared" si="12"/>
        <v>2.1586481343062102E-3</v>
      </c>
      <c r="H188">
        <f t="shared" si="12"/>
        <v>4.3190338480102354E-4</v>
      </c>
      <c r="I188">
        <f t="shared" si="12"/>
        <v>6.2000672403991278E-3</v>
      </c>
      <c r="J188">
        <f t="shared" si="12"/>
        <v>8.2330155180105182E-4</v>
      </c>
      <c r="K188">
        <f t="shared" si="12"/>
        <v>4.7806974838199611E-3</v>
      </c>
      <c r="L188">
        <f t="shared" ref="L188:AJ188" si="13">L233/$AL233</f>
        <v>6.6887073568694097E-2</v>
      </c>
      <c r="M188">
        <f t="shared" si="13"/>
        <v>5.7154059004950993E-3</v>
      </c>
      <c r="N188">
        <f t="shared" si="13"/>
        <v>1.8869944107423632E-3</v>
      </c>
      <c r="O188">
        <f t="shared" si="13"/>
        <v>5.0226414022285914E-4</v>
      </c>
      <c r="P188">
        <f t="shared" si="13"/>
        <v>8.6804870537064791E-3</v>
      </c>
      <c r="Q188">
        <f t="shared" si="13"/>
        <v>1.3545342233876408E-2</v>
      </c>
      <c r="R188">
        <f t="shared" si="13"/>
        <v>1.2108159485922225E-2</v>
      </c>
      <c r="S188">
        <f t="shared" si="13"/>
        <v>4.1572988366426687E-5</v>
      </c>
      <c r="T188">
        <f t="shared" si="13"/>
        <v>7.0355150327003883E-5</v>
      </c>
      <c r="U188">
        <f t="shared" si="13"/>
        <v>3.3122467143473585E-4</v>
      </c>
      <c r="V188">
        <f t="shared" si="13"/>
        <v>4.769038886570107E-3</v>
      </c>
      <c r="W188">
        <f t="shared" si="13"/>
        <v>9.2072090252272895E-4</v>
      </c>
      <c r="X188">
        <f t="shared" si="13"/>
        <v>9.5802561117484591E-4</v>
      </c>
      <c r="Y188">
        <f t="shared" si="13"/>
        <v>2.3566060710233835E-4</v>
      </c>
      <c r="Z188">
        <f t="shared" si="13"/>
        <v>1.167793482702328E-4</v>
      </c>
      <c r="AA188">
        <f t="shared" si="13"/>
        <v>4.4652371415992709E-3</v>
      </c>
      <c r="AB188">
        <f t="shared" si="13"/>
        <v>1.4986061796669371E-3</v>
      </c>
      <c r="AC188">
        <f t="shared" si="13"/>
        <v>5.5964181448611922E-3</v>
      </c>
      <c r="AD188">
        <f t="shared" si="13"/>
        <v>9.2406125878765708E-3</v>
      </c>
      <c r="AE188">
        <f t="shared" si="13"/>
        <v>6.6436544453767482E-3</v>
      </c>
      <c r="AF188">
        <f t="shared" si="13"/>
        <v>1.0821672515064652E-3</v>
      </c>
      <c r="AG188">
        <f t="shared" si="13"/>
        <v>8.9702816666929958E-4</v>
      </c>
      <c r="AH188">
        <f t="shared" si="13"/>
        <v>0</v>
      </c>
      <c r="AI188">
        <f t="shared" si="13"/>
        <v>4.578033789736867E-2</v>
      </c>
      <c r="AJ188">
        <f t="shared" si="13"/>
        <v>0.79065289733643573</v>
      </c>
      <c r="AL188">
        <f t="shared" si="6"/>
        <v>1</v>
      </c>
    </row>
    <row r="189" spans="1:38" x14ac:dyDescent="0.35">
      <c r="A189" t="s">
        <v>89</v>
      </c>
      <c r="B189">
        <f t="shared" ref="B189:AJ190" si="14">B234/$AL234</f>
        <v>1.0658673691561924E-3</v>
      </c>
      <c r="C189">
        <f t="shared" si="14"/>
        <v>1.1401098908680636E-3</v>
      </c>
      <c r="D189">
        <f t="shared" si="14"/>
        <v>7.8233641545272714E-4</v>
      </c>
      <c r="E189">
        <f t="shared" si="14"/>
        <v>7.9757111268619378E-4</v>
      </c>
      <c r="F189">
        <f t="shared" si="14"/>
        <v>7.6602972678641609E-4</v>
      </c>
      <c r="G189">
        <f t="shared" si="14"/>
        <v>2.5607684776964104E-3</v>
      </c>
      <c r="H189">
        <f t="shared" si="14"/>
        <v>1.4667533560179483E-3</v>
      </c>
      <c r="I189">
        <f t="shared" si="14"/>
        <v>1.8863254558124817E-4</v>
      </c>
      <c r="J189">
        <f t="shared" si="14"/>
        <v>9.0624931092425176E-4</v>
      </c>
      <c r="K189">
        <f t="shared" si="14"/>
        <v>8.5345550082322023E-3</v>
      </c>
      <c r="L189">
        <f t="shared" si="14"/>
        <v>1.8697196789491395E-2</v>
      </c>
      <c r="M189">
        <f t="shared" si="14"/>
        <v>2.97235195589606E-3</v>
      </c>
      <c r="N189">
        <f t="shared" si="14"/>
        <v>1.5113578587586723E-3</v>
      </c>
      <c r="O189">
        <f t="shared" si="14"/>
        <v>1.9286454007852209E-3</v>
      </c>
      <c r="P189">
        <f t="shared" si="14"/>
        <v>8.4853572421195352E-3</v>
      </c>
      <c r="Q189">
        <f t="shared" si="14"/>
        <v>3.0131411005523886E-4</v>
      </c>
      <c r="R189">
        <f t="shared" si="14"/>
        <v>4.2280359770190969E-4</v>
      </c>
      <c r="S189">
        <f t="shared" si="14"/>
        <v>4.5088753094338195E-4</v>
      </c>
      <c r="T189">
        <f t="shared" si="14"/>
        <v>1.0811719226294502E-3</v>
      </c>
      <c r="U189">
        <f t="shared" si="14"/>
        <v>4.6907067894966349E-3</v>
      </c>
      <c r="V189">
        <f t="shared" si="14"/>
        <v>5.9575091642417397E-3</v>
      </c>
      <c r="W189">
        <f t="shared" si="14"/>
        <v>5.9481234178510346E-3</v>
      </c>
      <c r="X189">
        <f t="shared" si="14"/>
        <v>3.6919497062119075E-3</v>
      </c>
      <c r="Y189">
        <f t="shared" si="14"/>
        <v>1.9703168038774302E-4</v>
      </c>
      <c r="Z189">
        <f t="shared" si="14"/>
        <v>6.0452037554383333E-4</v>
      </c>
      <c r="AA189">
        <f t="shared" si="14"/>
        <v>5.4794009851930701E-3</v>
      </c>
      <c r="AB189">
        <f t="shared" si="14"/>
        <v>1.779011610307135E-3</v>
      </c>
      <c r="AC189">
        <f t="shared" si="14"/>
        <v>2.7566875465415037E-2</v>
      </c>
      <c r="AD189">
        <f t="shared" si="14"/>
        <v>5.8776542542374133E-2</v>
      </c>
      <c r="AE189">
        <f t="shared" si="14"/>
        <v>0.14260136626800105</v>
      </c>
      <c r="AF189">
        <f t="shared" si="14"/>
        <v>0.13546236213413992</v>
      </c>
      <c r="AG189">
        <f t="shared" si="14"/>
        <v>6.5505761349393204E-2</v>
      </c>
      <c r="AH189">
        <f t="shared" si="14"/>
        <v>5.223249365374172E-3</v>
      </c>
      <c r="AI189">
        <f t="shared" si="14"/>
        <v>0</v>
      </c>
      <c r="AJ189">
        <f t="shared" si="14"/>
        <v>0.48245562952428678</v>
      </c>
      <c r="AL189">
        <f t="shared" si="6"/>
        <v>1</v>
      </c>
    </row>
    <row r="190" spans="1:38" x14ac:dyDescent="0.35">
      <c r="A190" t="s">
        <v>90</v>
      </c>
      <c r="B190">
        <f t="shared" si="14"/>
        <v>6.4226282010374528E-3</v>
      </c>
      <c r="C190">
        <f t="shared" si="14"/>
        <v>6.4677201248968669E-3</v>
      </c>
      <c r="D190">
        <f t="shared" si="14"/>
        <v>5.4613881098342504E-3</v>
      </c>
      <c r="E190">
        <f t="shared" si="14"/>
        <v>5.4675885468135387E-3</v>
      </c>
      <c r="F190">
        <f t="shared" si="14"/>
        <v>4.2766132938344475E-4</v>
      </c>
      <c r="G190">
        <f t="shared" si="14"/>
        <v>1.3509022795532896E-3</v>
      </c>
      <c r="H190">
        <f t="shared" si="14"/>
        <v>2.9817059573408432E-3</v>
      </c>
      <c r="I190">
        <f t="shared" si="14"/>
        <v>8.6724954433693832E-4</v>
      </c>
      <c r="J190">
        <f t="shared" si="14"/>
        <v>9.8592350280624595E-4</v>
      </c>
      <c r="K190">
        <f t="shared" si="14"/>
        <v>5.0756569380746054E-2</v>
      </c>
      <c r="L190">
        <f t="shared" si="14"/>
        <v>5.9939346445663878E-2</v>
      </c>
      <c r="M190">
        <f t="shared" si="14"/>
        <v>9.6127752149385345E-3</v>
      </c>
      <c r="N190">
        <f t="shared" si="14"/>
        <v>2.4469827418747204E-3</v>
      </c>
      <c r="O190">
        <f t="shared" si="14"/>
        <v>1.0808453050138609E-3</v>
      </c>
      <c r="P190">
        <f t="shared" si="14"/>
        <v>2.7673042877770067E-2</v>
      </c>
      <c r="Q190">
        <f t="shared" si="14"/>
        <v>3.3641071838097915E-3</v>
      </c>
      <c r="R190">
        <f t="shared" si="14"/>
        <v>3.5660416724912335E-3</v>
      </c>
      <c r="S190">
        <f t="shared" si="14"/>
        <v>7.0578736134021592E-4</v>
      </c>
      <c r="T190">
        <f t="shared" si="14"/>
        <v>1.495352974266735E-4</v>
      </c>
      <c r="U190">
        <f t="shared" si="14"/>
        <v>9.8854150081595094E-3</v>
      </c>
      <c r="V190">
        <f t="shared" si="14"/>
        <v>5.4590799085772624E-3</v>
      </c>
      <c r="W190">
        <f t="shared" si="14"/>
        <v>8.013560901692883E-3</v>
      </c>
      <c r="X190">
        <f t="shared" si="14"/>
        <v>4.4652227276695267E-3</v>
      </c>
      <c r="Y190">
        <f t="shared" si="14"/>
        <v>4.581917768538454E-4</v>
      </c>
      <c r="Z190">
        <f t="shared" si="14"/>
        <v>1.5441319746952033E-3</v>
      </c>
      <c r="AA190">
        <f t="shared" si="14"/>
        <v>2.7746367659523232E-2</v>
      </c>
      <c r="AB190">
        <f t="shared" si="14"/>
        <v>8.6128198550620705E-3</v>
      </c>
      <c r="AC190">
        <f t="shared" si="14"/>
        <v>3.2399080127968931E-2</v>
      </c>
      <c r="AD190">
        <f t="shared" si="14"/>
        <v>4.7012171730156774E-2</v>
      </c>
      <c r="AE190">
        <f t="shared" si="14"/>
        <v>0.11286937768402935</v>
      </c>
      <c r="AF190">
        <f t="shared" si="14"/>
        <v>0.1940978875179705</v>
      </c>
      <c r="AG190">
        <f t="shared" si="14"/>
        <v>5.6813870227415637E-2</v>
      </c>
      <c r="AH190">
        <f t="shared" si="14"/>
        <v>0.14463650394993557</v>
      </c>
      <c r="AI190">
        <f t="shared" si="14"/>
        <v>0.15625851787321188</v>
      </c>
      <c r="AJ190">
        <f t="shared" si="14"/>
        <v>0</v>
      </c>
      <c r="AL190">
        <f t="shared" si="6"/>
        <v>1</v>
      </c>
    </row>
    <row r="192" spans="1:38" x14ac:dyDescent="0.35">
      <c r="F192" t="s">
        <v>60</v>
      </c>
    </row>
    <row r="193" spans="1:38" x14ac:dyDescent="0.35">
      <c r="A193" t="s">
        <v>432</v>
      </c>
      <c r="B193" t="s">
        <v>433</v>
      </c>
      <c r="C193" t="s">
        <v>434</v>
      </c>
      <c r="D193" t="s">
        <v>435</v>
      </c>
      <c r="E193" t="s">
        <v>436</v>
      </c>
      <c r="F193" t="s">
        <v>437</v>
      </c>
      <c r="G193" t="s">
        <v>438</v>
      </c>
      <c r="H193" t="s">
        <v>439</v>
      </c>
      <c r="I193" t="s">
        <v>440</v>
      </c>
      <c r="J193" t="s">
        <v>441</v>
      </c>
      <c r="K193" t="s">
        <v>442</v>
      </c>
      <c r="L193" t="s">
        <v>443</v>
      </c>
      <c r="M193" t="s">
        <v>444</v>
      </c>
      <c r="N193" t="s">
        <v>445</v>
      </c>
      <c r="O193" t="s">
        <v>446</v>
      </c>
      <c r="P193" t="s">
        <v>447</v>
      </c>
      <c r="Q193" t="s">
        <v>448</v>
      </c>
      <c r="R193" t="s">
        <v>449</v>
      </c>
      <c r="S193" t="s">
        <v>450</v>
      </c>
      <c r="T193" t="s">
        <v>451</v>
      </c>
      <c r="U193" t="s">
        <v>452</v>
      </c>
      <c r="V193" t="s">
        <v>453</v>
      </c>
      <c r="W193" t="s">
        <v>454</v>
      </c>
      <c r="X193" t="s">
        <v>455</v>
      </c>
      <c r="Y193" t="s">
        <v>456</v>
      </c>
      <c r="Z193" t="s">
        <v>457</v>
      </c>
      <c r="AA193" t="s">
        <v>458</v>
      </c>
      <c r="AB193" t="s">
        <v>459</v>
      </c>
      <c r="AC193" t="s">
        <v>460</v>
      </c>
      <c r="AD193" t="s">
        <v>461</v>
      </c>
      <c r="AE193" t="s">
        <v>164</v>
      </c>
      <c r="AF193" t="s">
        <v>86</v>
      </c>
      <c r="AG193" t="s">
        <v>87</v>
      </c>
      <c r="AH193" t="s">
        <v>88</v>
      </c>
      <c r="AI193" t="s">
        <v>89</v>
      </c>
      <c r="AJ193" t="s">
        <v>90</v>
      </c>
    </row>
    <row r="194" spans="1:38" x14ac:dyDescent="0.35">
      <c r="A194" t="s">
        <v>462</v>
      </c>
      <c r="B194" s="100">
        <v>6.7638094652093458E-3</v>
      </c>
      <c r="C194" s="100">
        <v>6.0517171836007855E-3</v>
      </c>
      <c r="D194" s="100">
        <v>7.7984313042458895E-3</v>
      </c>
      <c r="E194" s="100">
        <v>1.1432512756108498E-2</v>
      </c>
      <c r="F194" s="101">
        <v>2.5111601733975593E-2</v>
      </c>
      <c r="G194" s="100">
        <v>3.7858541191296614E-3</v>
      </c>
      <c r="H194" s="100">
        <v>5.108581845221092E-3</v>
      </c>
      <c r="I194" s="100">
        <v>7.8017258026502846E-3</v>
      </c>
      <c r="J194" s="100">
        <v>3.0320098344720284E-3</v>
      </c>
      <c r="K194" s="100">
        <v>5.2085601839995709E-3</v>
      </c>
      <c r="L194" s="100">
        <v>6.7653358045530994E-3</v>
      </c>
      <c r="M194" s="100">
        <v>9.8700339417379622E-3</v>
      </c>
      <c r="N194" s="100">
        <v>5.0849162782492198E-3</v>
      </c>
      <c r="O194" s="100">
        <v>8.1738329729474125E-3</v>
      </c>
      <c r="P194" s="100">
        <v>5.0635419117172099E-3</v>
      </c>
      <c r="Q194" s="100">
        <v>1.4625487128787217E-2</v>
      </c>
      <c r="R194" s="100">
        <v>1.7020425175451041E-2</v>
      </c>
      <c r="S194" s="100">
        <v>2.5743494823914276E-2</v>
      </c>
      <c r="T194" s="100">
        <v>2.447970864403691E-2</v>
      </c>
      <c r="U194" s="100">
        <v>6.5774558915870432E-3</v>
      </c>
      <c r="V194" s="100">
        <v>4.7801411029414782E-3</v>
      </c>
      <c r="W194" s="100">
        <v>9.405439016020492E-3</v>
      </c>
      <c r="X194" s="100">
        <v>1.10735976213417E-2</v>
      </c>
      <c r="Y194" s="100">
        <v>3.5934788599779159E-3</v>
      </c>
      <c r="Z194" s="100">
        <v>7.0714026030333152E-3</v>
      </c>
      <c r="AA194" s="100">
        <v>6.1640668342778015E-3</v>
      </c>
      <c r="AB194" s="100">
        <v>7.1498562870118427E-3</v>
      </c>
      <c r="AC194" s="100">
        <v>6.0638369645959955E-3</v>
      </c>
      <c r="AD194" s="100">
        <v>4.1624106228969654E-4</v>
      </c>
      <c r="AE194" s="100">
        <v>1.3251843148416149E-3</v>
      </c>
      <c r="AF194" s="100">
        <v>8.685831899774908E-4</v>
      </c>
      <c r="AG194" s="100">
        <v>1.5012725870325971E-3</v>
      </c>
      <c r="AH194" s="100">
        <v>3.6601629965195238E-3</v>
      </c>
      <c r="AI194" s="100">
        <v>2.4650430266646771E-3</v>
      </c>
      <c r="AJ194" s="100">
        <v>2.2029915947564564E-3</v>
      </c>
    </row>
    <row r="197" spans="1:38" x14ac:dyDescent="0.35">
      <c r="B197">
        <f>SUM(B156:B190)</f>
        <v>0.29459896202976704</v>
      </c>
      <c r="C197">
        <f t="shared" ref="C197:AJ197" si="15">SUM(C156:C190)</f>
        <v>0.31606464871954354</v>
      </c>
      <c r="D197">
        <f t="shared" si="15"/>
        <v>0.13908034756894183</v>
      </c>
      <c r="E197">
        <f t="shared" si="15"/>
        <v>0.16017995384668596</v>
      </c>
      <c r="F197">
        <f t="shared" si="15"/>
        <v>4.6142645445481106E-2</v>
      </c>
      <c r="G197">
        <f t="shared" si="15"/>
        <v>0.3072339798893583</v>
      </c>
      <c r="H197">
        <f t="shared" si="15"/>
        <v>0.12680769914065804</v>
      </c>
      <c r="I197">
        <f t="shared" si="15"/>
        <v>6.3529798918531555E-2</v>
      </c>
      <c r="J197">
        <f t="shared" si="15"/>
        <v>0.17046630381272077</v>
      </c>
      <c r="K197">
        <f t="shared" si="15"/>
        <v>1.1298208429629251</v>
      </c>
      <c r="L197">
        <f t="shared" si="15"/>
        <v>2.6282362264567412</v>
      </c>
      <c r="M197">
        <f t="shared" si="15"/>
        <v>0.23212025537753189</v>
      </c>
      <c r="N197">
        <f t="shared" si="15"/>
        <v>0.23536067432026661</v>
      </c>
      <c r="O197">
        <f t="shared" si="15"/>
        <v>0.21211673455727975</v>
      </c>
      <c r="P197">
        <f t="shared" si="15"/>
        <v>0.90440770735018983</v>
      </c>
      <c r="Q197">
        <f t="shared" si="15"/>
        <v>0.13243689155631844</v>
      </c>
      <c r="R197">
        <f t="shared" si="15"/>
        <v>0.21497179789267301</v>
      </c>
      <c r="S197">
        <f t="shared" si="15"/>
        <v>7.3999263845500735E-2</v>
      </c>
      <c r="T197">
        <f t="shared" si="15"/>
        <v>1.9121069269327468E-2</v>
      </c>
      <c r="U197">
        <f t="shared" si="15"/>
        <v>0.35863900184930186</v>
      </c>
      <c r="V197">
        <f t="shared" si="15"/>
        <v>0.55454799660824117</v>
      </c>
      <c r="W197">
        <f t="shared" si="15"/>
        <v>0.28018658631717958</v>
      </c>
      <c r="X197">
        <f t="shared" si="15"/>
        <v>0.94609440834019431</v>
      </c>
      <c r="Y197">
        <f t="shared" si="15"/>
        <v>0.18506598059304905</v>
      </c>
      <c r="Z197">
        <f t="shared" si="15"/>
        <v>8.3386943524867266E-2</v>
      </c>
      <c r="AA197">
        <f t="shared" si="15"/>
        <v>0.89043977429476839</v>
      </c>
      <c r="AB197">
        <f t="shared" si="15"/>
        <v>0.5207247325273141</v>
      </c>
      <c r="AC197">
        <f t="shared" si="15"/>
        <v>2.2480581162000495</v>
      </c>
      <c r="AD197">
        <f t="shared" si="15"/>
        <v>0.79265686334017982</v>
      </c>
      <c r="AE197">
        <f t="shared" si="15"/>
        <v>2.1169729231847656</v>
      </c>
      <c r="AF197">
        <f t="shared" si="15"/>
        <v>0.96436535668303336</v>
      </c>
      <c r="AG197">
        <f t="shared" si="15"/>
        <v>0.90544155283434824</v>
      </c>
      <c r="AH197">
        <f t="shared" si="15"/>
        <v>1.1443123728474718</v>
      </c>
      <c r="AI197">
        <f t="shared" si="15"/>
        <v>2.733879107947276</v>
      </c>
      <c r="AJ197">
        <f t="shared" si="15"/>
        <v>12.868532479947518</v>
      </c>
    </row>
    <row r="201" spans="1:38" x14ac:dyDescent="0.35">
      <c r="B201">
        <v>0</v>
      </c>
      <c r="C201">
        <v>2.5642503861696631E-5</v>
      </c>
      <c r="D201">
        <v>7.7025591331422754E-5</v>
      </c>
      <c r="E201">
        <v>1.1553169974170234E-4</v>
      </c>
      <c r="F201">
        <v>8.3650878196207232E-6</v>
      </c>
      <c r="G201">
        <v>6.8021870618066495E-5</v>
      </c>
      <c r="H201">
        <v>1.7694477872504941E-5</v>
      </c>
      <c r="I201">
        <v>1.1806720979008296E-6</v>
      </c>
      <c r="J201">
        <v>6.6923080247785975E-6</v>
      </c>
      <c r="K201">
        <v>1.0658623245344075E-4</v>
      </c>
      <c r="L201">
        <v>1.9866245807099291E-3</v>
      </c>
      <c r="M201">
        <v>4.7076643577332405E-5</v>
      </c>
      <c r="N201">
        <v>4.3392887189611302E-4</v>
      </c>
      <c r="O201">
        <v>7.9972144680343792E-6</v>
      </c>
      <c r="P201">
        <v>2.0758236518293746E-4</v>
      </c>
      <c r="Q201">
        <v>6.6269215272233599E-6</v>
      </c>
      <c r="R201">
        <v>8.8641799833463286E-6</v>
      </c>
      <c r="S201">
        <v>1.5192849918312047E-5</v>
      </c>
      <c r="T201">
        <v>1.5373257209293999E-6</v>
      </c>
      <c r="U201">
        <v>8.152611423701452E-5</v>
      </c>
      <c r="V201">
        <v>2.5401272267420685E-4</v>
      </c>
      <c r="W201">
        <v>1.6994545137311374E-5</v>
      </c>
      <c r="X201">
        <v>7.5679907490600702E-4</v>
      </c>
      <c r="Y201">
        <v>1.2660832103323592E-4</v>
      </c>
      <c r="Z201">
        <v>1.1559708623925758E-4</v>
      </c>
      <c r="AA201">
        <v>1.4405670790585114E-4</v>
      </c>
      <c r="AB201">
        <v>4.8481561640712445E-5</v>
      </c>
      <c r="AC201">
        <v>1.5240240268471968E-4</v>
      </c>
      <c r="AD201">
        <v>1.2943450378438481E-4</v>
      </c>
      <c r="AE201">
        <v>2.8189085032958753E-4</v>
      </c>
      <c r="AF201">
        <v>1.2337421570074808E-4</v>
      </c>
      <c r="AG201">
        <v>1.1126196145134531E-4</v>
      </c>
      <c r="AH201">
        <v>6.9754315591927777E-5</v>
      </c>
      <c r="AI201">
        <v>4.983599835586632E-4</v>
      </c>
      <c r="AJ201">
        <v>3.1473319518220003E-3</v>
      </c>
      <c r="AL201">
        <f>SUM(B201:AJ201)</f>
        <v>9.2000577155022661E-3</v>
      </c>
    </row>
    <row r="202" spans="1:38" x14ac:dyDescent="0.35">
      <c r="B202">
        <v>1.2923492636116506E-5</v>
      </c>
      <c r="C202">
        <v>0</v>
      </c>
      <c r="D202">
        <v>6.658069276967854E-5</v>
      </c>
      <c r="E202">
        <v>3.4732118655932269E-6</v>
      </c>
      <c r="F202">
        <v>4.1171722728227494E-5</v>
      </c>
      <c r="G202">
        <v>3.0091163386272998E-6</v>
      </c>
      <c r="H202">
        <v>1.5945091851549808E-5</v>
      </c>
      <c r="I202">
        <v>1.667504293334828E-6</v>
      </c>
      <c r="J202">
        <v>8.8539261916842568E-6</v>
      </c>
      <c r="K202">
        <v>9.7643945326651163E-4</v>
      </c>
      <c r="L202">
        <v>4.4064733451991379E-4</v>
      </c>
      <c r="M202">
        <v>6.7566542826000021E-5</v>
      </c>
      <c r="N202">
        <v>2.7718079342046647E-5</v>
      </c>
      <c r="O202">
        <v>1.1493906030476987E-5</v>
      </c>
      <c r="P202">
        <v>3.322394936868546E-4</v>
      </c>
      <c r="Q202">
        <v>6.9783739515827638E-6</v>
      </c>
      <c r="R202">
        <v>1.6596133319253208E-5</v>
      </c>
      <c r="S202">
        <v>7.8131217562811314E-5</v>
      </c>
      <c r="T202">
        <v>4.2122278936436768E-6</v>
      </c>
      <c r="U202">
        <v>6.98026718789834E-4</v>
      </c>
      <c r="V202">
        <v>1.6444377202654551E-4</v>
      </c>
      <c r="W202">
        <v>1.1959116100014879E-4</v>
      </c>
      <c r="X202">
        <v>5.2673430556708244E-4</v>
      </c>
      <c r="Y202">
        <v>6.1461821645160995E-6</v>
      </c>
      <c r="Z202">
        <v>2.5622590701077536E-6</v>
      </c>
      <c r="AA202">
        <v>3.7614801285195938E-4</v>
      </c>
      <c r="AB202">
        <v>2.4933208968898565E-5</v>
      </c>
      <c r="AC202">
        <v>1.2186824577750994E-4</v>
      </c>
      <c r="AD202">
        <v>1.2471166678710522E-4</v>
      </c>
      <c r="AE202">
        <v>2.45994257594467E-4</v>
      </c>
      <c r="AF202">
        <v>2.0881148273129964E-4</v>
      </c>
      <c r="AG202">
        <v>1.8692439291441762E-4</v>
      </c>
      <c r="AH202">
        <v>1.7438430292305681E-5</v>
      </c>
      <c r="AI202">
        <v>2.6007969801327535E-4</v>
      </c>
      <c r="AJ202">
        <v>3.4838058156482607E-3</v>
      </c>
      <c r="AL202">
        <f t="shared" ref="AL202:AL235" si="16">SUM(B202:AJ202)</f>
        <v>8.6838671312716408E-3</v>
      </c>
    </row>
    <row r="203" spans="1:38" x14ac:dyDescent="0.35">
      <c r="B203">
        <v>5.390745209238709E-5</v>
      </c>
      <c r="C203">
        <v>7.9782821048786118E-5</v>
      </c>
      <c r="D203">
        <v>0</v>
      </c>
      <c r="E203">
        <v>1.1631366281019248E-6</v>
      </c>
      <c r="F203">
        <v>4.676323420609604E-6</v>
      </c>
      <c r="G203">
        <v>2.3890888755597566E-5</v>
      </c>
      <c r="H203">
        <v>2.2176425068563975E-5</v>
      </c>
      <c r="I203">
        <v>3.2348483608691325E-6</v>
      </c>
      <c r="J203">
        <v>4.4354336193890575E-6</v>
      </c>
      <c r="K203">
        <v>9.5125316883093911E-5</v>
      </c>
      <c r="L203">
        <v>3.5856498923665089E-4</v>
      </c>
      <c r="M203">
        <v>1.8325100920289959E-4</v>
      </c>
      <c r="N203">
        <v>5.7516340940407426E-6</v>
      </c>
      <c r="O203">
        <v>6.5139812132643126E-6</v>
      </c>
      <c r="P203">
        <v>1.480504854553898E-4</v>
      </c>
      <c r="Q203">
        <v>1.5023736658725998E-5</v>
      </c>
      <c r="R203">
        <v>8.84159192055452E-6</v>
      </c>
      <c r="S203">
        <v>4.1370334214551535E-6</v>
      </c>
      <c r="T203">
        <v>5.2156134197640552E-6</v>
      </c>
      <c r="U203">
        <v>6.387963599794218E-5</v>
      </c>
      <c r="V203">
        <v>1.6432072652660067E-5</v>
      </c>
      <c r="W203">
        <v>1.5207710485938237E-5</v>
      </c>
      <c r="X203">
        <v>3.5751553595088936E-5</v>
      </c>
      <c r="Y203">
        <v>5.4302000162862439E-6</v>
      </c>
      <c r="Z203">
        <v>3.2910213064961325E-6</v>
      </c>
      <c r="AA203">
        <v>3.3207320393511744E-4</v>
      </c>
      <c r="AB203">
        <v>2.4681768164663419E-5</v>
      </c>
      <c r="AC203">
        <v>2.6122946013051358E-4</v>
      </c>
      <c r="AD203">
        <v>1.8354881497812844E-5</v>
      </c>
      <c r="AE203">
        <v>5.3105427257601593E-5</v>
      </c>
      <c r="AF203">
        <v>1.0283215585971251E-5</v>
      </c>
      <c r="AG203">
        <v>1.1734201408992487E-5</v>
      </c>
      <c r="AH203">
        <v>1.2141990245222779E-4</v>
      </c>
      <c r="AI203">
        <v>3.4111110395401397E-4</v>
      </c>
      <c r="AJ203">
        <v>1.4828502979423398E-3</v>
      </c>
      <c r="AL203">
        <f t="shared" si="16"/>
        <v>3.8205783768838096E-3</v>
      </c>
    </row>
    <row r="204" spans="1:38" x14ac:dyDescent="0.35">
      <c r="B204">
        <v>1.0561375690798284E-4</v>
      </c>
      <c r="C204">
        <v>2.3365270478659217E-6</v>
      </c>
      <c r="D204">
        <v>6.300880673504742E-7</v>
      </c>
      <c r="E204">
        <v>0</v>
      </c>
      <c r="F204">
        <v>2.8621453248042762E-6</v>
      </c>
      <c r="G204">
        <v>4.7513692871218669E-6</v>
      </c>
      <c r="H204">
        <v>1.33178921009156E-5</v>
      </c>
      <c r="I204">
        <v>8.1435910591523559E-8</v>
      </c>
      <c r="J204">
        <v>5.6782228899673612E-7</v>
      </c>
      <c r="K204">
        <v>3.2408668907577398E-5</v>
      </c>
      <c r="L204">
        <v>5.5437109760421367E-4</v>
      </c>
      <c r="M204">
        <v>1.5778950705488997E-6</v>
      </c>
      <c r="N204">
        <v>7.202619917061977E-6</v>
      </c>
      <c r="O204">
        <v>1.1402513539575917E-6</v>
      </c>
      <c r="P204">
        <v>5.3365784402412451E-5</v>
      </c>
      <c r="Q204">
        <v>7.1479330281975952E-8</v>
      </c>
      <c r="R204">
        <v>1.0194349391566635E-7</v>
      </c>
      <c r="S204">
        <v>5.4637848991214345E-6</v>
      </c>
      <c r="T204">
        <v>2.605057504871182E-7</v>
      </c>
      <c r="U204">
        <v>5.7719930716886233E-6</v>
      </c>
      <c r="V204">
        <v>4.0625819776479396E-6</v>
      </c>
      <c r="W204">
        <v>3.7671538932392737E-7</v>
      </c>
      <c r="X204">
        <v>2.8466903344730383E-6</v>
      </c>
      <c r="Y204">
        <v>2.6187292270872773E-6</v>
      </c>
      <c r="Z204">
        <v>1.5467710977126064E-4</v>
      </c>
      <c r="AA204">
        <v>5.1683568147127695E-6</v>
      </c>
      <c r="AB204">
        <v>4.338364391654781E-5</v>
      </c>
      <c r="AC204">
        <v>1.6461793787912449E-5</v>
      </c>
      <c r="AD204">
        <v>3.0150605656777764E-6</v>
      </c>
      <c r="AE204">
        <v>1.5253644500470791E-4</v>
      </c>
      <c r="AF204">
        <v>7.2162916392780719E-7</v>
      </c>
      <c r="AG204">
        <v>9.1300355381788762E-6</v>
      </c>
      <c r="AH204">
        <v>2.8851792046248717E-6</v>
      </c>
      <c r="AI204">
        <v>2.741214483632627E-4</v>
      </c>
      <c r="AJ204">
        <v>1.5406168908415716E-3</v>
      </c>
      <c r="AL204">
        <f t="shared" si="16"/>
        <v>3.0045193706378136E-3</v>
      </c>
    </row>
    <row r="205" spans="1:38" x14ac:dyDescent="0.35">
      <c r="B205">
        <v>2.9842248878534305E-6</v>
      </c>
      <c r="C205">
        <v>4.9218051372266428E-5</v>
      </c>
      <c r="D205">
        <v>6.9190059839161326E-6</v>
      </c>
      <c r="E205">
        <v>2.6432491636704915E-6</v>
      </c>
      <c r="F205">
        <v>0</v>
      </c>
      <c r="G205">
        <v>1.830524720194137E-6</v>
      </c>
      <c r="H205">
        <v>3.8298654886217973E-6</v>
      </c>
      <c r="I205">
        <v>7.7156067115180705E-7</v>
      </c>
      <c r="J205">
        <v>1.7022037187419826E-6</v>
      </c>
      <c r="K205">
        <v>1.3614345564490473E-4</v>
      </c>
      <c r="L205">
        <v>8.4482029743540051E-5</v>
      </c>
      <c r="M205">
        <v>1.2462517828352079E-5</v>
      </c>
      <c r="N205">
        <v>7.252922938476631E-6</v>
      </c>
      <c r="O205">
        <v>3.3583396778427744E-6</v>
      </c>
      <c r="P205">
        <v>3.8632348932264083E-5</v>
      </c>
      <c r="Q205">
        <v>3.2342539381640852E-6</v>
      </c>
      <c r="R205">
        <v>4.0969841917025713E-6</v>
      </c>
      <c r="S205">
        <v>4.2686980506232007E-7</v>
      </c>
      <c r="T205">
        <v>6.8514647040550974E-7</v>
      </c>
      <c r="U205">
        <v>1.6018354449946924E-5</v>
      </c>
      <c r="V205">
        <v>1.5617490638230435E-5</v>
      </c>
      <c r="W205">
        <v>6.4774985197420146E-5</v>
      </c>
      <c r="X205">
        <v>3.2424049595070502E-5</v>
      </c>
      <c r="Y205">
        <v>1.6481112525826493E-6</v>
      </c>
      <c r="Z205">
        <v>1.527517746296114E-6</v>
      </c>
      <c r="AA205">
        <v>3.2839105248869999E-5</v>
      </c>
      <c r="AB205">
        <v>8.6067206492225799E-6</v>
      </c>
      <c r="AC205">
        <v>1.2408343629070803E-4</v>
      </c>
      <c r="AD205">
        <v>3.273225776763769E-5</v>
      </c>
      <c r="AE205">
        <v>1.2128006451086532E-4</v>
      </c>
      <c r="AF205">
        <v>2.7587826466803094E-5</v>
      </c>
      <c r="AG205">
        <v>4.1184279907871631E-5</v>
      </c>
      <c r="AH205">
        <v>9.7588604572811225E-6</v>
      </c>
      <c r="AI205">
        <v>9.1534706533253772E-5</v>
      </c>
      <c r="AJ205">
        <v>3.4939735646237778E-4</v>
      </c>
      <c r="AL205">
        <f t="shared" si="16"/>
        <v>1.3316886783515691E-3</v>
      </c>
    </row>
    <row r="206" spans="1:38" x14ac:dyDescent="0.35">
      <c r="B206">
        <v>8.3283227753135289E-5</v>
      </c>
      <c r="C206">
        <v>7.9301933080402601E-6</v>
      </c>
      <c r="D206">
        <v>6.169052578092806E-5</v>
      </c>
      <c r="E206">
        <v>6.8181770325724307E-6</v>
      </c>
      <c r="F206">
        <v>2.1784849111613856E-6</v>
      </c>
      <c r="G206">
        <v>0</v>
      </c>
      <c r="H206">
        <v>7.1613075390611684E-6</v>
      </c>
      <c r="I206">
        <v>1.7053987407816137E-6</v>
      </c>
      <c r="J206">
        <v>2.3561429971324927E-6</v>
      </c>
      <c r="K206">
        <v>6.8576021184847146E-5</v>
      </c>
      <c r="L206">
        <v>1.0457851032487193E-3</v>
      </c>
      <c r="M206">
        <v>2.5771047771663179E-5</v>
      </c>
      <c r="N206">
        <v>1.8791782186022844E-5</v>
      </c>
      <c r="O206">
        <v>1.7771307007132349E-5</v>
      </c>
      <c r="P206">
        <v>8.0996632212493357E-5</v>
      </c>
      <c r="Q206">
        <v>1.290268784143984E-5</v>
      </c>
      <c r="R206">
        <v>9.3915815283998266E-6</v>
      </c>
      <c r="S206">
        <v>3.7047395092092738E-6</v>
      </c>
      <c r="T206">
        <v>6.522303131134979E-7</v>
      </c>
      <c r="U206">
        <v>2.6682149172824917E-5</v>
      </c>
      <c r="V206">
        <v>1.0865378322727262E-4</v>
      </c>
      <c r="W206">
        <v>8.0767185048344989E-6</v>
      </c>
      <c r="X206">
        <v>8.8486952718798377E-5</v>
      </c>
      <c r="Y206">
        <v>5.6834642121691189E-4</v>
      </c>
      <c r="Z206">
        <v>4.7396294386971748E-6</v>
      </c>
      <c r="AA206">
        <v>6.2612475396456917E-5</v>
      </c>
      <c r="AB206">
        <v>1.1790225748943225E-5</v>
      </c>
      <c r="AC206">
        <v>2.4735593140605481E-4</v>
      </c>
      <c r="AD206">
        <v>8.2922561776847646E-5</v>
      </c>
      <c r="AE206">
        <v>4.1632727257127173E-4</v>
      </c>
      <c r="AF206">
        <v>6.6086578896107731E-5</v>
      </c>
      <c r="AG206">
        <v>3.9892302158450635E-5</v>
      </c>
      <c r="AH206">
        <v>1.1852253758214942E-4</v>
      </c>
      <c r="AI206">
        <v>3.9332370830863402E-4</v>
      </c>
      <c r="AJ206">
        <v>9.1953462468392195E-4</v>
      </c>
      <c r="AL206">
        <f t="shared" si="16"/>
        <v>4.6208204636740309E-3</v>
      </c>
    </row>
    <row r="207" spans="1:38" x14ac:dyDescent="0.35">
      <c r="B207">
        <v>7.9183048539393076E-6</v>
      </c>
      <c r="C207">
        <v>1.4143693843903002E-5</v>
      </c>
      <c r="D207">
        <v>1.5722629154185736E-5</v>
      </c>
      <c r="E207">
        <v>1.128184573045125E-5</v>
      </c>
      <c r="F207">
        <v>4.6012775540973427E-6</v>
      </c>
      <c r="G207">
        <v>7.226248219587619E-6</v>
      </c>
      <c r="H207">
        <v>0</v>
      </c>
      <c r="I207">
        <v>2.3791768769530878E-6</v>
      </c>
      <c r="J207">
        <v>9.8256587087608494E-6</v>
      </c>
      <c r="K207">
        <v>5.251739459663324E-5</v>
      </c>
      <c r="L207">
        <v>2.0898862069740383E-4</v>
      </c>
      <c r="M207">
        <v>1.879698338469201E-5</v>
      </c>
      <c r="N207">
        <v>2.089054015186972E-5</v>
      </c>
      <c r="O207">
        <v>1.0061941734017278E-5</v>
      </c>
      <c r="P207">
        <v>4.6479694575788337E-5</v>
      </c>
      <c r="Q207">
        <v>1.0986863463071371E-5</v>
      </c>
      <c r="R207">
        <v>6.3995697031102717E-5</v>
      </c>
      <c r="S207">
        <v>7.6855883649131662E-6</v>
      </c>
      <c r="T207">
        <v>1.516966743281519E-6</v>
      </c>
      <c r="U207">
        <v>4.6255002793280327E-5</v>
      </c>
      <c r="V207">
        <v>1.0784715161652301E-4</v>
      </c>
      <c r="W207">
        <v>1.4996839031322594E-5</v>
      </c>
      <c r="X207">
        <v>1.6079832618216475E-4</v>
      </c>
      <c r="Y207">
        <v>9.8986240958054447E-6</v>
      </c>
      <c r="Z207">
        <v>2.9709246798279904E-6</v>
      </c>
      <c r="AA207">
        <v>8.1713654600457046E-5</v>
      </c>
      <c r="AB207">
        <v>1.8591149662501648E-4</v>
      </c>
      <c r="AC207">
        <v>1.3296032205937475E-4</v>
      </c>
      <c r="AD207">
        <v>8.1383601393479358E-5</v>
      </c>
      <c r="AE207">
        <v>2.5427753798930552E-4</v>
      </c>
      <c r="AF207">
        <v>1.2878688024723541E-4</v>
      </c>
      <c r="AG207">
        <v>7.7955119836440963E-5</v>
      </c>
      <c r="AH207">
        <v>1.3530249612293862E-5</v>
      </c>
      <c r="AI207">
        <v>1.8033729770843246E-4</v>
      </c>
      <c r="AJ207">
        <v>1.2988387248883317E-3</v>
      </c>
      <c r="AL207">
        <f t="shared" si="16"/>
        <v>3.2934808790439428E-3</v>
      </c>
    </row>
    <row r="208" spans="1:38" x14ac:dyDescent="0.35">
      <c r="B208">
        <v>2.4907797398257786E-6</v>
      </c>
      <c r="C208">
        <v>4.1842900265064392E-6</v>
      </c>
      <c r="D208">
        <v>1.2057864571890915E-6</v>
      </c>
      <c r="E208">
        <v>2.9230736520716576E-7</v>
      </c>
      <c r="F208">
        <v>1.186393416436913E-6</v>
      </c>
      <c r="G208">
        <v>2.2460261910224214E-6</v>
      </c>
      <c r="H208">
        <v>5.957898772692266E-6</v>
      </c>
      <c r="I208">
        <v>0</v>
      </c>
      <c r="J208">
        <v>1.0731707516929679E-4</v>
      </c>
      <c r="K208">
        <v>1.501838685438057E-5</v>
      </c>
      <c r="L208">
        <v>4.882929892316529E-5</v>
      </c>
      <c r="M208">
        <v>2.9631971846623715E-6</v>
      </c>
      <c r="N208">
        <v>1.9748208318444461E-6</v>
      </c>
      <c r="O208">
        <v>8.3220664763429012E-6</v>
      </c>
      <c r="P208">
        <v>1.5075600039741404E-5</v>
      </c>
      <c r="Q208">
        <v>3.573669302746274E-5</v>
      </c>
      <c r="R208">
        <v>1.5519633800411976E-5</v>
      </c>
      <c r="S208">
        <v>2.1388814984375886E-6</v>
      </c>
      <c r="T208">
        <v>2.3390533443623734E-7</v>
      </c>
      <c r="U208">
        <v>6.2151351983016233E-6</v>
      </c>
      <c r="V208">
        <v>3.5278987544576075E-6</v>
      </c>
      <c r="W208">
        <v>2.6795089486783961E-6</v>
      </c>
      <c r="X208">
        <v>1.1525856250873296E-6</v>
      </c>
      <c r="Y208">
        <v>1.0264194059409729E-6</v>
      </c>
      <c r="Z208">
        <v>3.6259785007904645E-7</v>
      </c>
      <c r="AA208">
        <v>1.4689522492812977E-5</v>
      </c>
      <c r="AB208">
        <v>6.0274313686152119E-5</v>
      </c>
      <c r="AC208">
        <v>6.0677183674498139E-5</v>
      </c>
      <c r="AD208">
        <v>5.5137164063454334E-6</v>
      </c>
      <c r="AE208">
        <v>2.2182369295614453E-5</v>
      </c>
      <c r="AF208">
        <v>1.0807199200470728E-5</v>
      </c>
      <c r="AG208">
        <v>7.2287745160840719E-6</v>
      </c>
      <c r="AH208">
        <v>3.0520410882155507E-4</v>
      </c>
      <c r="AI208">
        <v>6.0371799009779925E-5</v>
      </c>
      <c r="AJ208">
        <v>2.2185772365600852E-4</v>
      </c>
      <c r="AL208">
        <f t="shared" si="16"/>
        <v>1.0544638976509287E-3</v>
      </c>
    </row>
    <row r="209" spans="2:38" x14ac:dyDescent="0.35">
      <c r="B209">
        <v>5.0576455858976509E-6</v>
      </c>
      <c r="C209">
        <v>8.3098808108894247E-6</v>
      </c>
      <c r="D209">
        <v>6.1241885244293373E-6</v>
      </c>
      <c r="E209">
        <v>9.4795560887468738E-7</v>
      </c>
      <c r="F209">
        <v>2.1169621611889575E-6</v>
      </c>
      <c r="G209">
        <v>2.0040961500680411E-6</v>
      </c>
      <c r="H209">
        <v>1.4515951062939072E-5</v>
      </c>
      <c r="I209">
        <v>7.6535489811110994E-5</v>
      </c>
      <c r="J209">
        <v>0</v>
      </c>
      <c r="K209">
        <v>2.5262519147494944E-5</v>
      </c>
      <c r="L209">
        <v>7.1656914065108929E-5</v>
      </c>
      <c r="M209">
        <v>1.2308562347744745E-5</v>
      </c>
      <c r="N209">
        <v>1.0987160674423893E-5</v>
      </c>
      <c r="O209">
        <v>4.5107766972538419E-6</v>
      </c>
      <c r="P209">
        <v>2.0092081853314508E-5</v>
      </c>
      <c r="Q209">
        <v>1.2228761099592105E-5</v>
      </c>
      <c r="R209">
        <v>9.1973539095255177E-6</v>
      </c>
      <c r="S209">
        <v>3.4691995123341554E-6</v>
      </c>
      <c r="T209">
        <v>7.6472481004375948E-7</v>
      </c>
      <c r="U209">
        <v>1.738909320778673E-5</v>
      </c>
      <c r="V209">
        <v>1.9855947433734343E-5</v>
      </c>
      <c r="W209">
        <v>3.1378088542701086E-6</v>
      </c>
      <c r="X209">
        <v>2.634303101959524E-5</v>
      </c>
      <c r="Y209">
        <v>1.8296330861365654E-6</v>
      </c>
      <c r="Z209">
        <v>9.4750979184590182E-7</v>
      </c>
      <c r="AA209">
        <v>4.7584280567443068E-5</v>
      </c>
      <c r="AB209">
        <v>4.8342986847598222E-4</v>
      </c>
      <c r="AC209">
        <v>7.1711303742620796E-5</v>
      </c>
      <c r="AD209">
        <v>9.0027696370281816E-5</v>
      </c>
      <c r="AE209">
        <v>2.314741455725926E-4</v>
      </c>
      <c r="AF209">
        <v>7.0489467872395404E-5</v>
      </c>
      <c r="AG209">
        <v>3.5090704152752245E-5</v>
      </c>
      <c r="AH209">
        <v>3.7586090668542141E-5</v>
      </c>
      <c r="AI209">
        <v>1.2617082592232084E-4</v>
      </c>
      <c r="AJ209">
        <v>7.2835282775027699E-4</v>
      </c>
      <c r="AL209">
        <f t="shared" si="16"/>
        <v>2.2775104583208114E-3</v>
      </c>
    </row>
    <row r="210" spans="2:38" x14ac:dyDescent="0.35">
      <c r="B210">
        <v>4.0660296293372148E-5</v>
      </c>
      <c r="C210">
        <v>7.7520968353241818E-4</v>
      </c>
      <c r="D210">
        <v>5.5660701860925036E-5</v>
      </c>
      <c r="E210">
        <v>1.8432602266497821E-5</v>
      </c>
      <c r="F210">
        <v>5.0806274537315544E-5</v>
      </c>
      <c r="G210">
        <v>1.9512222504540555E-5</v>
      </c>
      <c r="H210">
        <v>3.3843753923238605E-5</v>
      </c>
      <c r="I210">
        <v>2.9024174630712523E-6</v>
      </c>
      <c r="J210">
        <v>1.1284669238300225E-5</v>
      </c>
      <c r="K210">
        <v>0</v>
      </c>
      <c r="L210">
        <v>1.0151243343053343E-3</v>
      </c>
      <c r="M210">
        <v>6.4261849797287782E-5</v>
      </c>
      <c r="N210">
        <v>3.9397742467851017E-5</v>
      </c>
      <c r="O210">
        <v>4.4133062341936598E-5</v>
      </c>
      <c r="P210">
        <v>8.4142614378957881E-4</v>
      </c>
      <c r="Q210">
        <v>5.8054293488475518E-6</v>
      </c>
      <c r="R210">
        <v>1.0025681949009372E-5</v>
      </c>
      <c r="S210">
        <v>9.8305329749422403E-5</v>
      </c>
      <c r="T210">
        <v>3.3072193252086809E-6</v>
      </c>
      <c r="U210">
        <v>2.5388358434153522E-4</v>
      </c>
      <c r="V210">
        <v>1.9774303475196051E-4</v>
      </c>
      <c r="W210">
        <v>1.1609610410014506E-3</v>
      </c>
      <c r="X210">
        <v>4.9558239486365192E-4</v>
      </c>
      <c r="Y210">
        <v>1.4123632077607644E-5</v>
      </c>
      <c r="Z210">
        <v>8.9983709090108288E-6</v>
      </c>
      <c r="AA210">
        <v>1.3618704168975235E-3</v>
      </c>
      <c r="AB210">
        <v>4.2974235278446267E-5</v>
      </c>
      <c r="AC210">
        <v>6.8875847997273152E-4</v>
      </c>
      <c r="AD210">
        <v>6.4842065799684768E-4</v>
      </c>
      <c r="AE210">
        <v>1.421241059466327E-3</v>
      </c>
      <c r="AF210">
        <v>3.3443202183442268E-4</v>
      </c>
      <c r="AG210">
        <v>5.8701233439514106E-4</v>
      </c>
      <c r="AH210">
        <v>1.2841298836576047E-4</v>
      </c>
      <c r="AI210">
        <v>1.0963868220726601E-3</v>
      </c>
      <c r="AJ210">
        <v>1.6144452459087875E-2</v>
      </c>
      <c r="AL210">
        <f t="shared" si="16"/>
        <v>2.7715352948007109E-2</v>
      </c>
    </row>
    <row r="211" spans="2:38" x14ac:dyDescent="0.35">
      <c r="B211">
        <v>1.2338307259905329E-3</v>
      </c>
      <c r="C211">
        <v>3.4142703962174691E-4</v>
      </c>
      <c r="D211">
        <v>1.6324470254592347E-3</v>
      </c>
      <c r="E211">
        <v>1.6709602669419748E-3</v>
      </c>
      <c r="F211">
        <v>1.1638714831710401E-4</v>
      </c>
      <c r="G211">
        <v>1.2184319086049216E-3</v>
      </c>
      <c r="H211">
        <v>2.5712586298621746E-4</v>
      </c>
      <c r="I211">
        <v>2.9446066145620071E-5</v>
      </c>
      <c r="J211">
        <v>8.1233658266131097E-5</v>
      </c>
      <c r="K211">
        <v>1.6981454463289463E-3</v>
      </c>
      <c r="L211">
        <v>0</v>
      </c>
      <c r="M211">
        <v>2.9149999056803477E-3</v>
      </c>
      <c r="N211">
        <v>1.1612054973389014E-3</v>
      </c>
      <c r="O211">
        <v>1.0349300530204921E-4</v>
      </c>
      <c r="P211">
        <v>4.753525704090102E-3</v>
      </c>
      <c r="Q211">
        <v>1.5425893339825964E-4</v>
      </c>
      <c r="R211">
        <v>2.4196050511801384E-4</v>
      </c>
      <c r="S211">
        <v>2.2299113914885804E-4</v>
      </c>
      <c r="T211">
        <v>9.7831574853499436E-6</v>
      </c>
      <c r="U211">
        <v>1.3877233463968068E-3</v>
      </c>
      <c r="V211">
        <v>6.8840010252385836E-3</v>
      </c>
      <c r="W211">
        <v>9.6026506285648973E-4</v>
      </c>
      <c r="X211">
        <v>2.7073708783150645E-3</v>
      </c>
      <c r="Y211">
        <v>2.232073604078191E-4</v>
      </c>
      <c r="Z211">
        <v>2.3211136671240365E-4</v>
      </c>
      <c r="AA211">
        <v>2.886278292206505E-3</v>
      </c>
      <c r="AB211">
        <v>3.6216719082923944E-4</v>
      </c>
      <c r="AC211">
        <v>1.5737691825531642E-3</v>
      </c>
      <c r="AD211">
        <v>1.1675041489272622E-3</v>
      </c>
      <c r="AE211">
        <v>3.1239429044351394E-3</v>
      </c>
      <c r="AF211">
        <v>1.0556416719381425E-3</v>
      </c>
      <c r="AG211">
        <v>1.0940488089680317E-3</v>
      </c>
      <c r="AH211">
        <v>2.3525406469342277E-3</v>
      </c>
      <c r="AI211">
        <v>6.1353430150952321E-3</v>
      </c>
      <c r="AJ211">
        <v>3.1653691886868014E-2</v>
      </c>
      <c r="AL211">
        <f t="shared" si="16"/>
        <v>8.1641259784906425E-2</v>
      </c>
    </row>
    <row r="212" spans="2:38" x14ac:dyDescent="0.35">
      <c r="B212">
        <v>1.716053767769592E-5</v>
      </c>
      <c r="C212">
        <v>5.0131233252895838E-5</v>
      </c>
      <c r="D212">
        <v>1.213109744915278E-4</v>
      </c>
      <c r="E212">
        <v>1.1528828364398534E-6</v>
      </c>
      <c r="F212">
        <v>2.4306687437778368E-6</v>
      </c>
      <c r="G212">
        <v>1.1005141961251584E-5</v>
      </c>
      <c r="H212">
        <v>1.1524816011139463E-5</v>
      </c>
      <c r="I212">
        <v>5.2011986691666495E-7</v>
      </c>
      <c r="J212">
        <v>6.5373123044374313E-6</v>
      </c>
      <c r="K212">
        <v>5.8096943317562695E-5</v>
      </c>
      <c r="L212">
        <v>9.8838957872311273E-4</v>
      </c>
      <c r="M212">
        <v>0</v>
      </c>
      <c r="N212">
        <v>1.8940833679313533E-5</v>
      </c>
      <c r="O212">
        <v>3.2284583167898706E-6</v>
      </c>
      <c r="P212">
        <v>1.4866378108132269E-4</v>
      </c>
      <c r="Q212">
        <v>1.2939096232124008E-6</v>
      </c>
      <c r="R212">
        <v>2.0217802255432077E-6</v>
      </c>
      <c r="S212">
        <v>3.9096667367744393E-6</v>
      </c>
      <c r="T212">
        <v>9.5167075078123502E-7</v>
      </c>
      <c r="U212">
        <v>5.0896701091320905E-5</v>
      </c>
      <c r="V212">
        <v>4.242513730465853E-5</v>
      </c>
      <c r="W212">
        <v>1.8326051996618037E-6</v>
      </c>
      <c r="X212">
        <v>1.6536111486611024E-4</v>
      </c>
      <c r="Y212">
        <v>2.6618248732032295E-6</v>
      </c>
      <c r="Z212">
        <v>7.8017980037499753E-7</v>
      </c>
      <c r="AA212">
        <v>2.8632598673762409E-5</v>
      </c>
      <c r="AB212">
        <v>6.65668724417862E-5</v>
      </c>
      <c r="AC212">
        <v>1.8513518057222428E-4</v>
      </c>
      <c r="AD212">
        <v>2.1216878216940859E-5</v>
      </c>
      <c r="AE212">
        <v>3.7452226675365401E-4</v>
      </c>
      <c r="AF212">
        <v>6.5450546601706773E-5</v>
      </c>
      <c r="AG212">
        <v>2.795644284677075E-5</v>
      </c>
      <c r="AH212">
        <v>1.2109326717580412E-4</v>
      </c>
      <c r="AI212">
        <v>5.5704659419963313E-4</v>
      </c>
      <c r="AJ212">
        <v>3.4729360534580841E-3</v>
      </c>
      <c r="AL212">
        <f t="shared" si="16"/>
        <v>6.6317845736761916E-3</v>
      </c>
    </row>
    <row r="213" spans="2:38" x14ac:dyDescent="0.35">
      <c r="B213">
        <v>1.4792595389868235E-4</v>
      </c>
      <c r="C213">
        <v>3.1970579373957305E-5</v>
      </c>
      <c r="D213">
        <v>2.6838185132899912E-6</v>
      </c>
      <c r="E213">
        <v>6.3537842942539795E-6</v>
      </c>
      <c r="F213">
        <v>5.1615209536047211E-6</v>
      </c>
      <c r="G213">
        <v>6.240249557589884E-6</v>
      </c>
      <c r="H213">
        <v>1.4204176354141597E-5</v>
      </c>
      <c r="I213">
        <v>6.8863870379766454E-7</v>
      </c>
      <c r="J213">
        <v>6.6587231419434078E-6</v>
      </c>
      <c r="K213">
        <v>6.8250277542481041E-5</v>
      </c>
      <c r="L213">
        <v>5.5268174827646853E-4</v>
      </c>
      <c r="M213">
        <v>1.1513224768391033E-5</v>
      </c>
      <c r="N213">
        <v>0</v>
      </c>
      <c r="O213">
        <v>2.4916713738833491E-5</v>
      </c>
      <c r="P213">
        <v>8.660827975949539E-5</v>
      </c>
      <c r="Q213">
        <v>4.252945848939439E-6</v>
      </c>
      <c r="R213">
        <v>2.928572062093348E-6</v>
      </c>
      <c r="S213">
        <v>7.8998777500828308E-6</v>
      </c>
      <c r="T213">
        <v>2.4231641571266114E-6</v>
      </c>
      <c r="U213">
        <v>5.9325169231867329E-5</v>
      </c>
      <c r="V213">
        <v>1.355358070346698E-5</v>
      </c>
      <c r="W213">
        <v>6.9367643622294294E-6</v>
      </c>
      <c r="X213">
        <v>9.3126094999207258E-4</v>
      </c>
      <c r="Y213">
        <v>6.5643585375170979E-5</v>
      </c>
      <c r="Z213">
        <v>3.0591964515275616E-6</v>
      </c>
      <c r="AA213">
        <v>1.0167303158486966E-4</v>
      </c>
      <c r="AB213">
        <v>4.5717793273593538E-5</v>
      </c>
      <c r="AC213">
        <v>2.8506610781427563E-4</v>
      </c>
      <c r="AD213">
        <v>1.3947757259751681E-4</v>
      </c>
      <c r="AE213">
        <v>1.7909554867758797E-4</v>
      </c>
      <c r="AF213">
        <v>4.3743566864454144E-5</v>
      </c>
      <c r="AG213">
        <v>2.4607911143561255E-5</v>
      </c>
      <c r="AH213">
        <v>4.4537418387045235E-5</v>
      </c>
      <c r="AI213">
        <v>3.7452761655799958E-4</v>
      </c>
      <c r="AJ213">
        <v>8.4524085149922186E-4</v>
      </c>
      <c r="AL213">
        <f t="shared" si="16"/>
        <v>4.146828913211633E-3</v>
      </c>
    </row>
    <row r="214" spans="2:38" x14ac:dyDescent="0.35">
      <c r="B214">
        <v>5.0867722984449839E-6</v>
      </c>
      <c r="C214">
        <v>1.3396504503658147E-5</v>
      </c>
      <c r="D214">
        <v>3.5726290630124408E-6</v>
      </c>
      <c r="E214">
        <v>1.0234472924157348E-6</v>
      </c>
      <c r="F214">
        <v>4.3133540563399027E-6</v>
      </c>
      <c r="G214">
        <v>1.4604222834638645E-5</v>
      </c>
      <c r="H214">
        <v>8.9650832375281623E-6</v>
      </c>
      <c r="I214">
        <v>4.8341426487997462E-6</v>
      </c>
      <c r="J214">
        <v>3.7411478998934405E-6</v>
      </c>
      <c r="K214">
        <v>7.9915080100659215E-5</v>
      </c>
      <c r="L214">
        <v>1.2490351671515934E-4</v>
      </c>
      <c r="M214">
        <v>4.4801639279438912E-6</v>
      </c>
      <c r="N214">
        <v>3.0614255366714898E-5</v>
      </c>
      <c r="O214">
        <v>0</v>
      </c>
      <c r="P214">
        <v>3.407424132712083E-5</v>
      </c>
      <c r="Q214">
        <v>5.6709857935334078E-5</v>
      </c>
      <c r="R214">
        <v>1.5651105242200878E-4</v>
      </c>
      <c r="S214">
        <v>4.5810671821257232E-6</v>
      </c>
      <c r="T214">
        <v>4.0456409305540823E-6</v>
      </c>
      <c r="U214">
        <v>4.0096634963310748E-5</v>
      </c>
      <c r="V214">
        <v>3.7011031283111447E-4</v>
      </c>
      <c r="W214">
        <v>1.1989505960810439E-5</v>
      </c>
      <c r="X214">
        <v>8.1310933217787287E-5</v>
      </c>
      <c r="Y214">
        <v>2.3932201133598374E-5</v>
      </c>
      <c r="Z214">
        <v>7.9786387585016406E-7</v>
      </c>
      <c r="AA214">
        <v>9.9515574376899353E-5</v>
      </c>
      <c r="AB214">
        <v>1.8301977877063608E-5</v>
      </c>
      <c r="AC214">
        <v>1.7593574618323111E-3</v>
      </c>
      <c r="AD214">
        <v>8.7828480967281898E-5</v>
      </c>
      <c r="AE214">
        <v>3.610426916769656E-4</v>
      </c>
      <c r="AF214">
        <v>1.5429965135355542E-4</v>
      </c>
      <c r="AG214">
        <v>5.1046792824345433E-5</v>
      </c>
      <c r="AH214">
        <v>1.7231422585272847E-5</v>
      </c>
      <c r="AI214">
        <v>3.9134205161568155E-4</v>
      </c>
      <c r="AJ214">
        <v>5.6046110682310261E-4</v>
      </c>
      <c r="AL214">
        <f t="shared" si="16"/>
        <v>4.5840368436573025E-3</v>
      </c>
    </row>
    <row r="215" spans="2:38" x14ac:dyDescent="0.35">
      <c r="B215">
        <v>1.0264090035436346E-4</v>
      </c>
      <c r="C215">
        <v>3.9385229869909767E-4</v>
      </c>
      <c r="D215">
        <v>9.5644247904600474E-5</v>
      </c>
      <c r="E215">
        <v>4.2791153085291606E-5</v>
      </c>
      <c r="F215">
        <v>3.6167352277269741E-5</v>
      </c>
      <c r="G215">
        <v>2.4018392425830281E-5</v>
      </c>
      <c r="H215">
        <v>3.845394781791166E-5</v>
      </c>
      <c r="I215">
        <v>3.7809742211316309E-6</v>
      </c>
      <c r="J215">
        <v>1.280208179861053E-5</v>
      </c>
      <c r="K215">
        <v>1.2015098830376262E-3</v>
      </c>
      <c r="L215">
        <v>1.8539668198074234E-3</v>
      </c>
      <c r="M215">
        <v>2.5116751839649641E-4</v>
      </c>
      <c r="N215">
        <v>7.1618127983604581E-5</v>
      </c>
      <c r="O215">
        <v>2.8856993244917885E-5</v>
      </c>
      <c r="P215">
        <v>0</v>
      </c>
      <c r="Q215">
        <v>1.1040510112201917E-5</v>
      </c>
      <c r="R215">
        <v>2.7690438686261936E-5</v>
      </c>
      <c r="S215">
        <v>5.2090896305761569E-5</v>
      </c>
      <c r="T215">
        <v>2.0243808248777909E-5</v>
      </c>
      <c r="U215">
        <v>1.5343818424826515E-4</v>
      </c>
      <c r="V215">
        <v>2.5664274593269003E-4</v>
      </c>
      <c r="W215">
        <v>3.6187414043565097E-5</v>
      </c>
      <c r="X215">
        <v>3.7342433829629599E-3</v>
      </c>
      <c r="Y215">
        <v>2.3898021828058137E-5</v>
      </c>
      <c r="Z215">
        <v>2.1663735485460406E-5</v>
      </c>
      <c r="AA215">
        <v>6.7083113700552421E-4</v>
      </c>
      <c r="AB215">
        <v>7.2403657588324997E-5</v>
      </c>
      <c r="AC215">
        <v>6.1122287396037805E-4</v>
      </c>
      <c r="AD215">
        <v>1.6526330260999466E-3</v>
      </c>
      <c r="AE215">
        <v>1.3457740444675389E-3</v>
      </c>
      <c r="AF215">
        <v>1.3218277257946959E-3</v>
      </c>
      <c r="AG215">
        <v>2.5574839239124298E-3</v>
      </c>
      <c r="AH215">
        <v>1.9333360712591726E-4</v>
      </c>
      <c r="AI215">
        <v>1.662541309564709E-3</v>
      </c>
      <c r="AJ215">
        <v>1.5316921837662851E-2</v>
      </c>
      <c r="AL215">
        <f t="shared" si="16"/>
        <v>3.389938297209049E-2</v>
      </c>
    </row>
    <row r="216" spans="2:38" x14ac:dyDescent="0.35">
      <c r="B216">
        <v>2.4288111728245639E-6</v>
      </c>
      <c r="C216">
        <v>2.5518566727694206E-6</v>
      </c>
      <c r="D216">
        <v>4.1342099136061771E-7</v>
      </c>
      <c r="E216">
        <v>5.9590876181023614E-8</v>
      </c>
      <c r="F216">
        <v>7.3047120166539051E-7</v>
      </c>
      <c r="G216">
        <v>1.2910861153634245E-6</v>
      </c>
      <c r="H216">
        <v>8.9528975720746858E-6</v>
      </c>
      <c r="I216">
        <v>1.0900672170839465E-5</v>
      </c>
      <c r="J216">
        <v>2.9009314063086328E-6</v>
      </c>
      <c r="K216">
        <v>8.2828345778097602E-6</v>
      </c>
      <c r="L216">
        <v>5.5046663206610846E-5</v>
      </c>
      <c r="M216">
        <v>1.0870505218558299E-6</v>
      </c>
      <c r="N216">
        <v>8.02767863166807E-7</v>
      </c>
      <c r="O216">
        <v>3.8577736346237829E-5</v>
      </c>
      <c r="P216">
        <v>7.389120040770667E-6</v>
      </c>
      <c r="Q216">
        <v>0</v>
      </c>
      <c r="R216">
        <v>3.3990873542737899E-5</v>
      </c>
      <c r="S216">
        <v>9.1600538847837801E-7</v>
      </c>
      <c r="T216">
        <v>5.4493701485240311E-7</v>
      </c>
      <c r="U216">
        <v>6.8281336128819784E-6</v>
      </c>
      <c r="V216">
        <v>5.1827715653101731E-6</v>
      </c>
      <c r="W216">
        <v>5.5088124190287912E-7</v>
      </c>
      <c r="X216">
        <v>4.468572685195462E-7</v>
      </c>
      <c r="Y216">
        <v>3.9127874559759397E-7</v>
      </c>
      <c r="Z216">
        <v>1.6673556876585663E-7</v>
      </c>
      <c r="AA216">
        <v>9.8619184937687532E-6</v>
      </c>
      <c r="AB216">
        <v>1.1696901384250748E-5</v>
      </c>
      <c r="AC216">
        <v>1.9386591265828742E-4</v>
      </c>
      <c r="AD216">
        <v>3.4601345660821791E-6</v>
      </c>
      <c r="AE216">
        <v>1.3920636723833884E-5</v>
      </c>
      <c r="AF216">
        <v>1.9865012379986315E-5</v>
      </c>
      <c r="AG216">
        <v>1.6862286085438278E-6</v>
      </c>
      <c r="AH216">
        <v>3.2006006967178136E-4</v>
      </c>
      <c r="AI216">
        <v>5.8292805598875881E-5</v>
      </c>
      <c r="AJ216">
        <v>2.4646177105198686E-4</v>
      </c>
      <c r="AL216">
        <f t="shared" si="16"/>
        <v>1.0696057758222829E-3</v>
      </c>
    </row>
    <row r="217" spans="2:38" x14ac:dyDescent="0.35">
      <c r="B217">
        <v>2.0932595558251836E-6</v>
      </c>
      <c r="C217">
        <v>4.0327122367192964E-6</v>
      </c>
      <c r="D217">
        <v>6.8744985838756913E-7</v>
      </c>
      <c r="E217">
        <v>2.7789261460976103E-7</v>
      </c>
      <c r="F217">
        <v>7.7371545345760472E-7</v>
      </c>
      <c r="G217">
        <v>1.3737108713650433E-6</v>
      </c>
      <c r="H217">
        <v>1.9588754427815439E-5</v>
      </c>
      <c r="I217">
        <v>3.9413197458182252E-6</v>
      </c>
      <c r="J217">
        <v>2.0723061554722552E-6</v>
      </c>
      <c r="K217">
        <v>9.9974468705196117E-6</v>
      </c>
      <c r="L217">
        <v>8.4096100802287892E-5</v>
      </c>
      <c r="M217">
        <v>1.6438759908091852E-6</v>
      </c>
      <c r="N217">
        <v>1.0516823709054967E-6</v>
      </c>
      <c r="O217">
        <v>6.2489727107864577E-5</v>
      </c>
      <c r="P217">
        <v>1.6077796720451686E-5</v>
      </c>
      <c r="Q217">
        <v>3.4919213202346012E-5</v>
      </c>
      <c r="R217">
        <v>0</v>
      </c>
      <c r="S217">
        <v>1.2054892458365676E-6</v>
      </c>
      <c r="T217">
        <v>3.4194166107864171E-7</v>
      </c>
      <c r="U217">
        <v>1.0071006680269253E-5</v>
      </c>
      <c r="V217">
        <v>7.2861065859859144E-5</v>
      </c>
      <c r="W217">
        <v>2.0871667230984458E-6</v>
      </c>
      <c r="X217">
        <v>2.6708898194552067E-6</v>
      </c>
      <c r="Y217">
        <v>5.3349437778023645E-7</v>
      </c>
      <c r="Z217">
        <v>1.6569532903202328E-7</v>
      </c>
      <c r="AA217">
        <v>3.4242760164001815E-5</v>
      </c>
      <c r="AB217">
        <v>2.1648874917834216E-5</v>
      </c>
      <c r="AC217">
        <v>2.5161987407503763E-4</v>
      </c>
      <c r="AD217">
        <v>2.4175171414286592E-6</v>
      </c>
      <c r="AE217">
        <v>1.0978541545200702E-5</v>
      </c>
      <c r="AF217">
        <v>9.0194729150400188E-6</v>
      </c>
      <c r="AG217">
        <v>3.5127409754788937E-6</v>
      </c>
      <c r="AH217">
        <v>1.7824388954693101E-4</v>
      </c>
      <c r="AI217">
        <v>9.8973015052867131E-5</v>
      </c>
      <c r="AJ217">
        <v>3.2802726579321079E-4</v>
      </c>
      <c r="AL217">
        <f t="shared" si="16"/>
        <v>1.2737376658080953E-3</v>
      </c>
    </row>
    <row r="218" spans="2:38" x14ac:dyDescent="0.35">
      <c r="B218">
        <v>4.1169716551597961E-6</v>
      </c>
      <c r="C218">
        <v>9.471278752579086E-5</v>
      </c>
      <c r="D218">
        <v>6.6090888460719321E-6</v>
      </c>
      <c r="E218">
        <v>4.5835934786221761E-6</v>
      </c>
      <c r="F218">
        <v>6.8514647040550974E-7</v>
      </c>
      <c r="G218">
        <v>2.7123508031322769E-6</v>
      </c>
      <c r="H218">
        <v>4.535296633837057E-6</v>
      </c>
      <c r="I218">
        <v>1.432855930517281E-6</v>
      </c>
      <c r="J218">
        <v>2.5236215942796586E-6</v>
      </c>
      <c r="K218">
        <v>2.5929104768935342E-4</v>
      </c>
      <c r="L218">
        <v>1.4313475829032227E-4</v>
      </c>
      <c r="M218">
        <v>2.2910685714974046E-5</v>
      </c>
      <c r="N218">
        <v>1.1903909091283581E-5</v>
      </c>
      <c r="O218">
        <v>3.0205589756994666E-6</v>
      </c>
      <c r="P218">
        <v>5.0316395925518178E-5</v>
      </c>
      <c r="Q218">
        <v>5.0687910116172932E-6</v>
      </c>
      <c r="R218">
        <v>7.0932461393332159E-6</v>
      </c>
      <c r="S218">
        <v>0</v>
      </c>
      <c r="T218">
        <v>1.3702929408110195E-6</v>
      </c>
      <c r="U218">
        <v>2.1429532939671646E-5</v>
      </c>
      <c r="V218">
        <v>2.7440335333113146E-5</v>
      </c>
      <c r="W218">
        <v>1.285033406169277E-4</v>
      </c>
      <c r="X218">
        <v>5.2097137744164564E-5</v>
      </c>
      <c r="Y218">
        <v>2.1845034410499928E-6</v>
      </c>
      <c r="Z218">
        <v>2.6616762675269678E-6</v>
      </c>
      <c r="AA218">
        <v>5.413080642380873E-5</v>
      </c>
      <c r="AB218">
        <v>5.0511069361421257E-6</v>
      </c>
      <c r="AC218">
        <v>2.3369282831918282E-5</v>
      </c>
      <c r="AD218">
        <v>5.6052872240580203E-5</v>
      </c>
      <c r="AE218">
        <v>6.4105070808831479E-5</v>
      </c>
      <c r="AF218">
        <v>4.6255448610309121E-5</v>
      </c>
      <c r="AG218">
        <v>7.7834897844345082E-5</v>
      </c>
      <c r="AH218">
        <v>1.2856471476122387E-5</v>
      </c>
      <c r="AI218">
        <v>1.045626689597824E-4</v>
      </c>
      <c r="AJ218">
        <v>5.0399823152171615E-4</v>
      </c>
      <c r="AL218">
        <f t="shared" si="16"/>
        <v>1.8085547827127388E-3</v>
      </c>
    </row>
    <row r="219" spans="2:38" x14ac:dyDescent="0.35">
      <c r="B219">
        <v>1.8514781205470654E-6</v>
      </c>
      <c r="C219">
        <v>3.7233152187420118E-6</v>
      </c>
      <c r="D219">
        <v>7.228923121760333E-6</v>
      </c>
      <c r="E219">
        <v>7.0290484871880718E-7</v>
      </c>
      <c r="F219">
        <v>4.2686980506232007E-7</v>
      </c>
      <c r="G219">
        <v>9.4869863725599702E-7</v>
      </c>
      <c r="H219">
        <v>3.1244343434065376E-6</v>
      </c>
      <c r="I219">
        <v>1.1026541178633298E-7</v>
      </c>
      <c r="J219">
        <v>8.8078584320430667E-7</v>
      </c>
      <c r="K219">
        <v>1.2995863600456053E-5</v>
      </c>
      <c r="L219">
        <v>2.5829301196757845E-5</v>
      </c>
      <c r="M219">
        <v>2.0143499417301125E-6</v>
      </c>
      <c r="N219">
        <v>2.601936785669682E-6</v>
      </c>
      <c r="O219">
        <v>3.6961203799860827E-6</v>
      </c>
      <c r="P219">
        <v>2.6948301939009985E-5</v>
      </c>
      <c r="Q219">
        <v>1.3997168647108765E-6</v>
      </c>
      <c r="R219">
        <v>1.1007222440719251E-6</v>
      </c>
      <c r="S219">
        <v>8.5373961012464014E-7</v>
      </c>
      <c r="T219">
        <v>0</v>
      </c>
      <c r="U219">
        <v>1.0607175960222205E-5</v>
      </c>
      <c r="V219">
        <v>3.7946459433477265E-6</v>
      </c>
      <c r="W219">
        <v>1.0466297779125918E-6</v>
      </c>
      <c r="X219">
        <v>1.2750961445976435E-5</v>
      </c>
      <c r="Y219">
        <v>1.111719064115306E-6</v>
      </c>
      <c r="Z219">
        <v>3.9335922506526062E-7</v>
      </c>
      <c r="AA219">
        <v>1.1547404073931272E-5</v>
      </c>
      <c r="AB219">
        <v>1.2162334362303032E-5</v>
      </c>
      <c r="AC219">
        <v>2.2479758974949774E-4</v>
      </c>
      <c r="AD219">
        <v>9.411643294695184E-6</v>
      </c>
      <c r="AE219">
        <v>1.7845505821289918E-4</v>
      </c>
      <c r="AF219">
        <v>8.9202043232970674E-6</v>
      </c>
      <c r="AG219">
        <v>4.5336619713981755E-6</v>
      </c>
      <c r="AH219">
        <v>6.6612494384398598E-6</v>
      </c>
      <c r="AI219">
        <v>7.8506744106725154E-5</v>
      </c>
      <c r="AJ219">
        <v>1.9479648140303946E-4</v>
      </c>
      <c r="AL219">
        <f t="shared" si="16"/>
        <v>8.559345902658666E-4</v>
      </c>
    </row>
    <row r="220" spans="2:38" x14ac:dyDescent="0.35">
      <c r="B220">
        <v>2.7598154561303293E-5</v>
      </c>
      <c r="C220">
        <v>3.8081868925687109E-4</v>
      </c>
      <c r="D220">
        <v>5.9481502403294858E-5</v>
      </c>
      <c r="E220">
        <v>5.222597886548364E-6</v>
      </c>
      <c r="F220">
        <v>1.1292471036303974E-5</v>
      </c>
      <c r="G220">
        <v>9.3160898448587784E-6</v>
      </c>
      <c r="H220">
        <v>2.9496443469872858E-5</v>
      </c>
      <c r="I220">
        <v>2.4142478165508966E-6</v>
      </c>
      <c r="J220">
        <v>1.3072692735083456E-5</v>
      </c>
      <c r="K220">
        <v>2.3978164869266182E-4</v>
      </c>
      <c r="L220">
        <v>6.6532277040352416E-4</v>
      </c>
      <c r="M220">
        <v>8.4068311540826931E-5</v>
      </c>
      <c r="N220">
        <v>6.0808105275284873E-5</v>
      </c>
      <c r="O220">
        <v>2.6923336185397984E-5</v>
      </c>
      <c r="P220">
        <v>1.6252363808356545E-4</v>
      </c>
      <c r="Q220">
        <v>1.6766286818573088E-5</v>
      </c>
      <c r="R220">
        <v>4.1909475608029727E-5</v>
      </c>
      <c r="S220">
        <v>1.7771455612808609E-5</v>
      </c>
      <c r="T220">
        <v>4.8134864597993415E-6</v>
      </c>
      <c r="U220">
        <v>0</v>
      </c>
      <c r="V220">
        <v>4.8224592705320353E-4</v>
      </c>
      <c r="W220">
        <v>5.8867909566009449E-5</v>
      </c>
      <c r="X220">
        <v>1.771199848173622E-4</v>
      </c>
      <c r="Y220">
        <v>9.7107865210103981E-6</v>
      </c>
      <c r="Z220">
        <v>4.534702211132008E-6</v>
      </c>
      <c r="AA220">
        <v>2.7703738894287367E-4</v>
      </c>
      <c r="AB220">
        <v>5.4045506765634402E-5</v>
      </c>
      <c r="AC220">
        <v>3.3127400260818098E-4</v>
      </c>
      <c r="AD220">
        <v>3.6337639521698257E-4</v>
      </c>
      <c r="AE220">
        <v>9.9401192587880564E-4</v>
      </c>
      <c r="AF220">
        <v>3.7369587058796164E-4</v>
      </c>
      <c r="AG220">
        <v>2.377540728457444E-4</v>
      </c>
      <c r="AH220">
        <v>1.5139649086210285E-5</v>
      </c>
      <c r="AI220">
        <v>5.8744641157550213E-4</v>
      </c>
      <c r="AJ220">
        <v>3.6529701955869431E-3</v>
      </c>
      <c r="AL220">
        <f t="shared" si="16"/>
        <v>9.4786321329547157E-3</v>
      </c>
    </row>
    <row r="221" spans="2:38" x14ac:dyDescent="0.35">
      <c r="B221">
        <v>1.3443003219760499E-4</v>
      </c>
      <c r="C221">
        <v>1.6933512786070608E-4</v>
      </c>
      <c r="D221">
        <v>7.725117474798833E-6</v>
      </c>
      <c r="E221">
        <v>4.7298214640638891E-6</v>
      </c>
      <c r="F221">
        <v>4.4950244955700809E-6</v>
      </c>
      <c r="G221">
        <v>5.3266367204993227E-5</v>
      </c>
      <c r="H221">
        <v>7.1695700146613291E-5</v>
      </c>
      <c r="I221">
        <v>2.7218615664130385E-6</v>
      </c>
      <c r="J221">
        <v>8.0532388079851164E-6</v>
      </c>
      <c r="K221">
        <v>4.2608026310434063E-4</v>
      </c>
      <c r="L221">
        <v>3.7070527051659666E-3</v>
      </c>
      <c r="M221">
        <v>4.868247651501853E-5</v>
      </c>
      <c r="N221">
        <v>1.5227475040881069E-5</v>
      </c>
      <c r="O221">
        <v>2.6390673999404814E-4</v>
      </c>
      <c r="P221">
        <v>3.08101770902986E-4</v>
      </c>
      <c r="Q221">
        <v>3.1614668779310041E-5</v>
      </c>
      <c r="R221">
        <v>4.1490556206647412E-4</v>
      </c>
      <c r="S221">
        <v>8.2462775814493307E-6</v>
      </c>
      <c r="T221">
        <v>7.4377140969083088E-7</v>
      </c>
      <c r="U221">
        <v>2.2296409291577837E-4</v>
      </c>
      <c r="V221">
        <v>0</v>
      </c>
      <c r="W221">
        <v>6.1828877665527902E-6</v>
      </c>
      <c r="X221">
        <v>2.0655297366347124E-5</v>
      </c>
      <c r="Y221">
        <v>1.6404134785522828E-5</v>
      </c>
      <c r="Z221">
        <v>2.1241695364876601E-6</v>
      </c>
      <c r="AA221">
        <v>1.8484881743406758E-4</v>
      </c>
      <c r="AB221">
        <v>1.5968928202022217E-4</v>
      </c>
      <c r="AC221">
        <v>1.7015650115454089E-3</v>
      </c>
      <c r="AD221">
        <v>1.6575774341605328E-5</v>
      </c>
      <c r="AE221">
        <v>1.811118304931095E-4</v>
      </c>
      <c r="AF221">
        <v>1.5158373401419285E-5</v>
      </c>
      <c r="AG221">
        <v>4.6031648461858693E-5</v>
      </c>
      <c r="AH221">
        <v>2.1333533672806453E-4</v>
      </c>
      <c r="AI221">
        <v>1.272924867061781E-3</v>
      </c>
      <c r="AJ221">
        <v>1.5926314038297352E-3</v>
      </c>
      <c r="AL221">
        <f t="shared" si="16"/>
        <v>1.1333216929466875E-2</v>
      </c>
    </row>
    <row r="222" spans="2:38" x14ac:dyDescent="0.35">
      <c r="B222">
        <v>5.4857785392081967E-6</v>
      </c>
      <c r="C222">
        <v>6.8971015072351273E-5</v>
      </c>
      <c r="D222">
        <v>8.968649773758446E-6</v>
      </c>
      <c r="E222">
        <v>2.5589897452299916E-7</v>
      </c>
      <c r="F222">
        <v>7.9085191701574597E-5</v>
      </c>
      <c r="G222">
        <v>1.3199156165582338E-6</v>
      </c>
      <c r="H222">
        <v>5.686247596485505E-6</v>
      </c>
      <c r="I222">
        <v>4.7851027756333182E-7</v>
      </c>
      <c r="J222">
        <v>1.8342398621006846E-6</v>
      </c>
      <c r="K222">
        <v>1.4950946626379393E-3</v>
      </c>
      <c r="L222">
        <v>3.1849852122562132E-4</v>
      </c>
      <c r="M222">
        <v>1.9505981066137555E-6</v>
      </c>
      <c r="N222">
        <v>2.8972162644020858E-6</v>
      </c>
      <c r="O222">
        <v>8.8500624441014473E-6</v>
      </c>
      <c r="P222">
        <v>2.6345557316091699E-5</v>
      </c>
      <c r="Q222">
        <v>7.2296661501416432E-7</v>
      </c>
      <c r="R222">
        <v>1.7364573271203516E-6</v>
      </c>
      <c r="S222">
        <v>1.5765962569383706E-4</v>
      </c>
      <c r="T222">
        <v>5.1075770931216515E-7</v>
      </c>
      <c r="U222">
        <v>6.4743332188376361E-5</v>
      </c>
      <c r="V222">
        <v>4.0671887536120583E-6</v>
      </c>
      <c r="W222">
        <v>0</v>
      </c>
      <c r="X222">
        <v>1.0248516160564097E-4</v>
      </c>
      <c r="Y222">
        <v>4.8460311029006986E-7</v>
      </c>
      <c r="Z222">
        <v>3.232173458696418E-7</v>
      </c>
      <c r="AA222">
        <v>2.8839011958090195E-4</v>
      </c>
      <c r="AB222">
        <v>1.1837185142641986E-5</v>
      </c>
      <c r="AC222">
        <v>2.8824225693302132E-4</v>
      </c>
      <c r="AD222">
        <v>7.9000263557590936E-5</v>
      </c>
      <c r="AE222">
        <v>8.1605469668138381E-5</v>
      </c>
      <c r="AF222">
        <v>1.0106761205977867E-4</v>
      </c>
      <c r="AG222">
        <v>8.3410107279527693E-4</v>
      </c>
      <c r="AH222">
        <v>2.0089852768170576E-5</v>
      </c>
      <c r="AI222">
        <v>5.8827340216389956E-4</v>
      </c>
      <c r="AJ222">
        <v>2.2298552185429526E-3</v>
      </c>
      <c r="AL222">
        <f t="shared" si="16"/>
        <v>6.8809178289703388E-3</v>
      </c>
    </row>
    <row r="223" spans="2:38" x14ac:dyDescent="0.35">
      <c r="B223">
        <v>1.5780035526925709E-4</v>
      </c>
      <c r="C223">
        <v>1.5314795736252564E-4</v>
      </c>
      <c r="D223">
        <v>2.2090679593360855E-5</v>
      </c>
      <c r="E223">
        <v>4.0688234160509399E-6</v>
      </c>
      <c r="F223">
        <v>7.6701333745819267E-6</v>
      </c>
      <c r="G223">
        <v>1.5480401901878833E-5</v>
      </c>
      <c r="H223">
        <v>5.7612488812948889E-5</v>
      </c>
      <c r="I223">
        <v>1.2965845253851148E-6</v>
      </c>
      <c r="J223">
        <v>6.6371753188854309E-6</v>
      </c>
      <c r="K223">
        <v>4.8237551120290396E-4</v>
      </c>
      <c r="L223">
        <v>1.2398409339612693E-3</v>
      </c>
      <c r="M223">
        <v>1.5513273477467965E-4</v>
      </c>
      <c r="N223">
        <v>3.3636211235771232E-4</v>
      </c>
      <c r="O223">
        <v>6.6641175279917155E-5</v>
      </c>
      <c r="P223">
        <v>2.3194222373168227E-3</v>
      </c>
      <c r="Q223">
        <v>1.3300802448145481E-5</v>
      </c>
      <c r="R223">
        <v>8.7449982309842818E-6</v>
      </c>
      <c r="S223">
        <v>1.2040031890739485E-5</v>
      </c>
      <c r="T223">
        <v>3.3002348584243701E-6</v>
      </c>
      <c r="U223">
        <v>5.4320724478071442E-5</v>
      </c>
      <c r="V223">
        <v>1.905139630245239E-5</v>
      </c>
      <c r="W223">
        <v>1.1566351297654666E-4</v>
      </c>
      <c r="X223">
        <v>0</v>
      </c>
      <c r="Y223">
        <v>1.6232792440792852E-5</v>
      </c>
      <c r="Z223">
        <v>3.0498342939230616E-6</v>
      </c>
      <c r="AA223">
        <v>1.7001647002579932E-3</v>
      </c>
      <c r="AB223">
        <v>6.1168919857248783E-5</v>
      </c>
      <c r="AC223">
        <v>6.670470420651911E-4</v>
      </c>
      <c r="AD223">
        <v>6.6794090520790649E-5</v>
      </c>
      <c r="AE223">
        <v>1.5198184862089849E-4</v>
      </c>
      <c r="AF223">
        <v>1.6800911941142113E-5</v>
      </c>
      <c r="AG223">
        <v>6.7335460999412762E-5</v>
      </c>
      <c r="AH223">
        <v>2.6061809637837225E-4</v>
      </c>
      <c r="AI223">
        <v>8.8204364164818749E-4</v>
      </c>
      <c r="AJ223">
        <v>1.7602859500975953E-3</v>
      </c>
      <c r="AL223">
        <f t="shared" si="16"/>
        <v>1.0905524294775091E-2</v>
      </c>
    </row>
    <row r="224" spans="2:38" x14ac:dyDescent="0.35">
      <c r="B224">
        <v>9.3222718409912759E-5</v>
      </c>
      <c r="C224">
        <v>9.7575973090328978E-6</v>
      </c>
      <c r="D224">
        <v>6.7921710392265979E-6</v>
      </c>
      <c r="E224">
        <v>6.1571789845594798E-6</v>
      </c>
      <c r="F224">
        <v>1.8402583919892916E-6</v>
      </c>
      <c r="G224">
        <v>3.7132546144590816E-4</v>
      </c>
      <c r="H224">
        <v>6.4549847597883364E-6</v>
      </c>
      <c r="I224">
        <v>3.4342771784126082E-7</v>
      </c>
      <c r="J224">
        <v>1.2797920839675198E-6</v>
      </c>
      <c r="K224">
        <v>3.4624676751994917E-5</v>
      </c>
      <c r="L224">
        <v>1.3978102538844361E-4</v>
      </c>
      <c r="M224">
        <v>6.8898049685306686E-6</v>
      </c>
      <c r="N224">
        <v>9.2924169606302588E-5</v>
      </c>
      <c r="O224">
        <v>3.0721251453623473E-5</v>
      </c>
      <c r="P224">
        <v>4.8173799285174038E-5</v>
      </c>
      <c r="Q224">
        <v>1.2057864571890915E-6</v>
      </c>
      <c r="R224">
        <v>1.7163955608249946E-6</v>
      </c>
      <c r="S224">
        <v>2.7802635971839674E-6</v>
      </c>
      <c r="T224">
        <v>9.0025318679461611E-7</v>
      </c>
      <c r="U224">
        <v>8.7857161862800431E-6</v>
      </c>
      <c r="V224">
        <v>3.3558133813463226E-5</v>
      </c>
      <c r="W224">
        <v>2.6166487476196097E-6</v>
      </c>
      <c r="X224">
        <v>6.110219590860718E-5</v>
      </c>
      <c r="Y224">
        <v>0</v>
      </c>
      <c r="Z224">
        <v>3.625086866732893E-6</v>
      </c>
      <c r="AA224">
        <v>3.6006560935554361E-5</v>
      </c>
      <c r="AB224">
        <v>7.4063582992170475E-6</v>
      </c>
      <c r="AC224">
        <v>2.3901395176909282E-4</v>
      </c>
      <c r="AD224">
        <v>1.2051177316459128E-5</v>
      </c>
      <c r="AE224">
        <v>5.2665851667218877E-5</v>
      </c>
      <c r="AF224">
        <v>2.9746398217345379E-6</v>
      </c>
      <c r="AG224">
        <v>7.1457039430536676E-6</v>
      </c>
      <c r="AH224">
        <v>1.1151815763722085E-5</v>
      </c>
      <c r="AI224">
        <v>7.5478309030183806E-5</v>
      </c>
      <c r="AJ224">
        <v>1.5352259227238192E-4</v>
      </c>
      <c r="AL224">
        <f t="shared" si="16"/>
        <v>1.5639957587396094E-3</v>
      </c>
    </row>
    <row r="225" spans="2:38" x14ac:dyDescent="0.35">
      <c r="B225">
        <v>5.11206498454476E-5</v>
      </c>
      <c r="C225">
        <v>1.8587597986838986E-6</v>
      </c>
      <c r="D225">
        <v>2.459423942134516E-6</v>
      </c>
      <c r="E225">
        <v>1.1577808795294458E-4</v>
      </c>
      <c r="F225">
        <v>3.8893077591265586E-6</v>
      </c>
      <c r="G225">
        <v>1.4662922076762097E-6</v>
      </c>
      <c r="H225">
        <v>6.8718236817029779E-6</v>
      </c>
      <c r="I225">
        <v>2.9527947873240381E-7</v>
      </c>
      <c r="J225">
        <v>2.7610934649461818E-7</v>
      </c>
      <c r="K225">
        <v>2.0419311552443223E-5</v>
      </c>
      <c r="L225">
        <v>1.2417371423903713E-4</v>
      </c>
      <c r="M225">
        <v>1.8311191428991845E-6</v>
      </c>
      <c r="N225">
        <v>3.1366200088600136E-6</v>
      </c>
      <c r="O225">
        <v>7.2058892419397381E-7</v>
      </c>
      <c r="P225">
        <v>4.2092706406860656E-5</v>
      </c>
      <c r="Q225">
        <v>1.4572272614242334E-6</v>
      </c>
      <c r="R225">
        <v>9.0798068196023524E-7</v>
      </c>
      <c r="S225">
        <v>7.6411552677108557E-6</v>
      </c>
      <c r="T225">
        <v>1.3746025054226146E-7</v>
      </c>
      <c r="U225">
        <v>3.1326076556009421E-6</v>
      </c>
      <c r="V225">
        <v>1.7010891761700182E-6</v>
      </c>
      <c r="W225">
        <v>5.2963063019742688E-7</v>
      </c>
      <c r="X225">
        <v>4.7243230540421981E-6</v>
      </c>
      <c r="Y225">
        <v>1.6749345771479233E-6</v>
      </c>
      <c r="Z225">
        <v>0</v>
      </c>
      <c r="AA225">
        <v>3.9821863067902494E-6</v>
      </c>
      <c r="AB225">
        <v>1.7553153874379872E-5</v>
      </c>
      <c r="AC225">
        <v>1.2839084611999746E-5</v>
      </c>
      <c r="AD225">
        <v>9.1823447362230659E-6</v>
      </c>
      <c r="AE225">
        <v>5.075820060104482E-5</v>
      </c>
      <c r="AF225">
        <v>2.6634595356421101E-6</v>
      </c>
      <c r="AG225">
        <v>8.9304581149591375E-6</v>
      </c>
      <c r="AH225">
        <v>1.1531354660894986E-5</v>
      </c>
      <c r="AI225">
        <v>1.1536035739697236E-4</v>
      </c>
      <c r="AJ225">
        <v>6.098236029126959E-4</v>
      </c>
      <c r="AL225">
        <f t="shared" si="16"/>
        <v>1.2409204055936359E-3</v>
      </c>
    </row>
    <row r="226" spans="2:38" x14ac:dyDescent="0.35">
      <c r="B226">
        <v>5.5313707606853493E-5</v>
      </c>
      <c r="C226">
        <v>2.5625458790629394E-4</v>
      </c>
      <c r="D226">
        <v>1.7007191480361263E-4</v>
      </c>
      <c r="E226">
        <v>4.6304042666446757E-6</v>
      </c>
      <c r="F226">
        <v>1.1685681655692975E-5</v>
      </c>
      <c r="G226">
        <v>2.6781566370244127E-5</v>
      </c>
      <c r="H226">
        <v>4.3391222806037175E-5</v>
      </c>
      <c r="I226">
        <v>4.4519288494541287E-6</v>
      </c>
      <c r="J226">
        <v>2.8242954590603702E-5</v>
      </c>
      <c r="K226">
        <v>1.2285198563322848E-3</v>
      </c>
      <c r="L226">
        <v>8.5091684530404525E-4</v>
      </c>
      <c r="M226">
        <v>3.1547944830668444E-5</v>
      </c>
      <c r="N226">
        <v>5.9728187825889615E-5</v>
      </c>
      <c r="O226">
        <v>4.5596976858792616E-5</v>
      </c>
      <c r="P226">
        <v>7.2628096741183352E-4</v>
      </c>
      <c r="Q226">
        <v>1.4046505731627717E-5</v>
      </c>
      <c r="R226">
        <v>2.8712548527591311E-5</v>
      </c>
      <c r="S226">
        <v>1.9263159391125605E-5</v>
      </c>
      <c r="T226">
        <v>4.1082039202603446E-6</v>
      </c>
      <c r="U226">
        <v>2.75455035702037E-4</v>
      </c>
      <c r="V226">
        <v>1.1127191803165486E-4</v>
      </c>
      <c r="W226">
        <v>1.9789104600551738E-4</v>
      </c>
      <c r="X226">
        <v>1.016346318781236E-3</v>
      </c>
      <c r="Y226">
        <v>2.219916173703205E-5</v>
      </c>
      <c r="Z226">
        <v>3.4778186415573457E-6</v>
      </c>
      <c r="AA226">
        <v>0</v>
      </c>
      <c r="AB226">
        <v>1.1905736941101603E-4</v>
      </c>
      <c r="AC226">
        <v>7.8601257316827727E-4</v>
      </c>
      <c r="AD226">
        <v>8.9496653986159897E-4</v>
      </c>
      <c r="AE226">
        <v>4.4688654383776981E-4</v>
      </c>
      <c r="AF226">
        <v>3.4425262795019062E-4</v>
      </c>
      <c r="AG226">
        <v>5.4608447358165928E-3</v>
      </c>
      <c r="AH226">
        <v>1.6835774832793155E-4</v>
      </c>
      <c r="AI226">
        <v>1.0911844345580836E-3</v>
      </c>
      <c r="AJ226">
        <v>9.8146430157965842E-3</v>
      </c>
      <c r="AL226">
        <f t="shared" si="16"/>
        <v>2.4362392052616637E-2</v>
      </c>
    </row>
    <row r="227" spans="2:38" x14ac:dyDescent="0.35">
      <c r="B227">
        <v>2.0851456859012837E-5</v>
      </c>
      <c r="C227">
        <v>2.0474741469688908E-5</v>
      </c>
      <c r="D227">
        <v>1.4012475031763742E-5</v>
      </c>
      <c r="E227">
        <v>3.619826225793221E-5</v>
      </c>
      <c r="F227">
        <v>5.7449468386089579E-6</v>
      </c>
      <c r="G227">
        <v>6.4621178322489081E-6</v>
      </c>
      <c r="H227">
        <v>1.269926153120492E-4</v>
      </c>
      <c r="I227">
        <v>1.5232527633873975E-5</v>
      </c>
      <c r="J227">
        <v>3.0701947576277055E-4</v>
      </c>
      <c r="K227">
        <v>8.2930735089042039E-5</v>
      </c>
      <c r="L227">
        <v>2.6790185499467317E-4</v>
      </c>
      <c r="M227">
        <v>7.6079864807691999E-5</v>
      </c>
      <c r="N227">
        <v>3.8911801906474587E-5</v>
      </c>
      <c r="O227">
        <v>1.1375467306496249E-5</v>
      </c>
      <c r="P227">
        <v>7.1709371868829377E-5</v>
      </c>
      <c r="Q227">
        <v>2.2394578201316452E-5</v>
      </c>
      <c r="R227">
        <v>7.481047512106281E-5</v>
      </c>
      <c r="S227">
        <v>8.6111045166723056E-6</v>
      </c>
      <c r="T227">
        <v>2.8787891605456098E-6</v>
      </c>
      <c r="U227">
        <v>7.3894321126908167E-5</v>
      </c>
      <c r="V227">
        <v>1.9174694432046892E-4</v>
      </c>
      <c r="W227">
        <v>1.5202063470240285E-5</v>
      </c>
      <c r="X227">
        <v>1.2651261897772323E-4</v>
      </c>
      <c r="Y227">
        <v>4.0309289686041537E-6</v>
      </c>
      <c r="Z227">
        <v>7.2528486356385E-6</v>
      </c>
      <c r="AA227">
        <v>1.2156984557957605E-4</v>
      </c>
      <c r="AB227">
        <v>0</v>
      </c>
      <c r="AC227">
        <v>1.6212314578603962E-4</v>
      </c>
      <c r="AD227">
        <v>1.8728996287802191E-4</v>
      </c>
      <c r="AE227">
        <v>5.255912307052758E-4</v>
      </c>
      <c r="AF227">
        <v>3.1173309920812183E-4</v>
      </c>
      <c r="AG227">
        <v>2.9485446649829479E-4</v>
      </c>
      <c r="AH227">
        <v>4.0002418964560711E-5</v>
      </c>
      <c r="AI227">
        <v>2.5429849138965848E-4</v>
      </c>
      <c r="AJ227">
        <v>4.6389147651185189E-3</v>
      </c>
      <c r="AL227">
        <f t="shared" si="16"/>
        <v>8.1656098135984064E-3</v>
      </c>
    </row>
    <row r="228" spans="2:38" x14ac:dyDescent="0.35">
      <c r="B228">
        <v>6.5836921359987706E-5</v>
      </c>
      <c r="C228">
        <v>2.1099019055097543E-4</v>
      </c>
      <c r="D228">
        <v>2.6595838996051999E-4</v>
      </c>
      <c r="E228">
        <v>2.7554761703834817E-5</v>
      </c>
      <c r="F228">
        <v>1.4628750201505671E-4</v>
      </c>
      <c r="G228">
        <v>8.3745688617662328E-5</v>
      </c>
      <c r="H228">
        <v>1.3978355168494007E-4</v>
      </c>
      <c r="I228">
        <v>2.0069047973493912E-5</v>
      </c>
      <c r="J228">
        <v>8.1414957191170621E-5</v>
      </c>
      <c r="K228">
        <v>1.0984103855663186E-3</v>
      </c>
      <c r="L228">
        <v>1.5881396486590428E-3</v>
      </c>
      <c r="M228">
        <v>4.1748699126881964E-4</v>
      </c>
      <c r="N228">
        <v>1.9448574693397584E-4</v>
      </c>
      <c r="O228">
        <v>1.0669467001540906E-3</v>
      </c>
      <c r="P228">
        <v>1.5350571066755857E-3</v>
      </c>
      <c r="Q228">
        <v>1.3597686868181515E-4</v>
      </c>
      <c r="R228">
        <v>9.6640752987909933E-4</v>
      </c>
      <c r="S228">
        <v>5.6900370412301838E-5</v>
      </c>
      <c r="T228">
        <v>2.3567463361781157E-4</v>
      </c>
      <c r="U228">
        <v>5.6753072465991032E-4</v>
      </c>
      <c r="V228">
        <v>1.4322503623865137E-3</v>
      </c>
      <c r="W228">
        <v>4.6742637459366144E-4</v>
      </c>
      <c r="X228">
        <v>3.3314870779592777E-3</v>
      </c>
      <c r="Y228">
        <v>1.2802780245288963E-4</v>
      </c>
      <c r="Z228">
        <v>1.648943444369716E-5</v>
      </c>
      <c r="AA228">
        <v>1.7390986444102306E-3</v>
      </c>
      <c r="AB228">
        <v>3.9807151105952565E-4</v>
      </c>
      <c r="AC228">
        <v>0</v>
      </c>
      <c r="AD228">
        <v>1.0258624318663432E-3</v>
      </c>
      <c r="AE228">
        <v>5.8231553311234247E-3</v>
      </c>
      <c r="AF228">
        <v>4.5567973488956585E-3</v>
      </c>
      <c r="AG228">
        <v>4.6624986345469583E-4</v>
      </c>
      <c r="AH228">
        <v>8.0168155567333249E-5</v>
      </c>
      <c r="AI228">
        <v>3.3444358335603585E-3</v>
      </c>
      <c r="AJ228">
        <v>1.7475192215893682E-2</v>
      </c>
      <c r="AL228">
        <f t="shared" si="16"/>
        <v>4.9189370105233707E-2</v>
      </c>
    </row>
    <row r="229" spans="2:38" x14ac:dyDescent="0.35">
      <c r="B229">
        <v>2.3946318672843255E-5</v>
      </c>
      <c r="C229">
        <v>3.1951260636043258E-5</v>
      </c>
      <c r="D229">
        <v>1.4983910337487808E-6</v>
      </c>
      <c r="E229">
        <v>6.4598887471049782E-7</v>
      </c>
      <c r="F229">
        <v>1.3688811868865314E-6</v>
      </c>
      <c r="G229">
        <v>7.4756085443550946E-6</v>
      </c>
      <c r="H229">
        <v>2.107718888125467E-5</v>
      </c>
      <c r="I229">
        <v>5.0555651064299836E-7</v>
      </c>
      <c r="J229">
        <v>1.490589235745031E-5</v>
      </c>
      <c r="K229">
        <v>1.9677457155976166E-4</v>
      </c>
      <c r="L229">
        <v>1.5081098449763096E-4</v>
      </c>
      <c r="M229">
        <v>5.4761191702511731E-6</v>
      </c>
      <c r="N229">
        <v>2.2192920298629048E-5</v>
      </c>
      <c r="O229">
        <v>2.1745914424433241E-5</v>
      </c>
      <c r="P229">
        <v>3.1884180033778632E-4</v>
      </c>
      <c r="Q229">
        <v>4.1639310488585582E-7</v>
      </c>
      <c r="R229">
        <v>9.0798068196023513E-8</v>
      </c>
      <c r="S229">
        <v>1.7493860209551373E-6</v>
      </c>
      <c r="T229">
        <v>9.8837635281792542E-7</v>
      </c>
      <c r="U229">
        <v>1.1020121413418784E-4</v>
      </c>
      <c r="V229">
        <v>1.8767410855115891E-6</v>
      </c>
      <c r="W229">
        <v>1.7425055781442111E-5</v>
      </c>
      <c r="X229">
        <v>6.0824303293997426E-6</v>
      </c>
      <c r="Y229">
        <v>1.6236656188375663E-6</v>
      </c>
      <c r="Z229">
        <v>1.3631598683504481E-6</v>
      </c>
      <c r="AA229">
        <v>2.7303959904007599E-4</v>
      </c>
      <c r="AB229">
        <v>5.0286823395942059E-5</v>
      </c>
      <c r="AC229">
        <v>3.5870542160071838E-4</v>
      </c>
      <c r="AD229">
        <v>0</v>
      </c>
      <c r="AE229">
        <v>6.0117573335171622E-3</v>
      </c>
      <c r="AF229">
        <v>2.3241600834874055E-4</v>
      </c>
      <c r="AG229">
        <v>2.630886657462264E-4</v>
      </c>
      <c r="AH229">
        <v>8.2668148859087263E-5</v>
      </c>
      <c r="AI229">
        <v>5.6318054611699279E-3</v>
      </c>
      <c r="AJ229">
        <v>6.1072812108239893E-3</v>
      </c>
      <c r="AL229">
        <f t="shared" si="16"/>
        <v>1.9972083289852883E-2</v>
      </c>
    </row>
    <row r="230" spans="2:38" x14ac:dyDescent="0.35">
      <c r="B230">
        <v>9.7571812131393634E-5</v>
      </c>
      <c r="C230">
        <v>1.0420452927999122E-4</v>
      </c>
      <c r="D230">
        <v>9.5019955458624219E-6</v>
      </c>
      <c r="E230">
        <v>9.577026551807057E-5</v>
      </c>
      <c r="F230">
        <v>1.2785177902935736E-4</v>
      </c>
      <c r="G230">
        <v>1.1727053475964289E-4</v>
      </c>
      <c r="H230">
        <v>1.4180176537425301E-4</v>
      </c>
      <c r="I230">
        <v>6.408768394470885E-6</v>
      </c>
      <c r="J230">
        <v>5.7168306446602054E-5</v>
      </c>
      <c r="K230">
        <v>8.591799153269122E-4</v>
      </c>
      <c r="L230">
        <v>1.2797336819367487E-3</v>
      </c>
      <c r="M230">
        <v>2.7437170032208774E-4</v>
      </c>
      <c r="N230">
        <v>6.19080844909755E-5</v>
      </c>
      <c r="O230">
        <v>2.3742134473659409E-4</v>
      </c>
      <c r="P230">
        <v>7.2677300080593681E-4</v>
      </c>
      <c r="Q230">
        <v>9.1035837278042564E-6</v>
      </c>
      <c r="R230">
        <v>9.1655522948054698E-6</v>
      </c>
      <c r="S230">
        <v>4.9026498655564839E-6</v>
      </c>
      <c r="T230">
        <v>2.5080090819315823E-4</v>
      </c>
      <c r="U230">
        <v>6.6951894888413156E-4</v>
      </c>
      <c r="V230">
        <v>1.1044344138649474E-4</v>
      </c>
      <c r="W230">
        <v>4.3871367746039384E-5</v>
      </c>
      <c r="X230">
        <v>3.49009347041658E-5</v>
      </c>
      <c r="Y230">
        <v>1.7642465885813277E-5</v>
      </c>
      <c r="Z230">
        <v>1.9068337349546238E-5</v>
      </c>
      <c r="AA230">
        <v>2.4885476825683246E-4</v>
      </c>
      <c r="AB230">
        <v>2.4406847663578898E-4</v>
      </c>
      <c r="AC230">
        <v>4.0941412165100034E-3</v>
      </c>
      <c r="AD230">
        <v>1.4304297199437911E-2</v>
      </c>
      <c r="AE230">
        <v>0</v>
      </c>
      <c r="AF230">
        <v>6.6291347115599265E-3</v>
      </c>
      <c r="AG230">
        <v>1.7956872401137349E-3</v>
      </c>
      <c r="AH230">
        <v>1.2195562591515195E-4</v>
      </c>
      <c r="AI230">
        <v>1.2866592711521232E-2</v>
      </c>
      <c r="AJ230">
        <v>3.7082847651067188E-2</v>
      </c>
      <c r="AL230">
        <f t="shared" si="16"/>
        <v>8.2753935275154178E-2</v>
      </c>
    </row>
    <row r="231" spans="2:38" x14ac:dyDescent="0.35">
      <c r="B231">
        <v>1.9623676761736984E-5</v>
      </c>
      <c r="C231">
        <v>3.2168819346090684E-5</v>
      </c>
      <c r="D231">
        <v>3.6096318764016547E-7</v>
      </c>
      <c r="E231">
        <v>9.6890900922761595E-8</v>
      </c>
      <c r="F231">
        <v>5.2769875640602215E-7</v>
      </c>
      <c r="G231">
        <v>2.576673820705158E-6</v>
      </c>
      <c r="H231">
        <v>1.7191299052682136E-5</v>
      </c>
      <c r="I231">
        <v>4.6142062479321279E-7</v>
      </c>
      <c r="J231">
        <v>8.3476266526599488E-6</v>
      </c>
      <c r="K231">
        <v>8.620912491305592E-5</v>
      </c>
      <c r="L231">
        <v>1.0288491087478551E-4</v>
      </c>
      <c r="M231">
        <v>2.4075902822543636E-5</v>
      </c>
      <c r="N231">
        <v>1.7953051749200655E-6</v>
      </c>
      <c r="O231">
        <v>3.255786900654435E-5</v>
      </c>
      <c r="P231">
        <v>2.1997786185129541E-4</v>
      </c>
      <c r="Q231">
        <v>2.0789934109040409E-7</v>
      </c>
      <c r="R231">
        <v>2.4371330906952302E-8</v>
      </c>
      <c r="S231">
        <v>3.2306874019337998E-7</v>
      </c>
      <c r="T231">
        <v>7.3232877261866433E-7</v>
      </c>
      <c r="U231">
        <v>4.1796981111099465E-5</v>
      </c>
      <c r="V231">
        <v>1.342800890702567E-6</v>
      </c>
      <c r="W231">
        <v>1.3036581555751815E-5</v>
      </c>
      <c r="X231">
        <v>1.3537977107459481E-7</v>
      </c>
      <c r="Y231">
        <v>2.3628302525642783E-7</v>
      </c>
      <c r="Z231">
        <v>2.2632644494688022E-7</v>
      </c>
      <c r="AA231">
        <v>5.9638132786074908E-5</v>
      </c>
      <c r="AB231">
        <v>3.6611386037940315E-5</v>
      </c>
      <c r="AC231">
        <v>1.3471250186704361E-3</v>
      </c>
      <c r="AD231">
        <v>2.9503740008577316E-4</v>
      </c>
      <c r="AE231">
        <v>1.6651980818449194E-3</v>
      </c>
      <c r="AF231">
        <v>0</v>
      </c>
      <c r="AG231">
        <v>4.9918132713136273E-6</v>
      </c>
      <c r="AH231">
        <v>9.906500196647324E-6</v>
      </c>
      <c r="AI231">
        <v>4.9873742711580077E-3</v>
      </c>
      <c r="AJ231">
        <v>3.5805093991160969E-2</v>
      </c>
      <c r="AL231">
        <f t="shared" si="16"/>
        <v>4.48178946599425E-2</v>
      </c>
    </row>
    <row r="232" spans="2:38" x14ac:dyDescent="0.35">
      <c r="B232">
        <v>3.1353865817470395E-5</v>
      </c>
      <c r="C232">
        <v>7.0368057034889426E-5</v>
      </c>
      <c r="D232">
        <v>1.7565190934157087E-6</v>
      </c>
      <c r="E232">
        <v>4.0706066841660817E-6</v>
      </c>
      <c r="F232">
        <v>1.5776944528859463E-5</v>
      </c>
      <c r="G232">
        <v>6.5330027398258341E-6</v>
      </c>
      <c r="H232">
        <v>2.9573272604500262E-5</v>
      </c>
      <c r="I232">
        <v>8.0796906183597359E-7</v>
      </c>
      <c r="J232">
        <v>8.2642588682770214E-6</v>
      </c>
      <c r="K232">
        <v>4.730661086134769E-4</v>
      </c>
      <c r="L232">
        <v>5.011280614903936E-4</v>
      </c>
      <c r="M232">
        <v>2.0150335278409174E-5</v>
      </c>
      <c r="N232">
        <v>1.2675321156759127E-5</v>
      </c>
      <c r="O232">
        <v>2.3257531363369328E-5</v>
      </c>
      <c r="P232">
        <v>1.1008693636914242E-3</v>
      </c>
      <c r="Q232">
        <v>8.914854518951637E-7</v>
      </c>
      <c r="R232">
        <v>3.994223366567463E-6</v>
      </c>
      <c r="S232">
        <v>3.0524646143928972E-5</v>
      </c>
      <c r="T232">
        <v>1.029242913789949E-6</v>
      </c>
      <c r="U232">
        <v>1.358459470810284E-4</v>
      </c>
      <c r="V232">
        <v>2.588829765023382E-5</v>
      </c>
      <c r="W232">
        <v>8.903810145091854E-4</v>
      </c>
      <c r="X232">
        <v>1.2149257062791984E-5</v>
      </c>
      <c r="Y232">
        <v>1.1609075429579964E-6</v>
      </c>
      <c r="Z232">
        <v>3.625086866732893E-6</v>
      </c>
      <c r="AA232">
        <v>2.5286700263136281E-3</v>
      </c>
      <c r="AB232">
        <v>1.1016658901161882E-4</v>
      </c>
      <c r="AC232">
        <v>2.9108865005614184E-4</v>
      </c>
      <c r="AD232">
        <v>6.7409199135973913E-4</v>
      </c>
      <c r="AE232">
        <v>1.1853381675297771E-3</v>
      </c>
      <c r="AF232">
        <v>4.0872059382045374E-5</v>
      </c>
      <c r="AG232">
        <v>0</v>
      </c>
      <c r="AH232">
        <v>1.3432467077313529E-5</v>
      </c>
      <c r="AI232">
        <v>4.7680385344338388E-3</v>
      </c>
      <c r="AJ232">
        <v>5.9002570234216609E-2</v>
      </c>
      <c r="AL232">
        <f t="shared" si="16"/>
        <v>7.2019410045996893E-2</v>
      </c>
    </row>
    <row r="233" spans="2:38" x14ac:dyDescent="0.35">
      <c r="B233">
        <v>8.0784274701115104E-5</v>
      </c>
      <c r="C233">
        <v>2.1167392526745648E-5</v>
      </c>
      <c r="D233">
        <v>4.9196503549208456E-5</v>
      </c>
      <c r="E233">
        <v>3.8633017657807258E-6</v>
      </c>
      <c r="F233">
        <v>2.9675067492739667E-6</v>
      </c>
      <c r="G233">
        <v>1.1446277911235047E-4</v>
      </c>
      <c r="H233">
        <v>2.2901769374398331E-5</v>
      </c>
      <c r="I233">
        <v>3.2875989177718208E-4</v>
      </c>
      <c r="J233">
        <v>4.3655740909783363E-5</v>
      </c>
      <c r="K233">
        <v>2.5349750679460681E-4</v>
      </c>
      <c r="L233">
        <v>3.5467013848579972E-3</v>
      </c>
      <c r="M233">
        <v>3.0306062054715339E-4</v>
      </c>
      <c r="N233">
        <v>1.0005828230660782E-4</v>
      </c>
      <c r="O233">
        <v>2.6632663482629702E-5</v>
      </c>
      <c r="P233">
        <v>4.6028468300386683E-4</v>
      </c>
      <c r="Q233">
        <v>7.1824466965094238E-4</v>
      </c>
      <c r="R233">
        <v>6.4203774699004646E-4</v>
      </c>
      <c r="S233">
        <v>2.2044166016690883E-6</v>
      </c>
      <c r="T233">
        <v>3.730596896878845E-6</v>
      </c>
      <c r="U233">
        <v>1.7563259060365683E-5</v>
      </c>
      <c r="V233">
        <v>2.528793071813573E-4</v>
      </c>
      <c r="W233">
        <v>4.8821422822323417E-5</v>
      </c>
      <c r="X233">
        <v>5.0799512979045621E-5</v>
      </c>
      <c r="Y233">
        <v>1.2495954105511006E-5</v>
      </c>
      <c r="Z233">
        <v>6.192249924157289E-6</v>
      </c>
      <c r="AA233">
        <v>2.3677015466321434E-4</v>
      </c>
      <c r="AB233">
        <v>7.9463913267528084E-5</v>
      </c>
      <c r="AC233">
        <v>2.9675126935010173E-4</v>
      </c>
      <c r="AD233">
        <v>4.8998545927859982E-4</v>
      </c>
      <c r="AE233">
        <v>3.5228119821591631E-4</v>
      </c>
      <c r="AF233">
        <v>5.7382150014742938E-5</v>
      </c>
      <c r="AG233">
        <v>4.7565110435205281E-5</v>
      </c>
      <c r="AH233">
        <v>0</v>
      </c>
      <c r="AI233">
        <v>2.4275122106083582E-3</v>
      </c>
      <c r="AJ233">
        <v>4.192453902240402E-2</v>
      </c>
      <c r="AL233">
        <f t="shared" si="16"/>
        <v>5.3025213925908685E-2</v>
      </c>
    </row>
    <row r="234" spans="2:38" x14ac:dyDescent="0.35">
      <c r="B234">
        <v>1.8366160668641123E-4</v>
      </c>
      <c r="C234">
        <v>1.9645447493309352E-4</v>
      </c>
      <c r="D234">
        <v>1.3480585595287132E-4</v>
      </c>
      <c r="E234">
        <v>1.3743097522403785E-4</v>
      </c>
      <c r="F234">
        <v>1.3199601982611124E-4</v>
      </c>
      <c r="G234">
        <v>4.412508221712134E-4</v>
      </c>
      <c r="H234">
        <v>2.5273902342296608E-4</v>
      </c>
      <c r="I234">
        <v>3.250362793470875E-5</v>
      </c>
      <c r="J234">
        <v>1.5615751951818173E-4</v>
      </c>
      <c r="K234">
        <v>1.4706051902183587E-3</v>
      </c>
      <c r="L234">
        <v>3.2217490677179991E-3</v>
      </c>
      <c r="M234">
        <v>5.121715437161207E-4</v>
      </c>
      <c r="N234">
        <v>2.6042490899923172E-4</v>
      </c>
      <c r="O234">
        <v>3.323285084869354E-4</v>
      </c>
      <c r="P234">
        <v>1.4621278308103228E-3</v>
      </c>
      <c r="Q234">
        <v>5.1919999778060377E-5</v>
      </c>
      <c r="R234">
        <v>7.2854081393074834E-5</v>
      </c>
      <c r="S234">
        <v>7.7693276634867496E-5</v>
      </c>
      <c r="T234">
        <v>1.86298763017355E-4</v>
      </c>
      <c r="U234">
        <v>8.0826448992038231E-4</v>
      </c>
      <c r="V234">
        <v>1.0265495845133783E-3</v>
      </c>
      <c r="W234">
        <v>1.02493230893862E-3</v>
      </c>
      <c r="X234">
        <v>6.3616678253796733E-4</v>
      </c>
      <c r="Y234">
        <v>3.3950898615823441E-5</v>
      </c>
      <c r="Z234">
        <v>1.0416604040983938E-4</v>
      </c>
      <c r="AA234">
        <v>9.4416586691865628E-4</v>
      </c>
      <c r="AB234">
        <v>3.0654482923278998E-4</v>
      </c>
      <c r="AC234">
        <v>4.7501000460409126E-3</v>
      </c>
      <c r="AD234">
        <v>1.0127896351072864E-2</v>
      </c>
      <c r="AE234">
        <v>2.4571909040795988E-2</v>
      </c>
      <c r="AF234">
        <v>2.3341773840762737E-2</v>
      </c>
      <c r="AG234">
        <v>1.1287420672396214E-2</v>
      </c>
      <c r="AH234">
        <v>9.0002790058940315E-4</v>
      </c>
      <c r="AI234">
        <v>0</v>
      </c>
      <c r="AJ234">
        <v>8.3132834945010656E-2</v>
      </c>
      <c r="AL234">
        <f t="shared" si="16"/>
        <v>0.17231187669419817</v>
      </c>
    </row>
    <row r="235" spans="2:38" x14ac:dyDescent="0.35">
      <c r="B235">
        <v>1.4840480596930107E-3</v>
      </c>
      <c r="C235">
        <v>1.4944672494727614E-3</v>
      </c>
      <c r="D235">
        <v>1.2619385980214138E-3</v>
      </c>
      <c r="E235">
        <v>1.2633713053462556E-3</v>
      </c>
      <c r="F235">
        <v>9.8817796424011578E-5</v>
      </c>
      <c r="G235">
        <v>3.1214696601651121E-4</v>
      </c>
      <c r="H235">
        <v>6.8896950003302323E-4</v>
      </c>
      <c r="I235">
        <v>2.0039148511430012E-4</v>
      </c>
      <c r="J235">
        <v>2.2781294752652827E-4</v>
      </c>
      <c r="K235">
        <v>1.1728094161515143E-2</v>
      </c>
      <c r="L235">
        <v>1.3849917511585989E-2</v>
      </c>
      <c r="M235">
        <v>2.2211811052195462E-3</v>
      </c>
      <c r="N235">
        <v>5.6541339098453063E-4</v>
      </c>
      <c r="O235">
        <v>2.4974610510305123E-4</v>
      </c>
      <c r="P235">
        <v>6.394286622713484E-3</v>
      </c>
      <c r="Q235">
        <v>7.7732924629294231E-4</v>
      </c>
      <c r="R235">
        <v>8.239893481597119E-4</v>
      </c>
      <c r="S235">
        <v>1.6308313845469152E-4</v>
      </c>
      <c r="T235">
        <v>3.4552454393331613E-5</v>
      </c>
      <c r="U235">
        <v>2.2841787665288734E-3</v>
      </c>
      <c r="V235">
        <v>1.2614052522493106E-3</v>
      </c>
      <c r="W235">
        <v>1.8516577848096654E-3</v>
      </c>
      <c r="X235">
        <v>1.0317591051004155E-3</v>
      </c>
      <c r="Y235">
        <v>1.0587233078467856E-4</v>
      </c>
      <c r="Z235">
        <v>3.5679569005507664E-4</v>
      </c>
      <c r="AA235">
        <v>6.4112294530754566E-3</v>
      </c>
      <c r="AB235">
        <v>1.9901258790483373E-3</v>
      </c>
      <c r="AC235">
        <v>7.4863109765538009E-3</v>
      </c>
      <c r="AD235">
        <v>1.0862892892791775E-2</v>
      </c>
      <c r="AE235">
        <v>2.6080223812999848E-2</v>
      </c>
      <c r="AF235">
        <v>4.4849333379601092E-2</v>
      </c>
      <c r="AG235">
        <v>1.3127727658441645E-2</v>
      </c>
      <c r="AH235">
        <v>3.342051202855089E-2</v>
      </c>
      <c r="AI235">
        <v>3.6105958962841328E-2</v>
      </c>
      <c r="AJ235">
        <v>0</v>
      </c>
      <c r="AL235">
        <f t="shared" si="16"/>
        <v>0.23106554096550241</v>
      </c>
    </row>
    <row r="238" spans="2:38" x14ac:dyDescent="0.35">
      <c r="B238">
        <f>SUM(B201:B235)</f>
        <v>4.3646239805871546E-3</v>
      </c>
      <c r="C238">
        <f t="shared" ref="C238:AJ238" si="17">SUM(C201:C235)</f>
        <v>5.1249464217744947E-3</v>
      </c>
      <c r="D238">
        <f t="shared" si="17"/>
        <v>4.1787759385859026E-3</v>
      </c>
      <c r="E238">
        <f t="shared" si="17"/>
        <v>3.5983348728922254E-3</v>
      </c>
      <c r="F238">
        <f t="shared" si="17"/>
        <v>9.3633806292156053E-4</v>
      </c>
      <c r="G238">
        <f t="shared" si="17"/>
        <v>2.9839984128028074E-3</v>
      </c>
      <c r="H238">
        <f t="shared" si="17"/>
        <v>2.1631568300776753E-3</v>
      </c>
      <c r="I238">
        <f t="shared" si="17"/>
        <v>7.6325569432823424E-4</v>
      </c>
      <c r="J238">
        <f t="shared" si="17"/>
        <v>1.2365287363459061E-3</v>
      </c>
      <c r="K238">
        <f t="shared" si="17"/>
        <v>2.5080225901875544E-2</v>
      </c>
      <c r="L238">
        <f t="shared" si="17"/>
        <v>4.1197676412375289E-2</v>
      </c>
      <c r="M238">
        <f t="shared" si="17"/>
        <v>7.8300101969655915E-3</v>
      </c>
      <c r="N238">
        <f t="shared" si="17"/>
        <v>3.7015848336107481E-3</v>
      </c>
      <c r="O238">
        <f t="shared" si="17"/>
        <v>2.828954395616856E-3</v>
      </c>
      <c r="P238">
        <f t="shared" si="17"/>
        <v>2.2830412569496434E-2</v>
      </c>
      <c r="Q238">
        <f t="shared" si="17"/>
        <v>2.1741380465250498E-3</v>
      </c>
      <c r="R238">
        <f t="shared" si="17"/>
        <v>3.7119355161737422E-3</v>
      </c>
      <c r="S238">
        <f t="shared" si="17"/>
        <v>1.0844974020348119E-3</v>
      </c>
      <c r="T238">
        <f t="shared" si="17"/>
        <v>7.8929074008377671E-4</v>
      </c>
      <c r="U238">
        <f t="shared" si="17"/>
        <v>8.2942598280178019E-3</v>
      </c>
      <c r="V238">
        <f t="shared" si="17"/>
        <v>1.3524486461259913E-2</v>
      </c>
      <c r="W238">
        <f t="shared" si="17"/>
        <v>7.3107020142526699E-3</v>
      </c>
      <c r="X238">
        <f t="shared" si="17"/>
        <v>1.6426858450994227E-2</v>
      </c>
      <c r="Y238">
        <f t="shared" si="17"/>
        <v>1.4529879129946718E-3</v>
      </c>
      <c r="Z238">
        <f t="shared" si="17"/>
        <v>1.0897878384125738E-3</v>
      </c>
      <c r="AA238">
        <f t="shared" si="17"/>
        <v>2.1408935524216202E-2</v>
      </c>
      <c r="AB238">
        <f t="shared" si="17"/>
        <v>5.196280935824955E-3</v>
      </c>
      <c r="AC238">
        <f t="shared" si="17"/>
        <v>2.9798051692843067E-2</v>
      </c>
      <c r="AD238">
        <f t="shared" si="17"/>
        <v>4.3765819152720438E-2</v>
      </c>
      <c r="AE238">
        <f t="shared" si="17"/>
        <v>7.7026622060393291E-2</v>
      </c>
      <c r="AF238">
        <f t="shared" si="17"/>
        <v>8.45824599115515E-2</v>
      </c>
      <c r="AG238">
        <f t="shared" si="17"/>
        <v>3.8899854158708815E-2</v>
      </c>
      <c r="AH238">
        <f t="shared" si="17"/>
        <v>3.9439967804823964E-2</v>
      </c>
      <c r="AI238">
        <f t="shared" si="17"/>
        <v>8.7781661114313125E-2</v>
      </c>
      <c r="AJ238">
        <f t="shared" si="17"/>
        <v>0.38742258017359871</v>
      </c>
    </row>
    <row r="242" spans="1:38" x14ac:dyDescent="0.35">
      <c r="A242" t="s">
        <v>431</v>
      </c>
      <c r="B242" t="s">
        <v>49</v>
      </c>
      <c r="C242" t="s">
        <v>57</v>
      </c>
      <c r="D242" t="s">
        <v>58</v>
      </c>
      <c r="E242" t="s">
        <v>59</v>
      </c>
      <c r="F242" t="s">
        <v>60</v>
      </c>
      <c r="G242" t="s">
        <v>61</v>
      </c>
      <c r="H242" t="s">
        <v>62</v>
      </c>
      <c r="I242" t="s">
        <v>63</v>
      </c>
      <c r="J242" t="s">
        <v>64</v>
      </c>
      <c r="K242" t="s">
        <v>65</v>
      </c>
      <c r="L242" t="s">
        <v>66</v>
      </c>
      <c r="M242" t="s">
        <v>67</v>
      </c>
      <c r="N242" t="s">
        <v>68</v>
      </c>
      <c r="O242" t="s">
        <v>69</v>
      </c>
      <c r="P242" t="s">
        <v>70</v>
      </c>
      <c r="Q242" t="s">
        <v>71</v>
      </c>
      <c r="R242" t="s">
        <v>72</v>
      </c>
      <c r="S242" t="s">
        <v>73</v>
      </c>
      <c r="T242" t="s">
        <v>74</v>
      </c>
      <c r="U242" t="s">
        <v>75</v>
      </c>
      <c r="V242" t="s">
        <v>76</v>
      </c>
      <c r="W242" t="s">
        <v>77</v>
      </c>
      <c r="X242" t="s">
        <v>78</v>
      </c>
      <c r="Y242" t="s">
        <v>79</v>
      </c>
      <c r="Z242" t="s">
        <v>80</v>
      </c>
      <c r="AA242" t="s">
        <v>81</v>
      </c>
      <c r="AB242" t="s">
        <v>82</v>
      </c>
      <c r="AC242" t="s">
        <v>83</v>
      </c>
      <c r="AD242" t="s">
        <v>84</v>
      </c>
      <c r="AE242" t="s">
        <v>85</v>
      </c>
      <c r="AF242" t="s">
        <v>86</v>
      </c>
      <c r="AG242" t="s">
        <v>87</v>
      </c>
      <c r="AH242" t="s">
        <v>88</v>
      </c>
      <c r="AI242" t="s">
        <v>89</v>
      </c>
      <c r="AJ242" t="s">
        <v>90</v>
      </c>
    </row>
    <row r="243" spans="1:38" x14ac:dyDescent="0.35">
      <c r="A243" t="s">
        <v>81</v>
      </c>
      <c r="B243" s="128">
        <v>2.2704547027808191E-3</v>
      </c>
      <c r="C243" s="128">
        <v>1.0518449393345633E-2</v>
      </c>
      <c r="D243" s="128">
        <v>6.9809202001305986E-3</v>
      </c>
      <c r="E243" s="128">
        <v>1.9006361348442992E-4</v>
      </c>
      <c r="F243" s="128">
        <v>4.7966068481513816E-4</v>
      </c>
      <c r="G243" s="128">
        <v>1.0992995397333186E-3</v>
      </c>
      <c r="H243" s="128">
        <v>1.7810739894638856E-3</v>
      </c>
      <c r="I243" s="128">
        <v>1.8273775579340004E-4</v>
      </c>
      <c r="J243" s="128">
        <v>1.1592849556646993E-3</v>
      </c>
      <c r="K243" s="128">
        <v>5.0426897887489497E-2</v>
      </c>
      <c r="L243" s="128">
        <v>3.4927475244067946E-2</v>
      </c>
      <c r="M243" s="128">
        <v>1.2949444686109976E-3</v>
      </c>
      <c r="N243" s="128">
        <v>2.4516553094167336E-3</v>
      </c>
      <c r="O243" s="128">
        <v>1.871613294799403E-3</v>
      </c>
      <c r="P243" s="128">
        <v>2.9811562257238508E-2</v>
      </c>
      <c r="Q243" s="128">
        <v>5.7656512961825745E-4</v>
      </c>
      <c r="R243" s="128">
        <v>1.1785603181157019E-3</v>
      </c>
      <c r="S243" s="128">
        <v>7.9069244717522107E-4</v>
      </c>
      <c r="T243" s="128">
        <v>1.6862892245505522E-4</v>
      </c>
      <c r="U243" s="128">
        <v>1.130656772566189E-2</v>
      </c>
      <c r="V243" s="128">
        <v>4.5673642305458151E-3</v>
      </c>
      <c r="W243" s="128">
        <v>8.1228085312034428E-3</v>
      </c>
      <c r="X243" s="128">
        <v>4.1717837747056355E-2</v>
      </c>
      <c r="Y243" s="128">
        <v>9.1120616108169704E-4</v>
      </c>
      <c r="Z243" s="128">
        <v>1.4275357830405703E-4</v>
      </c>
      <c r="AA243" s="128">
        <v>0</v>
      </c>
      <c r="AB243" s="128">
        <v>4.8869326605483591E-3</v>
      </c>
      <c r="AC243" s="128">
        <v>3.2263357862014855E-2</v>
      </c>
      <c r="AD243" s="128">
        <v>3.6735577439550943E-2</v>
      </c>
      <c r="AE243" s="128">
        <v>1.8343294979926737E-2</v>
      </c>
      <c r="AF243" s="128">
        <v>1.4130493721909226E-2</v>
      </c>
      <c r="AG243" s="128">
        <v>0.2241505975284587</v>
      </c>
      <c r="AH243" s="128">
        <v>6.9105590273861933E-3</v>
      </c>
      <c r="AI243" s="128">
        <v>4.4789708342325325E-2</v>
      </c>
      <c r="AJ243" s="128">
        <v>0.40286040034982712</v>
      </c>
      <c r="AL243">
        <v>1</v>
      </c>
    </row>
  </sheetData>
  <mergeCells count="9">
    <mergeCell ref="A76:E77"/>
    <mergeCell ref="G77:I77"/>
    <mergeCell ref="K77:M77"/>
    <mergeCell ref="O77:Q77"/>
    <mergeCell ref="AC2:AF3"/>
    <mergeCell ref="E43:I44"/>
    <mergeCell ref="A44:B44"/>
    <mergeCell ref="A56:Q56"/>
    <mergeCell ref="A57:Q57"/>
  </mergeCells>
  <conditionalFormatting sqref="B194:AJ194">
    <cfRule type="colorScale" priority="1">
      <colorScale>
        <cfvo type="min"/>
        <cfvo type="percentile" val="50"/>
        <cfvo type="max"/>
        <color rgb="FFF8696B"/>
        <color rgb="FFFFEB84"/>
        <color rgb="FF63BE7B"/>
      </colorScale>
    </cfRule>
  </conditionalFormatting>
  <conditionalFormatting sqref="C156:C190">
    <cfRule type="colorScale" priority="37">
      <colorScale>
        <cfvo type="min"/>
        <cfvo type="percentile" val="50"/>
        <cfvo type="max"/>
        <color rgb="FFF8696B"/>
        <color rgb="FFFFEB84"/>
        <color rgb="FF63BE7B"/>
      </colorScale>
    </cfRule>
  </conditionalFormatting>
  <conditionalFormatting sqref="D156:D190">
    <cfRule type="colorScale" priority="36">
      <colorScale>
        <cfvo type="min"/>
        <cfvo type="percentile" val="50"/>
        <cfvo type="max"/>
        <color rgb="FFF8696B"/>
        <color rgb="FFFFEB84"/>
        <color rgb="FF63BE7B"/>
      </colorScale>
    </cfRule>
  </conditionalFormatting>
  <conditionalFormatting sqref="E156:E190">
    <cfRule type="colorScale" priority="34">
      <colorScale>
        <cfvo type="min"/>
        <cfvo type="percentile" val="50"/>
        <cfvo type="max"/>
        <color rgb="FFF8696B"/>
        <color rgb="FFFFEB84"/>
        <color rgb="FF63BE7B"/>
      </colorScale>
    </cfRule>
  </conditionalFormatting>
  <conditionalFormatting sqref="F156:F190">
    <cfRule type="colorScale" priority="33">
      <colorScale>
        <cfvo type="min"/>
        <cfvo type="percentile" val="50"/>
        <cfvo type="max"/>
        <color rgb="FFF8696B"/>
        <color rgb="FFFFEB84"/>
        <color rgb="FF63BE7B"/>
      </colorScale>
    </cfRule>
  </conditionalFormatting>
  <conditionalFormatting sqref="G156:G190">
    <cfRule type="colorScale" priority="29">
      <colorScale>
        <cfvo type="min"/>
        <cfvo type="percentile" val="50"/>
        <cfvo type="max"/>
        <color rgb="FFF8696B"/>
        <color rgb="FFFFEB84"/>
        <color rgb="FF63BE7B"/>
      </colorScale>
    </cfRule>
  </conditionalFormatting>
  <conditionalFormatting sqref="H156:H190">
    <cfRule type="colorScale" priority="28">
      <colorScale>
        <cfvo type="min"/>
        <cfvo type="percentile" val="50"/>
        <cfvo type="max"/>
        <color rgb="FFF8696B"/>
        <color rgb="FFFFEB84"/>
        <color rgb="FF63BE7B"/>
      </colorScale>
    </cfRule>
  </conditionalFormatting>
  <conditionalFormatting sqref="I156:I190">
    <cfRule type="colorScale" priority="27">
      <colorScale>
        <cfvo type="min"/>
        <cfvo type="percentile" val="50"/>
        <cfvo type="max"/>
        <color rgb="FFF8696B"/>
        <color rgb="FFFFEB84"/>
        <color rgb="FF63BE7B"/>
      </colorScale>
    </cfRule>
  </conditionalFormatting>
  <conditionalFormatting sqref="J156:J190">
    <cfRule type="colorScale" priority="26">
      <colorScale>
        <cfvo type="min"/>
        <cfvo type="percentile" val="50"/>
        <cfvo type="max"/>
        <color rgb="FFF8696B"/>
        <color rgb="FFFFEB84"/>
        <color rgb="FF63BE7B"/>
      </colorScale>
    </cfRule>
  </conditionalFormatting>
  <conditionalFormatting sqref="K156:K190">
    <cfRule type="colorScale" priority="25">
      <colorScale>
        <cfvo type="min"/>
        <cfvo type="percentile" val="50"/>
        <cfvo type="max"/>
        <color rgb="FFF8696B"/>
        <color rgb="FFFFEB84"/>
        <color rgb="FF63BE7B"/>
      </colorScale>
    </cfRule>
  </conditionalFormatting>
  <conditionalFormatting sqref="L156:L190">
    <cfRule type="colorScale" priority="24">
      <colorScale>
        <cfvo type="min"/>
        <cfvo type="percentile" val="50"/>
        <cfvo type="max"/>
        <color rgb="FFF8696B"/>
        <color rgb="FFFFEB84"/>
        <color rgb="FF63BE7B"/>
      </colorScale>
    </cfRule>
  </conditionalFormatting>
  <conditionalFormatting sqref="M156:M190">
    <cfRule type="colorScale" priority="23">
      <colorScale>
        <cfvo type="min"/>
        <cfvo type="percentile" val="50"/>
        <cfvo type="max"/>
        <color rgb="FFF8696B"/>
        <color rgb="FFFFEB84"/>
        <color rgb="FF63BE7B"/>
      </colorScale>
    </cfRule>
  </conditionalFormatting>
  <conditionalFormatting sqref="N156:N190">
    <cfRule type="colorScale" priority="22">
      <colorScale>
        <cfvo type="min"/>
        <cfvo type="percentile" val="50"/>
        <cfvo type="max"/>
        <color rgb="FFF8696B"/>
        <color rgb="FFFFEB84"/>
        <color rgb="FF63BE7B"/>
      </colorScale>
    </cfRule>
  </conditionalFormatting>
  <conditionalFormatting sqref="O156:O190">
    <cfRule type="colorScale" priority="21">
      <colorScale>
        <cfvo type="min"/>
        <cfvo type="percentile" val="50"/>
        <cfvo type="max"/>
        <color rgb="FFF8696B"/>
        <color rgb="FFFFEB84"/>
        <color rgb="FF63BE7B"/>
      </colorScale>
    </cfRule>
  </conditionalFormatting>
  <conditionalFormatting sqref="P156:P190">
    <cfRule type="colorScale" priority="20">
      <colorScale>
        <cfvo type="min"/>
        <cfvo type="percentile" val="50"/>
        <cfvo type="max"/>
        <color rgb="FFF8696B"/>
        <color rgb="FFFFEB84"/>
        <color rgb="FF63BE7B"/>
      </colorScale>
    </cfRule>
  </conditionalFormatting>
  <conditionalFormatting sqref="Q156:Q190">
    <cfRule type="colorScale" priority="19">
      <colorScale>
        <cfvo type="min"/>
        <cfvo type="percentile" val="50"/>
        <cfvo type="max"/>
        <color rgb="FFF8696B"/>
        <color rgb="FFFFEB84"/>
        <color rgb="FF63BE7B"/>
      </colorScale>
    </cfRule>
  </conditionalFormatting>
  <conditionalFormatting sqref="R156:R190">
    <cfRule type="colorScale" priority="18">
      <colorScale>
        <cfvo type="min"/>
        <cfvo type="percentile" val="50"/>
        <cfvo type="max"/>
        <color rgb="FFF8696B"/>
        <color rgb="FFFFEB84"/>
        <color rgb="FF63BE7B"/>
      </colorScale>
    </cfRule>
  </conditionalFormatting>
  <conditionalFormatting sqref="S156:S190">
    <cfRule type="colorScale" priority="17">
      <colorScale>
        <cfvo type="min"/>
        <cfvo type="percentile" val="50"/>
        <cfvo type="max"/>
        <color rgb="FFF8696B"/>
        <color rgb="FFFFEB84"/>
        <color rgb="FF63BE7B"/>
      </colorScale>
    </cfRule>
  </conditionalFormatting>
  <conditionalFormatting sqref="T156:T190">
    <cfRule type="colorScale" priority="16">
      <colorScale>
        <cfvo type="min"/>
        <cfvo type="percentile" val="50"/>
        <cfvo type="max"/>
        <color rgb="FFF8696B"/>
        <color rgb="FFFFEB84"/>
        <color rgb="FF63BE7B"/>
      </colorScale>
    </cfRule>
  </conditionalFormatting>
  <conditionalFormatting sqref="U156:U190">
    <cfRule type="colorScale" priority="15">
      <colorScale>
        <cfvo type="min"/>
        <cfvo type="percentile" val="50"/>
        <cfvo type="max"/>
        <color rgb="FFF8696B"/>
        <color rgb="FFFFEB84"/>
        <color rgb="FF63BE7B"/>
      </colorScale>
    </cfRule>
  </conditionalFormatting>
  <conditionalFormatting sqref="V156:V190">
    <cfRule type="colorScale" priority="14">
      <colorScale>
        <cfvo type="min"/>
        <cfvo type="percentile" val="50"/>
        <cfvo type="max"/>
        <color rgb="FFF8696B"/>
        <color rgb="FFFFEB84"/>
        <color rgb="FF63BE7B"/>
      </colorScale>
    </cfRule>
  </conditionalFormatting>
  <conditionalFormatting sqref="W156:W190">
    <cfRule type="colorScale" priority="13">
      <colorScale>
        <cfvo type="min"/>
        <cfvo type="percentile" val="50"/>
        <cfvo type="max"/>
        <color rgb="FFF8696B"/>
        <color rgb="FFFFEB84"/>
        <color rgb="FF63BE7B"/>
      </colorScale>
    </cfRule>
  </conditionalFormatting>
  <conditionalFormatting sqref="X156:X190">
    <cfRule type="colorScale" priority="12">
      <colorScale>
        <cfvo type="min"/>
        <cfvo type="percentile" val="50"/>
        <cfvo type="max"/>
        <color rgb="FFF8696B"/>
        <color rgb="FFFFEB84"/>
        <color rgb="FF63BE7B"/>
      </colorScale>
    </cfRule>
  </conditionalFormatting>
  <conditionalFormatting sqref="Y156:Y190">
    <cfRule type="colorScale" priority="11">
      <colorScale>
        <cfvo type="min"/>
        <cfvo type="percentile" val="50"/>
        <cfvo type="max"/>
        <color rgb="FFF8696B"/>
        <color rgb="FFFFEB84"/>
        <color rgb="FF63BE7B"/>
      </colorScale>
    </cfRule>
  </conditionalFormatting>
  <conditionalFormatting sqref="Z156:Z190">
    <cfRule type="colorScale" priority="10">
      <colorScale>
        <cfvo type="min"/>
        <cfvo type="percentile" val="50"/>
        <cfvo type="max"/>
        <color rgb="FFF8696B"/>
        <color rgb="FFFFEB84"/>
        <color rgb="FF63BE7B"/>
      </colorScale>
    </cfRule>
  </conditionalFormatting>
  <conditionalFormatting sqref="AA156:AA190">
    <cfRule type="colorScale" priority="9">
      <colorScale>
        <cfvo type="min"/>
        <cfvo type="percentile" val="50"/>
        <cfvo type="max"/>
        <color rgb="FFF8696B"/>
        <color rgb="FFFFEB84"/>
        <color rgb="FF63BE7B"/>
      </colorScale>
    </cfRule>
  </conditionalFormatting>
  <conditionalFormatting sqref="AB156:AB190">
    <cfRule type="colorScale" priority="8">
      <colorScale>
        <cfvo type="min"/>
        <cfvo type="percentile" val="50"/>
        <cfvo type="max"/>
        <color rgb="FFF8696B"/>
        <color rgb="FFFFEB84"/>
        <color rgb="FF63BE7B"/>
      </colorScale>
    </cfRule>
  </conditionalFormatting>
  <conditionalFormatting sqref="AC156:AC190">
    <cfRule type="colorScale" priority="7">
      <colorScale>
        <cfvo type="min"/>
        <cfvo type="percentile" val="50"/>
        <cfvo type="max"/>
        <color rgb="FFF8696B"/>
        <color rgb="FFFFEB84"/>
        <color rgb="FF63BE7B"/>
      </colorScale>
    </cfRule>
  </conditionalFormatting>
  <conditionalFormatting sqref="AD156:AD190">
    <cfRule type="colorScale" priority="6">
      <colorScale>
        <cfvo type="min"/>
        <cfvo type="percentile" val="50"/>
        <cfvo type="max"/>
        <color rgb="FFF8696B"/>
        <color rgb="FFFFEB84"/>
        <color rgb="FF63BE7B"/>
      </colorScale>
    </cfRule>
  </conditionalFormatting>
  <conditionalFormatting sqref="AE156:AE190">
    <cfRule type="colorScale" priority="5">
      <colorScale>
        <cfvo type="min"/>
        <cfvo type="percentile" val="50"/>
        <cfvo type="max"/>
        <color rgb="FFF8696B"/>
        <color rgb="FFFFEB84"/>
        <color rgb="FF63BE7B"/>
      </colorScale>
    </cfRule>
  </conditionalFormatting>
  <conditionalFormatting sqref="AF156:AF190">
    <cfRule type="colorScale" priority="4">
      <colorScale>
        <cfvo type="min"/>
        <cfvo type="percentile" val="50"/>
        <cfvo type="max"/>
        <color rgb="FFF8696B"/>
        <color rgb="FFFFEB84"/>
        <color rgb="FF63BE7B"/>
      </colorScale>
    </cfRule>
  </conditionalFormatting>
  <conditionalFormatting sqref="AG156:AG190">
    <cfRule type="colorScale" priority="3">
      <colorScale>
        <cfvo type="min"/>
        <cfvo type="percentile" val="50"/>
        <cfvo type="max"/>
        <color rgb="FFF8696B"/>
        <color rgb="FFFFEB84"/>
        <color rgb="FF63BE7B"/>
      </colorScale>
    </cfRule>
  </conditionalFormatting>
  <conditionalFormatting sqref="AH156:AH190">
    <cfRule type="colorScale" priority="2">
      <colorScale>
        <cfvo type="min"/>
        <cfvo type="percentile" val="50"/>
        <cfvo type="max"/>
        <color rgb="FFF8696B"/>
        <color rgb="FFFFEB84"/>
        <color rgb="FF63BE7B"/>
      </colorScale>
    </cfRule>
  </conditionalFormatting>
  <conditionalFormatting sqref="AI156:AI190">
    <cfRule type="colorScale" priority="31">
      <colorScale>
        <cfvo type="min"/>
        <cfvo type="percentile" val="50"/>
        <cfvo type="max"/>
        <color rgb="FFF8696B"/>
        <color rgb="FFFFEB84"/>
        <color rgb="FF63BE7B"/>
      </colorScale>
    </cfRule>
  </conditionalFormatting>
  <conditionalFormatting sqref="AL156:AL190 B156:AJ190">
    <cfRule type="colorScale" priority="30">
      <colorScale>
        <cfvo type="min"/>
        <cfvo type="percentile" val="50"/>
        <cfvo type="max"/>
        <color rgb="FFF8696B"/>
        <color rgb="FFFFEB84"/>
        <color rgb="FF63BE7B"/>
      </colorScale>
    </cfRule>
  </conditionalFormatting>
  <conditionalFormatting sqref="AL156:AL190 E156:AJ190">
    <cfRule type="colorScale" priority="35">
      <colorScale>
        <cfvo type="min"/>
        <cfvo type="max"/>
        <color rgb="FFFCFCFF"/>
        <color rgb="FF63BE7B"/>
      </colorScale>
    </cfRule>
  </conditionalFormatting>
  <conditionalFormatting sqref="AL156:AL190 AA191 B156:AJ190">
    <cfRule type="colorScale" priority="38">
      <colorScale>
        <cfvo type="min"/>
        <cfvo type="percentile" val="50"/>
        <cfvo type="max"/>
        <color rgb="FFF8696B"/>
        <color rgb="FFFFEB84"/>
        <color rgb="FF63BE7B"/>
      </colorScale>
    </cfRule>
  </conditionalFormatting>
  <conditionalFormatting sqref="AL156:AL190 AJ156:AJ190">
    <cfRule type="colorScale" priority="32">
      <colorScale>
        <cfvo type="min"/>
        <cfvo type="percentile" val="50"/>
        <cfvo type="max"/>
        <color rgb="FFF8696B"/>
        <color rgb="FFFFEB84"/>
        <color rgb="FF63BE7B"/>
      </colorScale>
    </cfRule>
  </conditionalFormatting>
  <hyperlinks>
    <hyperlink ref="A57" r:id="rId1" xr:uid="{2F310704-F426-41AC-A1C2-3F45497F6556}"/>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M42"/>
  <sheetViews>
    <sheetView zoomScaleNormal="100" workbookViewId="0">
      <selection activeCell="FA31" sqref="FA31"/>
    </sheetView>
  </sheetViews>
  <sheetFormatPr baseColWidth="10" defaultColWidth="10.81640625" defaultRowHeight="14.5" x14ac:dyDescent="0.35"/>
  <sheetData>
    <row r="1" spans="1:195" ht="23.5" x14ac:dyDescent="0.55000000000000004">
      <c r="A1" s="185" t="s">
        <v>868</v>
      </c>
      <c r="B1" s="6"/>
      <c r="C1" s="6"/>
      <c r="D1" s="6"/>
      <c r="E1" s="6"/>
    </row>
    <row r="4" spans="1:195" x14ac:dyDescent="0.35">
      <c r="A4" s="149" t="s">
        <v>832</v>
      </c>
      <c r="B4" s="150"/>
      <c r="C4" s="150"/>
      <c r="D4" s="150"/>
      <c r="E4" s="150"/>
      <c r="F4" s="150"/>
      <c r="G4" s="96"/>
      <c r="H4" s="96"/>
      <c r="I4" s="96"/>
      <c r="J4" s="96"/>
    </row>
    <row r="5" spans="1:195" s="150" customFormat="1" ht="12" x14ac:dyDescent="0.3">
      <c r="A5" s="151" t="s">
        <v>833</v>
      </c>
      <c r="AL5" s="152" t="s">
        <v>761</v>
      </c>
      <c r="AO5" s="151" t="s">
        <v>834</v>
      </c>
      <c r="BZ5" s="152" t="s">
        <v>762</v>
      </c>
      <c r="CB5" s="151" t="s">
        <v>835</v>
      </c>
      <c r="DM5" s="152" t="s">
        <v>763</v>
      </c>
      <c r="DO5" s="151" t="s">
        <v>836</v>
      </c>
      <c r="EZ5" s="152" t="s">
        <v>764</v>
      </c>
      <c r="FB5" s="151" t="s">
        <v>837</v>
      </c>
      <c r="GM5" s="152" t="s">
        <v>765</v>
      </c>
    </row>
    <row r="6" spans="1:195" s="150" customFormat="1" ht="12" x14ac:dyDescent="0.3">
      <c r="A6" s="153" t="s">
        <v>838</v>
      </c>
      <c r="B6" s="154">
        <v>0.15</v>
      </c>
      <c r="C6" s="154">
        <v>0.159</v>
      </c>
      <c r="D6" s="154">
        <v>0.16700000000000001</v>
      </c>
      <c r="E6" s="154">
        <v>0.17599999999999999</v>
      </c>
      <c r="F6" s="154">
        <v>0.184</v>
      </c>
      <c r="G6" s="154">
        <v>0.193</v>
      </c>
      <c r="H6" s="154">
        <v>0.20100000000000001</v>
      </c>
      <c r="I6" s="154">
        <v>0.21</v>
      </c>
      <c r="J6" s="154">
        <v>0.22</v>
      </c>
      <c r="K6" s="154">
        <v>0.23100000000000001</v>
      </c>
      <c r="L6" s="154">
        <v>0.24099999999999999</v>
      </c>
      <c r="M6" s="154">
        <v>0.251</v>
      </c>
      <c r="N6" s="154">
        <v>0.26200000000000001</v>
      </c>
      <c r="O6" s="154">
        <v>0.27200000000000002</v>
      </c>
      <c r="P6" s="154">
        <v>0.28199999999999997</v>
      </c>
      <c r="Q6" s="154">
        <v>0.29299999999999998</v>
      </c>
      <c r="R6" s="154">
        <v>0.30299999999999999</v>
      </c>
      <c r="S6" s="154">
        <v>0.314</v>
      </c>
      <c r="T6" s="154">
        <v>0.32400000000000001</v>
      </c>
      <c r="U6" s="154">
        <v>0.33400000000000002</v>
      </c>
      <c r="V6" s="154">
        <v>0.34499999999999997</v>
      </c>
      <c r="W6" s="154">
        <v>0.35499999999999998</v>
      </c>
      <c r="X6" s="154">
        <v>0.36499999999999999</v>
      </c>
      <c r="Y6" s="154">
        <v>0.376</v>
      </c>
      <c r="Z6" s="154">
        <v>0.38600000000000001</v>
      </c>
      <c r="AA6" s="154">
        <v>0.39600000000000002</v>
      </c>
      <c r="AB6" s="154">
        <v>0.40699999999999997</v>
      </c>
      <c r="AC6" s="154">
        <v>0.41699999999999998</v>
      </c>
      <c r="AD6" s="154">
        <v>0.42699999999999999</v>
      </c>
      <c r="AE6" s="154">
        <v>0.438</v>
      </c>
      <c r="AF6" s="154">
        <v>0.44800000000000001</v>
      </c>
      <c r="AG6" s="154">
        <v>0.45900000000000002</v>
      </c>
      <c r="AH6" s="154">
        <v>0.46899999999999997</v>
      </c>
      <c r="AI6" s="154">
        <v>0.47899999999999998</v>
      </c>
      <c r="AJ6" s="154">
        <v>0.49</v>
      </c>
      <c r="AK6" s="154">
        <v>0.5</v>
      </c>
      <c r="AL6" s="153" t="s">
        <v>757</v>
      </c>
      <c r="AP6" s="154">
        <f>+B6</f>
        <v>0.15</v>
      </c>
      <c r="AQ6" s="154">
        <f t="shared" ref="AQ6:BY6" si="0">+C6</f>
        <v>0.159</v>
      </c>
      <c r="AR6" s="154">
        <f t="shared" si="0"/>
        <v>0.16700000000000001</v>
      </c>
      <c r="AS6" s="154">
        <f t="shared" si="0"/>
        <v>0.17599999999999999</v>
      </c>
      <c r="AT6" s="154">
        <f t="shared" si="0"/>
        <v>0.184</v>
      </c>
      <c r="AU6" s="154">
        <f t="shared" si="0"/>
        <v>0.193</v>
      </c>
      <c r="AV6" s="154">
        <f t="shared" si="0"/>
        <v>0.20100000000000001</v>
      </c>
      <c r="AW6" s="154">
        <f t="shared" si="0"/>
        <v>0.21</v>
      </c>
      <c r="AX6" s="154">
        <f t="shared" si="0"/>
        <v>0.22</v>
      </c>
      <c r="AY6" s="154">
        <f t="shared" si="0"/>
        <v>0.23100000000000001</v>
      </c>
      <c r="AZ6" s="154">
        <f t="shared" si="0"/>
        <v>0.24099999999999999</v>
      </c>
      <c r="BA6" s="154">
        <f t="shared" si="0"/>
        <v>0.251</v>
      </c>
      <c r="BB6" s="154">
        <f t="shared" si="0"/>
        <v>0.26200000000000001</v>
      </c>
      <c r="BC6" s="154">
        <f t="shared" si="0"/>
        <v>0.27200000000000002</v>
      </c>
      <c r="BD6" s="154">
        <f t="shared" si="0"/>
        <v>0.28199999999999997</v>
      </c>
      <c r="BE6" s="154">
        <f t="shared" si="0"/>
        <v>0.29299999999999998</v>
      </c>
      <c r="BF6" s="154">
        <f t="shared" si="0"/>
        <v>0.30299999999999999</v>
      </c>
      <c r="BG6" s="154">
        <f t="shared" si="0"/>
        <v>0.314</v>
      </c>
      <c r="BH6" s="154">
        <f t="shared" si="0"/>
        <v>0.32400000000000001</v>
      </c>
      <c r="BI6" s="154">
        <f t="shared" si="0"/>
        <v>0.33400000000000002</v>
      </c>
      <c r="BJ6" s="154">
        <f t="shared" si="0"/>
        <v>0.34499999999999997</v>
      </c>
      <c r="BK6" s="154">
        <f t="shared" si="0"/>
        <v>0.35499999999999998</v>
      </c>
      <c r="BL6" s="154">
        <f t="shared" si="0"/>
        <v>0.36499999999999999</v>
      </c>
      <c r="BM6" s="154">
        <f t="shared" si="0"/>
        <v>0.376</v>
      </c>
      <c r="BN6" s="154">
        <f t="shared" si="0"/>
        <v>0.38600000000000001</v>
      </c>
      <c r="BO6" s="154">
        <f t="shared" si="0"/>
        <v>0.39600000000000002</v>
      </c>
      <c r="BP6" s="154">
        <f t="shared" si="0"/>
        <v>0.40699999999999997</v>
      </c>
      <c r="BQ6" s="154">
        <f t="shared" si="0"/>
        <v>0.41699999999999998</v>
      </c>
      <c r="BR6" s="154">
        <f t="shared" si="0"/>
        <v>0.42699999999999999</v>
      </c>
      <c r="BS6" s="154">
        <f t="shared" si="0"/>
        <v>0.438</v>
      </c>
      <c r="BT6" s="154">
        <f t="shared" si="0"/>
        <v>0.44800000000000001</v>
      </c>
      <c r="BU6" s="154">
        <f t="shared" si="0"/>
        <v>0.45900000000000002</v>
      </c>
      <c r="BV6" s="154">
        <f t="shared" si="0"/>
        <v>0.46899999999999997</v>
      </c>
      <c r="BW6" s="154">
        <f t="shared" si="0"/>
        <v>0.47899999999999998</v>
      </c>
      <c r="BX6" s="154">
        <f t="shared" si="0"/>
        <v>0.49</v>
      </c>
      <c r="BY6" s="154">
        <f t="shared" si="0"/>
        <v>0.5</v>
      </c>
      <c r="BZ6" s="153" t="s">
        <v>757</v>
      </c>
      <c r="CC6" s="154">
        <f>+AP6</f>
        <v>0.15</v>
      </c>
      <c r="CD6" s="154">
        <f t="shared" ref="CD6:DL6" si="1">+AQ6</f>
        <v>0.159</v>
      </c>
      <c r="CE6" s="154">
        <f t="shared" si="1"/>
        <v>0.16700000000000001</v>
      </c>
      <c r="CF6" s="154">
        <f t="shared" si="1"/>
        <v>0.17599999999999999</v>
      </c>
      <c r="CG6" s="154">
        <f t="shared" si="1"/>
        <v>0.184</v>
      </c>
      <c r="CH6" s="154">
        <f t="shared" si="1"/>
        <v>0.193</v>
      </c>
      <c r="CI6" s="154">
        <f t="shared" si="1"/>
        <v>0.20100000000000001</v>
      </c>
      <c r="CJ6" s="154">
        <f t="shared" si="1"/>
        <v>0.21</v>
      </c>
      <c r="CK6" s="154">
        <f t="shared" si="1"/>
        <v>0.22</v>
      </c>
      <c r="CL6" s="154">
        <f t="shared" si="1"/>
        <v>0.23100000000000001</v>
      </c>
      <c r="CM6" s="154">
        <f t="shared" si="1"/>
        <v>0.24099999999999999</v>
      </c>
      <c r="CN6" s="154">
        <f t="shared" si="1"/>
        <v>0.251</v>
      </c>
      <c r="CO6" s="154">
        <f t="shared" si="1"/>
        <v>0.26200000000000001</v>
      </c>
      <c r="CP6" s="154">
        <f t="shared" si="1"/>
        <v>0.27200000000000002</v>
      </c>
      <c r="CQ6" s="154">
        <f t="shared" si="1"/>
        <v>0.28199999999999997</v>
      </c>
      <c r="CR6" s="154">
        <f t="shared" si="1"/>
        <v>0.29299999999999998</v>
      </c>
      <c r="CS6" s="154">
        <f t="shared" si="1"/>
        <v>0.30299999999999999</v>
      </c>
      <c r="CT6" s="154">
        <f t="shared" si="1"/>
        <v>0.314</v>
      </c>
      <c r="CU6" s="154">
        <f t="shared" si="1"/>
        <v>0.32400000000000001</v>
      </c>
      <c r="CV6" s="154">
        <f t="shared" si="1"/>
        <v>0.33400000000000002</v>
      </c>
      <c r="CW6" s="154">
        <f t="shared" si="1"/>
        <v>0.34499999999999997</v>
      </c>
      <c r="CX6" s="154">
        <f t="shared" si="1"/>
        <v>0.35499999999999998</v>
      </c>
      <c r="CY6" s="154">
        <f t="shared" si="1"/>
        <v>0.36499999999999999</v>
      </c>
      <c r="CZ6" s="154">
        <f t="shared" si="1"/>
        <v>0.376</v>
      </c>
      <c r="DA6" s="154">
        <f t="shared" si="1"/>
        <v>0.38600000000000001</v>
      </c>
      <c r="DB6" s="154">
        <f t="shared" si="1"/>
        <v>0.39600000000000002</v>
      </c>
      <c r="DC6" s="154">
        <f t="shared" si="1"/>
        <v>0.40699999999999997</v>
      </c>
      <c r="DD6" s="154">
        <f t="shared" si="1"/>
        <v>0.41699999999999998</v>
      </c>
      <c r="DE6" s="154">
        <f t="shared" si="1"/>
        <v>0.42699999999999999</v>
      </c>
      <c r="DF6" s="154">
        <f t="shared" si="1"/>
        <v>0.438</v>
      </c>
      <c r="DG6" s="154">
        <f t="shared" si="1"/>
        <v>0.44800000000000001</v>
      </c>
      <c r="DH6" s="154">
        <f t="shared" si="1"/>
        <v>0.45900000000000002</v>
      </c>
      <c r="DI6" s="154">
        <f t="shared" si="1"/>
        <v>0.46899999999999997</v>
      </c>
      <c r="DJ6" s="154">
        <f t="shared" si="1"/>
        <v>0.47899999999999998</v>
      </c>
      <c r="DK6" s="154">
        <f t="shared" si="1"/>
        <v>0.49</v>
      </c>
      <c r="DL6" s="154">
        <f t="shared" si="1"/>
        <v>0.5</v>
      </c>
      <c r="DM6" s="153" t="s">
        <v>757</v>
      </c>
      <c r="DP6" s="154">
        <f>+CC6</f>
        <v>0.15</v>
      </c>
      <c r="DQ6" s="154">
        <f t="shared" ref="DQ6:EY6" si="2">+CD6</f>
        <v>0.159</v>
      </c>
      <c r="DR6" s="154">
        <f t="shared" si="2"/>
        <v>0.16700000000000001</v>
      </c>
      <c r="DS6" s="154">
        <f t="shared" si="2"/>
        <v>0.17599999999999999</v>
      </c>
      <c r="DT6" s="154">
        <f t="shared" si="2"/>
        <v>0.184</v>
      </c>
      <c r="DU6" s="154">
        <f t="shared" si="2"/>
        <v>0.193</v>
      </c>
      <c r="DV6" s="154">
        <f t="shared" si="2"/>
        <v>0.20100000000000001</v>
      </c>
      <c r="DW6" s="154">
        <f t="shared" si="2"/>
        <v>0.21</v>
      </c>
      <c r="DX6" s="154">
        <f t="shared" si="2"/>
        <v>0.22</v>
      </c>
      <c r="DY6" s="154">
        <f t="shared" si="2"/>
        <v>0.23100000000000001</v>
      </c>
      <c r="DZ6" s="154">
        <f t="shared" si="2"/>
        <v>0.24099999999999999</v>
      </c>
      <c r="EA6" s="154">
        <f t="shared" si="2"/>
        <v>0.251</v>
      </c>
      <c r="EB6" s="154">
        <f t="shared" si="2"/>
        <v>0.26200000000000001</v>
      </c>
      <c r="EC6" s="154">
        <f t="shared" si="2"/>
        <v>0.27200000000000002</v>
      </c>
      <c r="ED6" s="154">
        <f t="shared" si="2"/>
        <v>0.28199999999999997</v>
      </c>
      <c r="EE6" s="154">
        <f t="shared" si="2"/>
        <v>0.29299999999999998</v>
      </c>
      <c r="EF6" s="154">
        <f t="shared" si="2"/>
        <v>0.30299999999999999</v>
      </c>
      <c r="EG6" s="154">
        <f t="shared" si="2"/>
        <v>0.314</v>
      </c>
      <c r="EH6" s="154">
        <f t="shared" si="2"/>
        <v>0.32400000000000001</v>
      </c>
      <c r="EI6" s="154">
        <f t="shared" si="2"/>
        <v>0.33400000000000002</v>
      </c>
      <c r="EJ6" s="154">
        <f t="shared" si="2"/>
        <v>0.34499999999999997</v>
      </c>
      <c r="EK6" s="154">
        <f t="shared" si="2"/>
        <v>0.35499999999999998</v>
      </c>
      <c r="EL6" s="154">
        <f t="shared" si="2"/>
        <v>0.36499999999999999</v>
      </c>
      <c r="EM6" s="154">
        <f t="shared" si="2"/>
        <v>0.376</v>
      </c>
      <c r="EN6" s="154">
        <f t="shared" si="2"/>
        <v>0.38600000000000001</v>
      </c>
      <c r="EO6" s="154">
        <f t="shared" si="2"/>
        <v>0.39600000000000002</v>
      </c>
      <c r="EP6" s="154">
        <f t="shared" si="2"/>
        <v>0.40699999999999997</v>
      </c>
      <c r="EQ6" s="154">
        <f t="shared" si="2"/>
        <v>0.41699999999999998</v>
      </c>
      <c r="ER6" s="154">
        <f t="shared" si="2"/>
        <v>0.42699999999999999</v>
      </c>
      <c r="ES6" s="154">
        <f t="shared" si="2"/>
        <v>0.438</v>
      </c>
      <c r="ET6" s="154">
        <f t="shared" si="2"/>
        <v>0.44800000000000001</v>
      </c>
      <c r="EU6" s="154">
        <f t="shared" si="2"/>
        <v>0.45900000000000002</v>
      </c>
      <c r="EV6" s="154">
        <f t="shared" si="2"/>
        <v>0.46899999999999997</v>
      </c>
      <c r="EW6" s="154">
        <f t="shared" si="2"/>
        <v>0.47899999999999998</v>
      </c>
      <c r="EX6" s="154">
        <f t="shared" si="2"/>
        <v>0.49</v>
      </c>
      <c r="EY6" s="154">
        <f t="shared" si="2"/>
        <v>0.5</v>
      </c>
      <c r="EZ6" s="153" t="s">
        <v>757</v>
      </c>
      <c r="FC6" s="154">
        <f>+DP6</f>
        <v>0.15</v>
      </c>
      <c r="FD6" s="154">
        <f t="shared" ref="FD6:GL6" si="3">+DQ6</f>
        <v>0.159</v>
      </c>
      <c r="FE6" s="154">
        <f t="shared" si="3"/>
        <v>0.16700000000000001</v>
      </c>
      <c r="FF6" s="154">
        <f t="shared" si="3"/>
        <v>0.17599999999999999</v>
      </c>
      <c r="FG6" s="154">
        <f t="shared" si="3"/>
        <v>0.184</v>
      </c>
      <c r="FH6" s="154">
        <f t="shared" si="3"/>
        <v>0.193</v>
      </c>
      <c r="FI6" s="154">
        <f t="shared" si="3"/>
        <v>0.20100000000000001</v>
      </c>
      <c r="FJ6" s="154">
        <f t="shared" si="3"/>
        <v>0.21</v>
      </c>
      <c r="FK6" s="154">
        <f t="shared" si="3"/>
        <v>0.22</v>
      </c>
      <c r="FL6" s="154">
        <f t="shared" si="3"/>
        <v>0.23100000000000001</v>
      </c>
      <c r="FM6" s="154">
        <f t="shared" si="3"/>
        <v>0.24099999999999999</v>
      </c>
      <c r="FN6" s="154">
        <f t="shared" si="3"/>
        <v>0.251</v>
      </c>
      <c r="FO6" s="154">
        <f t="shared" si="3"/>
        <v>0.26200000000000001</v>
      </c>
      <c r="FP6" s="154">
        <f t="shared" si="3"/>
        <v>0.27200000000000002</v>
      </c>
      <c r="FQ6" s="154">
        <f t="shared" si="3"/>
        <v>0.28199999999999997</v>
      </c>
      <c r="FR6" s="154">
        <f t="shared" si="3"/>
        <v>0.29299999999999998</v>
      </c>
      <c r="FS6" s="154">
        <f t="shared" si="3"/>
        <v>0.30299999999999999</v>
      </c>
      <c r="FT6" s="154">
        <f t="shared" si="3"/>
        <v>0.314</v>
      </c>
      <c r="FU6" s="154">
        <f t="shared" si="3"/>
        <v>0.32400000000000001</v>
      </c>
      <c r="FV6" s="154">
        <f t="shared" si="3"/>
        <v>0.33400000000000002</v>
      </c>
      <c r="FW6" s="154">
        <f t="shared" si="3"/>
        <v>0.34499999999999997</v>
      </c>
      <c r="FX6" s="154">
        <f t="shared" si="3"/>
        <v>0.35499999999999998</v>
      </c>
      <c r="FY6" s="154">
        <f t="shared" si="3"/>
        <v>0.36499999999999999</v>
      </c>
      <c r="FZ6" s="154">
        <f t="shared" si="3"/>
        <v>0.376</v>
      </c>
      <c r="GA6" s="154">
        <f t="shared" si="3"/>
        <v>0.38600000000000001</v>
      </c>
      <c r="GB6" s="154">
        <f t="shared" si="3"/>
        <v>0.39600000000000002</v>
      </c>
      <c r="GC6" s="154">
        <f t="shared" si="3"/>
        <v>0.40699999999999997</v>
      </c>
      <c r="GD6" s="154">
        <f t="shared" si="3"/>
        <v>0.41699999999999998</v>
      </c>
      <c r="GE6" s="154">
        <f t="shared" si="3"/>
        <v>0.42699999999999999</v>
      </c>
      <c r="GF6" s="154">
        <f t="shared" si="3"/>
        <v>0.438</v>
      </c>
      <c r="GG6" s="154">
        <f t="shared" si="3"/>
        <v>0.44800000000000001</v>
      </c>
      <c r="GH6" s="154">
        <f t="shared" si="3"/>
        <v>0.45900000000000002</v>
      </c>
      <c r="GI6" s="154">
        <f t="shared" si="3"/>
        <v>0.46899999999999997</v>
      </c>
      <c r="GJ6" s="154">
        <f t="shared" si="3"/>
        <v>0.47899999999999998</v>
      </c>
      <c r="GK6" s="154">
        <f t="shared" si="3"/>
        <v>0.49</v>
      </c>
      <c r="GL6" s="154">
        <f t="shared" si="3"/>
        <v>0.5</v>
      </c>
      <c r="GM6" s="153" t="s">
        <v>757</v>
      </c>
    </row>
    <row r="7" spans="1:195" s="150" customFormat="1" ht="15.5" x14ac:dyDescent="0.3">
      <c r="A7" s="155" t="s">
        <v>49</v>
      </c>
      <c r="B7" s="156">
        <v>0</v>
      </c>
      <c r="C7" s="156">
        <v>0</v>
      </c>
      <c r="D7" s="156">
        <v>0</v>
      </c>
      <c r="E7" s="156">
        <v>0</v>
      </c>
      <c r="F7" s="156">
        <v>0</v>
      </c>
      <c r="G7" s="156">
        <v>0</v>
      </c>
      <c r="H7" s="156">
        <v>0</v>
      </c>
      <c r="I7" s="156">
        <v>0</v>
      </c>
      <c r="J7" s="156">
        <v>0</v>
      </c>
      <c r="K7" s="156">
        <v>0</v>
      </c>
      <c r="L7" s="156">
        <v>0</v>
      </c>
      <c r="M7" s="156">
        <v>0</v>
      </c>
      <c r="N7" s="156">
        <v>0</v>
      </c>
      <c r="O7" s="156">
        <v>0</v>
      </c>
      <c r="P7" s="156">
        <v>0</v>
      </c>
      <c r="Q7" s="156">
        <v>0</v>
      </c>
      <c r="R7" s="156">
        <v>0</v>
      </c>
      <c r="S7" s="156">
        <v>0</v>
      </c>
      <c r="T7" s="156">
        <v>0</v>
      </c>
      <c r="U7" s="156">
        <v>0</v>
      </c>
      <c r="V7" s="156">
        <v>0</v>
      </c>
      <c r="W7" s="156">
        <v>0</v>
      </c>
      <c r="X7" s="156">
        <v>0</v>
      </c>
      <c r="Y7" s="156">
        <v>0</v>
      </c>
      <c r="Z7" s="156">
        <v>0</v>
      </c>
      <c r="AA7" s="156">
        <v>0</v>
      </c>
      <c r="AB7" s="156">
        <v>0</v>
      </c>
      <c r="AC7" s="156">
        <v>0</v>
      </c>
      <c r="AD7" s="156">
        <v>0</v>
      </c>
      <c r="AE7" s="156">
        <v>0</v>
      </c>
      <c r="AF7" s="156">
        <v>0</v>
      </c>
      <c r="AG7" s="156">
        <v>0</v>
      </c>
      <c r="AH7" s="156">
        <v>0</v>
      </c>
      <c r="AI7" s="156">
        <v>0</v>
      </c>
      <c r="AJ7" s="156">
        <v>0</v>
      </c>
      <c r="AK7" s="156">
        <v>0</v>
      </c>
      <c r="AL7" s="157">
        <v>33.957949866207699</v>
      </c>
      <c r="AN7" s="158"/>
      <c r="AO7" s="159" t="s">
        <v>49</v>
      </c>
      <c r="AP7" s="160">
        <v>2.4255678475862701</v>
      </c>
      <c r="AQ7" s="160">
        <v>2.5641717245911999</v>
      </c>
      <c r="AR7" s="160">
        <v>2.7027756015961302</v>
      </c>
      <c r="AS7" s="160">
        <v>2.84137947860106</v>
      </c>
      <c r="AT7" s="160">
        <v>2.97998335560598</v>
      </c>
      <c r="AU7" s="160">
        <v>3.1185872326109099</v>
      </c>
      <c r="AV7" s="160">
        <v>3.2571911096158401</v>
      </c>
      <c r="AW7" s="160">
        <v>3.39579498662077</v>
      </c>
      <c r="AX7" s="160">
        <v>3.5632746713350598</v>
      </c>
      <c r="AY7" s="160">
        <v>3.7307543560493501</v>
      </c>
      <c r="AZ7" s="160">
        <v>3.89823404076364</v>
      </c>
      <c r="BA7" s="160">
        <v>4.0657137254779299</v>
      </c>
      <c r="BB7" s="160">
        <v>4.2331934101922197</v>
      </c>
      <c r="BC7" s="160">
        <v>4.4006730949065096</v>
      </c>
      <c r="BD7" s="160">
        <v>4.5681527796208004</v>
      </c>
      <c r="BE7" s="160">
        <v>4.7356324643350902</v>
      </c>
      <c r="BF7" s="160">
        <v>4.9031121490493801</v>
      </c>
      <c r="BG7" s="160">
        <v>5.07059183376367</v>
      </c>
      <c r="BH7" s="160">
        <v>5.2380715184779598</v>
      </c>
      <c r="BI7" s="160">
        <v>5.4055512031922497</v>
      </c>
      <c r="BJ7" s="160">
        <v>5.5730308879065404</v>
      </c>
      <c r="BK7" s="160">
        <v>5.7405105726208303</v>
      </c>
      <c r="BL7" s="160">
        <v>5.9079902573351202</v>
      </c>
      <c r="BM7" s="160">
        <v>6.07546994204941</v>
      </c>
      <c r="BN7" s="160">
        <v>6.2429496267636999</v>
      </c>
      <c r="BO7" s="160">
        <v>6.4104293114779898</v>
      </c>
      <c r="BP7" s="160">
        <v>6.5779089961922796</v>
      </c>
      <c r="BQ7" s="160">
        <v>6.7453886809065704</v>
      </c>
      <c r="BR7" s="160">
        <v>6.9128683656208603</v>
      </c>
      <c r="BS7" s="160">
        <v>7.0803480503351501</v>
      </c>
      <c r="BT7" s="160">
        <v>7.24782773504944</v>
      </c>
      <c r="BU7" s="160">
        <v>7.4153074197637299</v>
      </c>
      <c r="BV7" s="160">
        <v>7.5827871044780197</v>
      </c>
      <c r="BW7" s="160">
        <v>7.7502667891923096</v>
      </c>
      <c r="BX7" s="160">
        <v>7.9177464739066004</v>
      </c>
      <c r="BY7" s="160">
        <v>8.0852261586208893</v>
      </c>
      <c r="BZ7" s="161">
        <v>25.468462399655799</v>
      </c>
      <c r="CB7" s="162" t="s">
        <v>49</v>
      </c>
      <c r="CC7" s="160">
        <v>4.8511356951725304</v>
      </c>
      <c r="CD7" s="160">
        <v>5.12834344918239</v>
      </c>
      <c r="CE7" s="160">
        <v>5.4055512031922497</v>
      </c>
      <c r="CF7" s="160">
        <v>5.6827589572021102</v>
      </c>
      <c r="CG7" s="160">
        <v>5.9599667112119699</v>
      </c>
      <c r="CH7" s="160">
        <v>6.2371744652218304</v>
      </c>
      <c r="CI7" s="160">
        <v>6.51438221923169</v>
      </c>
      <c r="CJ7" s="160">
        <v>6.7915899732415497</v>
      </c>
      <c r="CK7" s="160">
        <v>7.1265493426701303</v>
      </c>
      <c r="CL7" s="160">
        <v>7.46150871209871</v>
      </c>
      <c r="CM7" s="160">
        <v>7.79646808152728</v>
      </c>
      <c r="CN7" s="160">
        <v>8.1314274509558704</v>
      </c>
      <c r="CO7" s="160">
        <v>8.4663868203844395</v>
      </c>
      <c r="CP7" s="160">
        <v>8.8013461898130192</v>
      </c>
      <c r="CQ7" s="160">
        <v>9.1363055592416007</v>
      </c>
      <c r="CR7" s="160">
        <v>9.4712649286701893</v>
      </c>
      <c r="CS7" s="160">
        <v>9.8062242980987602</v>
      </c>
      <c r="CT7" s="160">
        <v>10.141183667527301</v>
      </c>
      <c r="CU7" s="160">
        <v>10.4761430369559</v>
      </c>
      <c r="CV7" s="160">
        <v>10.811102406384499</v>
      </c>
      <c r="CW7" s="160">
        <v>11.1460617758131</v>
      </c>
      <c r="CX7" s="160">
        <v>11.4810211452417</v>
      </c>
      <c r="CY7" s="160">
        <v>11.815980514670199</v>
      </c>
      <c r="CZ7" s="160">
        <v>12.150939884098801</v>
      </c>
      <c r="DA7" s="160">
        <v>12.4858992535274</v>
      </c>
      <c r="DB7" s="160">
        <v>12.820858622956001</v>
      </c>
      <c r="DC7" s="160">
        <v>13.1558179923846</v>
      </c>
      <c r="DD7" s="160">
        <v>13.4907773618131</v>
      </c>
      <c r="DE7" s="160">
        <v>13.825736731241699</v>
      </c>
      <c r="DF7" s="160">
        <v>14.1606961006703</v>
      </c>
      <c r="DG7" s="160">
        <v>14.4956554700989</v>
      </c>
      <c r="DH7" s="160">
        <v>14.830614839527501</v>
      </c>
      <c r="DI7" s="160">
        <v>15.165574208956</v>
      </c>
      <c r="DJ7" s="160">
        <v>15.5005335783846</v>
      </c>
      <c r="DK7" s="160">
        <v>15.835492947813201</v>
      </c>
      <c r="DL7" s="160">
        <v>16.1704523172418</v>
      </c>
      <c r="DM7" s="161">
        <v>16.978974933103899</v>
      </c>
      <c r="DO7" s="159" t="s">
        <v>49</v>
      </c>
      <c r="DP7" s="160">
        <v>7.2767035427588</v>
      </c>
      <c r="DQ7" s="160">
        <v>7.6925151737735904</v>
      </c>
      <c r="DR7" s="160">
        <v>8.1083268047883799</v>
      </c>
      <c r="DS7" s="160">
        <v>8.5241384358031596</v>
      </c>
      <c r="DT7" s="160">
        <v>8.9399500668179499</v>
      </c>
      <c r="DU7" s="160">
        <v>9.3557616978327403</v>
      </c>
      <c r="DV7" s="160">
        <v>9.7715733288475306</v>
      </c>
      <c r="DW7" s="160">
        <v>10.1873849598623</v>
      </c>
      <c r="DX7" s="160">
        <v>10.6898240140052</v>
      </c>
      <c r="DY7" s="160">
        <v>11.192263068148099</v>
      </c>
      <c r="DZ7" s="160">
        <v>11.6947021222909</v>
      </c>
      <c r="EA7" s="160">
        <v>12.197141176433799</v>
      </c>
      <c r="EB7" s="160">
        <v>12.6995802305767</v>
      </c>
      <c r="EC7" s="160">
        <v>13.202019284719499</v>
      </c>
      <c r="ED7" s="160">
        <v>13.7044583388624</v>
      </c>
      <c r="EE7" s="160">
        <v>14.206897393005301</v>
      </c>
      <c r="EF7" s="160">
        <v>14.7093364471481</v>
      </c>
      <c r="EG7" s="160">
        <v>15.211775501290999</v>
      </c>
      <c r="EH7" s="160">
        <v>15.7142145554339</v>
      </c>
      <c r="EI7" s="160">
        <v>16.216653609576799</v>
      </c>
      <c r="EJ7" s="160">
        <v>16.7190926637196</v>
      </c>
      <c r="EK7" s="160">
        <v>17.221531717862501</v>
      </c>
      <c r="EL7" s="160">
        <v>17.723970772005401</v>
      </c>
      <c r="EM7" s="160">
        <v>18.226409826148199</v>
      </c>
      <c r="EN7" s="160">
        <v>18.7288488802911</v>
      </c>
      <c r="EO7" s="160">
        <v>19.231287934434</v>
      </c>
      <c r="EP7" s="160">
        <v>19.733726988576802</v>
      </c>
      <c r="EQ7" s="160">
        <v>20.236166042719699</v>
      </c>
      <c r="ER7" s="160">
        <v>20.738605096862599</v>
      </c>
      <c r="ES7" s="160">
        <v>21.2410441510055</v>
      </c>
      <c r="ET7" s="160">
        <v>21.743483205148301</v>
      </c>
      <c r="EU7" s="160">
        <v>22.245922259291198</v>
      </c>
      <c r="EV7" s="160">
        <v>22.748361313434099</v>
      </c>
      <c r="EW7" s="160">
        <v>23.2508003675769</v>
      </c>
      <c r="EX7" s="160">
        <v>23.753239421719801</v>
      </c>
      <c r="EY7" s="160">
        <v>24.255678475862702</v>
      </c>
      <c r="EZ7" s="161">
        <v>8.48948746655193</v>
      </c>
      <c r="FB7" s="159" t="s">
        <v>49</v>
      </c>
      <c r="FC7" s="160">
        <v>9.7022713903450608</v>
      </c>
      <c r="FD7" s="160">
        <v>10.2566868983648</v>
      </c>
      <c r="FE7" s="160">
        <v>10.811102406384499</v>
      </c>
      <c r="FF7" s="160">
        <v>11.365517914404199</v>
      </c>
      <c r="FG7" s="160">
        <v>11.919933422423901</v>
      </c>
      <c r="FH7" s="160">
        <v>12.4743489304437</v>
      </c>
      <c r="FI7" s="160">
        <v>13.0287644384634</v>
      </c>
      <c r="FJ7" s="160">
        <v>13.583179946483099</v>
      </c>
      <c r="FK7" s="160">
        <v>14.2530986853403</v>
      </c>
      <c r="FL7" s="160">
        <v>14.923017424197401</v>
      </c>
      <c r="FM7" s="160">
        <v>15.592936163054601</v>
      </c>
      <c r="FN7" s="160">
        <v>16.262854901911702</v>
      </c>
      <c r="FO7" s="160">
        <v>16.9327736407689</v>
      </c>
      <c r="FP7" s="160">
        <v>17.602692379625999</v>
      </c>
      <c r="FQ7" s="160">
        <v>18.272611118483201</v>
      </c>
      <c r="FR7" s="160">
        <v>18.9425298573404</v>
      </c>
      <c r="FS7" s="160">
        <v>19.612448596197499</v>
      </c>
      <c r="FT7" s="160">
        <v>20.282367335054701</v>
      </c>
      <c r="FU7" s="160">
        <v>20.9522860739119</v>
      </c>
      <c r="FV7" s="160">
        <v>21.622204812768999</v>
      </c>
      <c r="FW7" s="160">
        <v>22.292123551626201</v>
      </c>
      <c r="FX7" s="160">
        <v>22.9620422904833</v>
      </c>
      <c r="FY7" s="160">
        <v>23.631961029340498</v>
      </c>
      <c r="FZ7" s="160">
        <v>24.301879768197601</v>
      </c>
      <c r="GA7" s="160">
        <v>24.9717985070548</v>
      </c>
      <c r="GB7" s="160">
        <v>25.641717245912002</v>
      </c>
      <c r="GC7" s="160">
        <v>26.311635984769101</v>
      </c>
      <c r="GD7" s="160">
        <v>26.981554723626299</v>
      </c>
      <c r="GE7" s="160">
        <v>27.651473462483398</v>
      </c>
      <c r="GF7" s="160">
        <v>28.321392201340601</v>
      </c>
      <c r="GG7" s="160">
        <v>28.991310940197799</v>
      </c>
      <c r="GH7" s="160">
        <v>29.661229679054902</v>
      </c>
      <c r="GI7" s="160">
        <v>30.3311484179121</v>
      </c>
      <c r="GJ7" s="160">
        <v>31.001067156769199</v>
      </c>
      <c r="GK7" s="160">
        <v>31.670985895626401</v>
      </c>
      <c r="GL7" s="160">
        <v>32.3409046344836</v>
      </c>
      <c r="GM7" s="156">
        <v>0</v>
      </c>
    </row>
    <row r="8" spans="1:195" s="150" customFormat="1" ht="15.5" x14ac:dyDescent="0.3">
      <c r="A8" s="163" t="s">
        <v>57</v>
      </c>
      <c r="B8" s="156">
        <v>0</v>
      </c>
      <c r="C8" s="156">
        <v>0</v>
      </c>
      <c r="D8" s="156">
        <v>0</v>
      </c>
      <c r="E8" s="156">
        <v>0</v>
      </c>
      <c r="F8" s="156">
        <v>0</v>
      </c>
      <c r="G8" s="156">
        <v>0</v>
      </c>
      <c r="H8" s="156">
        <v>0</v>
      </c>
      <c r="I8" s="156">
        <v>0</v>
      </c>
      <c r="J8" s="156">
        <v>0</v>
      </c>
      <c r="K8" s="156">
        <v>0</v>
      </c>
      <c r="L8" s="156">
        <v>0</v>
      </c>
      <c r="M8" s="156">
        <v>0</v>
      </c>
      <c r="N8" s="156">
        <v>0</v>
      </c>
      <c r="O8" s="156">
        <v>0</v>
      </c>
      <c r="P8" s="156">
        <v>0</v>
      </c>
      <c r="Q8" s="156">
        <v>0</v>
      </c>
      <c r="R8" s="156">
        <v>0</v>
      </c>
      <c r="S8" s="156">
        <v>0</v>
      </c>
      <c r="T8" s="156">
        <v>0</v>
      </c>
      <c r="U8" s="156">
        <v>0</v>
      </c>
      <c r="V8" s="156">
        <v>0</v>
      </c>
      <c r="W8" s="156">
        <v>0</v>
      </c>
      <c r="X8" s="156">
        <v>0</v>
      </c>
      <c r="Y8" s="156">
        <v>0</v>
      </c>
      <c r="Z8" s="156">
        <v>0</v>
      </c>
      <c r="AA8" s="156">
        <v>0</v>
      </c>
      <c r="AB8" s="156">
        <v>0</v>
      </c>
      <c r="AC8" s="156">
        <v>0</v>
      </c>
      <c r="AD8" s="156">
        <v>0</v>
      </c>
      <c r="AE8" s="156">
        <v>0</v>
      </c>
      <c r="AF8" s="156">
        <v>0</v>
      </c>
      <c r="AG8" s="156">
        <v>0</v>
      </c>
      <c r="AH8" s="156">
        <v>0</v>
      </c>
      <c r="AI8" s="156">
        <v>0</v>
      </c>
      <c r="AJ8" s="156">
        <v>0</v>
      </c>
      <c r="AK8" s="156">
        <v>0</v>
      </c>
      <c r="AL8" s="161">
        <v>42.065993064683099</v>
      </c>
      <c r="AN8" s="158"/>
      <c r="AO8" s="159" t="s">
        <v>57</v>
      </c>
      <c r="AP8" s="160">
        <v>3.00471379033451</v>
      </c>
      <c r="AQ8" s="160">
        <v>3.1764117212107701</v>
      </c>
      <c r="AR8" s="160">
        <v>3.3481096520870302</v>
      </c>
      <c r="AS8" s="160">
        <v>3.51980758296328</v>
      </c>
      <c r="AT8" s="160">
        <v>3.6915055138395401</v>
      </c>
      <c r="AU8" s="160">
        <v>3.8632034447158001</v>
      </c>
      <c r="AV8" s="160">
        <v>4.0349013755920504</v>
      </c>
      <c r="AW8" s="160">
        <v>4.20659930646831</v>
      </c>
      <c r="AX8" s="160">
        <v>4.4140676396104599</v>
      </c>
      <c r="AY8" s="160">
        <v>4.6215359727526</v>
      </c>
      <c r="AZ8" s="160">
        <v>4.8290043058947498</v>
      </c>
      <c r="BA8" s="160">
        <v>5.0364726390368899</v>
      </c>
      <c r="BB8" s="160">
        <v>5.2439409721790398</v>
      </c>
      <c r="BC8" s="160">
        <v>5.4514093053211798</v>
      </c>
      <c r="BD8" s="160">
        <v>5.6588776384633297</v>
      </c>
      <c r="BE8" s="160">
        <v>5.8663459716054698</v>
      </c>
      <c r="BF8" s="160">
        <v>6.0738143047476196</v>
      </c>
      <c r="BG8" s="160">
        <v>6.2812826378897597</v>
      </c>
      <c r="BH8" s="160">
        <v>6.4887509710319096</v>
      </c>
      <c r="BI8" s="160">
        <v>6.6962193041740496</v>
      </c>
      <c r="BJ8" s="160">
        <v>6.9036876373162004</v>
      </c>
      <c r="BK8" s="160">
        <v>7.1111559704583396</v>
      </c>
      <c r="BL8" s="160">
        <v>7.3186243036004797</v>
      </c>
      <c r="BM8" s="160">
        <v>7.5260926367426304</v>
      </c>
      <c r="BN8" s="160">
        <v>7.7335609698847803</v>
      </c>
      <c r="BO8" s="160">
        <v>7.9410293030269203</v>
      </c>
      <c r="BP8" s="160">
        <v>8.1484976361690595</v>
      </c>
      <c r="BQ8" s="160">
        <v>8.3559659693112103</v>
      </c>
      <c r="BR8" s="160">
        <v>8.5634343024533504</v>
      </c>
      <c r="BS8" s="160">
        <v>8.7709026355954993</v>
      </c>
      <c r="BT8" s="160">
        <v>8.9783709687376394</v>
      </c>
      <c r="BU8" s="160">
        <v>9.1858393018797901</v>
      </c>
      <c r="BV8" s="160">
        <v>9.3933076350219302</v>
      </c>
      <c r="BW8" s="160">
        <v>9.6007759681640792</v>
      </c>
      <c r="BX8" s="160">
        <v>9.8082443013062193</v>
      </c>
      <c r="BY8" s="160">
        <v>10.0157126344484</v>
      </c>
      <c r="BZ8" s="161">
        <v>31.549494798512299</v>
      </c>
      <c r="CB8" s="162" t="s">
        <v>57</v>
      </c>
      <c r="CC8" s="160">
        <v>6.0094275806690201</v>
      </c>
      <c r="CD8" s="160">
        <v>6.3528234424215304</v>
      </c>
      <c r="CE8" s="160">
        <v>6.6962193041740496</v>
      </c>
      <c r="CF8" s="160">
        <v>7.0396151659265698</v>
      </c>
      <c r="CG8" s="160">
        <v>7.3830110276790801</v>
      </c>
      <c r="CH8" s="160">
        <v>7.7264068894316003</v>
      </c>
      <c r="CI8" s="160">
        <v>8.0698027511841097</v>
      </c>
      <c r="CJ8" s="160">
        <v>8.4131986129366307</v>
      </c>
      <c r="CK8" s="160">
        <v>8.8281352792209198</v>
      </c>
      <c r="CL8" s="160">
        <v>9.2430719455051999</v>
      </c>
      <c r="CM8" s="160">
        <v>9.6580086117894997</v>
      </c>
      <c r="CN8" s="160">
        <v>10.072945278073799</v>
      </c>
      <c r="CO8" s="160">
        <v>10.487881944358101</v>
      </c>
      <c r="CP8" s="160">
        <v>10.902818610642401</v>
      </c>
      <c r="CQ8" s="160">
        <v>11.3177552769267</v>
      </c>
      <c r="CR8" s="160">
        <v>11.7326919432109</v>
      </c>
      <c r="CS8" s="160">
        <v>12.1476286094952</v>
      </c>
      <c r="CT8" s="160">
        <v>12.5625652757795</v>
      </c>
      <c r="CU8" s="160">
        <v>12.9775019420638</v>
      </c>
      <c r="CV8" s="160">
        <v>13.392438608348099</v>
      </c>
      <c r="CW8" s="160">
        <v>13.807375274632401</v>
      </c>
      <c r="CX8" s="160">
        <v>14.2223119409167</v>
      </c>
      <c r="CY8" s="160">
        <v>14.637248607201</v>
      </c>
      <c r="CZ8" s="160">
        <v>15.0521852734853</v>
      </c>
      <c r="DA8" s="160">
        <v>15.4671219397696</v>
      </c>
      <c r="DB8" s="160">
        <v>15.8820586060538</v>
      </c>
      <c r="DC8" s="160">
        <v>16.296995272338101</v>
      </c>
      <c r="DD8" s="160">
        <v>16.711931938622399</v>
      </c>
      <c r="DE8" s="160">
        <v>17.126868604906701</v>
      </c>
      <c r="DF8" s="160">
        <v>17.541805271190999</v>
      </c>
      <c r="DG8" s="160">
        <v>17.9567419374753</v>
      </c>
      <c r="DH8" s="160">
        <v>18.371678603759602</v>
      </c>
      <c r="DI8" s="160">
        <v>18.7866152700439</v>
      </c>
      <c r="DJ8" s="160">
        <v>19.201551936328201</v>
      </c>
      <c r="DK8" s="160">
        <v>19.616488602612399</v>
      </c>
      <c r="DL8" s="160">
        <v>20.031425268896701</v>
      </c>
      <c r="DM8" s="161">
        <v>21.032996532341599</v>
      </c>
      <c r="DO8" s="159" t="s">
        <v>57</v>
      </c>
      <c r="DP8" s="160">
        <v>9.0141413710035305</v>
      </c>
      <c r="DQ8" s="160">
        <v>9.5292351636323005</v>
      </c>
      <c r="DR8" s="160">
        <v>10.044328956261101</v>
      </c>
      <c r="DS8" s="160">
        <v>10.5594227488898</v>
      </c>
      <c r="DT8" s="160">
        <v>11.0745165415186</v>
      </c>
      <c r="DU8" s="160">
        <v>11.5896103341474</v>
      </c>
      <c r="DV8" s="160">
        <v>12.1047041267762</v>
      </c>
      <c r="DW8" s="160">
        <v>12.619797919404901</v>
      </c>
      <c r="DX8" s="160">
        <v>13.242202918831399</v>
      </c>
      <c r="DY8" s="160">
        <v>13.8646079182578</v>
      </c>
      <c r="DZ8" s="160">
        <v>14.487012917684201</v>
      </c>
      <c r="EA8" s="160">
        <v>15.109417917110701</v>
      </c>
      <c r="EB8" s="160">
        <v>15.7318229165371</v>
      </c>
      <c r="EC8" s="160">
        <v>16.354227915963499</v>
      </c>
      <c r="ED8" s="160">
        <v>16.976632915389999</v>
      </c>
      <c r="EE8" s="160">
        <v>17.5990379148164</v>
      </c>
      <c r="EF8" s="160">
        <v>18.2214429142429</v>
      </c>
      <c r="EG8" s="160">
        <v>18.8438479136693</v>
      </c>
      <c r="EH8" s="160">
        <v>19.466252913095701</v>
      </c>
      <c r="EI8" s="160">
        <v>20.088657912522201</v>
      </c>
      <c r="EJ8" s="160">
        <v>20.711062911948598</v>
      </c>
      <c r="EK8" s="160">
        <v>21.333467911374999</v>
      </c>
      <c r="EL8" s="160">
        <v>21.955872910801499</v>
      </c>
      <c r="EM8" s="160">
        <v>22.5782779102279</v>
      </c>
      <c r="EN8" s="160">
        <v>23.200682909654301</v>
      </c>
      <c r="EO8" s="160">
        <v>23.823087909080801</v>
      </c>
      <c r="EP8" s="160">
        <v>24.445492908507202</v>
      </c>
      <c r="EQ8" s="160">
        <v>25.067897907933599</v>
      </c>
      <c r="ER8" s="160">
        <v>25.690302907360099</v>
      </c>
      <c r="ES8" s="160">
        <v>26.3127079067865</v>
      </c>
      <c r="ET8" s="160">
        <v>26.9351129062129</v>
      </c>
      <c r="EU8" s="160">
        <v>27.557517905639401</v>
      </c>
      <c r="EV8" s="160">
        <v>28.179922905065801</v>
      </c>
      <c r="EW8" s="160">
        <v>28.802327904492198</v>
      </c>
      <c r="EX8" s="160">
        <v>29.424732903918699</v>
      </c>
      <c r="EY8" s="160">
        <v>30.047137903345099</v>
      </c>
      <c r="EZ8" s="161">
        <v>10.5164982661708</v>
      </c>
      <c r="FB8" s="159" t="s">
        <v>57</v>
      </c>
      <c r="FC8" s="160">
        <v>12.018855161337999</v>
      </c>
      <c r="FD8" s="160">
        <v>12.7056468848431</v>
      </c>
      <c r="FE8" s="160">
        <v>13.392438608348099</v>
      </c>
      <c r="FF8" s="160">
        <v>14.0792303318531</v>
      </c>
      <c r="FG8" s="160">
        <v>14.766022055358199</v>
      </c>
      <c r="FH8" s="160">
        <v>15.452813778863201</v>
      </c>
      <c r="FI8" s="160">
        <v>16.139605502368202</v>
      </c>
      <c r="FJ8" s="160">
        <v>16.826397225873301</v>
      </c>
      <c r="FK8" s="160">
        <v>17.6562705584418</v>
      </c>
      <c r="FL8" s="160">
        <v>18.4861438910104</v>
      </c>
      <c r="FM8" s="160">
        <v>19.316017223578999</v>
      </c>
      <c r="FN8" s="160">
        <v>20.145890556147599</v>
      </c>
      <c r="FO8" s="160">
        <v>20.975763888716202</v>
      </c>
      <c r="FP8" s="160">
        <v>21.805637221284702</v>
      </c>
      <c r="FQ8" s="160">
        <v>22.635510553853301</v>
      </c>
      <c r="FR8" s="160">
        <v>23.4653838864219</v>
      </c>
      <c r="FS8" s="160">
        <v>24.2952572189905</v>
      </c>
      <c r="FT8" s="160">
        <v>25.125130551559</v>
      </c>
      <c r="FU8" s="160">
        <v>25.955003884127599</v>
      </c>
      <c r="FV8" s="160">
        <v>26.784877216696199</v>
      </c>
      <c r="FW8" s="160">
        <v>27.614750549264802</v>
      </c>
      <c r="FX8" s="160">
        <v>28.444623881833301</v>
      </c>
      <c r="FY8" s="160">
        <v>29.274497214401901</v>
      </c>
      <c r="FZ8" s="160">
        <v>30.1043705469705</v>
      </c>
      <c r="GA8" s="160">
        <v>30.9342438795391</v>
      </c>
      <c r="GB8" s="160">
        <v>31.764117212107699</v>
      </c>
      <c r="GC8" s="160">
        <v>32.593990544676302</v>
      </c>
      <c r="GD8" s="160">
        <v>33.423863877244798</v>
      </c>
      <c r="GE8" s="160">
        <v>34.253737209813401</v>
      </c>
      <c r="GF8" s="160">
        <v>35.083610542381997</v>
      </c>
      <c r="GG8" s="160">
        <v>35.9134838749506</v>
      </c>
      <c r="GH8" s="160">
        <v>36.743357207519203</v>
      </c>
      <c r="GI8" s="160">
        <v>37.5732305400877</v>
      </c>
      <c r="GJ8" s="160">
        <v>38.403103872656303</v>
      </c>
      <c r="GK8" s="160">
        <v>39.232977205224898</v>
      </c>
      <c r="GL8" s="160">
        <v>40.062850537793501</v>
      </c>
      <c r="GM8" s="156">
        <v>0</v>
      </c>
    </row>
    <row r="9" spans="1:195" s="150" customFormat="1" ht="15.5" x14ac:dyDescent="0.3">
      <c r="A9" s="163" t="s">
        <v>58</v>
      </c>
      <c r="B9" s="156">
        <v>0</v>
      </c>
      <c r="C9" s="156">
        <v>0</v>
      </c>
      <c r="D9" s="156">
        <v>0</v>
      </c>
      <c r="E9" s="156">
        <v>0</v>
      </c>
      <c r="F9" s="156">
        <v>0</v>
      </c>
      <c r="G9" s="156">
        <v>0</v>
      </c>
      <c r="H9" s="156">
        <v>0</v>
      </c>
      <c r="I9" s="156">
        <v>0</v>
      </c>
      <c r="J9" s="156">
        <v>0</v>
      </c>
      <c r="K9" s="156">
        <v>0</v>
      </c>
      <c r="L9" s="156">
        <v>0</v>
      </c>
      <c r="M9" s="156">
        <v>0</v>
      </c>
      <c r="N9" s="156">
        <v>0</v>
      </c>
      <c r="O9" s="156">
        <v>0</v>
      </c>
      <c r="P9" s="156">
        <v>0</v>
      </c>
      <c r="Q9" s="156">
        <v>0</v>
      </c>
      <c r="R9" s="156">
        <v>0</v>
      </c>
      <c r="S9" s="156">
        <v>0</v>
      </c>
      <c r="T9" s="156">
        <v>0</v>
      </c>
      <c r="U9" s="156">
        <v>0</v>
      </c>
      <c r="V9" s="156">
        <v>0</v>
      </c>
      <c r="W9" s="156">
        <v>0</v>
      </c>
      <c r="X9" s="156">
        <v>0</v>
      </c>
      <c r="Y9" s="156">
        <v>0</v>
      </c>
      <c r="Z9" s="156">
        <v>0</v>
      </c>
      <c r="AA9" s="156">
        <v>0</v>
      </c>
      <c r="AB9" s="156">
        <v>0</v>
      </c>
      <c r="AC9" s="156">
        <v>0</v>
      </c>
      <c r="AD9" s="156">
        <v>0</v>
      </c>
      <c r="AE9" s="156">
        <v>0</v>
      </c>
      <c r="AF9" s="156">
        <v>0</v>
      </c>
      <c r="AG9" s="156">
        <v>0</v>
      </c>
      <c r="AH9" s="156">
        <v>0</v>
      </c>
      <c r="AI9" s="156">
        <v>0</v>
      </c>
      <c r="AJ9" s="156">
        <v>0</v>
      </c>
      <c r="AK9" s="156">
        <v>0</v>
      </c>
      <c r="AL9" s="161">
        <v>34.610408747096997</v>
      </c>
      <c r="AN9" s="158"/>
      <c r="AO9" s="159" t="s">
        <v>58</v>
      </c>
      <c r="AP9" s="160">
        <v>2.4721720533640701</v>
      </c>
      <c r="AQ9" s="160">
        <v>2.6134390278420199</v>
      </c>
      <c r="AR9" s="160">
        <v>2.7547060023199701</v>
      </c>
      <c r="AS9" s="160">
        <v>2.8959729767979101</v>
      </c>
      <c r="AT9" s="160">
        <v>3.0372399512758599</v>
      </c>
      <c r="AU9" s="160">
        <v>3.1785069257538101</v>
      </c>
      <c r="AV9" s="160">
        <v>3.3197739002317501</v>
      </c>
      <c r="AW9" s="160">
        <v>3.4610408747096999</v>
      </c>
      <c r="AX9" s="160">
        <v>3.6317384688705499</v>
      </c>
      <c r="AY9" s="160">
        <v>3.80243606303141</v>
      </c>
      <c r="AZ9" s="160">
        <v>3.97313365719226</v>
      </c>
      <c r="BA9" s="160">
        <v>4.1438312513531104</v>
      </c>
      <c r="BB9" s="160">
        <v>4.3145288455139603</v>
      </c>
      <c r="BC9" s="160">
        <v>4.48522643967482</v>
      </c>
      <c r="BD9" s="160">
        <v>4.65592403383567</v>
      </c>
      <c r="BE9" s="160">
        <v>4.8266216279965199</v>
      </c>
      <c r="BF9" s="160">
        <v>4.9973192221573797</v>
      </c>
      <c r="BG9" s="160">
        <v>5.1680168163182296</v>
      </c>
      <c r="BH9" s="160">
        <v>5.3387144104790796</v>
      </c>
      <c r="BI9" s="160">
        <v>5.5094120046399304</v>
      </c>
      <c r="BJ9" s="160">
        <v>5.6801095988007901</v>
      </c>
      <c r="BK9" s="160">
        <v>5.8508071929616401</v>
      </c>
      <c r="BL9" s="160">
        <v>6.02150478712249</v>
      </c>
      <c r="BM9" s="160">
        <v>6.19220238128334</v>
      </c>
      <c r="BN9" s="160">
        <v>6.3628999754441997</v>
      </c>
      <c r="BO9" s="160">
        <v>6.5335975696050497</v>
      </c>
      <c r="BP9" s="160">
        <v>6.7042951637658996</v>
      </c>
      <c r="BQ9" s="160">
        <v>6.8749927579267496</v>
      </c>
      <c r="BR9" s="160">
        <v>7.0456903520876102</v>
      </c>
      <c r="BS9" s="160">
        <v>7.2163879462484601</v>
      </c>
      <c r="BT9" s="160">
        <v>7.3870855404093101</v>
      </c>
      <c r="BU9" s="160">
        <v>7.55778313457016</v>
      </c>
      <c r="BV9" s="160">
        <v>7.7284807287310198</v>
      </c>
      <c r="BW9" s="160">
        <v>7.8991783228918697</v>
      </c>
      <c r="BX9" s="160">
        <v>8.0698759170527197</v>
      </c>
      <c r="BY9" s="160">
        <v>8.2405735112135794</v>
      </c>
      <c r="BZ9" s="161">
        <v>25.957806560322801</v>
      </c>
      <c r="CB9" s="162" t="s">
        <v>58</v>
      </c>
      <c r="CC9" s="160">
        <v>4.9443441067281402</v>
      </c>
      <c r="CD9" s="160">
        <v>5.2268780556840397</v>
      </c>
      <c r="CE9" s="160">
        <v>5.5094120046399304</v>
      </c>
      <c r="CF9" s="160">
        <v>5.79194595359583</v>
      </c>
      <c r="CG9" s="160">
        <v>6.0744799025517198</v>
      </c>
      <c r="CH9" s="160">
        <v>6.3570138515076096</v>
      </c>
      <c r="CI9" s="160">
        <v>6.63954780046351</v>
      </c>
      <c r="CJ9" s="160">
        <v>6.9220817494193998</v>
      </c>
      <c r="CK9" s="160">
        <v>7.2634769377411104</v>
      </c>
      <c r="CL9" s="160">
        <v>7.6048721260628103</v>
      </c>
      <c r="CM9" s="160">
        <v>7.9462673143845199</v>
      </c>
      <c r="CN9" s="160">
        <v>8.2876625027062207</v>
      </c>
      <c r="CO9" s="160">
        <v>8.6290576910279295</v>
      </c>
      <c r="CP9" s="160">
        <v>8.9704528793496294</v>
      </c>
      <c r="CQ9" s="160">
        <v>9.31184806767134</v>
      </c>
      <c r="CR9" s="160">
        <v>9.6532432559930506</v>
      </c>
      <c r="CS9" s="160">
        <v>9.9946384443147505</v>
      </c>
      <c r="CT9" s="160">
        <v>10.3360336326365</v>
      </c>
      <c r="CU9" s="160">
        <v>10.6774288209582</v>
      </c>
      <c r="CV9" s="160">
        <v>11.0188240092799</v>
      </c>
      <c r="CW9" s="160">
        <v>11.3602191976016</v>
      </c>
      <c r="CX9" s="160">
        <v>11.7016143859233</v>
      </c>
      <c r="CY9" s="160">
        <v>12.043009574245</v>
      </c>
      <c r="CZ9" s="160">
        <v>12.3844047625667</v>
      </c>
      <c r="DA9" s="160">
        <v>12.725799950888399</v>
      </c>
      <c r="DB9" s="160">
        <v>13.067195139210099</v>
      </c>
      <c r="DC9" s="160">
        <v>13.408590327531799</v>
      </c>
      <c r="DD9" s="160">
        <v>13.749985515853499</v>
      </c>
      <c r="DE9" s="160">
        <v>14.091380704175201</v>
      </c>
      <c r="DF9" s="160">
        <v>14.432775892496901</v>
      </c>
      <c r="DG9" s="160">
        <v>14.774171080818601</v>
      </c>
      <c r="DH9" s="160">
        <v>15.115566269140301</v>
      </c>
      <c r="DI9" s="160">
        <v>15.456961457462</v>
      </c>
      <c r="DJ9" s="160">
        <v>15.7983566457837</v>
      </c>
      <c r="DK9" s="160">
        <v>16.1397518341054</v>
      </c>
      <c r="DL9" s="160">
        <v>16.481147022427201</v>
      </c>
      <c r="DM9" s="161">
        <v>17.305204373548499</v>
      </c>
      <c r="DO9" s="159" t="s">
        <v>58</v>
      </c>
      <c r="DP9" s="160">
        <v>7.4165161600922103</v>
      </c>
      <c r="DQ9" s="160">
        <v>7.8403170835260596</v>
      </c>
      <c r="DR9" s="160">
        <v>8.2641180069598992</v>
      </c>
      <c r="DS9" s="160">
        <v>8.6879189303937405</v>
      </c>
      <c r="DT9" s="160">
        <v>9.1117198538275801</v>
      </c>
      <c r="DU9" s="160">
        <v>9.5355207772614197</v>
      </c>
      <c r="DV9" s="160">
        <v>9.9593217006952592</v>
      </c>
      <c r="DW9" s="160">
        <v>10.383122624129101</v>
      </c>
      <c r="DX9" s="160">
        <v>10.895215406611699</v>
      </c>
      <c r="DY9" s="160">
        <v>11.4073081890942</v>
      </c>
      <c r="DZ9" s="160">
        <v>11.919400971576801</v>
      </c>
      <c r="EA9" s="160">
        <v>12.4314937540593</v>
      </c>
      <c r="EB9" s="160">
        <v>12.943586536541901</v>
      </c>
      <c r="EC9" s="160">
        <v>13.455679319024499</v>
      </c>
      <c r="ED9" s="160">
        <v>13.967772101507</v>
      </c>
      <c r="EE9" s="160">
        <v>14.479864883989601</v>
      </c>
      <c r="EF9" s="160">
        <v>14.9919576664721</v>
      </c>
      <c r="EG9" s="160">
        <v>15.5040504489547</v>
      </c>
      <c r="EH9" s="160">
        <v>16.016143231437201</v>
      </c>
      <c r="EI9" s="160">
        <v>16.528236013919798</v>
      </c>
      <c r="EJ9" s="160">
        <v>17.040328796402399</v>
      </c>
      <c r="EK9" s="160">
        <v>17.5524215788849</v>
      </c>
      <c r="EL9" s="160">
        <v>18.0645143613675</v>
      </c>
      <c r="EM9" s="160">
        <v>18.576607143850001</v>
      </c>
      <c r="EN9" s="160">
        <v>19.088699926332598</v>
      </c>
      <c r="EO9" s="160">
        <v>19.600792708815199</v>
      </c>
      <c r="EP9" s="160">
        <v>20.1128854912977</v>
      </c>
      <c r="EQ9" s="160">
        <v>20.6249782737803</v>
      </c>
      <c r="ER9" s="160">
        <v>21.137071056262801</v>
      </c>
      <c r="ES9" s="160">
        <v>21.649163838745402</v>
      </c>
      <c r="ET9" s="160">
        <v>22.161256621227899</v>
      </c>
      <c r="EU9" s="160">
        <v>22.6733494037105</v>
      </c>
      <c r="EV9" s="160">
        <v>23.1854421861931</v>
      </c>
      <c r="EW9" s="160">
        <v>23.697534968675601</v>
      </c>
      <c r="EX9" s="160">
        <v>24.209627751158202</v>
      </c>
      <c r="EY9" s="160">
        <v>24.721720533640699</v>
      </c>
      <c r="EZ9" s="161">
        <v>8.6526021867742493</v>
      </c>
      <c r="FB9" s="159" t="s">
        <v>58</v>
      </c>
      <c r="FC9" s="160">
        <v>9.8886882134562892</v>
      </c>
      <c r="FD9" s="160">
        <v>10.453756111368101</v>
      </c>
      <c r="FE9" s="160">
        <v>11.0188240092799</v>
      </c>
      <c r="FF9" s="160">
        <v>11.583891907191701</v>
      </c>
      <c r="FG9" s="160">
        <v>12.1489598051034</v>
      </c>
      <c r="FH9" s="160">
        <v>12.7140277030152</v>
      </c>
      <c r="FI9" s="160">
        <v>13.279095600927</v>
      </c>
      <c r="FJ9" s="160">
        <v>13.8441634988388</v>
      </c>
      <c r="FK9" s="160">
        <v>14.526953875482199</v>
      </c>
      <c r="FL9" s="160">
        <v>15.209744252125599</v>
      </c>
      <c r="FM9" s="160">
        <v>15.892534628769001</v>
      </c>
      <c r="FN9" s="160">
        <v>16.575325005412399</v>
      </c>
      <c r="FO9" s="160">
        <v>17.258115382055902</v>
      </c>
      <c r="FP9" s="160">
        <v>17.940905758699301</v>
      </c>
      <c r="FQ9" s="160">
        <v>18.623696135342701</v>
      </c>
      <c r="FR9" s="160">
        <v>19.306486511986101</v>
      </c>
      <c r="FS9" s="160">
        <v>19.989276888629501</v>
      </c>
      <c r="FT9" s="160">
        <v>20.672067265272901</v>
      </c>
      <c r="FU9" s="160">
        <v>21.354857641916301</v>
      </c>
      <c r="FV9" s="160">
        <v>22.0376480185597</v>
      </c>
      <c r="FW9" s="160">
        <v>22.7204383952031</v>
      </c>
      <c r="FX9" s="160">
        <v>23.4032287718465</v>
      </c>
      <c r="FY9" s="160">
        <v>24.086019148489999</v>
      </c>
      <c r="FZ9" s="160">
        <v>24.768809525133399</v>
      </c>
      <c r="GA9" s="160">
        <v>25.451599901776799</v>
      </c>
      <c r="GB9" s="160">
        <v>26.134390278420199</v>
      </c>
      <c r="GC9" s="160">
        <v>26.817180655063598</v>
      </c>
      <c r="GD9" s="160">
        <v>27.499971031706998</v>
      </c>
      <c r="GE9" s="160">
        <v>28.182761408350402</v>
      </c>
      <c r="GF9" s="160">
        <v>28.865551784993801</v>
      </c>
      <c r="GG9" s="160">
        <v>29.548342161637301</v>
      </c>
      <c r="GH9" s="160">
        <v>30.231132538280701</v>
      </c>
      <c r="GI9" s="160">
        <v>30.9139229149241</v>
      </c>
      <c r="GJ9" s="160">
        <v>31.5967132915675</v>
      </c>
      <c r="GK9" s="160">
        <v>32.2795036682109</v>
      </c>
      <c r="GL9" s="160">
        <v>32.962294044854303</v>
      </c>
      <c r="GM9" s="156">
        <v>0</v>
      </c>
    </row>
    <row r="10" spans="1:195" s="150" customFormat="1" ht="15.5" x14ac:dyDescent="0.3">
      <c r="A10" s="163" t="s">
        <v>59</v>
      </c>
      <c r="B10" s="156">
        <v>0</v>
      </c>
      <c r="C10" s="156">
        <v>0</v>
      </c>
      <c r="D10" s="156">
        <v>0</v>
      </c>
      <c r="E10" s="156">
        <v>0</v>
      </c>
      <c r="F10" s="156">
        <v>0</v>
      </c>
      <c r="G10" s="156">
        <v>0</v>
      </c>
      <c r="H10" s="156">
        <v>0</v>
      </c>
      <c r="I10" s="156">
        <v>0</v>
      </c>
      <c r="J10" s="156">
        <v>0</v>
      </c>
      <c r="K10" s="156">
        <v>0</v>
      </c>
      <c r="L10" s="156">
        <v>0</v>
      </c>
      <c r="M10" s="156">
        <v>0</v>
      </c>
      <c r="N10" s="156">
        <v>0</v>
      </c>
      <c r="O10" s="156">
        <v>0</v>
      </c>
      <c r="P10" s="156">
        <v>0</v>
      </c>
      <c r="Q10" s="156">
        <v>0</v>
      </c>
      <c r="R10" s="156">
        <v>0</v>
      </c>
      <c r="S10" s="156">
        <v>0</v>
      </c>
      <c r="T10" s="156">
        <v>0</v>
      </c>
      <c r="U10" s="156">
        <v>0</v>
      </c>
      <c r="V10" s="156">
        <v>0</v>
      </c>
      <c r="W10" s="156">
        <v>0</v>
      </c>
      <c r="X10" s="156">
        <v>0</v>
      </c>
      <c r="Y10" s="156">
        <v>0</v>
      </c>
      <c r="Z10" s="156">
        <v>0</v>
      </c>
      <c r="AA10" s="156">
        <v>0</v>
      </c>
      <c r="AB10" s="156">
        <v>0</v>
      </c>
      <c r="AC10" s="156">
        <v>0</v>
      </c>
      <c r="AD10" s="156">
        <v>0</v>
      </c>
      <c r="AE10" s="156">
        <v>0</v>
      </c>
      <c r="AF10" s="156">
        <v>0</v>
      </c>
      <c r="AG10" s="156">
        <v>0</v>
      </c>
      <c r="AH10" s="156">
        <v>0</v>
      </c>
      <c r="AI10" s="156">
        <v>0</v>
      </c>
      <c r="AJ10" s="156">
        <v>0</v>
      </c>
      <c r="AK10" s="156">
        <v>0</v>
      </c>
      <c r="AL10" s="161">
        <v>15.7727695597011</v>
      </c>
      <c r="AN10" s="158"/>
      <c r="AO10" s="159" t="s">
        <v>59</v>
      </c>
      <c r="AP10" s="160">
        <v>1.12662639712151</v>
      </c>
      <c r="AQ10" s="160">
        <v>1.1910050483855901</v>
      </c>
      <c r="AR10" s="160">
        <v>1.2553836996496801</v>
      </c>
      <c r="AS10" s="160">
        <v>1.3197623509137599</v>
      </c>
      <c r="AT10" s="160">
        <v>1.38414100217785</v>
      </c>
      <c r="AU10" s="160">
        <v>1.44851965344194</v>
      </c>
      <c r="AV10" s="160">
        <v>1.51289830470602</v>
      </c>
      <c r="AW10" s="160">
        <v>1.5772769559701101</v>
      </c>
      <c r="AX10" s="160">
        <v>1.65506782624755</v>
      </c>
      <c r="AY10" s="160">
        <v>1.7328586965249799</v>
      </c>
      <c r="AZ10" s="160">
        <v>1.8106495668024201</v>
      </c>
      <c r="BA10" s="160">
        <v>1.88844043707986</v>
      </c>
      <c r="BB10" s="160">
        <v>1.9662313073572999</v>
      </c>
      <c r="BC10" s="160">
        <v>2.04402217763473</v>
      </c>
      <c r="BD10" s="160">
        <v>2.1218130479121702</v>
      </c>
      <c r="BE10" s="160">
        <v>2.1996039181896099</v>
      </c>
      <c r="BF10" s="160">
        <v>2.2773947884670398</v>
      </c>
      <c r="BG10" s="160">
        <v>2.3551856587444799</v>
      </c>
      <c r="BH10" s="160">
        <v>2.4329765290219201</v>
      </c>
      <c r="BI10" s="160">
        <v>2.5107673992993602</v>
      </c>
      <c r="BJ10" s="160">
        <v>2.5885582695767901</v>
      </c>
      <c r="BK10" s="160">
        <v>2.6663491398542298</v>
      </c>
      <c r="BL10" s="160">
        <v>2.74414001013167</v>
      </c>
      <c r="BM10" s="160">
        <v>2.8219308804091101</v>
      </c>
      <c r="BN10" s="160">
        <v>2.89972175068654</v>
      </c>
      <c r="BO10" s="160">
        <v>2.9775126209639802</v>
      </c>
      <c r="BP10" s="160">
        <v>3.0553034912414199</v>
      </c>
      <c r="BQ10" s="160">
        <v>3.13309436151886</v>
      </c>
      <c r="BR10" s="160">
        <v>3.2108852317962899</v>
      </c>
      <c r="BS10" s="160">
        <v>3.2886761020737301</v>
      </c>
      <c r="BT10" s="160">
        <v>3.3664669723511702</v>
      </c>
      <c r="BU10" s="160">
        <v>3.4442578426286099</v>
      </c>
      <c r="BV10" s="160">
        <v>3.5220487129060398</v>
      </c>
      <c r="BW10" s="160">
        <v>3.59983958318348</v>
      </c>
      <c r="BX10" s="160">
        <v>3.6776304534609201</v>
      </c>
      <c r="BY10" s="160">
        <v>3.75542132373835</v>
      </c>
      <c r="BZ10" s="161">
        <v>11.829577169775799</v>
      </c>
      <c r="CB10" s="162" t="s">
        <v>59</v>
      </c>
      <c r="CC10" s="160">
        <v>2.2532527942430098</v>
      </c>
      <c r="CD10" s="160">
        <v>2.3820100967711801</v>
      </c>
      <c r="CE10" s="160">
        <v>2.5107673992993602</v>
      </c>
      <c r="CF10" s="160">
        <v>2.6395247018275301</v>
      </c>
      <c r="CG10" s="160">
        <v>2.7682820043556999</v>
      </c>
      <c r="CH10" s="160">
        <v>2.8970393068838698</v>
      </c>
      <c r="CI10" s="160">
        <v>3.0257966094120401</v>
      </c>
      <c r="CJ10" s="160">
        <v>3.1545539119402202</v>
      </c>
      <c r="CK10" s="160">
        <v>3.3101356524950898</v>
      </c>
      <c r="CL10" s="160">
        <v>3.4657173930499701</v>
      </c>
      <c r="CM10" s="160">
        <v>3.6212991336048401</v>
      </c>
      <c r="CN10" s="160">
        <v>3.77688087415972</v>
      </c>
      <c r="CO10" s="160">
        <v>3.93246261471459</v>
      </c>
      <c r="CP10" s="160">
        <v>4.0880443552694601</v>
      </c>
      <c r="CQ10" s="160">
        <v>4.2436260958243404</v>
      </c>
      <c r="CR10" s="160">
        <v>4.3992078363792197</v>
      </c>
      <c r="CS10" s="160">
        <v>4.5547895769340903</v>
      </c>
      <c r="CT10" s="160">
        <v>4.7103713174889599</v>
      </c>
      <c r="CU10" s="160">
        <v>4.8659530580438402</v>
      </c>
      <c r="CV10" s="160">
        <v>5.0215347985987204</v>
      </c>
      <c r="CW10" s="160">
        <v>5.17711653915359</v>
      </c>
      <c r="CX10" s="160">
        <v>5.3326982797084597</v>
      </c>
      <c r="CY10" s="160">
        <v>5.4882800202633399</v>
      </c>
      <c r="CZ10" s="160">
        <v>5.6438617608182096</v>
      </c>
      <c r="DA10" s="160">
        <v>5.7994435013730898</v>
      </c>
      <c r="DB10" s="160">
        <v>5.9550252419279603</v>
      </c>
      <c r="DC10" s="160">
        <v>6.11060698248283</v>
      </c>
      <c r="DD10" s="160">
        <v>6.2661887230377102</v>
      </c>
      <c r="DE10" s="160">
        <v>6.4217704635925799</v>
      </c>
      <c r="DF10" s="160">
        <v>6.5773522041474601</v>
      </c>
      <c r="DG10" s="160">
        <v>6.7329339447023404</v>
      </c>
      <c r="DH10" s="160">
        <v>6.88851568525721</v>
      </c>
      <c r="DI10" s="160">
        <v>7.0440974258120796</v>
      </c>
      <c r="DJ10" s="160">
        <v>7.1996791663669599</v>
      </c>
      <c r="DK10" s="160">
        <v>7.3552609069218304</v>
      </c>
      <c r="DL10" s="160">
        <v>7.5108426474767098</v>
      </c>
      <c r="DM10" s="161">
        <v>7.8863847798505402</v>
      </c>
      <c r="DO10" s="159" t="s">
        <v>59</v>
      </c>
      <c r="DP10" s="160">
        <v>3.3798791913645201</v>
      </c>
      <c r="DQ10" s="160">
        <v>3.5730151451567802</v>
      </c>
      <c r="DR10" s="160">
        <v>3.7661510989490399</v>
      </c>
      <c r="DS10" s="160">
        <v>3.9592870527412898</v>
      </c>
      <c r="DT10" s="160">
        <v>4.1524230065335503</v>
      </c>
      <c r="DU10" s="160">
        <v>4.3455589603258096</v>
      </c>
      <c r="DV10" s="160">
        <v>4.5386949141180697</v>
      </c>
      <c r="DW10" s="160">
        <v>4.7318308679103298</v>
      </c>
      <c r="DX10" s="160">
        <v>4.96520347874264</v>
      </c>
      <c r="DY10" s="160">
        <v>5.1985760895749502</v>
      </c>
      <c r="DZ10" s="160">
        <v>5.4319487004072604</v>
      </c>
      <c r="EA10" s="160">
        <v>5.6653213112395804</v>
      </c>
      <c r="EB10" s="160">
        <v>5.8986939220718799</v>
      </c>
      <c r="EC10" s="160">
        <v>6.1320665329041999</v>
      </c>
      <c r="ED10" s="160">
        <v>6.3654391437365101</v>
      </c>
      <c r="EE10" s="160">
        <v>6.5988117545688203</v>
      </c>
      <c r="EF10" s="160">
        <v>6.8321843654011296</v>
      </c>
      <c r="EG10" s="160">
        <v>7.0655569762334398</v>
      </c>
      <c r="EH10" s="160">
        <v>7.2989295870657598</v>
      </c>
      <c r="EI10" s="160">
        <v>7.53230219789807</v>
      </c>
      <c r="EJ10" s="160">
        <v>7.7656748087303802</v>
      </c>
      <c r="EK10" s="160">
        <v>7.9990474195626904</v>
      </c>
      <c r="EL10" s="160">
        <v>8.2324200303949997</v>
      </c>
      <c r="EM10" s="160">
        <v>8.4657926412273206</v>
      </c>
      <c r="EN10" s="160">
        <v>8.6991652520596308</v>
      </c>
      <c r="EO10" s="160">
        <v>8.9325378628919392</v>
      </c>
      <c r="EP10" s="160">
        <v>9.1659104737242494</v>
      </c>
      <c r="EQ10" s="160">
        <v>9.3992830845565702</v>
      </c>
      <c r="ER10" s="160">
        <v>9.6326556953888804</v>
      </c>
      <c r="ES10" s="160">
        <v>9.8660283062211906</v>
      </c>
      <c r="ET10" s="160">
        <v>10.099400917053501</v>
      </c>
      <c r="EU10" s="160">
        <v>10.3327735278858</v>
      </c>
      <c r="EV10" s="160">
        <v>10.5661461387181</v>
      </c>
      <c r="EW10" s="160">
        <v>10.799518749550399</v>
      </c>
      <c r="EX10" s="160">
        <v>11.0328913603828</v>
      </c>
      <c r="EY10" s="160">
        <v>11.2662639712151</v>
      </c>
      <c r="EZ10" s="161">
        <v>3.9431923899252701</v>
      </c>
      <c r="FB10" s="159" t="s">
        <v>59</v>
      </c>
      <c r="FC10" s="160">
        <v>4.5065055884860197</v>
      </c>
      <c r="FD10" s="160">
        <v>4.7640201935423701</v>
      </c>
      <c r="FE10" s="160">
        <v>5.0215347985987204</v>
      </c>
      <c r="FF10" s="160">
        <v>5.2790494036550601</v>
      </c>
      <c r="FG10" s="160">
        <v>5.5365640087113999</v>
      </c>
      <c r="FH10" s="160">
        <v>5.7940786137677502</v>
      </c>
      <c r="FI10" s="160">
        <v>6.05159321882409</v>
      </c>
      <c r="FJ10" s="160">
        <v>6.3091078238804297</v>
      </c>
      <c r="FK10" s="160">
        <v>6.6202713049901796</v>
      </c>
      <c r="FL10" s="160">
        <v>6.9314347860999304</v>
      </c>
      <c r="FM10" s="160">
        <v>7.2425982672096803</v>
      </c>
      <c r="FN10" s="160">
        <v>7.5537617483194301</v>
      </c>
      <c r="FO10" s="160">
        <v>7.86492522942918</v>
      </c>
      <c r="FP10" s="160">
        <v>8.1760887105389308</v>
      </c>
      <c r="FQ10" s="160">
        <v>8.4872521916486807</v>
      </c>
      <c r="FR10" s="160">
        <v>8.7984156727584306</v>
      </c>
      <c r="FS10" s="160">
        <v>9.1095791538681805</v>
      </c>
      <c r="FT10" s="160">
        <v>9.4207426349779304</v>
      </c>
      <c r="FU10" s="160">
        <v>9.7319061160876803</v>
      </c>
      <c r="FV10" s="160">
        <v>10.0430695971974</v>
      </c>
      <c r="FW10" s="160">
        <v>10.3542330783072</v>
      </c>
      <c r="FX10" s="160">
        <v>10.6653965594169</v>
      </c>
      <c r="FY10" s="160">
        <v>10.976560040526699</v>
      </c>
      <c r="FZ10" s="160">
        <v>11.2877235216364</v>
      </c>
      <c r="GA10" s="160">
        <v>11.598887002746199</v>
      </c>
      <c r="GB10" s="160">
        <v>11.910050483855899</v>
      </c>
      <c r="GC10" s="160">
        <v>12.221213964965701</v>
      </c>
      <c r="GD10" s="160">
        <v>12.532377446075399</v>
      </c>
      <c r="GE10" s="160">
        <v>12.843540927185201</v>
      </c>
      <c r="GF10" s="160">
        <v>13.154704408294901</v>
      </c>
      <c r="GG10" s="160">
        <v>13.4658678894047</v>
      </c>
      <c r="GH10" s="160">
        <v>13.777031370514401</v>
      </c>
      <c r="GI10" s="160">
        <v>14.0881948516242</v>
      </c>
      <c r="GJ10" s="160">
        <v>14.3993583327339</v>
      </c>
      <c r="GK10" s="160">
        <v>14.7105218138437</v>
      </c>
      <c r="GL10" s="160">
        <v>15.0216852949534</v>
      </c>
      <c r="GM10" s="156">
        <v>0</v>
      </c>
    </row>
    <row r="11" spans="1:195" s="150" customFormat="1" ht="15.5" x14ac:dyDescent="0.3">
      <c r="A11" s="163" t="s">
        <v>60</v>
      </c>
      <c r="B11" s="156">
        <v>0</v>
      </c>
      <c r="C11" s="156">
        <v>0</v>
      </c>
      <c r="D11" s="156">
        <v>0</v>
      </c>
      <c r="E11" s="156">
        <v>0</v>
      </c>
      <c r="F11" s="156">
        <v>0</v>
      </c>
      <c r="G11" s="156">
        <v>0</v>
      </c>
      <c r="H11" s="156">
        <v>0</v>
      </c>
      <c r="I11" s="156">
        <v>0</v>
      </c>
      <c r="J11" s="156">
        <v>0</v>
      </c>
      <c r="K11" s="156">
        <v>0</v>
      </c>
      <c r="L11" s="156">
        <v>0</v>
      </c>
      <c r="M11" s="156">
        <v>0</v>
      </c>
      <c r="N11" s="156">
        <v>0</v>
      </c>
      <c r="O11" s="156">
        <v>0</v>
      </c>
      <c r="P11" s="156">
        <v>0</v>
      </c>
      <c r="Q11" s="156">
        <v>0</v>
      </c>
      <c r="R11" s="156">
        <v>0</v>
      </c>
      <c r="S11" s="156">
        <v>0</v>
      </c>
      <c r="T11" s="156">
        <v>0</v>
      </c>
      <c r="U11" s="156">
        <v>0</v>
      </c>
      <c r="V11" s="156">
        <v>0</v>
      </c>
      <c r="W11" s="156">
        <v>0</v>
      </c>
      <c r="X11" s="156">
        <v>0</v>
      </c>
      <c r="Y11" s="156">
        <v>0</v>
      </c>
      <c r="Z11" s="156">
        <v>0</v>
      </c>
      <c r="AA11" s="156">
        <v>0</v>
      </c>
      <c r="AB11" s="156">
        <v>0</v>
      </c>
      <c r="AC11" s="156">
        <v>0</v>
      </c>
      <c r="AD11" s="156">
        <v>0</v>
      </c>
      <c r="AE11" s="156">
        <v>0</v>
      </c>
      <c r="AF11" s="156">
        <v>0</v>
      </c>
      <c r="AG11" s="156">
        <v>0</v>
      </c>
      <c r="AH11" s="156">
        <v>0</v>
      </c>
      <c r="AI11" s="156">
        <v>0</v>
      </c>
      <c r="AJ11" s="156">
        <v>0</v>
      </c>
      <c r="AK11" s="156">
        <v>0</v>
      </c>
      <c r="AL11" s="161">
        <v>8.7550739386460794</v>
      </c>
      <c r="AN11" s="158"/>
      <c r="AO11" s="159" t="s">
        <v>60</v>
      </c>
      <c r="AP11" s="160">
        <v>0.62536242418900601</v>
      </c>
      <c r="AQ11" s="160">
        <v>0.66109741985694903</v>
      </c>
      <c r="AR11" s="160">
        <v>0.69683241552489195</v>
      </c>
      <c r="AS11" s="160">
        <v>0.73256741119283497</v>
      </c>
      <c r="AT11" s="160">
        <v>0.768302406860778</v>
      </c>
      <c r="AU11" s="160">
        <v>0.80403740252872202</v>
      </c>
      <c r="AV11" s="160">
        <v>0.83977239819666505</v>
      </c>
      <c r="AW11" s="160">
        <v>0.87550739386460796</v>
      </c>
      <c r="AX11" s="160">
        <v>0.91868718029670604</v>
      </c>
      <c r="AY11" s="160">
        <v>0.96186696672880401</v>
      </c>
      <c r="AZ11" s="160">
        <v>1.0050467531609</v>
      </c>
      <c r="BA11" s="160">
        <v>1.0482265395929999</v>
      </c>
      <c r="BB11" s="160">
        <v>1.0914063260250999</v>
      </c>
      <c r="BC11" s="160">
        <v>1.1345861124572001</v>
      </c>
      <c r="BD11" s="160">
        <v>1.1777658988892901</v>
      </c>
      <c r="BE11" s="160">
        <v>1.22094568532139</v>
      </c>
      <c r="BF11" s="160">
        <v>1.26412547175349</v>
      </c>
      <c r="BG11" s="160">
        <v>1.30730525818559</v>
      </c>
      <c r="BH11" s="160">
        <v>1.3504850446176899</v>
      </c>
      <c r="BI11" s="160">
        <v>1.3936648310497799</v>
      </c>
      <c r="BJ11" s="160">
        <v>1.4368446174818801</v>
      </c>
      <c r="BK11" s="160">
        <v>1.48002440391398</v>
      </c>
      <c r="BL11" s="160">
        <v>1.52320419034608</v>
      </c>
      <c r="BM11" s="160">
        <v>1.56638397677818</v>
      </c>
      <c r="BN11" s="160">
        <v>1.6095637632102699</v>
      </c>
      <c r="BO11" s="160">
        <v>1.6527435496423699</v>
      </c>
      <c r="BP11" s="160">
        <v>1.6959233360744701</v>
      </c>
      <c r="BQ11" s="160">
        <v>1.7391031225065701</v>
      </c>
      <c r="BR11" s="160">
        <v>1.78228290893867</v>
      </c>
      <c r="BS11" s="160">
        <v>1.82546269537076</v>
      </c>
      <c r="BT11" s="160">
        <v>1.86864248180286</v>
      </c>
      <c r="BU11" s="160">
        <v>1.9118222682349599</v>
      </c>
      <c r="BV11" s="160">
        <v>1.9550020546670599</v>
      </c>
      <c r="BW11" s="160">
        <v>1.9981818410991601</v>
      </c>
      <c r="BX11" s="160">
        <v>2.0413616275312498</v>
      </c>
      <c r="BY11" s="160">
        <v>2.08454141396335</v>
      </c>
      <c r="BZ11" s="161">
        <v>6.56630545398456</v>
      </c>
      <c r="CB11" s="162" t="s">
        <v>60</v>
      </c>
      <c r="CC11" s="160">
        <v>1.25072484837801</v>
      </c>
      <c r="CD11" s="160">
        <v>1.3221948397139001</v>
      </c>
      <c r="CE11" s="160">
        <v>1.3936648310497799</v>
      </c>
      <c r="CF11" s="160">
        <v>1.4651348223856699</v>
      </c>
      <c r="CG11" s="160">
        <v>1.53660481372156</v>
      </c>
      <c r="CH11" s="160">
        <v>1.60807480505744</v>
      </c>
      <c r="CI11" s="160">
        <v>1.6795447963933301</v>
      </c>
      <c r="CJ11" s="160">
        <v>1.7510147877292199</v>
      </c>
      <c r="CK11" s="160">
        <v>1.8373743605934101</v>
      </c>
      <c r="CL11" s="160">
        <v>1.92373393345761</v>
      </c>
      <c r="CM11" s="160">
        <v>2.0100935063217999</v>
      </c>
      <c r="CN11" s="160">
        <v>2.0964530791859999</v>
      </c>
      <c r="CO11" s="160">
        <v>2.1828126520501998</v>
      </c>
      <c r="CP11" s="160">
        <v>2.26917222491439</v>
      </c>
      <c r="CQ11" s="160">
        <v>2.3555317977785899</v>
      </c>
      <c r="CR11" s="160">
        <v>2.4418913706427801</v>
      </c>
      <c r="CS11" s="160">
        <v>2.52825094350698</v>
      </c>
      <c r="CT11" s="160">
        <v>2.6146105163711799</v>
      </c>
      <c r="CU11" s="160">
        <v>2.7009700892353701</v>
      </c>
      <c r="CV11" s="160">
        <v>2.78732966209957</v>
      </c>
      <c r="CW11" s="160">
        <v>2.8736892349637602</v>
      </c>
      <c r="CX11" s="160">
        <v>2.9600488078279601</v>
      </c>
      <c r="CY11" s="160">
        <v>3.04640838069216</v>
      </c>
      <c r="CZ11" s="160">
        <v>3.1327679535563502</v>
      </c>
      <c r="DA11" s="160">
        <v>3.2191275264205501</v>
      </c>
      <c r="DB11" s="160">
        <v>3.3054870992847398</v>
      </c>
      <c r="DC11" s="160">
        <v>3.3918466721489402</v>
      </c>
      <c r="DD11" s="160">
        <v>3.4782062450131401</v>
      </c>
      <c r="DE11" s="160">
        <v>3.5645658178773298</v>
      </c>
      <c r="DF11" s="160">
        <v>3.6509253907415302</v>
      </c>
      <c r="DG11" s="160">
        <v>3.7372849636057199</v>
      </c>
      <c r="DH11" s="160">
        <v>3.8236445364699199</v>
      </c>
      <c r="DI11" s="160">
        <v>3.9100041093341198</v>
      </c>
      <c r="DJ11" s="160">
        <v>3.99636368219831</v>
      </c>
      <c r="DK11" s="160">
        <v>4.0827232550625103</v>
      </c>
      <c r="DL11" s="160">
        <v>4.1690828279267</v>
      </c>
      <c r="DM11" s="161">
        <v>4.3775369693230397</v>
      </c>
      <c r="DO11" s="159" t="s">
        <v>60</v>
      </c>
      <c r="DP11" s="160">
        <v>1.8760872725670199</v>
      </c>
      <c r="DQ11" s="160">
        <v>1.98329225957085</v>
      </c>
      <c r="DR11" s="160">
        <v>2.0904972465746798</v>
      </c>
      <c r="DS11" s="160">
        <v>2.1977022335785099</v>
      </c>
      <c r="DT11" s="160">
        <v>2.30490722058234</v>
      </c>
      <c r="DU11" s="160">
        <v>2.4121122075861599</v>
      </c>
      <c r="DV11" s="160">
        <v>2.5193171945899899</v>
      </c>
      <c r="DW11" s="160">
        <v>2.62652218159382</v>
      </c>
      <c r="DX11" s="160">
        <v>2.7560615408901201</v>
      </c>
      <c r="DY11" s="160">
        <v>2.88560090018641</v>
      </c>
      <c r="DZ11" s="160">
        <v>3.0151402594827101</v>
      </c>
      <c r="EA11" s="160">
        <v>3.144679618779</v>
      </c>
      <c r="EB11" s="160">
        <v>3.2742189780752899</v>
      </c>
      <c r="EC11" s="160">
        <v>3.4037583373715901</v>
      </c>
      <c r="ED11" s="160">
        <v>3.53329769666788</v>
      </c>
      <c r="EE11" s="160">
        <v>3.6628370559641801</v>
      </c>
      <c r="EF11" s="160">
        <v>3.79237641526047</v>
      </c>
      <c r="EG11" s="160">
        <v>3.9219157745567599</v>
      </c>
      <c r="EH11" s="160">
        <v>4.05145513385306</v>
      </c>
      <c r="EI11" s="160">
        <v>4.1809944931493499</v>
      </c>
      <c r="EJ11" s="160">
        <v>4.3105338524456496</v>
      </c>
      <c r="EK11" s="160">
        <v>4.4400732117419404</v>
      </c>
      <c r="EL11" s="160">
        <v>4.5696125710382303</v>
      </c>
      <c r="EM11" s="160">
        <v>4.6991519303345299</v>
      </c>
      <c r="EN11" s="160">
        <v>4.8286912896308198</v>
      </c>
      <c r="EO11" s="160">
        <v>4.9582306489271204</v>
      </c>
      <c r="EP11" s="160">
        <v>5.0877700082234103</v>
      </c>
      <c r="EQ11" s="160">
        <v>5.2173093675197002</v>
      </c>
      <c r="ER11" s="160">
        <v>5.3468487268159999</v>
      </c>
      <c r="ES11" s="160">
        <v>5.4763880861122898</v>
      </c>
      <c r="ET11" s="160">
        <v>5.6059274454085903</v>
      </c>
      <c r="EU11" s="160">
        <v>5.7354668047048802</v>
      </c>
      <c r="EV11" s="160">
        <v>5.8650061640011799</v>
      </c>
      <c r="EW11" s="160">
        <v>5.9945455232974698</v>
      </c>
      <c r="EX11" s="160">
        <v>6.1240848825937597</v>
      </c>
      <c r="EY11" s="160">
        <v>6.2536242418900603</v>
      </c>
      <c r="EZ11" s="161">
        <v>2.1887684846615199</v>
      </c>
      <c r="FB11" s="159" t="s">
        <v>60</v>
      </c>
      <c r="FC11" s="160">
        <v>2.50144969675602</v>
      </c>
      <c r="FD11" s="160">
        <v>2.6443896794278001</v>
      </c>
      <c r="FE11" s="160">
        <v>2.78732966209957</v>
      </c>
      <c r="FF11" s="160">
        <v>2.9302696447713399</v>
      </c>
      <c r="FG11" s="160">
        <v>3.0732096274431102</v>
      </c>
      <c r="FH11" s="160">
        <v>3.2161496101148899</v>
      </c>
      <c r="FI11" s="160">
        <v>3.3590895927866602</v>
      </c>
      <c r="FJ11" s="160">
        <v>3.5020295754584301</v>
      </c>
      <c r="FK11" s="160">
        <v>3.6747487211868202</v>
      </c>
      <c r="FL11" s="160">
        <v>3.84746786691522</v>
      </c>
      <c r="FM11" s="160">
        <v>4.0201870126436097</v>
      </c>
      <c r="FN11" s="160">
        <v>4.1929061583719998</v>
      </c>
      <c r="FO11" s="160">
        <v>4.3656253041003898</v>
      </c>
      <c r="FP11" s="160">
        <v>4.5383444498287799</v>
      </c>
      <c r="FQ11" s="160">
        <v>4.7110635955571798</v>
      </c>
      <c r="FR11" s="160">
        <v>4.8837827412855699</v>
      </c>
      <c r="FS11" s="160">
        <v>5.05650188701396</v>
      </c>
      <c r="FT11" s="160">
        <v>5.2292210327423501</v>
      </c>
      <c r="FU11" s="160">
        <v>5.4019401784707499</v>
      </c>
      <c r="FV11" s="160">
        <v>5.57465932419914</v>
      </c>
      <c r="FW11" s="160">
        <v>5.7473784699275301</v>
      </c>
      <c r="FX11" s="160">
        <v>5.9200976156559202</v>
      </c>
      <c r="FY11" s="160">
        <v>6.0928167613843103</v>
      </c>
      <c r="FZ11" s="160">
        <v>6.2655359071127101</v>
      </c>
      <c r="GA11" s="160">
        <v>6.4382550528411002</v>
      </c>
      <c r="GB11" s="160">
        <v>6.6109741985694903</v>
      </c>
      <c r="GC11" s="160">
        <v>6.7836933442978804</v>
      </c>
      <c r="GD11" s="160">
        <v>6.9564124900262696</v>
      </c>
      <c r="GE11" s="160">
        <v>7.1291316357546703</v>
      </c>
      <c r="GF11" s="160">
        <v>7.3018507814830604</v>
      </c>
      <c r="GG11" s="160">
        <v>7.4745699272114496</v>
      </c>
      <c r="GH11" s="160">
        <v>7.6472890729398397</v>
      </c>
      <c r="GI11" s="160">
        <v>7.8200082186682298</v>
      </c>
      <c r="GJ11" s="160">
        <v>7.9927273643966199</v>
      </c>
      <c r="GK11" s="160">
        <v>8.1654465101250207</v>
      </c>
      <c r="GL11" s="160">
        <v>8.3381656558534107</v>
      </c>
      <c r="GM11" s="156">
        <v>0</v>
      </c>
    </row>
    <row r="12" spans="1:195" s="150" customFormat="1" ht="31" x14ac:dyDescent="0.3">
      <c r="A12" s="163" t="s">
        <v>61</v>
      </c>
      <c r="B12" s="156">
        <v>0</v>
      </c>
      <c r="C12" s="156">
        <v>0</v>
      </c>
      <c r="D12" s="156">
        <v>0</v>
      </c>
      <c r="E12" s="156">
        <v>0</v>
      </c>
      <c r="F12" s="156">
        <v>0</v>
      </c>
      <c r="G12" s="156">
        <v>0</v>
      </c>
      <c r="H12" s="156">
        <v>0</v>
      </c>
      <c r="I12" s="156">
        <v>0</v>
      </c>
      <c r="J12" s="156">
        <v>0</v>
      </c>
      <c r="K12" s="156">
        <v>0</v>
      </c>
      <c r="L12" s="156">
        <v>0</v>
      </c>
      <c r="M12" s="156">
        <v>0</v>
      </c>
      <c r="N12" s="156">
        <v>0</v>
      </c>
      <c r="O12" s="156">
        <v>0</v>
      </c>
      <c r="P12" s="156">
        <v>0</v>
      </c>
      <c r="Q12" s="156">
        <v>0</v>
      </c>
      <c r="R12" s="156">
        <v>0</v>
      </c>
      <c r="S12" s="156">
        <v>0</v>
      </c>
      <c r="T12" s="156">
        <v>0</v>
      </c>
      <c r="U12" s="156">
        <v>0</v>
      </c>
      <c r="V12" s="156">
        <v>0</v>
      </c>
      <c r="W12" s="156">
        <v>0</v>
      </c>
      <c r="X12" s="156">
        <v>0</v>
      </c>
      <c r="Y12" s="156">
        <v>0</v>
      </c>
      <c r="Z12" s="156">
        <v>0</v>
      </c>
      <c r="AA12" s="156">
        <v>0</v>
      </c>
      <c r="AB12" s="156">
        <v>0</v>
      </c>
      <c r="AC12" s="156">
        <v>0</v>
      </c>
      <c r="AD12" s="156">
        <v>0</v>
      </c>
      <c r="AE12" s="156">
        <v>0</v>
      </c>
      <c r="AF12" s="156">
        <v>0</v>
      </c>
      <c r="AG12" s="156">
        <v>0</v>
      </c>
      <c r="AH12" s="156">
        <v>0</v>
      </c>
      <c r="AI12" s="156">
        <v>0</v>
      </c>
      <c r="AJ12" s="156">
        <v>0</v>
      </c>
      <c r="AK12" s="156">
        <v>0</v>
      </c>
      <c r="AL12" s="161">
        <v>48.227161536340397</v>
      </c>
      <c r="AN12" s="158"/>
      <c r="AO12" s="159" t="s">
        <v>61</v>
      </c>
      <c r="AP12" s="160">
        <v>3.4447972525957402</v>
      </c>
      <c r="AQ12" s="160">
        <v>3.64164280988693</v>
      </c>
      <c r="AR12" s="160">
        <v>3.83848836717811</v>
      </c>
      <c r="AS12" s="160">
        <v>4.0353339244692998</v>
      </c>
      <c r="AT12" s="160">
        <v>4.2321794817604896</v>
      </c>
      <c r="AU12" s="160">
        <v>4.4290250390516697</v>
      </c>
      <c r="AV12" s="160">
        <v>4.6258705963428604</v>
      </c>
      <c r="AW12" s="160">
        <v>4.8227161536340404</v>
      </c>
      <c r="AX12" s="160">
        <v>5.0605712020275604</v>
      </c>
      <c r="AY12" s="160">
        <v>5.2984262504210697</v>
      </c>
      <c r="AZ12" s="160">
        <v>5.5362812988145897</v>
      </c>
      <c r="BA12" s="160">
        <v>5.7741363472081098</v>
      </c>
      <c r="BB12" s="160">
        <v>6.01199139560162</v>
      </c>
      <c r="BC12" s="160">
        <v>6.2498464439951302</v>
      </c>
      <c r="BD12" s="160">
        <v>6.4877014923886502</v>
      </c>
      <c r="BE12" s="160">
        <v>6.7255565407821702</v>
      </c>
      <c r="BF12" s="160">
        <v>6.9634115891756796</v>
      </c>
      <c r="BG12" s="160">
        <v>7.2012666375691996</v>
      </c>
      <c r="BH12" s="160">
        <v>7.4391216859627196</v>
      </c>
      <c r="BI12" s="160">
        <v>7.6769767343562298</v>
      </c>
      <c r="BJ12" s="160">
        <v>7.9148317827497499</v>
      </c>
      <c r="BK12" s="160">
        <v>8.1526868311432601</v>
      </c>
      <c r="BL12" s="160">
        <v>8.3905418795367694</v>
      </c>
      <c r="BM12" s="160">
        <v>8.6283969279302895</v>
      </c>
      <c r="BN12" s="160">
        <v>8.8662519763238095</v>
      </c>
      <c r="BO12" s="160">
        <v>9.1041070247173206</v>
      </c>
      <c r="BP12" s="160">
        <v>9.3419620731108406</v>
      </c>
      <c r="BQ12" s="160">
        <v>9.5798171215043606</v>
      </c>
      <c r="BR12" s="160">
        <v>9.8176721698978699</v>
      </c>
      <c r="BS12" s="160">
        <v>10.055527218291401</v>
      </c>
      <c r="BT12" s="160">
        <v>10.293382266684899</v>
      </c>
      <c r="BU12" s="160">
        <v>10.5312373150784</v>
      </c>
      <c r="BV12" s="160">
        <v>10.7690923634719</v>
      </c>
      <c r="BW12" s="160">
        <v>11.006947411865401</v>
      </c>
      <c r="BX12" s="160">
        <v>11.244802460259001</v>
      </c>
      <c r="BY12" s="160">
        <v>11.482657508652499</v>
      </c>
      <c r="BZ12" s="161">
        <v>36.170371152255299</v>
      </c>
      <c r="CB12" s="162" t="s">
        <v>61</v>
      </c>
      <c r="CC12" s="160">
        <v>6.8895945051914902</v>
      </c>
      <c r="CD12" s="160">
        <v>7.28328561977386</v>
      </c>
      <c r="CE12" s="160">
        <v>7.6769767343562298</v>
      </c>
      <c r="CF12" s="160">
        <v>8.0706678489385997</v>
      </c>
      <c r="CG12" s="160">
        <v>8.4643589635209704</v>
      </c>
      <c r="CH12" s="160">
        <v>8.8580500781033393</v>
      </c>
      <c r="CI12" s="160">
        <v>9.25174119268571</v>
      </c>
      <c r="CJ12" s="160">
        <v>9.6454323072680808</v>
      </c>
      <c r="CK12" s="160">
        <v>10.121142404055099</v>
      </c>
      <c r="CL12" s="160">
        <v>10.5968525008421</v>
      </c>
      <c r="CM12" s="160">
        <v>11.072562597629201</v>
      </c>
      <c r="CN12" s="160">
        <v>11.5482726944162</v>
      </c>
      <c r="CO12" s="160">
        <v>12.023982791203199</v>
      </c>
      <c r="CP12" s="160">
        <v>12.4996928879903</v>
      </c>
      <c r="CQ12" s="160">
        <v>12.9754029847773</v>
      </c>
      <c r="CR12" s="160">
        <v>13.4511130815643</v>
      </c>
      <c r="CS12" s="160">
        <v>13.9268231783514</v>
      </c>
      <c r="CT12" s="160">
        <v>14.402533275138399</v>
      </c>
      <c r="CU12" s="160">
        <v>14.8782433719254</v>
      </c>
      <c r="CV12" s="160">
        <v>15.353953468712501</v>
      </c>
      <c r="CW12" s="160">
        <v>15.8296635654995</v>
      </c>
      <c r="CX12" s="160">
        <v>16.305373662286499</v>
      </c>
      <c r="CY12" s="160">
        <v>16.7810837590735</v>
      </c>
      <c r="CZ12" s="160">
        <v>17.2567938558606</v>
      </c>
      <c r="DA12" s="160">
        <v>17.732503952647601</v>
      </c>
      <c r="DB12" s="160">
        <v>18.208214049434599</v>
      </c>
      <c r="DC12" s="160">
        <v>18.683924146221699</v>
      </c>
      <c r="DD12" s="160">
        <v>19.1596342430087</v>
      </c>
      <c r="DE12" s="160">
        <v>19.635344339795701</v>
      </c>
      <c r="DF12" s="160">
        <v>20.111054436582801</v>
      </c>
      <c r="DG12" s="160">
        <v>20.586764533369799</v>
      </c>
      <c r="DH12" s="160">
        <v>21.0624746301568</v>
      </c>
      <c r="DI12" s="160">
        <v>21.5381847269439</v>
      </c>
      <c r="DJ12" s="160">
        <v>22.013894823730901</v>
      </c>
      <c r="DK12" s="160">
        <v>22.489604920517898</v>
      </c>
      <c r="DL12" s="160">
        <v>22.965315017304999</v>
      </c>
      <c r="DM12" s="161">
        <v>24.113580768170198</v>
      </c>
      <c r="DO12" s="159" t="s">
        <v>61</v>
      </c>
      <c r="DP12" s="160">
        <v>10.3343917577872</v>
      </c>
      <c r="DQ12" s="160">
        <v>10.924928429660801</v>
      </c>
      <c r="DR12" s="160">
        <v>11.5154651015343</v>
      </c>
      <c r="DS12" s="160">
        <v>12.1060017734079</v>
      </c>
      <c r="DT12" s="160">
        <v>12.696538445281501</v>
      </c>
      <c r="DU12" s="160">
        <v>13.287075117155</v>
      </c>
      <c r="DV12" s="160">
        <v>13.877611789028601</v>
      </c>
      <c r="DW12" s="160">
        <v>14.4681484609021</v>
      </c>
      <c r="DX12" s="160">
        <v>15.181713606082701</v>
      </c>
      <c r="DY12" s="160">
        <v>15.8952787512632</v>
      </c>
      <c r="DZ12" s="160">
        <v>16.608843896443801</v>
      </c>
      <c r="EA12" s="160">
        <v>17.322409041624301</v>
      </c>
      <c r="EB12" s="160">
        <v>18.0359741868049</v>
      </c>
      <c r="EC12" s="160">
        <v>18.7495393319854</v>
      </c>
      <c r="ED12" s="160">
        <v>19.463104477165899</v>
      </c>
      <c r="EE12" s="160">
        <v>20.176669622346498</v>
      </c>
      <c r="EF12" s="160">
        <v>20.890234767527001</v>
      </c>
      <c r="EG12" s="160">
        <v>21.603799912707601</v>
      </c>
      <c r="EH12" s="160">
        <v>22.3173650578881</v>
      </c>
      <c r="EI12" s="160">
        <v>23.030930203068699</v>
      </c>
      <c r="EJ12" s="160">
        <v>23.744495348249199</v>
      </c>
      <c r="EK12" s="160">
        <v>24.458060493429802</v>
      </c>
      <c r="EL12" s="160">
        <v>25.171625638610301</v>
      </c>
      <c r="EM12" s="160">
        <v>25.8851907837909</v>
      </c>
      <c r="EN12" s="160">
        <v>26.5987559289714</v>
      </c>
      <c r="EO12" s="160">
        <v>27.312321074151999</v>
      </c>
      <c r="EP12" s="160">
        <v>28.025886219332499</v>
      </c>
      <c r="EQ12" s="160">
        <v>28.739451364513101</v>
      </c>
      <c r="ER12" s="160">
        <v>29.453016509693601</v>
      </c>
      <c r="ES12" s="160">
        <v>30.1665816548742</v>
      </c>
      <c r="ET12" s="160">
        <v>30.8801468000547</v>
      </c>
      <c r="EU12" s="160">
        <v>31.593711945235299</v>
      </c>
      <c r="EV12" s="160">
        <v>32.307277090415802</v>
      </c>
      <c r="EW12" s="160">
        <v>33.020842235596298</v>
      </c>
      <c r="EX12" s="160">
        <v>33.734407380776901</v>
      </c>
      <c r="EY12" s="160">
        <v>34.447972525957397</v>
      </c>
      <c r="EZ12" s="161">
        <v>12.056790384085099</v>
      </c>
      <c r="FB12" s="159" t="s">
        <v>61</v>
      </c>
      <c r="FC12" s="160">
        <v>13.779189010383</v>
      </c>
      <c r="FD12" s="160">
        <v>14.566571239547701</v>
      </c>
      <c r="FE12" s="160">
        <v>15.353953468712501</v>
      </c>
      <c r="FF12" s="160">
        <v>16.141335697877199</v>
      </c>
      <c r="FG12" s="160">
        <v>16.928717927041902</v>
      </c>
      <c r="FH12" s="160">
        <v>17.7161001562067</v>
      </c>
      <c r="FI12" s="160">
        <v>18.503482385371399</v>
      </c>
      <c r="FJ12" s="160">
        <v>19.290864614536201</v>
      </c>
      <c r="FK12" s="160">
        <v>20.242284808110199</v>
      </c>
      <c r="FL12" s="160">
        <v>21.1937050016843</v>
      </c>
      <c r="FM12" s="160">
        <v>22.145125195258402</v>
      </c>
      <c r="FN12" s="160">
        <v>23.0965453888324</v>
      </c>
      <c r="FO12" s="160">
        <v>24.047965582406501</v>
      </c>
      <c r="FP12" s="160">
        <v>24.9993857759805</v>
      </c>
      <c r="FQ12" s="160">
        <v>25.950805969554601</v>
      </c>
      <c r="FR12" s="160">
        <v>26.902226163128699</v>
      </c>
      <c r="FS12" s="160">
        <v>27.853646356702701</v>
      </c>
      <c r="FT12" s="160">
        <v>28.805066550276798</v>
      </c>
      <c r="FU12" s="160">
        <v>29.7564867438509</v>
      </c>
      <c r="FV12" s="160">
        <v>30.707906937424902</v>
      </c>
      <c r="FW12" s="160">
        <v>31.659327130998999</v>
      </c>
      <c r="FX12" s="160">
        <v>32.610747324572998</v>
      </c>
      <c r="FY12" s="160">
        <v>33.562167518147099</v>
      </c>
      <c r="FZ12" s="160">
        <v>34.5135877117212</v>
      </c>
      <c r="GA12" s="160">
        <v>35.465007905295202</v>
      </c>
      <c r="GB12" s="160">
        <v>36.416428098869297</v>
      </c>
      <c r="GC12" s="160">
        <v>37.367848292443398</v>
      </c>
      <c r="GD12" s="160">
        <v>38.3192684860174</v>
      </c>
      <c r="GE12" s="160">
        <v>39.270688679591501</v>
      </c>
      <c r="GF12" s="160">
        <v>40.222108873165503</v>
      </c>
      <c r="GG12" s="160">
        <v>41.173529066739597</v>
      </c>
      <c r="GH12" s="160">
        <v>42.124949260313699</v>
      </c>
      <c r="GI12" s="160">
        <v>43.0763694538877</v>
      </c>
      <c r="GJ12" s="160">
        <v>44.027789647461802</v>
      </c>
      <c r="GK12" s="160">
        <v>44.979209841035903</v>
      </c>
      <c r="GL12" s="160">
        <v>45.930630034609898</v>
      </c>
      <c r="GM12" s="156">
        <v>0</v>
      </c>
    </row>
    <row r="13" spans="1:195" s="150" customFormat="1" ht="15.5" x14ac:dyDescent="0.3">
      <c r="A13" s="163" t="s">
        <v>62</v>
      </c>
      <c r="B13" s="156">
        <v>0</v>
      </c>
      <c r="C13" s="156">
        <v>0</v>
      </c>
      <c r="D13" s="156">
        <v>0</v>
      </c>
      <c r="E13" s="156">
        <v>0</v>
      </c>
      <c r="F13" s="156">
        <v>0</v>
      </c>
      <c r="G13" s="156">
        <v>0</v>
      </c>
      <c r="H13" s="156">
        <v>0</v>
      </c>
      <c r="I13" s="156">
        <v>0</v>
      </c>
      <c r="J13" s="156">
        <v>0</v>
      </c>
      <c r="K13" s="156">
        <v>0</v>
      </c>
      <c r="L13" s="156">
        <v>0</v>
      </c>
      <c r="M13" s="156">
        <v>0</v>
      </c>
      <c r="N13" s="156">
        <v>0</v>
      </c>
      <c r="O13" s="156">
        <v>0</v>
      </c>
      <c r="P13" s="156">
        <v>0</v>
      </c>
      <c r="Q13" s="156">
        <v>0</v>
      </c>
      <c r="R13" s="156">
        <v>0</v>
      </c>
      <c r="S13" s="156">
        <v>0</v>
      </c>
      <c r="T13" s="156">
        <v>0</v>
      </c>
      <c r="U13" s="156">
        <v>0</v>
      </c>
      <c r="V13" s="156">
        <v>0</v>
      </c>
      <c r="W13" s="156">
        <v>0</v>
      </c>
      <c r="X13" s="156">
        <v>0</v>
      </c>
      <c r="Y13" s="156">
        <v>0</v>
      </c>
      <c r="Z13" s="156">
        <v>0</v>
      </c>
      <c r="AA13" s="156">
        <v>0</v>
      </c>
      <c r="AB13" s="156">
        <v>0</v>
      </c>
      <c r="AC13" s="156">
        <v>0</v>
      </c>
      <c r="AD13" s="156">
        <v>0</v>
      </c>
      <c r="AE13" s="156">
        <v>0</v>
      </c>
      <c r="AF13" s="156">
        <v>0</v>
      </c>
      <c r="AG13" s="156">
        <v>0</v>
      </c>
      <c r="AH13" s="156">
        <v>0</v>
      </c>
      <c r="AI13" s="156">
        <v>0</v>
      </c>
      <c r="AJ13" s="156">
        <v>0</v>
      </c>
      <c r="AK13" s="156">
        <v>0</v>
      </c>
      <c r="AL13" s="161">
        <v>19.156552648833198</v>
      </c>
      <c r="AN13" s="158"/>
      <c r="AO13" s="159" t="s">
        <v>62</v>
      </c>
      <c r="AP13" s="160">
        <v>1.36832518920237</v>
      </c>
      <c r="AQ13" s="160">
        <v>1.4465152000139301</v>
      </c>
      <c r="AR13" s="160">
        <v>1.5247052108254999</v>
      </c>
      <c r="AS13" s="160">
        <v>1.60289522163706</v>
      </c>
      <c r="AT13" s="160">
        <v>1.6810852324486201</v>
      </c>
      <c r="AU13" s="160">
        <v>1.7592752432601899</v>
      </c>
      <c r="AV13" s="160">
        <v>1.83746525407175</v>
      </c>
      <c r="AW13" s="160">
        <v>1.9156552648833201</v>
      </c>
      <c r="AX13" s="160">
        <v>2.01013486128062</v>
      </c>
      <c r="AY13" s="160">
        <v>2.10461445767793</v>
      </c>
      <c r="AZ13" s="160">
        <v>2.1990940540752302</v>
      </c>
      <c r="BA13" s="160">
        <v>2.2935736504725401</v>
      </c>
      <c r="BB13" s="160">
        <v>2.3880532468698501</v>
      </c>
      <c r="BC13" s="160">
        <v>2.4825328432671498</v>
      </c>
      <c r="BD13" s="160">
        <v>2.5770124396644598</v>
      </c>
      <c r="BE13" s="160">
        <v>2.6714920360617702</v>
      </c>
      <c r="BF13" s="160">
        <v>2.76597163245907</v>
      </c>
      <c r="BG13" s="160">
        <v>2.8604512288563799</v>
      </c>
      <c r="BH13" s="160">
        <v>2.9549308252536899</v>
      </c>
      <c r="BI13" s="160">
        <v>3.0494104216509901</v>
      </c>
      <c r="BJ13" s="160">
        <v>3.1438900180483</v>
      </c>
      <c r="BK13" s="160">
        <v>3.2383696144455998</v>
      </c>
      <c r="BL13" s="160">
        <v>3.3328492108429102</v>
      </c>
      <c r="BM13" s="160">
        <v>3.4273288072402202</v>
      </c>
      <c r="BN13" s="160">
        <v>3.5218084036375301</v>
      </c>
      <c r="BO13" s="160">
        <v>3.6162880000348299</v>
      </c>
      <c r="BP13" s="160">
        <v>3.7107675964321398</v>
      </c>
      <c r="BQ13" s="160">
        <v>3.80524719282944</v>
      </c>
      <c r="BR13" s="160">
        <v>3.89972678922675</v>
      </c>
      <c r="BS13" s="160">
        <v>3.9942063856240599</v>
      </c>
      <c r="BT13" s="160">
        <v>4.0886859820213601</v>
      </c>
      <c r="BU13" s="160">
        <v>4.1831655784186701</v>
      </c>
      <c r="BV13" s="160">
        <v>4.2776451748159801</v>
      </c>
      <c r="BW13" s="160">
        <v>4.3721247712132802</v>
      </c>
      <c r="BX13" s="160">
        <v>4.4666043676105902</v>
      </c>
      <c r="BY13" s="160">
        <v>4.5610839640078904</v>
      </c>
      <c r="BZ13" s="161">
        <v>14.367414486624901</v>
      </c>
      <c r="CB13" s="162" t="s">
        <v>62</v>
      </c>
      <c r="CC13" s="160">
        <v>2.73665037840474</v>
      </c>
      <c r="CD13" s="160">
        <v>2.8930304000278602</v>
      </c>
      <c r="CE13" s="160">
        <v>3.0494104216509901</v>
      </c>
      <c r="CF13" s="160">
        <v>3.20579044327412</v>
      </c>
      <c r="CG13" s="160">
        <v>3.3621704648972499</v>
      </c>
      <c r="CH13" s="160">
        <v>3.5185504865203701</v>
      </c>
      <c r="CI13" s="160">
        <v>3.6749305081435</v>
      </c>
      <c r="CJ13" s="160">
        <v>3.8313105297666299</v>
      </c>
      <c r="CK13" s="160">
        <v>4.02026972256124</v>
      </c>
      <c r="CL13" s="160">
        <v>4.20922891535586</v>
      </c>
      <c r="CM13" s="160">
        <v>4.3981881081504701</v>
      </c>
      <c r="CN13" s="160">
        <v>4.5871473009450803</v>
      </c>
      <c r="CO13" s="160">
        <v>4.7761064937396904</v>
      </c>
      <c r="CP13" s="160">
        <v>4.9650656865343104</v>
      </c>
      <c r="CQ13" s="160">
        <v>5.1540248793289196</v>
      </c>
      <c r="CR13" s="160">
        <v>5.3429840721235298</v>
      </c>
      <c r="CS13" s="160">
        <v>5.5319432649181497</v>
      </c>
      <c r="CT13" s="160">
        <v>5.7209024577127598</v>
      </c>
      <c r="CU13" s="160">
        <v>5.90986165050737</v>
      </c>
      <c r="CV13" s="160">
        <v>6.0988208433019802</v>
      </c>
      <c r="CW13" s="160">
        <v>6.2877800360966001</v>
      </c>
      <c r="CX13" s="160">
        <v>6.4767392288912102</v>
      </c>
      <c r="CY13" s="160">
        <v>6.6656984216858204</v>
      </c>
      <c r="CZ13" s="160">
        <v>6.8546576144804297</v>
      </c>
      <c r="DA13" s="160">
        <v>7.0436168072750496</v>
      </c>
      <c r="DB13" s="160">
        <v>7.2325760000696597</v>
      </c>
      <c r="DC13" s="160">
        <v>7.4215351928642699</v>
      </c>
      <c r="DD13" s="160">
        <v>7.61049438565888</v>
      </c>
      <c r="DE13" s="160">
        <v>7.7994535784535</v>
      </c>
      <c r="DF13" s="160">
        <v>7.9884127712481101</v>
      </c>
      <c r="DG13" s="160">
        <v>8.1773719640427291</v>
      </c>
      <c r="DH13" s="160">
        <v>8.3663311568373402</v>
      </c>
      <c r="DI13" s="160">
        <v>8.5552903496319495</v>
      </c>
      <c r="DJ13" s="160">
        <v>8.7442495424265605</v>
      </c>
      <c r="DK13" s="160">
        <v>8.9332087352211804</v>
      </c>
      <c r="DL13" s="160">
        <v>9.1221679280157897</v>
      </c>
      <c r="DM13" s="161">
        <v>9.5782763244165796</v>
      </c>
      <c r="DO13" s="159" t="s">
        <v>62</v>
      </c>
      <c r="DP13" s="160">
        <v>4.1049755676070996</v>
      </c>
      <c r="DQ13" s="160">
        <v>4.3395456000417898</v>
      </c>
      <c r="DR13" s="160">
        <v>4.5741156324764898</v>
      </c>
      <c r="DS13" s="160">
        <v>4.80868566491118</v>
      </c>
      <c r="DT13" s="160">
        <v>5.0432556973458702</v>
      </c>
      <c r="DU13" s="160">
        <v>5.2778257297805604</v>
      </c>
      <c r="DV13" s="160">
        <v>5.5123957622152497</v>
      </c>
      <c r="DW13" s="160">
        <v>5.7469657946499497</v>
      </c>
      <c r="DX13" s="160">
        <v>6.0304045838418601</v>
      </c>
      <c r="DY13" s="160">
        <v>6.3138433730337802</v>
      </c>
      <c r="DZ13" s="160">
        <v>6.5972821622257003</v>
      </c>
      <c r="EA13" s="160">
        <v>6.8807209514176204</v>
      </c>
      <c r="EB13" s="160">
        <v>7.1641597406095396</v>
      </c>
      <c r="EC13" s="160">
        <v>7.4475985298014598</v>
      </c>
      <c r="ED13" s="160">
        <v>7.7310373189933799</v>
      </c>
      <c r="EE13" s="160">
        <v>8.0144761081853009</v>
      </c>
      <c r="EF13" s="160">
        <v>8.2979148973772094</v>
      </c>
      <c r="EG13" s="160">
        <v>8.5813536865691393</v>
      </c>
      <c r="EH13" s="160">
        <v>8.8647924757610603</v>
      </c>
      <c r="EI13" s="160">
        <v>9.1482312649529796</v>
      </c>
      <c r="EJ13" s="160">
        <v>9.4316700541448899</v>
      </c>
      <c r="EK13" s="160">
        <v>9.7151088433368091</v>
      </c>
      <c r="EL13" s="160">
        <v>9.9985476325287301</v>
      </c>
      <c r="EM13" s="160">
        <v>10.281986421720701</v>
      </c>
      <c r="EN13" s="160">
        <v>10.565425210912601</v>
      </c>
      <c r="EO13" s="160">
        <v>10.8488640001045</v>
      </c>
      <c r="EP13" s="160">
        <v>11.1323027892964</v>
      </c>
      <c r="EQ13" s="160">
        <v>11.4157415784883</v>
      </c>
      <c r="ER13" s="160">
        <v>11.699180367680199</v>
      </c>
      <c r="ES13" s="160">
        <v>11.9826191568722</v>
      </c>
      <c r="ET13" s="160">
        <v>12.2660579460641</v>
      </c>
      <c r="EU13" s="160">
        <v>12.549496735256</v>
      </c>
      <c r="EV13" s="160">
        <v>12.832935524447899</v>
      </c>
      <c r="EW13" s="160">
        <v>13.116374313639801</v>
      </c>
      <c r="EX13" s="160">
        <v>13.3998131028318</v>
      </c>
      <c r="EY13" s="160">
        <v>13.6832518920237</v>
      </c>
      <c r="EZ13" s="161">
        <v>4.7891381622082898</v>
      </c>
      <c r="FB13" s="159" t="s">
        <v>62</v>
      </c>
      <c r="FC13" s="160">
        <v>5.4733007568094703</v>
      </c>
      <c r="FD13" s="160">
        <v>5.7860608000557301</v>
      </c>
      <c r="FE13" s="160">
        <v>6.0988208433019802</v>
      </c>
      <c r="FF13" s="160">
        <v>6.41158088654824</v>
      </c>
      <c r="FG13" s="160">
        <v>6.7243409297944901</v>
      </c>
      <c r="FH13" s="160">
        <v>7.0371009730407499</v>
      </c>
      <c r="FI13" s="160">
        <v>7.3498610162870097</v>
      </c>
      <c r="FJ13" s="160">
        <v>7.6626210595332598</v>
      </c>
      <c r="FK13" s="160">
        <v>8.0405394451224907</v>
      </c>
      <c r="FL13" s="160">
        <v>8.4184578307117093</v>
      </c>
      <c r="FM13" s="160">
        <v>8.7963762163009296</v>
      </c>
      <c r="FN13" s="160">
        <v>9.1742946018901605</v>
      </c>
      <c r="FO13" s="160">
        <v>9.5522129874793897</v>
      </c>
      <c r="FP13" s="160">
        <v>9.93013137306861</v>
      </c>
      <c r="FQ13" s="160">
        <v>10.3080497586578</v>
      </c>
      <c r="FR13" s="160">
        <v>10.6859681442471</v>
      </c>
      <c r="FS13" s="160">
        <v>11.063886529836299</v>
      </c>
      <c r="FT13" s="160">
        <v>11.4418049154255</v>
      </c>
      <c r="FU13" s="160">
        <v>11.819723301014699</v>
      </c>
      <c r="FV13" s="160">
        <v>12.197641686603999</v>
      </c>
      <c r="FW13" s="160">
        <v>12.5755600721932</v>
      </c>
      <c r="FX13" s="160">
        <v>12.953478457782399</v>
      </c>
      <c r="FY13" s="160">
        <v>13.3313968433716</v>
      </c>
      <c r="FZ13" s="160">
        <v>13.7093152289609</v>
      </c>
      <c r="GA13" s="160">
        <v>14.087233614550099</v>
      </c>
      <c r="GB13" s="160">
        <v>14.4651520001393</v>
      </c>
      <c r="GC13" s="160">
        <v>14.843070385728501</v>
      </c>
      <c r="GD13" s="160">
        <v>15.220988771317799</v>
      </c>
      <c r="GE13" s="160">
        <v>15.598907156907</v>
      </c>
      <c r="GF13" s="160">
        <v>15.976825542496201</v>
      </c>
      <c r="GG13" s="160">
        <v>16.354743928085501</v>
      </c>
      <c r="GH13" s="160">
        <v>16.732662313674702</v>
      </c>
      <c r="GI13" s="160">
        <v>17.110580699263899</v>
      </c>
      <c r="GJ13" s="160">
        <v>17.4884990848531</v>
      </c>
      <c r="GK13" s="160">
        <v>17.8664174704424</v>
      </c>
      <c r="GL13" s="160">
        <v>18.244335856031601</v>
      </c>
      <c r="GM13" s="156">
        <v>0</v>
      </c>
    </row>
    <row r="14" spans="1:195" s="150" customFormat="1" ht="15.5" x14ac:dyDescent="0.3">
      <c r="A14" s="163" t="s">
        <v>63</v>
      </c>
      <c r="B14" s="156">
        <v>0</v>
      </c>
      <c r="C14" s="156">
        <v>0</v>
      </c>
      <c r="D14" s="156">
        <v>0</v>
      </c>
      <c r="E14" s="156">
        <v>0</v>
      </c>
      <c r="F14" s="156">
        <v>0</v>
      </c>
      <c r="G14" s="156">
        <v>0</v>
      </c>
      <c r="H14" s="156">
        <v>0</v>
      </c>
      <c r="I14" s="156">
        <v>0</v>
      </c>
      <c r="J14" s="156">
        <v>0</v>
      </c>
      <c r="K14" s="156">
        <v>0</v>
      </c>
      <c r="L14" s="156">
        <v>0</v>
      </c>
      <c r="M14" s="156">
        <v>0</v>
      </c>
      <c r="N14" s="156">
        <v>0</v>
      </c>
      <c r="O14" s="156">
        <v>0</v>
      </c>
      <c r="P14" s="156">
        <v>0</v>
      </c>
      <c r="Q14" s="156">
        <v>0</v>
      </c>
      <c r="R14" s="156">
        <v>0</v>
      </c>
      <c r="S14" s="156">
        <v>0</v>
      </c>
      <c r="T14" s="156">
        <v>0</v>
      </c>
      <c r="U14" s="156">
        <v>0</v>
      </c>
      <c r="V14" s="156">
        <v>0</v>
      </c>
      <c r="W14" s="156">
        <v>0</v>
      </c>
      <c r="X14" s="156">
        <v>0</v>
      </c>
      <c r="Y14" s="156">
        <v>0</v>
      </c>
      <c r="Z14" s="156">
        <v>0</v>
      </c>
      <c r="AA14" s="156">
        <v>0</v>
      </c>
      <c r="AB14" s="156">
        <v>0</v>
      </c>
      <c r="AC14" s="156">
        <v>0</v>
      </c>
      <c r="AD14" s="156">
        <v>0</v>
      </c>
      <c r="AE14" s="156">
        <v>0</v>
      </c>
      <c r="AF14" s="156">
        <v>0</v>
      </c>
      <c r="AG14" s="156">
        <v>0</v>
      </c>
      <c r="AH14" s="156">
        <v>0</v>
      </c>
      <c r="AI14" s="156">
        <v>0</v>
      </c>
      <c r="AJ14" s="156">
        <v>0</v>
      </c>
      <c r="AK14" s="156">
        <v>0</v>
      </c>
      <c r="AL14" s="161">
        <v>3.7806645027045902</v>
      </c>
      <c r="AN14" s="158"/>
      <c r="AO14" s="159" t="s">
        <v>63</v>
      </c>
      <c r="AP14" s="160">
        <v>0.27004746447889899</v>
      </c>
      <c r="AQ14" s="160">
        <v>0.28547874816340801</v>
      </c>
      <c r="AR14" s="160">
        <v>0.30091003184791598</v>
      </c>
      <c r="AS14" s="160">
        <v>0.316341315532425</v>
      </c>
      <c r="AT14" s="160">
        <v>0.33177259921693297</v>
      </c>
      <c r="AU14" s="160">
        <v>0.347203882901442</v>
      </c>
      <c r="AV14" s="160">
        <v>0.36263516658595002</v>
      </c>
      <c r="AW14" s="160">
        <v>0.37806645027045899</v>
      </c>
      <c r="AX14" s="160">
        <v>0.39671258472257298</v>
      </c>
      <c r="AY14" s="160">
        <v>0.41535871917468797</v>
      </c>
      <c r="AZ14" s="160">
        <v>0.43400485362680202</v>
      </c>
      <c r="BA14" s="160">
        <v>0.45265098807891702</v>
      </c>
      <c r="BB14" s="160">
        <v>0.47129712253103101</v>
      </c>
      <c r="BC14" s="160">
        <v>0.489943256983146</v>
      </c>
      <c r="BD14" s="160">
        <v>0.50858939143526005</v>
      </c>
      <c r="BE14" s="160">
        <v>0.52723552588737499</v>
      </c>
      <c r="BF14" s="160">
        <v>0.54588166033948904</v>
      </c>
      <c r="BG14" s="160">
        <v>0.56452779479160398</v>
      </c>
      <c r="BH14" s="160">
        <v>0.58317392924371803</v>
      </c>
      <c r="BI14" s="160">
        <v>0.60182006369583296</v>
      </c>
      <c r="BJ14" s="160">
        <v>0.62046619814794701</v>
      </c>
      <c r="BK14" s="160">
        <v>0.63911233260006095</v>
      </c>
      <c r="BL14" s="160">
        <v>0.657758467052176</v>
      </c>
      <c r="BM14" s="160">
        <v>0.67640460150429105</v>
      </c>
      <c r="BN14" s="160">
        <v>0.69505073595640499</v>
      </c>
      <c r="BO14" s="160">
        <v>0.71369687040851904</v>
      </c>
      <c r="BP14" s="160">
        <v>0.73234300486063397</v>
      </c>
      <c r="BQ14" s="160">
        <v>0.75098913931274802</v>
      </c>
      <c r="BR14" s="160">
        <v>0.76963527376486296</v>
      </c>
      <c r="BS14" s="160">
        <v>0.78828140821697701</v>
      </c>
      <c r="BT14" s="160">
        <v>0.80692754266909195</v>
      </c>
      <c r="BU14" s="160">
        <v>0.825573677121206</v>
      </c>
      <c r="BV14" s="160">
        <v>0.84421981157332104</v>
      </c>
      <c r="BW14" s="160">
        <v>0.86286594602543498</v>
      </c>
      <c r="BX14" s="160">
        <v>0.88151208047755003</v>
      </c>
      <c r="BY14" s="160">
        <v>0.90015821492966397</v>
      </c>
      <c r="BZ14" s="161">
        <v>2.8354983770284399</v>
      </c>
      <c r="CB14" s="162" t="s">
        <v>63</v>
      </c>
      <c r="CC14" s="160">
        <v>0.54009492895779798</v>
      </c>
      <c r="CD14" s="160">
        <v>0.57095749632681603</v>
      </c>
      <c r="CE14" s="160">
        <v>0.60182006369583296</v>
      </c>
      <c r="CF14" s="160">
        <v>0.63268263106484901</v>
      </c>
      <c r="CG14" s="160">
        <v>0.66354519843386695</v>
      </c>
      <c r="CH14" s="160">
        <v>0.69440776580288399</v>
      </c>
      <c r="CI14" s="160">
        <v>0.72527033317190004</v>
      </c>
      <c r="CJ14" s="160">
        <v>0.75613290054091797</v>
      </c>
      <c r="CK14" s="160">
        <v>0.79342516944514696</v>
      </c>
      <c r="CL14" s="160">
        <v>0.83071743834937595</v>
      </c>
      <c r="CM14" s="160">
        <v>0.86800970725360505</v>
      </c>
      <c r="CN14" s="160">
        <v>0.90530197615783403</v>
      </c>
      <c r="CO14" s="160">
        <v>0.94259424506206202</v>
      </c>
      <c r="CP14" s="160">
        <v>0.97988651396629201</v>
      </c>
      <c r="CQ14" s="160">
        <v>1.0171787828705201</v>
      </c>
      <c r="CR14" s="160">
        <v>1.05447105177475</v>
      </c>
      <c r="CS14" s="160">
        <v>1.0917633206789801</v>
      </c>
      <c r="CT14" s="160">
        <v>1.12905558958321</v>
      </c>
      <c r="CU14" s="160">
        <v>1.16634785848744</v>
      </c>
      <c r="CV14" s="160">
        <v>1.2036401273916699</v>
      </c>
      <c r="CW14" s="160">
        <v>1.24093239629589</v>
      </c>
      <c r="CX14" s="160">
        <v>1.2782246652001199</v>
      </c>
      <c r="CY14" s="160">
        <v>1.31551693410435</v>
      </c>
      <c r="CZ14" s="160">
        <v>1.3528092030085801</v>
      </c>
      <c r="DA14" s="160">
        <v>1.39010147191281</v>
      </c>
      <c r="DB14" s="160">
        <v>1.4273937408170401</v>
      </c>
      <c r="DC14" s="160">
        <v>1.4646860097212699</v>
      </c>
      <c r="DD14" s="160">
        <v>1.5019782786255</v>
      </c>
      <c r="DE14" s="160">
        <v>1.5392705475297299</v>
      </c>
      <c r="DF14" s="160">
        <v>1.57656281643395</v>
      </c>
      <c r="DG14" s="160">
        <v>1.6138550853381799</v>
      </c>
      <c r="DH14" s="160">
        <v>1.65114735424241</v>
      </c>
      <c r="DI14" s="160">
        <v>1.6884396231466401</v>
      </c>
      <c r="DJ14" s="160">
        <v>1.72573189205087</v>
      </c>
      <c r="DK14" s="160">
        <v>1.7630241609551001</v>
      </c>
      <c r="DL14" s="160">
        <v>1.8003164298593299</v>
      </c>
      <c r="DM14" s="161">
        <v>1.89033225135229</v>
      </c>
      <c r="DO14" s="159" t="s">
        <v>63</v>
      </c>
      <c r="DP14" s="160">
        <v>0.81014239343669703</v>
      </c>
      <c r="DQ14" s="160">
        <v>0.85643624449022304</v>
      </c>
      <c r="DR14" s="160">
        <v>0.90273009554374894</v>
      </c>
      <c r="DS14" s="160">
        <v>0.94902394659727396</v>
      </c>
      <c r="DT14" s="160">
        <v>0.99531779765079997</v>
      </c>
      <c r="DU14" s="160">
        <v>1.0416116487043301</v>
      </c>
      <c r="DV14" s="160">
        <v>1.0879054997578499</v>
      </c>
      <c r="DW14" s="160">
        <v>1.1341993508113799</v>
      </c>
      <c r="DX14" s="160">
        <v>1.1901377541677201</v>
      </c>
      <c r="DY14" s="160">
        <v>1.24607615752406</v>
      </c>
      <c r="DZ14" s="160">
        <v>1.3020145608804099</v>
      </c>
      <c r="EA14" s="160">
        <v>1.35795296423675</v>
      </c>
      <c r="EB14" s="160">
        <v>1.41389136759309</v>
      </c>
      <c r="EC14" s="160">
        <v>1.4698297709494399</v>
      </c>
      <c r="ED14" s="160">
        <v>1.52576817430578</v>
      </c>
      <c r="EE14" s="160">
        <v>1.58170657766212</v>
      </c>
      <c r="EF14" s="160">
        <v>1.6376449810184699</v>
      </c>
      <c r="EG14" s="160">
        <v>1.69358338437481</v>
      </c>
      <c r="EH14" s="160">
        <v>1.74952178773115</v>
      </c>
      <c r="EI14" s="160">
        <v>1.8054601910875001</v>
      </c>
      <c r="EJ14" s="160">
        <v>1.86139859444384</v>
      </c>
      <c r="EK14" s="160">
        <v>1.91733699780018</v>
      </c>
      <c r="EL14" s="160">
        <v>1.9732754011565301</v>
      </c>
      <c r="EM14" s="160">
        <v>2.02921380451287</v>
      </c>
      <c r="EN14" s="160">
        <v>2.0851522078692102</v>
      </c>
      <c r="EO14" s="160">
        <v>2.1410906112255601</v>
      </c>
      <c r="EP14" s="160">
        <v>2.1970290145818998</v>
      </c>
      <c r="EQ14" s="160">
        <v>2.25296741793824</v>
      </c>
      <c r="ER14" s="160">
        <v>2.3089058212945899</v>
      </c>
      <c r="ES14" s="160">
        <v>2.36484422465093</v>
      </c>
      <c r="ET14" s="160">
        <v>2.4207826280072799</v>
      </c>
      <c r="EU14" s="160">
        <v>2.4767210313636201</v>
      </c>
      <c r="EV14" s="160">
        <v>2.5326594347199598</v>
      </c>
      <c r="EW14" s="160">
        <v>2.5885978380763</v>
      </c>
      <c r="EX14" s="160">
        <v>2.6445362414326499</v>
      </c>
      <c r="EY14" s="160">
        <v>2.70047464478899</v>
      </c>
      <c r="EZ14" s="161">
        <v>0.945166125676147</v>
      </c>
      <c r="FB14" s="159" t="s">
        <v>63</v>
      </c>
      <c r="FC14" s="160">
        <v>1.0801898579156</v>
      </c>
      <c r="FD14" s="160">
        <v>1.1419149926536301</v>
      </c>
      <c r="FE14" s="160">
        <v>1.2036401273916699</v>
      </c>
      <c r="FF14" s="160">
        <v>1.2653652621297</v>
      </c>
      <c r="FG14" s="160">
        <v>1.3270903968677299</v>
      </c>
      <c r="FH14" s="160">
        <v>1.38881553160577</v>
      </c>
      <c r="FI14" s="160">
        <v>1.4505406663438001</v>
      </c>
      <c r="FJ14" s="160">
        <v>1.5122658010818399</v>
      </c>
      <c r="FK14" s="160">
        <v>1.5868503388902899</v>
      </c>
      <c r="FL14" s="160">
        <v>1.6614348766987499</v>
      </c>
      <c r="FM14" s="160">
        <v>1.7360194145072101</v>
      </c>
      <c r="FN14" s="160">
        <v>1.8106039523156701</v>
      </c>
      <c r="FO14" s="160">
        <v>1.88518849012412</v>
      </c>
      <c r="FP14" s="160">
        <v>1.95977302793258</v>
      </c>
      <c r="FQ14" s="160">
        <v>2.0343575657410402</v>
      </c>
      <c r="FR14" s="160">
        <v>2.1089421035495</v>
      </c>
      <c r="FS14" s="160">
        <v>2.1835266413579602</v>
      </c>
      <c r="FT14" s="160">
        <v>2.2581111791664101</v>
      </c>
      <c r="FU14" s="160">
        <v>2.3326957169748699</v>
      </c>
      <c r="FV14" s="160">
        <v>2.4072802547833301</v>
      </c>
      <c r="FW14" s="160">
        <v>2.4818647925917898</v>
      </c>
      <c r="FX14" s="160">
        <v>2.55644933040025</v>
      </c>
      <c r="FY14" s="160">
        <v>2.6310338682087</v>
      </c>
      <c r="FZ14" s="160">
        <v>2.7056184060171602</v>
      </c>
      <c r="GA14" s="160">
        <v>2.7802029438256199</v>
      </c>
      <c r="GB14" s="160">
        <v>2.8547874816340801</v>
      </c>
      <c r="GC14" s="160">
        <v>2.9293720194425399</v>
      </c>
      <c r="GD14" s="160">
        <v>3.0039565572509899</v>
      </c>
      <c r="GE14" s="160">
        <v>3.0785410950594501</v>
      </c>
      <c r="GF14" s="160">
        <v>3.1531256328679098</v>
      </c>
      <c r="GG14" s="160">
        <v>3.22771017067637</v>
      </c>
      <c r="GH14" s="160">
        <v>3.30229470848482</v>
      </c>
      <c r="GI14" s="160">
        <v>3.3768792462932802</v>
      </c>
      <c r="GJ14" s="160">
        <v>3.4514637841017399</v>
      </c>
      <c r="GK14" s="160">
        <v>3.5260483219102001</v>
      </c>
      <c r="GL14" s="160">
        <v>3.6006328597186599</v>
      </c>
      <c r="GM14" s="156">
        <v>0</v>
      </c>
    </row>
    <row r="15" spans="1:195" s="150" customFormat="1" ht="15.5" x14ac:dyDescent="0.3">
      <c r="A15" s="163" t="s">
        <v>64</v>
      </c>
      <c r="B15" s="156">
        <v>0</v>
      </c>
      <c r="C15" s="156">
        <v>0</v>
      </c>
      <c r="D15" s="156">
        <v>0</v>
      </c>
      <c r="E15" s="156">
        <v>0</v>
      </c>
      <c r="F15" s="156">
        <v>0</v>
      </c>
      <c r="G15" s="156">
        <v>0</v>
      </c>
      <c r="H15" s="156">
        <v>0</v>
      </c>
      <c r="I15" s="156">
        <v>0</v>
      </c>
      <c r="J15" s="156">
        <v>0</v>
      </c>
      <c r="K15" s="156">
        <v>0</v>
      </c>
      <c r="L15" s="156">
        <v>0</v>
      </c>
      <c r="M15" s="156">
        <v>0</v>
      </c>
      <c r="N15" s="156">
        <v>0</v>
      </c>
      <c r="O15" s="156">
        <v>0</v>
      </c>
      <c r="P15" s="156">
        <v>0</v>
      </c>
      <c r="Q15" s="156">
        <v>0</v>
      </c>
      <c r="R15" s="156">
        <v>0</v>
      </c>
      <c r="S15" s="156">
        <v>0</v>
      </c>
      <c r="T15" s="156">
        <v>0</v>
      </c>
      <c r="U15" s="156">
        <v>0</v>
      </c>
      <c r="V15" s="156">
        <v>0</v>
      </c>
      <c r="W15" s="156">
        <v>0</v>
      </c>
      <c r="X15" s="156">
        <v>0</v>
      </c>
      <c r="Y15" s="156">
        <v>0</v>
      </c>
      <c r="Z15" s="156">
        <v>0</v>
      </c>
      <c r="AA15" s="156">
        <v>0</v>
      </c>
      <c r="AB15" s="156">
        <v>0</v>
      </c>
      <c r="AC15" s="156">
        <v>0</v>
      </c>
      <c r="AD15" s="156">
        <v>0</v>
      </c>
      <c r="AE15" s="156">
        <v>0</v>
      </c>
      <c r="AF15" s="156">
        <v>0</v>
      </c>
      <c r="AG15" s="156">
        <v>0</v>
      </c>
      <c r="AH15" s="156">
        <v>0</v>
      </c>
      <c r="AI15" s="156">
        <v>0</v>
      </c>
      <c r="AJ15" s="156">
        <v>0</v>
      </c>
      <c r="AK15" s="156">
        <v>0</v>
      </c>
      <c r="AL15" s="156">
        <v>0</v>
      </c>
      <c r="AN15" s="158"/>
      <c r="AO15" s="159" t="s">
        <v>64</v>
      </c>
      <c r="AP15" s="156">
        <v>0</v>
      </c>
      <c r="AQ15" s="156">
        <v>0</v>
      </c>
      <c r="AR15" s="156">
        <v>0</v>
      </c>
      <c r="AS15" s="156">
        <v>0</v>
      </c>
      <c r="AT15" s="156">
        <v>0</v>
      </c>
      <c r="AU15" s="156">
        <v>0</v>
      </c>
      <c r="AV15" s="156">
        <v>0</v>
      </c>
      <c r="AW15" s="156">
        <v>0</v>
      </c>
      <c r="AX15" s="156">
        <v>0</v>
      </c>
      <c r="AY15" s="156">
        <v>0</v>
      </c>
      <c r="AZ15" s="156">
        <v>0</v>
      </c>
      <c r="BA15" s="156">
        <v>0</v>
      </c>
      <c r="BB15" s="156">
        <v>0</v>
      </c>
      <c r="BC15" s="156">
        <v>0</v>
      </c>
      <c r="BD15" s="156">
        <v>0</v>
      </c>
      <c r="BE15" s="156">
        <v>0</v>
      </c>
      <c r="BF15" s="156">
        <v>0</v>
      </c>
      <c r="BG15" s="156">
        <v>0</v>
      </c>
      <c r="BH15" s="156">
        <v>0</v>
      </c>
      <c r="BI15" s="156">
        <v>0</v>
      </c>
      <c r="BJ15" s="156">
        <v>0</v>
      </c>
      <c r="BK15" s="156">
        <v>0</v>
      </c>
      <c r="BL15" s="156">
        <v>0</v>
      </c>
      <c r="BM15" s="156">
        <v>0</v>
      </c>
      <c r="BN15" s="156">
        <v>0</v>
      </c>
      <c r="BO15" s="156">
        <v>0</v>
      </c>
      <c r="BP15" s="156">
        <v>0</v>
      </c>
      <c r="BQ15" s="156">
        <v>0</v>
      </c>
      <c r="BR15" s="156">
        <v>0</v>
      </c>
      <c r="BS15" s="156">
        <v>0</v>
      </c>
      <c r="BT15" s="156">
        <v>0</v>
      </c>
      <c r="BU15" s="156">
        <v>0</v>
      </c>
      <c r="BV15" s="156">
        <v>0</v>
      </c>
      <c r="BW15" s="156">
        <v>0</v>
      </c>
      <c r="BX15" s="156">
        <v>0</v>
      </c>
      <c r="BY15" s="156">
        <v>0</v>
      </c>
      <c r="BZ15" s="156">
        <v>0</v>
      </c>
      <c r="CB15" s="162" t="s">
        <v>64</v>
      </c>
      <c r="CC15" s="156">
        <v>0</v>
      </c>
      <c r="CD15" s="156">
        <v>0</v>
      </c>
      <c r="CE15" s="156">
        <v>0</v>
      </c>
      <c r="CF15" s="156">
        <v>0</v>
      </c>
      <c r="CG15" s="156">
        <v>0</v>
      </c>
      <c r="CH15" s="156">
        <v>0</v>
      </c>
      <c r="CI15" s="156">
        <v>0</v>
      </c>
      <c r="CJ15" s="156">
        <v>0</v>
      </c>
      <c r="CK15" s="156">
        <v>0</v>
      </c>
      <c r="CL15" s="156">
        <v>0</v>
      </c>
      <c r="CM15" s="156">
        <v>0</v>
      </c>
      <c r="CN15" s="156">
        <v>0</v>
      </c>
      <c r="CO15" s="156">
        <v>0</v>
      </c>
      <c r="CP15" s="156">
        <v>0</v>
      </c>
      <c r="CQ15" s="156">
        <v>0</v>
      </c>
      <c r="CR15" s="156">
        <v>0</v>
      </c>
      <c r="CS15" s="156">
        <v>0</v>
      </c>
      <c r="CT15" s="156">
        <v>0</v>
      </c>
      <c r="CU15" s="156">
        <v>0</v>
      </c>
      <c r="CV15" s="156">
        <v>0</v>
      </c>
      <c r="CW15" s="156">
        <v>0</v>
      </c>
      <c r="CX15" s="156">
        <v>0</v>
      </c>
      <c r="CY15" s="156">
        <v>0</v>
      </c>
      <c r="CZ15" s="156">
        <v>0</v>
      </c>
      <c r="DA15" s="156">
        <v>0</v>
      </c>
      <c r="DB15" s="156">
        <v>0</v>
      </c>
      <c r="DC15" s="156">
        <v>0</v>
      </c>
      <c r="DD15" s="156">
        <v>0</v>
      </c>
      <c r="DE15" s="156">
        <v>0</v>
      </c>
      <c r="DF15" s="156">
        <v>0</v>
      </c>
      <c r="DG15" s="156">
        <v>0</v>
      </c>
      <c r="DH15" s="156">
        <v>0</v>
      </c>
      <c r="DI15" s="156">
        <v>0</v>
      </c>
      <c r="DJ15" s="156">
        <v>0</v>
      </c>
      <c r="DK15" s="156">
        <v>0</v>
      </c>
      <c r="DL15" s="156">
        <v>0</v>
      </c>
      <c r="DM15" s="156">
        <v>0</v>
      </c>
      <c r="DO15" s="159" t="s">
        <v>64</v>
      </c>
      <c r="DP15" s="156">
        <v>0</v>
      </c>
      <c r="DQ15" s="156">
        <v>0</v>
      </c>
      <c r="DR15" s="156">
        <v>0</v>
      </c>
      <c r="DS15" s="156">
        <v>0</v>
      </c>
      <c r="DT15" s="156">
        <v>0</v>
      </c>
      <c r="DU15" s="156">
        <v>0</v>
      </c>
      <c r="DV15" s="156">
        <v>0</v>
      </c>
      <c r="DW15" s="156">
        <v>0</v>
      </c>
      <c r="DX15" s="156">
        <v>0</v>
      </c>
      <c r="DY15" s="156">
        <v>0</v>
      </c>
      <c r="DZ15" s="156">
        <v>0</v>
      </c>
      <c r="EA15" s="156">
        <v>0</v>
      </c>
      <c r="EB15" s="156">
        <v>0</v>
      </c>
      <c r="EC15" s="156">
        <v>0</v>
      </c>
      <c r="ED15" s="156">
        <v>0</v>
      </c>
      <c r="EE15" s="156">
        <v>0</v>
      </c>
      <c r="EF15" s="156">
        <v>0</v>
      </c>
      <c r="EG15" s="156">
        <v>0</v>
      </c>
      <c r="EH15" s="156">
        <v>0</v>
      </c>
      <c r="EI15" s="156">
        <v>0</v>
      </c>
      <c r="EJ15" s="156">
        <v>0</v>
      </c>
      <c r="EK15" s="156">
        <v>0</v>
      </c>
      <c r="EL15" s="156">
        <v>0</v>
      </c>
      <c r="EM15" s="156">
        <v>0</v>
      </c>
      <c r="EN15" s="156">
        <v>0</v>
      </c>
      <c r="EO15" s="156">
        <v>0</v>
      </c>
      <c r="EP15" s="156">
        <v>0</v>
      </c>
      <c r="EQ15" s="156">
        <v>0</v>
      </c>
      <c r="ER15" s="156">
        <v>0</v>
      </c>
      <c r="ES15" s="156">
        <v>0</v>
      </c>
      <c r="ET15" s="156">
        <v>0</v>
      </c>
      <c r="EU15" s="156">
        <v>0</v>
      </c>
      <c r="EV15" s="156">
        <v>0</v>
      </c>
      <c r="EW15" s="156">
        <v>0</v>
      </c>
      <c r="EX15" s="156">
        <v>0</v>
      </c>
      <c r="EY15" s="156">
        <v>0</v>
      </c>
      <c r="EZ15" s="156">
        <v>0</v>
      </c>
      <c r="FB15" s="159" t="s">
        <v>64</v>
      </c>
      <c r="FC15" s="156">
        <v>0</v>
      </c>
      <c r="FD15" s="156">
        <v>0</v>
      </c>
      <c r="FE15" s="156">
        <v>0</v>
      </c>
      <c r="FF15" s="156">
        <v>0</v>
      </c>
      <c r="FG15" s="156">
        <v>0</v>
      </c>
      <c r="FH15" s="156">
        <v>0</v>
      </c>
      <c r="FI15" s="156">
        <v>0</v>
      </c>
      <c r="FJ15" s="156">
        <v>0</v>
      </c>
      <c r="FK15" s="156">
        <v>0</v>
      </c>
      <c r="FL15" s="156">
        <v>0</v>
      </c>
      <c r="FM15" s="156">
        <v>0</v>
      </c>
      <c r="FN15" s="156">
        <v>0</v>
      </c>
      <c r="FO15" s="156">
        <v>0</v>
      </c>
      <c r="FP15" s="156">
        <v>0</v>
      </c>
      <c r="FQ15" s="156">
        <v>0</v>
      </c>
      <c r="FR15" s="156">
        <v>0</v>
      </c>
      <c r="FS15" s="156">
        <v>0</v>
      </c>
      <c r="FT15" s="156">
        <v>0</v>
      </c>
      <c r="FU15" s="156">
        <v>0</v>
      </c>
      <c r="FV15" s="156">
        <v>0</v>
      </c>
      <c r="FW15" s="156">
        <v>0</v>
      </c>
      <c r="FX15" s="156">
        <v>0</v>
      </c>
      <c r="FY15" s="156">
        <v>0</v>
      </c>
      <c r="FZ15" s="156">
        <v>0</v>
      </c>
      <c r="GA15" s="156">
        <v>0</v>
      </c>
      <c r="GB15" s="156">
        <v>0</v>
      </c>
      <c r="GC15" s="156">
        <v>0</v>
      </c>
      <c r="GD15" s="156">
        <v>0</v>
      </c>
      <c r="GE15" s="156">
        <v>0</v>
      </c>
      <c r="GF15" s="156">
        <v>0</v>
      </c>
      <c r="GG15" s="156">
        <v>0</v>
      </c>
      <c r="GH15" s="156">
        <v>0</v>
      </c>
      <c r="GI15" s="156">
        <v>0</v>
      </c>
      <c r="GJ15" s="156">
        <v>0</v>
      </c>
      <c r="GK15" s="156">
        <v>0</v>
      </c>
      <c r="GL15" s="156">
        <v>0</v>
      </c>
      <c r="GM15" s="156">
        <v>0</v>
      </c>
    </row>
    <row r="16" spans="1:195" s="150" customFormat="1" ht="15.5" x14ac:dyDescent="0.3">
      <c r="A16" s="163" t="s">
        <v>65</v>
      </c>
      <c r="B16" s="156">
        <v>0</v>
      </c>
      <c r="C16" s="156">
        <v>0</v>
      </c>
      <c r="D16" s="156">
        <v>0</v>
      </c>
      <c r="E16" s="156">
        <v>0</v>
      </c>
      <c r="F16" s="156">
        <v>0</v>
      </c>
      <c r="G16" s="156">
        <v>0</v>
      </c>
      <c r="H16" s="156">
        <v>0</v>
      </c>
      <c r="I16" s="156">
        <v>0</v>
      </c>
      <c r="J16" s="156">
        <v>0</v>
      </c>
      <c r="K16" s="156">
        <v>0</v>
      </c>
      <c r="L16" s="156">
        <v>0</v>
      </c>
      <c r="M16" s="156">
        <v>0</v>
      </c>
      <c r="N16" s="156">
        <v>0</v>
      </c>
      <c r="O16" s="156">
        <v>0</v>
      </c>
      <c r="P16" s="156">
        <v>0</v>
      </c>
      <c r="Q16" s="156">
        <v>0</v>
      </c>
      <c r="R16" s="156">
        <v>0</v>
      </c>
      <c r="S16" s="156">
        <v>0</v>
      </c>
      <c r="T16" s="156">
        <v>0</v>
      </c>
      <c r="U16" s="156">
        <v>0</v>
      </c>
      <c r="V16" s="156">
        <v>0</v>
      </c>
      <c r="W16" s="156">
        <v>0</v>
      </c>
      <c r="X16" s="156">
        <v>0</v>
      </c>
      <c r="Y16" s="156">
        <v>0</v>
      </c>
      <c r="Z16" s="156">
        <v>0</v>
      </c>
      <c r="AA16" s="156">
        <v>0</v>
      </c>
      <c r="AB16" s="156">
        <v>0</v>
      </c>
      <c r="AC16" s="156">
        <v>0</v>
      </c>
      <c r="AD16" s="156">
        <v>0</v>
      </c>
      <c r="AE16" s="156">
        <v>0</v>
      </c>
      <c r="AF16" s="156">
        <v>0</v>
      </c>
      <c r="AG16" s="156">
        <v>0</v>
      </c>
      <c r="AH16" s="156">
        <v>0</v>
      </c>
      <c r="AI16" s="156">
        <v>0</v>
      </c>
      <c r="AJ16" s="156">
        <v>0</v>
      </c>
      <c r="AK16" s="156">
        <v>0</v>
      </c>
      <c r="AL16" s="161">
        <v>268.952654036713</v>
      </c>
      <c r="AO16" s="159" t="s">
        <v>65</v>
      </c>
      <c r="AP16" s="160">
        <v>19.2109038597652</v>
      </c>
      <c r="AQ16" s="160">
        <v>20.3086697946089</v>
      </c>
      <c r="AR16" s="160">
        <v>21.4064357294526</v>
      </c>
      <c r="AS16" s="160">
        <v>22.504201664296399</v>
      </c>
      <c r="AT16" s="160">
        <v>23.601967599140099</v>
      </c>
      <c r="AU16" s="160">
        <v>24.6997335339838</v>
      </c>
      <c r="AV16" s="160">
        <v>25.797499468827599</v>
      </c>
      <c r="AW16" s="160">
        <v>26.895265403671299</v>
      </c>
      <c r="AX16" s="160">
        <v>28.221732574940798</v>
      </c>
      <c r="AY16" s="160">
        <v>29.548199746210301</v>
      </c>
      <c r="AZ16" s="160">
        <v>30.8746669174798</v>
      </c>
      <c r="BA16" s="160">
        <v>32.201134088749299</v>
      </c>
      <c r="BB16" s="160">
        <v>33.527601260018798</v>
      </c>
      <c r="BC16" s="160">
        <v>34.854068431288297</v>
      </c>
      <c r="BD16" s="160">
        <v>36.180535602557804</v>
      </c>
      <c r="BE16" s="160">
        <v>37.507002773827303</v>
      </c>
      <c r="BF16" s="160">
        <v>38.833469945096802</v>
      </c>
      <c r="BG16" s="160">
        <v>40.159937116366301</v>
      </c>
      <c r="BH16" s="160">
        <v>41.4864042876358</v>
      </c>
      <c r="BI16" s="160">
        <v>42.812871458905299</v>
      </c>
      <c r="BJ16" s="160">
        <v>44.139338630174798</v>
      </c>
      <c r="BK16" s="160">
        <v>45.465805801444297</v>
      </c>
      <c r="BL16" s="160">
        <v>46.792272972713803</v>
      </c>
      <c r="BM16" s="160">
        <v>48.118740143983302</v>
      </c>
      <c r="BN16" s="160">
        <v>49.445207315252802</v>
      </c>
      <c r="BO16" s="160">
        <v>50.771674486522301</v>
      </c>
      <c r="BP16" s="160">
        <v>52.0981416577918</v>
      </c>
      <c r="BQ16" s="160">
        <v>53.424608829061299</v>
      </c>
      <c r="BR16" s="160">
        <v>54.751076000330798</v>
      </c>
      <c r="BS16" s="160">
        <v>56.077543171600396</v>
      </c>
      <c r="BT16" s="160">
        <v>57.404010342869803</v>
      </c>
      <c r="BU16" s="160">
        <v>58.730477514139402</v>
      </c>
      <c r="BV16" s="160">
        <v>60.056944685408801</v>
      </c>
      <c r="BW16" s="160">
        <v>61.3834118566783</v>
      </c>
      <c r="BX16" s="160">
        <v>62.7098790279478</v>
      </c>
      <c r="BY16" s="160">
        <v>64.036346199217306</v>
      </c>
      <c r="BZ16" s="161">
        <v>201.71449052753499</v>
      </c>
      <c r="CB16" s="162" t="s">
        <v>65</v>
      </c>
      <c r="CC16" s="160">
        <v>38.421807719530399</v>
      </c>
      <c r="CD16" s="160">
        <v>40.617339589217799</v>
      </c>
      <c r="CE16" s="160">
        <v>42.812871458905299</v>
      </c>
      <c r="CF16" s="160">
        <v>45.008403328592699</v>
      </c>
      <c r="CG16" s="160">
        <v>47.203935198280199</v>
      </c>
      <c r="CH16" s="160">
        <v>49.399467067967699</v>
      </c>
      <c r="CI16" s="160">
        <v>51.594998937655099</v>
      </c>
      <c r="CJ16" s="160">
        <v>53.790530807342599</v>
      </c>
      <c r="CK16" s="160">
        <v>56.443465149881497</v>
      </c>
      <c r="CL16" s="160">
        <v>59.096399492420502</v>
      </c>
      <c r="CM16" s="160">
        <v>61.7493338349596</v>
      </c>
      <c r="CN16" s="160">
        <v>64.402268177498598</v>
      </c>
      <c r="CO16" s="160">
        <v>67.055202520037597</v>
      </c>
      <c r="CP16" s="160">
        <v>69.708136862576495</v>
      </c>
      <c r="CQ16" s="160">
        <v>72.361071205115607</v>
      </c>
      <c r="CR16" s="160">
        <v>75.014005547654605</v>
      </c>
      <c r="CS16" s="160">
        <v>77.666939890193504</v>
      </c>
      <c r="CT16" s="160">
        <v>80.319874232732502</v>
      </c>
      <c r="CU16" s="160">
        <v>82.9728085752716</v>
      </c>
      <c r="CV16" s="160">
        <v>85.625742917810598</v>
      </c>
      <c r="CW16" s="160">
        <v>88.278677260349596</v>
      </c>
      <c r="CX16" s="160">
        <v>90.931611602888594</v>
      </c>
      <c r="CY16" s="160">
        <v>93.584545945427607</v>
      </c>
      <c r="CZ16" s="160">
        <v>96.237480287966605</v>
      </c>
      <c r="DA16" s="160">
        <v>98.890414630505703</v>
      </c>
      <c r="DB16" s="160">
        <v>101.543348973045</v>
      </c>
      <c r="DC16" s="160">
        <v>104.196283315584</v>
      </c>
      <c r="DD16" s="160">
        <v>106.849217658123</v>
      </c>
      <c r="DE16" s="160">
        <v>109.50215200066199</v>
      </c>
      <c r="DF16" s="160">
        <v>112.15508634320101</v>
      </c>
      <c r="DG16" s="160">
        <v>114.80802068574</v>
      </c>
      <c r="DH16" s="160">
        <v>117.460955028279</v>
      </c>
      <c r="DI16" s="160">
        <v>120.113889370818</v>
      </c>
      <c r="DJ16" s="160">
        <v>122.766823713357</v>
      </c>
      <c r="DK16" s="160">
        <v>125.419758055896</v>
      </c>
      <c r="DL16" s="160">
        <v>128.07269239843501</v>
      </c>
      <c r="DM16" s="161">
        <v>134.47632701835599</v>
      </c>
      <c r="DO16" s="159" t="s">
        <v>65</v>
      </c>
      <c r="DP16" s="160">
        <v>57.632711579295602</v>
      </c>
      <c r="DQ16" s="160">
        <v>60.926009383826802</v>
      </c>
      <c r="DR16" s="160">
        <v>64.219307188358002</v>
      </c>
      <c r="DS16" s="160">
        <v>67.512604992889095</v>
      </c>
      <c r="DT16" s="160">
        <v>70.805902797420302</v>
      </c>
      <c r="DU16" s="160">
        <v>74.099200601951395</v>
      </c>
      <c r="DV16" s="160">
        <v>77.392498406482702</v>
      </c>
      <c r="DW16" s="160">
        <v>80.685796211013795</v>
      </c>
      <c r="DX16" s="160">
        <v>84.665197724822406</v>
      </c>
      <c r="DY16" s="160">
        <v>88.644599238630803</v>
      </c>
      <c r="DZ16" s="160">
        <v>92.624000752439301</v>
      </c>
      <c r="EA16" s="160">
        <v>96.603402266247898</v>
      </c>
      <c r="EB16" s="160">
        <v>100.582803780056</v>
      </c>
      <c r="EC16" s="160">
        <v>104.56220529386501</v>
      </c>
      <c r="ED16" s="160">
        <v>108.54160680767301</v>
      </c>
      <c r="EE16" s="160">
        <v>112.521008321482</v>
      </c>
      <c r="EF16" s="160">
        <v>116.50040983529</v>
      </c>
      <c r="EG16" s="160">
        <v>120.47981134909899</v>
      </c>
      <c r="EH16" s="160">
        <v>124.45921286290699</v>
      </c>
      <c r="EI16" s="160">
        <v>128.438614376716</v>
      </c>
      <c r="EJ16" s="160">
        <v>132.418015890524</v>
      </c>
      <c r="EK16" s="160">
        <v>136.397417404333</v>
      </c>
      <c r="EL16" s="160">
        <v>140.376818918141</v>
      </c>
      <c r="EM16" s="160">
        <v>144.35622043194999</v>
      </c>
      <c r="EN16" s="160">
        <v>148.33562194575899</v>
      </c>
      <c r="EO16" s="160">
        <v>152.31502345956699</v>
      </c>
      <c r="EP16" s="160">
        <v>156.29442497337499</v>
      </c>
      <c r="EQ16" s="160">
        <v>160.27382648718401</v>
      </c>
      <c r="ER16" s="160">
        <v>164.25322800099201</v>
      </c>
      <c r="ES16" s="160">
        <v>168.232629514801</v>
      </c>
      <c r="ET16" s="160">
        <v>172.212031028609</v>
      </c>
      <c r="EU16" s="160">
        <v>176.191432542418</v>
      </c>
      <c r="EV16" s="160">
        <v>180.170834056226</v>
      </c>
      <c r="EW16" s="160">
        <v>184.15023557003499</v>
      </c>
      <c r="EX16" s="160">
        <v>188.12963708384299</v>
      </c>
      <c r="EY16" s="160">
        <v>192.10903859765199</v>
      </c>
      <c r="EZ16" s="161">
        <v>67.238163509178193</v>
      </c>
      <c r="FB16" s="159" t="s">
        <v>65</v>
      </c>
      <c r="FC16" s="160">
        <v>76.843615439060699</v>
      </c>
      <c r="FD16" s="160">
        <v>81.234679178435698</v>
      </c>
      <c r="FE16" s="160">
        <v>85.625742917810598</v>
      </c>
      <c r="FF16" s="160">
        <v>90.016806657185498</v>
      </c>
      <c r="FG16" s="160">
        <v>94.407870396560398</v>
      </c>
      <c r="FH16" s="160">
        <v>98.798934135935298</v>
      </c>
      <c r="FI16" s="160">
        <v>103.18999787531</v>
      </c>
      <c r="FJ16" s="160">
        <v>107.581061614685</v>
      </c>
      <c r="FK16" s="160">
        <v>112.88693029976299</v>
      </c>
      <c r="FL16" s="160">
        <v>118.192798984841</v>
      </c>
      <c r="FM16" s="160">
        <v>123.498667669919</v>
      </c>
      <c r="FN16" s="160">
        <v>128.804536354997</v>
      </c>
      <c r="FO16" s="160">
        <v>134.11040504007499</v>
      </c>
      <c r="FP16" s="160">
        <v>139.41627372515299</v>
      </c>
      <c r="FQ16" s="160">
        <v>144.72214241023099</v>
      </c>
      <c r="FR16" s="160">
        <v>150.02801109530901</v>
      </c>
      <c r="FS16" s="160">
        <v>155.33387978038701</v>
      </c>
      <c r="FT16" s="160">
        <v>160.639748465465</v>
      </c>
      <c r="FU16" s="160">
        <v>165.945617150543</v>
      </c>
      <c r="FV16" s="160">
        <v>171.251485835621</v>
      </c>
      <c r="FW16" s="160">
        <v>176.55735452069899</v>
      </c>
      <c r="FX16" s="160">
        <v>181.86322320577699</v>
      </c>
      <c r="FY16" s="160">
        <v>187.16909189085499</v>
      </c>
      <c r="FZ16" s="160">
        <v>192.47496057593301</v>
      </c>
      <c r="GA16" s="160">
        <v>197.78082926101101</v>
      </c>
      <c r="GB16" s="160">
        <v>203.086697946089</v>
      </c>
      <c r="GC16" s="160">
        <v>208.392566631167</v>
      </c>
      <c r="GD16" s="160">
        <v>213.698435316245</v>
      </c>
      <c r="GE16" s="160">
        <v>219.00430400132299</v>
      </c>
      <c r="GF16" s="160">
        <v>224.31017268640099</v>
      </c>
      <c r="GG16" s="160">
        <v>229.61604137147901</v>
      </c>
      <c r="GH16" s="160">
        <v>234.92191005655701</v>
      </c>
      <c r="GI16" s="160">
        <v>240.22777874163501</v>
      </c>
      <c r="GJ16" s="160">
        <v>245.533647426713</v>
      </c>
      <c r="GK16" s="160">
        <v>250.839516111791</v>
      </c>
      <c r="GL16" s="160">
        <v>256.145384796869</v>
      </c>
      <c r="GM16" s="156">
        <v>0</v>
      </c>
    </row>
    <row r="17" spans="1:195" s="150" customFormat="1" ht="15.5" x14ac:dyDescent="0.3">
      <c r="A17" s="163" t="s">
        <v>66</v>
      </c>
      <c r="B17" s="156">
        <v>0</v>
      </c>
      <c r="C17" s="156">
        <v>0</v>
      </c>
      <c r="D17" s="156">
        <v>0</v>
      </c>
      <c r="E17" s="156">
        <v>0</v>
      </c>
      <c r="F17" s="156">
        <v>0</v>
      </c>
      <c r="G17" s="156">
        <v>0</v>
      </c>
      <c r="H17" s="156">
        <v>0</v>
      </c>
      <c r="I17" s="156">
        <v>0</v>
      </c>
      <c r="J17" s="156">
        <v>0</v>
      </c>
      <c r="K17" s="156">
        <v>0</v>
      </c>
      <c r="L17" s="156">
        <v>0</v>
      </c>
      <c r="M17" s="156">
        <v>0</v>
      </c>
      <c r="N17" s="156">
        <v>0</v>
      </c>
      <c r="O17" s="156">
        <v>0</v>
      </c>
      <c r="P17" s="156">
        <v>0</v>
      </c>
      <c r="Q17" s="156">
        <v>0</v>
      </c>
      <c r="R17" s="156">
        <v>0</v>
      </c>
      <c r="S17" s="156">
        <v>0</v>
      </c>
      <c r="T17" s="156">
        <v>0</v>
      </c>
      <c r="U17" s="156">
        <v>0</v>
      </c>
      <c r="V17" s="156">
        <v>0</v>
      </c>
      <c r="W17" s="156">
        <v>0</v>
      </c>
      <c r="X17" s="156">
        <v>0</v>
      </c>
      <c r="Y17" s="156">
        <v>0</v>
      </c>
      <c r="Z17" s="156">
        <v>0</v>
      </c>
      <c r="AA17" s="156">
        <v>0</v>
      </c>
      <c r="AB17" s="156">
        <v>0</v>
      </c>
      <c r="AC17" s="156">
        <v>0</v>
      </c>
      <c r="AD17" s="156">
        <v>0</v>
      </c>
      <c r="AE17" s="156">
        <v>0</v>
      </c>
      <c r="AF17" s="156">
        <v>0</v>
      </c>
      <c r="AG17" s="156">
        <v>0</v>
      </c>
      <c r="AH17" s="156">
        <v>0</v>
      </c>
      <c r="AI17" s="156">
        <v>0</v>
      </c>
      <c r="AJ17" s="156">
        <v>0</v>
      </c>
      <c r="AK17" s="156">
        <v>0</v>
      </c>
      <c r="AL17" s="161">
        <v>287.35471311005801</v>
      </c>
      <c r="AO17" s="159" t="s">
        <v>66</v>
      </c>
      <c r="AP17" s="160">
        <v>20.525336650718401</v>
      </c>
      <c r="AQ17" s="160">
        <v>21.698213030759501</v>
      </c>
      <c r="AR17" s="160">
        <v>22.871089410800501</v>
      </c>
      <c r="AS17" s="160">
        <v>24.0439657908416</v>
      </c>
      <c r="AT17" s="160">
        <v>25.2168421708826</v>
      </c>
      <c r="AU17" s="160">
        <v>26.3897185509237</v>
      </c>
      <c r="AV17" s="160">
        <v>27.5625949309647</v>
      </c>
      <c r="AW17" s="160">
        <v>28.735471311005799</v>
      </c>
      <c r="AX17" s="160">
        <v>30.152696936888699</v>
      </c>
      <c r="AY17" s="160">
        <v>31.569922562771598</v>
      </c>
      <c r="AZ17" s="160">
        <v>32.987148188654601</v>
      </c>
      <c r="BA17" s="160">
        <v>34.4043738145375</v>
      </c>
      <c r="BB17" s="160">
        <v>35.8215994404204</v>
      </c>
      <c r="BC17" s="160">
        <v>37.238825066303399</v>
      </c>
      <c r="BD17" s="160">
        <v>38.656050692186298</v>
      </c>
      <c r="BE17" s="160">
        <v>40.073276318069198</v>
      </c>
      <c r="BF17" s="160">
        <v>41.490501943952196</v>
      </c>
      <c r="BG17" s="160">
        <v>42.907727569835103</v>
      </c>
      <c r="BH17" s="160">
        <v>44.324953195718102</v>
      </c>
      <c r="BI17" s="160">
        <v>45.742178821601001</v>
      </c>
      <c r="BJ17" s="160">
        <v>47.159404447483901</v>
      </c>
      <c r="BK17" s="160">
        <v>48.5766300733669</v>
      </c>
      <c r="BL17" s="160">
        <v>49.993855699249799</v>
      </c>
      <c r="BM17" s="160">
        <v>51.411081325132699</v>
      </c>
      <c r="BN17" s="160">
        <v>52.828306951015698</v>
      </c>
      <c r="BO17" s="160">
        <v>54.245532576898597</v>
      </c>
      <c r="BP17" s="160">
        <v>55.662758202781603</v>
      </c>
      <c r="BQ17" s="160">
        <v>57.079983828664503</v>
      </c>
      <c r="BR17" s="160">
        <v>58.497209454547402</v>
      </c>
      <c r="BS17" s="160">
        <v>59.914435080430401</v>
      </c>
      <c r="BT17" s="160">
        <v>61.3316607063134</v>
      </c>
      <c r="BU17" s="160">
        <v>62.7488863321963</v>
      </c>
      <c r="BV17" s="160">
        <v>64.166111958079199</v>
      </c>
      <c r="BW17" s="160">
        <v>65.583337583962205</v>
      </c>
      <c r="BX17" s="160">
        <v>67.000563209845097</v>
      </c>
      <c r="BY17" s="160">
        <v>68.417788835728004</v>
      </c>
      <c r="BZ17" s="161">
        <v>215.516034832543</v>
      </c>
      <c r="CB17" s="162" t="s">
        <v>66</v>
      </c>
      <c r="CC17" s="160">
        <v>41.050673301436802</v>
      </c>
      <c r="CD17" s="160">
        <v>43.396426061518902</v>
      </c>
      <c r="CE17" s="160">
        <v>45.742178821601001</v>
      </c>
      <c r="CF17" s="160">
        <v>48.087931581683101</v>
      </c>
      <c r="CG17" s="160">
        <v>50.433684341765201</v>
      </c>
      <c r="CH17" s="160">
        <v>52.7794371018473</v>
      </c>
      <c r="CI17" s="160">
        <v>55.1251898619294</v>
      </c>
      <c r="CJ17" s="160">
        <v>57.470942622011599</v>
      </c>
      <c r="CK17" s="160">
        <v>60.305393873777398</v>
      </c>
      <c r="CL17" s="160">
        <v>63.139845125543197</v>
      </c>
      <c r="CM17" s="160">
        <v>65.974296377309102</v>
      </c>
      <c r="CN17" s="160">
        <v>68.808747629075</v>
      </c>
      <c r="CO17" s="160">
        <v>71.643198880840899</v>
      </c>
      <c r="CP17" s="160">
        <v>74.477650132606797</v>
      </c>
      <c r="CQ17" s="160">
        <v>77.312101384372696</v>
      </c>
      <c r="CR17" s="160">
        <v>80.146552636138495</v>
      </c>
      <c r="CS17" s="160">
        <v>82.981003887904393</v>
      </c>
      <c r="CT17" s="160">
        <v>85.815455139670306</v>
      </c>
      <c r="CU17" s="160">
        <v>88.649906391436204</v>
      </c>
      <c r="CV17" s="160">
        <v>91.484357643202003</v>
      </c>
      <c r="CW17" s="160">
        <v>94.318808894967802</v>
      </c>
      <c r="CX17" s="160">
        <v>97.1532601467338</v>
      </c>
      <c r="CY17" s="160">
        <v>99.987711398499599</v>
      </c>
      <c r="CZ17" s="160">
        <v>102.822162650265</v>
      </c>
      <c r="DA17" s="160">
        <v>105.656613902031</v>
      </c>
      <c r="DB17" s="160">
        <v>108.491065153797</v>
      </c>
      <c r="DC17" s="160">
        <v>111.32551640556299</v>
      </c>
      <c r="DD17" s="160">
        <v>114.15996765732901</v>
      </c>
      <c r="DE17" s="160">
        <v>116.994418909095</v>
      </c>
      <c r="DF17" s="160">
        <v>119.828870160861</v>
      </c>
      <c r="DG17" s="160">
        <v>122.663321412627</v>
      </c>
      <c r="DH17" s="160">
        <v>125.497772664393</v>
      </c>
      <c r="DI17" s="160">
        <v>128.332223916158</v>
      </c>
      <c r="DJ17" s="160">
        <v>131.16667516792401</v>
      </c>
      <c r="DK17" s="160">
        <v>134.00112641969</v>
      </c>
      <c r="DL17" s="160">
        <v>136.83557767145601</v>
      </c>
      <c r="DM17" s="161">
        <v>143.67735655502901</v>
      </c>
      <c r="DO17" s="159" t="s">
        <v>66</v>
      </c>
      <c r="DP17" s="160">
        <v>61.576009952155196</v>
      </c>
      <c r="DQ17" s="160">
        <v>65.094639092278399</v>
      </c>
      <c r="DR17" s="160">
        <v>68.613268232401495</v>
      </c>
      <c r="DS17" s="160">
        <v>72.131897372524705</v>
      </c>
      <c r="DT17" s="160">
        <v>75.650526512647801</v>
      </c>
      <c r="DU17" s="160">
        <v>79.169155652770897</v>
      </c>
      <c r="DV17" s="160">
        <v>82.687784792894107</v>
      </c>
      <c r="DW17" s="160">
        <v>86.206413933017203</v>
      </c>
      <c r="DX17" s="160">
        <v>90.458090810666206</v>
      </c>
      <c r="DY17" s="160">
        <v>94.709767688314898</v>
      </c>
      <c r="DZ17" s="160">
        <v>98.961444565963703</v>
      </c>
      <c r="EA17" s="160">
        <v>103.213121443612</v>
      </c>
      <c r="EB17" s="160">
        <v>107.464798321261</v>
      </c>
      <c r="EC17" s="160">
        <v>111.71647519891</v>
      </c>
      <c r="ED17" s="160">
        <v>115.96815207655899</v>
      </c>
      <c r="EE17" s="160">
        <v>120.219828954208</v>
      </c>
      <c r="EF17" s="160">
        <v>124.471505831857</v>
      </c>
      <c r="EG17" s="160">
        <v>128.72318270950501</v>
      </c>
      <c r="EH17" s="160">
        <v>132.97485958715399</v>
      </c>
      <c r="EI17" s="160">
        <v>137.22653646480299</v>
      </c>
      <c r="EJ17" s="160">
        <v>141.47821334245199</v>
      </c>
      <c r="EK17" s="160">
        <v>145.729890220101</v>
      </c>
      <c r="EL17" s="160">
        <v>149.98156709774901</v>
      </c>
      <c r="EM17" s="160">
        <v>154.23324397539801</v>
      </c>
      <c r="EN17" s="160">
        <v>158.48492085304699</v>
      </c>
      <c r="EO17" s="160">
        <v>162.73659773069599</v>
      </c>
      <c r="EP17" s="160">
        <v>166.98827460834499</v>
      </c>
      <c r="EQ17" s="160">
        <v>171.239951485994</v>
      </c>
      <c r="ER17" s="160">
        <v>175.49162836364201</v>
      </c>
      <c r="ES17" s="160">
        <v>179.74330524129101</v>
      </c>
      <c r="ET17" s="160">
        <v>183.99498211893999</v>
      </c>
      <c r="EU17" s="160">
        <v>188.24665899658899</v>
      </c>
      <c r="EV17" s="160">
        <v>192.498335874237</v>
      </c>
      <c r="EW17" s="160">
        <v>196.750012751886</v>
      </c>
      <c r="EX17" s="160">
        <v>201.00168962953501</v>
      </c>
      <c r="EY17" s="160">
        <v>205.25336650718401</v>
      </c>
      <c r="EZ17" s="161">
        <v>71.838678277514404</v>
      </c>
      <c r="FB17" s="159" t="s">
        <v>66</v>
      </c>
      <c r="FC17" s="160">
        <v>82.101346602873605</v>
      </c>
      <c r="FD17" s="160">
        <v>86.792852123037903</v>
      </c>
      <c r="FE17" s="160">
        <v>91.484357643202003</v>
      </c>
      <c r="FF17" s="160">
        <v>96.175863163366202</v>
      </c>
      <c r="FG17" s="160">
        <v>100.86736868353</v>
      </c>
      <c r="FH17" s="160">
        <v>105.558874203695</v>
      </c>
      <c r="FI17" s="160">
        <v>110.250379723859</v>
      </c>
      <c r="FJ17" s="160">
        <v>114.941885244023</v>
      </c>
      <c r="FK17" s="160">
        <v>120.61078774755499</v>
      </c>
      <c r="FL17" s="160">
        <v>126.279690251086</v>
      </c>
      <c r="FM17" s="160">
        <v>131.94859275461801</v>
      </c>
      <c r="FN17" s="160">
        <v>137.61749525815</v>
      </c>
      <c r="FO17" s="160">
        <v>143.286397761682</v>
      </c>
      <c r="FP17" s="160">
        <v>148.95530026521399</v>
      </c>
      <c r="FQ17" s="160">
        <v>154.62420276874499</v>
      </c>
      <c r="FR17" s="160">
        <v>160.29310527227699</v>
      </c>
      <c r="FS17" s="160">
        <v>165.96200777580901</v>
      </c>
      <c r="FT17" s="160">
        <v>171.63091027934101</v>
      </c>
      <c r="FU17" s="160">
        <v>177.29981278287201</v>
      </c>
      <c r="FV17" s="160">
        <v>182.96871528640401</v>
      </c>
      <c r="FW17" s="160">
        <v>188.637617789936</v>
      </c>
      <c r="FX17" s="160">
        <v>194.306520293468</v>
      </c>
      <c r="FY17" s="160">
        <v>199.975422796999</v>
      </c>
      <c r="FZ17" s="160">
        <v>205.64432530053099</v>
      </c>
      <c r="GA17" s="160">
        <v>211.31322780406299</v>
      </c>
      <c r="GB17" s="160">
        <v>216.98213030759501</v>
      </c>
      <c r="GC17" s="160">
        <v>222.65103281112599</v>
      </c>
      <c r="GD17" s="160">
        <v>228.31993531465801</v>
      </c>
      <c r="GE17" s="160">
        <v>233.98883781819001</v>
      </c>
      <c r="GF17" s="160">
        <v>239.657740321722</v>
      </c>
      <c r="GG17" s="160">
        <v>245.326642825253</v>
      </c>
      <c r="GH17" s="160">
        <v>250.995545328785</v>
      </c>
      <c r="GI17" s="160">
        <v>256.66444783231702</v>
      </c>
      <c r="GJ17" s="160">
        <v>262.33335033584899</v>
      </c>
      <c r="GK17" s="160">
        <v>268.00225283937999</v>
      </c>
      <c r="GL17" s="160">
        <v>273.67115534291202</v>
      </c>
      <c r="GM17" s="156">
        <v>0</v>
      </c>
    </row>
    <row r="18" spans="1:195" s="150" customFormat="1" ht="15.5" x14ac:dyDescent="0.3">
      <c r="A18" s="163" t="s">
        <v>67</v>
      </c>
      <c r="B18" s="156">
        <v>0</v>
      </c>
      <c r="C18" s="156">
        <v>0</v>
      </c>
      <c r="D18" s="156">
        <v>0</v>
      </c>
      <c r="E18" s="156">
        <v>0</v>
      </c>
      <c r="F18" s="156">
        <v>0</v>
      </c>
      <c r="G18" s="156">
        <v>0</v>
      </c>
      <c r="H18" s="156">
        <v>0</v>
      </c>
      <c r="I18" s="156">
        <v>0</v>
      </c>
      <c r="J18" s="156">
        <v>0</v>
      </c>
      <c r="K18" s="156">
        <v>0</v>
      </c>
      <c r="L18" s="156">
        <v>0</v>
      </c>
      <c r="M18" s="156">
        <v>0</v>
      </c>
      <c r="N18" s="156">
        <v>0</v>
      </c>
      <c r="O18" s="156">
        <v>0</v>
      </c>
      <c r="P18" s="156">
        <v>0</v>
      </c>
      <c r="Q18" s="156">
        <v>0</v>
      </c>
      <c r="R18" s="156">
        <v>0</v>
      </c>
      <c r="S18" s="156">
        <v>0</v>
      </c>
      <c r="T18" s="156">
        <v>0</v>
      </c>
      <c r="U18" s="156">
        <v>0</v>
      </c>
      <c r="V18" s="156">
        <v>0</v>
      </c>
      <c r="W18" s="156">
        <v>0</v>
      </c>
      <c r="X18" s="156">
        <v>0</v>
      </c>
      <c r="Y18" s="156">
        <v>0</v>
      </c>
      <c r="Z18" s="156">
        <v>0</v>
      </c>
      <c r="AA18" s="156">
        <v>0</v>
      </c>
      <c r="AB18" s="156">
        <v>0</v>
      </c>
      <c r="AC18" s="156">
        <v>0</v>
      </c>
      <c r="AD18" s="156">
        <v>0</v>
      </c>
      <c r="AE18" s="156">
        <v>0</v>
      </c>
      <c r="AF18" s="156">
        <v>0</v>
      </c>
      <c r="AG18" s="156">
        <v>0</v>
      </c>
      <c r="AH18" s="156">
        <v>0</v>
      </c>
      <c r="AI18" s="156">
        <v>0</v>
      </c>
      <c r="AJ18" s="156">
        <v>0</v>
      </c>
      <c r="AK18" s="156">
        <v>0</v>
      </c>
      <c r="AL18" s="161">
        <v>42.363572443818903</v>
      </c>
      <c r="AO18" s="159" t="s">
        <v>67</v>
      </c>
      <c r="AP18" s="160">
        <v>3.0259694602727798</v>
      </c>
      <c r="AQ18" s="160">
        <v>3.1988820008598</v>
      </c>
      <c r="AR18" s="160">
        <v>3.37179454144681</v>
      </c>
      <c r="AS18" s="160">
        <v>3.5447070820338298</v>
      </c>
      <c r="AT18" s="160">
        <v>3.71761962262085</v>
      </c>
      <c r="AU18" s="160">
        <v>3.89053216320786</v>
      </c>
      <c r="AV18" s="160">
        <v>4.0634447037948798</v>
      </c>
      <c r="AW18" s="160">
        <v>4.2363572443818898</v>
      </c>
      <c r="AX18" s="160">
        <v>4.4452932309245297</v>
      </c>
      <c r="AY18" s="160">
        <v>4.6542292174671802</v>
      </c>
      <c r="AZ18" s="160">
        <v>4.8631652040098299</v>
      </c>
      <c r="BA18" s="160">
        <v>5.0721011905524698</v>
      </c>
      <c r="BB18" s="160">
        <v>5.2810371770951203</v>
      </c>
      <c r="BC18" s="160">
        <v>5.4899731636377602</v>
      </c>
      <c r="BD18" s="160">
        <v>5.6989091501804001</v>
      </c>
      <c r="BE18" s="160">
        <v>5.9078451367230498</v>
      </c>
      <c r="BF18" s="160">
        <v>6.1167811232657003</v>
      </c>
      <c r="BG18" s="160">
        <v>6.3257171098083402</v>
      </c>
      <c r="BH18" s="160">
        <v>6.5346530963509801</v>
      </c>
      <c r="BI18" s="160">
        <v>6.7435890828936298</v>
      </c>
      <c r="BJ18" s="160">
        <v>6.9525250694362697</v>
      </c>
      <c r="BK18" s="160">
        <v>7.1614610559789096</v>
      </c>
      <c r="BL18" s="160">
        <v>7.3703970425215601</v>
      </c>
      <c r="BM18" s="160">
        <v>7.5793330290642</v>
      </c>
      <c r="BN18" s="160">
        <v>7.7882690156068497</v>
      </c>
      <c r="BO18" s="160">
        <v>7.9972050021494896</v>
      </c>
      <c r="BP18" s="160">
        <v>8.2061409886921393</v>
      </c>
      <c r="BQ18" s="160">
        <v>8.4150769752347792</v>
      </c>
      <c r="BR18" s="160">
        <v>8.6240129617774297</v>
      </c>
      <c r="BS18" s="160">
        <v>8.8329489483200696</v>
      </c>
      <c r="BT18" s="160">
        <v>9.0418849348627202</v>
      </c>
      <c r="BU18" s="160">
        <v>9.2508209214053601</v>
      </c>
      <c r="BV18" s="160">
        <v>9.4597569079480106</v>
      </c>
      <c r="BW18" s="160">
        <v>9.6686928944906505</v>
      </c>
      <c r="BX18" s="160">
        <v>9.8776288810332993</v>
      </c>
      <c r="BY18" s="160">
        <v>10.0865648675759</v>
      </c>
      <c r="BZ18" s="161">
        <v>31.7726793328642</v>
      </c>
      <c r="CB18" s="162" t="s">
        <v>67</v>
      </c>
      <c r="CC18" s="160">
        <v>6.0519389205455596</v>
      </c>
      <c r="CD18" s="160">
        <v>6.3977640017195903</v>
      </c>
      <c r="CE18" s="160">
        <v>6.7435890828936298</v>
      </c>
      <c r="CF18" s="160">
        <v>7.0894141640676596</v>
      </c>
      <c r="CG18" s="160">
        <v>7.4352392452416902</v>
      </c>
      <c r="CH18" s="160">
        <v>7.78106432641572</v>
      </c>
      <c r="CI18" s="160">
        <v>8.1268894075897595</v>
      </c>
      <c r="CJ18" s="160">
        <v>8.4727144887637902</v>
      </c>
      <c r="CK18" s="160">
        <v>8.89058646184907</v>
      </c>
      <c r="CL18" s="160">
        <v>9.3084584349343693</v>
      </c>
      <c r="CM18" s="160">
        <v>9.7263304080196509</v>
      </c>
      <c r="CN18" s="160">
        <v>10.1442023811049</v>
      </c>
      <c r="CO18" s="160">
        <v>10.5620743541902</v>
      </c>
      <c r="CP18" s="160">
        <v>10.979946327275499</v>
      </c>
      <c r="CQ18" s="160">
        <v>11.3978183003608</v>
      </c>
      <c r="CR18" s="160">
        <v>11.8156902734461</v>
      </c>
      <c r="CS18" s="160">
        <v>12.233562246531401</v>
      </c>
      <c r="CT18" s="160">
        <v>12.6514342196167</v>
      </c>
      <c r="CU18" s="160">
        <v>13.069306192701999</v>
      </c>
      <c r="CV18" s="160">
        <v>13.4871781657873</v>
      </c>
      <c r="CW18" s="160">
        <v>13.9050501388725</v>
      </c>
      <c r="CX18" s="160">
        <v>14.3229221119578</v>
      </c>
      <c r="CY18" s="160">
        <v>14.740794085043101</v>
      </c>
      <c r="CZ18" s="160">
        <v>15.1586660581284</v>
      </c>
      <c r="DA18" s="160">
        <v>15.576538031213699</v>
      </c>
      <c r="DB18" s="160">
        <v>15.994410004299001</v>
      </c>
      <c r="DC18" s="160">
        <v>16.4122819773843</v>
      </c>
      <c r="DD18" s="160">
        <v>16.830153950469601</v>
      </c>
      <c r="DE18" s="160">
        <v>17.248025923554898</v>
      </c>
      <c r="DF18" s="160">
        <v>17.6658978966401</v>
      </c>
      <c r="DG18" s="160">
        <v>18.083769869725401</v>
      </c>
      <c r="DH18" s="160">
        <v>18.501641842810699</v>
      </c>
      <c r="DI18" s="160">
        <v>18.919513815896</v>
      </c>
      <c r="DJ18" s="160">
        <v>19.337385788981301</v>
      </c>
      <c r="DK18" s="160">
        <v>19.755257762066599</v>
      </c>
      <c r="DL18" s="160">
        <v>20.1731297351519</v>
      </c>
      <c r="DM18" s="161">
        <v>21.181786221909501</v>
      </c>
      <c r="DO18" s="159" t="s">
        <v>67</v>
      </c>
      <c r="DP18" s="160">
        <v>9.0779083808183501</v>
      </c>
      <c r="DQ18" s="160">
        <v>9.5966460025793907</v>
      </c>
      <c r="DR18" s="160">
        <v>10.115383624340399</v>
      </c>
      <c r="DS18" s="160">
        <v>10.6341212461015</v>
      </c>
      <c r="DT18" s="160">
        <v>11.1528588678625</v>
      </c>
      <c r="DU18" s="160">
        <v>11.6715964896236</v>
      </c>
      <c r="DV18" s="160">
        <v>12.190334111384599</v>
      </c>
      <c r="DW18" s="160">
        <v>12.7090717331457</v>
      </c>
      <c r="DX18" s="160">
        <v>13.335879692773601</v>
      </c>
      <c r="DY18" s="160">
        <v>13.9626876524016</v>
      </c>
      <c r="DZ18" s="160">
        <v>14.5894956120295</v>
      </c>
      <c r="EA18" s="160">
        <v>15.2163035716574</v>
      </c>
      <c r="EB18" s="160">
        <v>15.843111531285301</v>
      </c>
      <c r="EC18" s="160">
        <v>16.469919490913298</v>
      </c>
      <c r="ED18" s="160">
        <v>17.096727450541199</v>
      </c>
      <c r="EE18" s="160">
        <v>17.723535410169202</v>
      </c>
      <c r="EF18" s="160">
        <v>18.350343369797098</v>
      </c>
      <c r="EG18" s="160">
        <v>18.977151329424998</v>
      </c>
      <c r="EH18" s="160">
        <v>19.603959289053002</v>
      </c>
      <c r="EI18" s="160">
        <v>20.230767248680898</v>
      </c>
      <c r="EJ18" s="160">
        <v>20.857575208308798</v>
      </c>
      <c r="EK18" s="160">
        <v>21.484383167936699</v>
      </c>
      <c r="EL18" s="160">
        <v>22.111191127564702</v>
      </c>
      <c r="EM18" s="160">
        <v>22.737999087192598</v>
      </c>
      <c r="EN18" s="160">
        <v>23.364807046820601</v>
      </c>
      <c r="EO18" s="160">
        <v>23.991615006448502</v>
      </c>
      <c r="EP18" s="160">
        <v>24.618422966076398</v>
      </c>
      <c r="EQ18" s="160">
        <v>25.245230925704401</v>
      </c>
      <c r="ER18" s="160">
        <v>25.872038885332302</v>
      </c>
      <c r="ES18" s="160">
        <v>26.498846844960202</v>
      </c>
      <c r="ET18" s="160">
        <v>27.125654804588201</v>
      </c>
      <c r="EU18" s="160">
        <v>27.752462764216101</v>
      </c>
      <c r="EV18" s="160">
        <v>28.379270723844002</v>
      </c>
      <c r="EW18" s="160">
        <v>29.006078683471902</v>
      </c>
      <c r="EX18" s="160">
        <v>29.632886643099901</v>
      </c>
      <c r="EY18" s="160">
        <v>30.259694602727802</v>
      </c>
      <c r="EZ18" s="161">
        <v>10.590893110954701</v>
      </c>
      <c r="FB18" s="159" t="s">
        <v>67</v>
      </c>
      <c r="FC18" s="160">
        <v>12.1038778410911</v>
      </c>
      <c r="FD18" s="160">
        <v>12.7955280034392</v>
      </c>
      <c r="FE18" s="160">
        <v>13.4871781657873</v>
      </c>
      <c r="FF18" s="160">
        <v>14.1788283281353</v>
      </c>
      <c r="FG18" s="160">
        <v>14.8704784904834</v>
      </c>
      <c r="FH18" s="160">
        <v>15.562128652831399</v>
      </c>
      <c r="FI18" s="160">
        <v>16.253778815179501</v>
      </c>
      <c r="FJ18" s="160">
        <v>16.945428977527602</v>
      </c>
      <c r="FK18" s="160">
        <v>17.781172923698101</v>
      </c>
      <c r="FL18" s="160">
        <v>18.6169168698687</v>
      </c>
      <c r="FM18" s="160">
        <v>19.452660816039302</v>
      </c>
      <c r="FN18" s="160">
        <v>20.2884047622099</v>
      </c>
      <c r="FO18" s="160">
        <v>21.124148708380499</v>
      </c>
      <c r="FP18" s="160">
        <v>21.959892654550998</v>
      </c>
      <c r="FQ18" s="160">
        <v>22.7956366007216</v>
      </c>
      <c r="FR18" s="160">
        <v>23.631380546892199</v>
      </c>
      <c r="FS18" s="160">
        <v>24.467124493062801</v>
      </c>
      <c r="FT18" s="160">
        <v>25.3028684392334</v>
      </c>
      <c r="FU18" s="160">
        <v>26.138612385403899</v>
      </c>
      <c r="FV18" s="160">
        <v>26.974356331574501</v>
      </c>
      <c r="FW18" s="160">
        <v>27.8101002777451</v>
      </c>
      <c r="FX18" s="160">
        <v>28.645844223915599</v>
      </c>
      <c r="FY18" s="160">
        <v>29.481588170086201</v>
      </c>
      <c r="FZ18" s="160">
        <v>30.3173321162568</v>
      </c>
      <c r="GA18" s="160">
        <v>31.153076062427399</v>
      </c>
      <c r="GB18" s="160">
        <v>31.988820008598001</v>
      </c>
      <c r="GC18" s="160">
        <v>32.8245639547686</v>
      </c>
      <c r="GD18" s="160">
        <v>33.660307900939102</v>
      </c>
      <c r="GE18" s="160">
        <v>34.496051847109698</v>
      </c>
      <c r="GF18" s="160">
        <v>35.3317957932803</v>
      </c>
      <c r="GG18" s="160">
        <v>36.167539739450902</v>
      </c>
      <c r="GH18" s="160">
        <v>37.003283685621497</v>
      </c>
      <c r="GI18" s="160">
        <v>37.839027631792</v>
      </c>
      <c r="GJ18" s="160">
        <v>38.674771577962602</v>
      </c>
      <c r="GK18" s="160">
        <v>39.510515524133197</v>
      </c>
      <c r="GL18" s="160">
        <v>40.3462594703037</v>
      </c>
      <c r="GM18" s="156">
        <v>0</v>
      </c>
    </row>
    <row r="19" spans="1:195" s="150" customFormat="1" ht="15.5" x14ac:dyDescent="0.3">
      <c r="A19" s="163" t="s">
        <v>68</v>
      </c>
      <c r="B19" s="156">
        <v>0</v>
      </c>
      <c r="C19" s="156">
        <v>0</v>
      </c>
      <c r="D19" s="156">
        <v>0</v>
      </c>
      <c r="E19" s="156">
        <v>0</v>
      </c>
      <c r="F19" s="156">
        <v>0</v>
      </c>
      <c r="G19" s="156">
        <v>0</v>
      </c>
      <c r="H19" s="156">
        <v>0</v>
      </c>
      <c r="I19" s="156">
        <v>0</v>
      </c>
      <c r="J19" s="156">
        <v>0</v>
      </c>
      <c r="K19" s="156">
        <v>0</v>
      </c>
      <c r="L19" s="156">
        <v>0</v>
      </c>
      <c r="M19" s="156">
        <v>0</v>
      </c>
      <c r="N19" s="156">
        <v>0</v>
      </c>
      <c r="O19" s="156">
        <v>0</v>
      </c>
      <c r="P19" s="156">
        <v>0</v>
      </c>
      <c r="Q19" s="156">
        <v>0</v>
      </c>
      <c r="R19" s="156">
        <v>0</v>
      </c>
      <c r="S19" s="156">
        <v>0</v>
      </c>
      <c r="T19" s="156">
        <v>0</v>
      </c>
      <c r="U19" s="156">
        <v>0</v>
      </c>
      <c r="V19" s="156">
        <v>0</v>
      </c>
      <c r="W19" s="156">
        <v>0</v>
      </c>
      <c r="X19" s="156">
        <v>0</v>
      </c>
      <c r="Y19" s="156">
        <v>0</v>
      </c>
      <c r="Z19" s="156">
        <v>0</v>
      </c>
      <c r="AA19" s="156">
        <v>0</v>
      </c>
      <c r="AB19" s="156">
        <v>0</v>
      </c>
      <c r="AC19" s="156">
        <v>0</v>
      </c>
      <c r="AD19" s="156">
        <v>0</v>
      </c>
      <c r="AE19" s="156">
        <v>0</v>
      </c>
      <c r="AF19" s="156">
        <v>0</v>
      </c>
      <c r="AG19" s="156">
        <v>0</v>
      </c>
      <c r="AH19" s="156">
        <v>0</v>
      </c>
      <c r="AI19" s="156">
        <v>0</v>
      </c>
      <c r="AJ19" s="156">
        <v>0</v>
      </c>
      <c r="AK19" s="156">
        <v>0</v>
      </c>
      <c r="AL19" s="161">
        <v>62.020568353626601</v>
      </c>
      <c r="AO19" s="159" t="s">
        <v>68</v>
      </c>
      <c r="AP19" s="160">
        <v>4.4300405966876104</v>
      </c>
      <c r="AQ19" s="160">
        <v>4.6831857736411902</v>
      </c>
      <c r="AR19" s="160">
        <v>4.9363309505947699</v>
      </c>
      <c r="AS19" s="160">
        <v>5.1894761275483496</v>
      </c>
      <c r="AT19" s="160">
        <v>5.4426213045019196</v>
      </c>
      <c r="AU19" s="160">
        <v>5.6957664814555002</v>
      </c>
      <c r="AV19" s="160">
        <v>5.94891165840908</v>
      </c>
      <c r="AW19" s="160">
        <v>6.2020568353626597</v>
      </c>
      <c r="AX19" s="160">
        <v>6.5079405908482304</v>
      </c>
      <c r="AY19" s="160">
        <v>6.8138243463338002</v>
      </c>
      <c r="AZ19" s="160">
        <v>7.1197081018193797</v>
      </c>
      <c r="BA19" s="160">
        <v>7.4255918573049504</v>
      </c>
      <c r="BB19" s="160">
        <v>7.73147561279053</v>
      </c>
      <c r="BC19" s="160">
        <v>8.0373593682760998</v>
      </c>
      <c r="BD19" s="160">
        <v>8.3432431237616704</v>
      </c>
      <c r="BE19" s="160">
        <v>8.64912687924725</v>
      </c>
      <c r="BF19" s="160">
        <v>8.9550106347328207</v>
      </c>
      <c r="BG19" s="160">
        <v>9.2608943902183896</v>
      </c>
      <c r="BH19" s="160">
        <v>9.5667781457039691</v>
      </c>
      <c r="BI19" s="160">
        <v>9.8726619011895398</v>
      </c>
      <c r="BJ19" s="160">
        <v>10.1785456566751</v>
      </c>
      <c r="BK19" s="160">
        <v>10.484429412160701</v>
      </c>
      <c r="BL19" s="160">
        <v>10.7903131676463</v>
      </c>
      <c r="BM19" s="160">
        <v>11.096196923131799</v>
      </c>
      <c r="BN19" s="160">
        <v>11.4020806786174</v>
      </c>
      <c r="BO19" s="160">
        <v>11.707964434102999</v>
      </c>
      <c r="BP19" s="160">
        <v>12.0138481895886</v>
      </c>
      <c r="BQ19" s="160">
        <v>12.3197319450741</v>
      </c>
      <c r="BR19" s="160">
        <v>12.625615700559701</v>
      </c>
      <c r="BS19" s="160">
        <v>12.9314994560453</v>
      </c>
      <c r="BT19" s="160">
        <v>13.237383211530799</v>
      </c>
      <c r="BU19" s="160">
        <v>13.5432669670164</v>
      </c>
      <c r="BV19" s="160">
        <v>13.849150722501999</v>
      </c>
      <c r="BW19" s="160">
        <v>14.1550344779876</v>
      </c>
      <c r="BX19" s="160">
        <v>14.4609182334731</v>
      </c>
      <c r="BY19" s="160">
        <v>14.766801988958701</v>
      </c>
      <c r="BZ19" s="161">
        <v>46.515426265219901</v>
      </c>
      <c r="CB19" s="162" t="s">
        <v>68</v>
      </c>
      <c r="CC19" s="160">
        <v>8.8600811933752297</v>
      </c>
      <c r="CD19" s="160">
        <v>9.3663715472823803</v>
      </c>
      <c r="CE19" s="160">
        <v>9.8726619011895398</v>
      </c>
      <c r="CF19" s="160">
        <v>10.378952255096699</v>
      </c>
      <c r="CG19" s="160">
        <v>10.8852426090038</v>
      </c>
      <c r="CH19" s="160">
        <v>11.391532962911</v>
      </c>
      <c r="CI19" s="160">
        <v>11.897823316818201</v>
      </c>
      <c r="CJ19" s="160">
        <v>12.4041136707253</v>
      </c>
      <c r="CK19" s="160">
        <v>13.0158811816965</v>
      </c>
      <c r="CL19" s="160">
        <v>13.6276486926676</v>
      </c>
      <c r="CM19" s="160">
        <v>14.2394162036388</v>
      </c>
      <c r="CN19" s="160">
        <v>14.851183714609901</v>
      </c>
      <c r="CO19" s="160">
        <v>15.462951225581101</v>
      </c>
      <c r="CP19" s="160">
        <v>16.0747187365522</v>
      </c>
      <c r="CQ19" s="160">
        <v>16.686486247523298</v>
      </c>
      <c r="CR19" s="160">
        <v>17.2982537584945</v>
      </c>
      <c r="CS19" s="160">
        <v>17.910021269465599</v>
      </c>
      <c r="CT19" s="160">
        <v>18.5217887804368</v>
      </c>
      <c r="CU19" s="160">
        <v>19.133556291407899</v>
      </c>
      <c r="CV19" s="160">
        <v>19.745323802379101</v>
      </c>
      <c r="CW19" s="160">
        <v>20.3570913133502</v>
      </c>
      <c r="CX19" s="160">
        <v>20.968858824321401</v>
      </c>
      <c r="CY19" s="160">
        <v>21.5806263352925</v>
      </c>
      <c r="CZ19" s="160">
        <v>22.192393846263698</v>
      </c>
      <c r="DA19" s="160">
        <v>22.804161357234801</v>
      </c>
      <c r="DB19" s="160">
        <v>23.415928868205999</v>
      </c>
      <c r="DC19" s="160">
        <v>24.027696379177101</v>
      </c>
      <c r="DD19" s="160">
        <v>24.6394638901482</v>
      </c>
      <c r="DE19" s="160">
        <v>25.251231401119401</v>
      </c>
      <c r="DF19" s="160">
        <v>25.8629989120905</v>
      </c>
      <c r="DG19" s="160">
        <v>26.474766423061698</v>
      </c>
      <c r="DH19" s="160">
        <v>27.086533934032801</v>
      </c>
      <c r="DI19" s="160">
        <v>27.698301445003999</v>
      </c>
      <c r="DJ19" s="160">
        <v>28.310068955975101</v>
      </c>
      <c r="DK19" s="160">
        <v>28.921836466946299</v>
      </c>
      <c r="DL19" s="160">
        <v>29.533603977917402</v>
      </c>
      <c r="DM19" s="161">
        <v>31.0102841768133</v>
      </c>
      <c r="DO19" s="159" t="s">
        <v>68</v>
      </c>
      <c r="DP19" s="160">
        <v>13.2901217900628</v>
      </c>
      <c r="DQ19" s="160">
        <v>14.049557320923601</v>
      </c>
      <c r="DR19" s="160">
        <v>14.8089928517843</v>
      </c>
      <c r="DS19" s="160">
        <v>15.568428382644999</v>
      </c>
      <c r="DT19" s="160">
        <v>16.327863913505801</v>
      </c>
      <c r="DU19" s="160">
        <v>17.087299444366501</v>
      </c>
      <c r="DV19" s="160">
        <v>17.8467349752272</v>
      </c>
      <c r="DW19" s="160">
        <v>18.606170506087999</v>
      </c>
      <c r="DX19" s="160">
        <v>19.5238217725447</v>
      </c>
      <c r="DY19" s="160">
        <v>20.441473039001401</v>
      </c>
      <c r="DZ19" s="160">
        <v>21.359124305458099</v>
      </c>
      <c r="EA19" s="160">
        <v>22.2767755719149</v>
      </c>
      <c r="EB19" s="160">
        <v>23.194426838371601</v>
      </c>
      <c r="EC19" s="160">
        <v>24.112078104828299</v>
      </c>
      <c r="ED19" s="160">
        <v>25.029729371285001</v>
      </c>
      <c r="EE19" s="160">
        <v>25.947380637741698</v>
      </c>
      <c r="EF19" s="160">
        <v>26.865031904198499</v>
      </c>
      <c r="EG19" s="160">
        <v>27.782683170655201</v>
      </c>
      <c r="EH19" s="160">
        <v>28.700334437111898</v>
      </c>
      <c r="EI19" s="160">
        <v>29.6179857035686</v>
      </c>
      <c r="EJ19" s="160">
        <v>30.535636970025301</v>
      </c>
      <c r="EK19" s="160">
        <v>31.453288236482098</v>
      </c>
      <c r="EL19" s="160">
        <v>32.370939502938803</v>
      </c>
      <c r="EM19" s="160">
        <v>33.288590769395498</v>
      </c>
      <c r="EN19" s="160">
        <v>34.206242035852199</v>
      </c>
      <c r="EO19" s="160">
        <v>35.1238933023089</v>
      </c>
      <c r="EP19" s="160">
        <v>36.041544568765701</v>
      </c>
      <c r="EQ19" s="160">
        <v>36.959195835222403</v>
      </c>
      <c r="ER19" s="160">
        <v>37.876847101679097</v>
      </c>
      <c r="ES19" s="160">
        <v>38.794498368135798</v>
      </c>
      <c r="ET19" s="160">
        <v>39.7121496345925</v>
      </c>
      <c r="EU19" s="160">
        <v>40.6298009010493</v>
      </c>
      <c r="EV19" s="160">
        <v>41.547452167506002</v>
      </c>
      <c r="EW19" s="160">
        <v>42.465103433962703</v>
      </c>
      <c r="EX19" s="160">
        <v>43.382754700419397</v>
      </c>
      <c r="EY19" s="160">
        <v>44.300405966876099</v>
      </c>
      <c r="EZ19" s="161">
        <v>15.5051420884066</v>
      </c>
      <c r="FB19" s="159" t="s">
        <v>68</v>
      </c>
      <c r="FC19" s="160">
        <v>17.720162386750498</v>
      </c>
      <c r="FD19" s="160">
        <v>18.7327430945648</v>
      </c>
      <c r="FE19" s="160">
        <v>19.745323802379101</v>
      </c>
      <c r="FF19" s="160">
        <v>20.757904510193399</v>
      </c>
      <c r="FG19" s="160">
        <v>21.7704852180077</v>
      </c>
      <c r="FH19" s="160">
        <v>22.783065925822001</v>
      </c>
      <c r="FI19" s="160">
        <v>23.795646633636299</v>
      </c>
      <c r="FJ19" s="160">
        <v>24.8082273414506</v>
      </c>
      <c r="FK19" s="160">
        <v>26.0317623633929</v>
      </c>
      <c r="FL19" s="160">
        <v>27.255297385335201</v>
      </c>
      <c r="FM19" s="160">
        <v>28.478832407277501</v>
      </c>
      <c r="FN19" s="160">
        <v>29.702367429219802</v>
      </c>
      <c r="FO19" s="160">
        <v>30.925902451162099</v>
      </c>
      <c r="FP19" s="160">
        <v>32.149437473104399</v>
      </c>
      <c r="FQ19" s="160">
        <v>33.372972495046703</v>
      </c>
      <c r="FR19" s="160">
        <v>34.596507516989</v>
      </c>
      <c r="FS19" s="160">
        <v>35.820042538931297</v>
      </c>
      <c r="FT19" s="160">
        <v>37.043577560873601</v>
      </c>
      <c r="FU19" s="160">
        <v>38.267112582815898</v>
      </c>
      <c r="FV19" s="160">
        <v>39.490647604758202</v>
      </c>
      <c r="FW19" s="160">
        <v>40.714182626700399</v>
      </c>
      <c r="FX19" s="160">
        <v>41.937717648642703</v>
      </c>
      <c r="FY19" s="160">
        <v>43.161252670585</v>
      </c>
      <c r="FZ19" s="160">
        <v>44.384787692527297</v>
      </c>
      <c r="GA19" s="160">
        <v>45.608322714469601</v>
      </c>
      <c r="GB19" s="160">
        <v>46.831857736411898</v>
      </c>
      <c r="GC19" s="160">
        <v>48.055392758354202</v>
      </c>
      <c r="GD19" s="160">
        <v>49.278927780296499</v>
      </c>
      <c r="GE19" s="160">
        <v>50.502462802238803</v>
      </c>
      <c r="GF19" s="160">
        <v>51.7259978241811</v>
      </c>
      <c r="GG19" s="160">
        <v>52.949532846123397</v>
      </c>
      <c r="GH19" s="160">
        <v>54.173067868065701</v>
      </c>
      <c r="GI19" s="160">
        <v>55.396602890007998</v>
      </c>
      <c r="GJ19" s="160">
        <v>56.620137911950302</v>
      </c>
      <c r="GK19" s="160">
        <v>57.843672933892599</v>
      </c>
      <c r="GL19" s="160">
        <v>59.067207955834803</v>
      </c>
      <c r="GM19" s="156">
        <v>0</v>
      </c>
    </row>
    <row r="20" spans="1:195" s="150" customFormat="1" ht="15.5" x14ac:dyDescent="0.3">
      <c r="A20" s="163" t="s">
        <v>69</v>
      </c>
      <c r="B20" s="156">
        <v>0</v>
      </c>
      <c r="C20" s="156">
        <v>0</v>
      </c>
      <c r="D20" s="156">
        <v>0</v>
      </c>
      <c r="E20" s="156">
        <v>0</v>
      </c>
      <c r="F20" s="156">
        <v>0</v>
      </c>
      <c r="G20" s="156">
        <v>0</v>
      </c>
      <c r="H20" s="156">
        <v>0</v>
      </c>
      <c r="I20" s="156">
        <v>0</v>
      </c>
      <c r="J20" s="156">
        <v>0</v>
      </c>
      <c r="K20" s="156">
        <v>0</v>
      </c>
      <c r="L20" s="156">
        <v>0</v>
      </c>
      <c r="M20" s="156">
        <v>0</v>
      </c>
      <c r="N20" s="156">
        <v>0</v>
      </c>
      <c r="O20" s="156">
        <v>0</v>
      </c>
      <c r="P20" s="156">
        <v>0</v>
      </c>
      <c r="Q20" s="156">
        <v>0</v>
      </c>
      <c r="R20" s="156">
        <v>0</v>
      </c>
      <c r="S20" s="156">
        <v>0</v>
      </c>
      <c r="T20" s="156">
        <v>0</v>
      </c>
      <c r="U20" s="156">
        <v>0</v>
      </c>
      <c r="V20" s="156">
        <v>0</v>
      </c>
      <c r="W20" s="156">
        <v>0</v>
      </c>
      <c r="X20" s="156">
        <v>0</v>
      </c>
      <c r="Y20" s="156">
        <v>0</v>
      </c>
      <c r="Z20" s="156">
        <v>0</v>
      </c>
      <c r="AA20" s="156">
        <v>0</v>
      </c>
      <c r="AB20" s="156">
        <v>0</v>
      </c>
      <c r="AC20" s="156">
        <v>0</v>
      </c>
      <c r="AD20" s="156">
        <v>0</v>
      </c>
      <c r="AE20" s="156">
        <v>0</v>
      </c>
      <c r="AF20" s="156">
        <v>0</v>
      </c>
      <c r="AG20" s="156">
        <v>0</v>
      </c>
      <c r="AH20" s="156">
        <v>0</v>
      </c>
      <c r="AI20" s="156">
        <v>0</v>
      </c>
      <c r="AJ20" s="156">
        <v>0</v>
      </c>
      <c r="AK20" s="156">
        <v>0</v>
      </c>
      <c r="AL20" s="161">
        <v>10.818760856920701</v>
      </c>
      <c r="AO20" s="159" t="s">
        <v>69</v>
      </c>
      <c r="AP20" s="160">
        <v>0.77276863263719098</v>
      </c>
      <c r="AQ20" s="160">
        <v>0.816926840216459</v>
      </c>
      <c r="AR20" s="160">
        <v>0.86108504779572703</v>
      </c>
      <c r="AS20" s="160">
        <v>0.90524325537499495</v>
      </c>
      <c r="AT20" s="160">
        <v>0.94940146295426298</v>
      </c>
      <c r="AU20" s="160">
        <v>0.993559670533531</v>
      </c>
      <c r="AV20" s="160">
        <v>1.0377178781128</v>
      </c>
      <c r="AW20" s="160">
        <v>1.0818760856920699</v>
      </c>
      <c r="AX20" s="160">
        <v>1.13523391985035</v>
      </c>
      <c r="AY20" s="160">
        <v>1.1885917540086299</v>
      </c>
      <c r="AZ20" s="160">
        <v>1.24194958816691</v>
      </c>
      <c r="BA20" s="160">
        <v>1.2953074223251999</v>
      </c>
      <c r="BB20" s="160">
        <v>1.34866525648348</v>
      </c>
      <c r="BC20" s="160">
        <v>1.4020230906417599</v>
      </c>
      <c r="BD20" s="160">
        <v>1.45538092480004</v>
      </c>
      <c r="BE20" s="160">
        <v>1.5087387589583301</v>
      </c>
      <c r="BF20" s="160">
        <v>1.56209659311661</v>
      </c>
      <c r="BG20" s="160">
        <v>1.6154544272748901</v>
      </c>
      <c r="BH20" s="160">
        <v>1.66881226143317</v>
      </c>
      <c r="BI20" s="160">
        <v>1.7221700955914501</v>
      </c>
      <c r="BJ20" s="160">
        <v>1.7755279297497399</v>
      </c>
      <c r="BK20" s="160">
        <v>1.82888576390802</v>
      </c>
      <c r="BL20" s="160">
        <v>1.8822435980662999</v>
      </c>
      <c r="BM20" s="160">
        <v>1.93560143222458</v>
      </c>
      <c r="BN20" s="160">
        <v>1.9889592663828699</v>
      </c>
      <c r="BO20" s="160">
        <v>2.0423171005411498</v>
      </c>
      <c r="BP20" s="160">
        <v>2.0956749346994301</v>
      </c>
      <c r="BQ20" s="160">
        <v>2.14903276885771</v>
      </c>
      <c r="BR20" s="160">
        <v>2.2023906030159899</v>
      </c>
      <c r="BS20" s="160">
        <v>2.25574843717428</v>
      </c>
      <c r="BT20" s="160">
        <v>2.3091062713325599</v>
      </c>
      <c r="BU20" s="160">
        <v>2.3624641054908402</v>
      </c>
      <c r="BV20" s="160">
        <v>2.4158219396491201</v>
      </c>
      <c r="BW20" s="160">
        <v>2.4691797738074102</v>
      </c>
      <c r="BX20" s="160">
        <v>2.52253760796569</v>
      </c>
      <c r="BY20" s="160">
        <v>2.5758954421239699</v>
      </c>
      <c r="BZ20" s="161">
        <v>8.1140706426904998</v>
      </c>
      <c r="CB20" s="162" t="s">
        <v>69</v>
      </c>
      <c r="CC20" s="160">
        <v>1.54553726527438</v>
      </c>
      <c r="CD20" s="160">
        <v>1.63385368043292</v>
      </c>
      <c r="CE20" s="160">
        <v>1.7221700955914501</v>
      </c>
      <c r="CF20" s="160">
        <v>1.8104865107499899</v>
      </c>
      <c r="CG20" s="160">
        <v>1.8988029259085299</v>
      </c>
      <c r="CH20" s="160">
        <v>1.98711934106706</v>
      </c>
      <c r="CI20" s="160">
        <v>2.0754357562256001</v>
      </c>
      <c r="CJ20" s="160">
        <v>2.1637521713841301</v>
      </c>
      <c r="CK20" s="160">
        <v>2.2704678397007001</v>
      </c>
      <c r="CL20" s="160">
        <v>2.3771835080172599</v>
      </c>
      <c r="CM20" s="160">
        <v>2.4838991763338298</v>
      </c>
      <c r="CN20" s="160">
        <v>2.59061484465039</v>
      </c>
      <c r="CO20" s="160">
        <v>2.69733051296696</v>
      </c>
      <c r="CP20" s="160">
        <v>2.8040461812835198</v>
      </c>
      <c r="CQ20" s="160">
        <v>2.9107618496000902</v>
      </c>
      <c r="CR20" s="160">
        <v>3.01747751791665</v>
      </c>
      <c r="CS20" s="160">
        <v>3.12419318623322</v>
      </c>
      <c r="CT20" s="160">
        <v>3.2309088545497802</v>
      </c>
      <c r="CU20" s="160">
        <v>3.3376245228663399</v>
      </c>
      <c r="CV20" s="160">
        <v>3.4443401911829099</v>
      </c>
      <c r="CW20" s="160">
        <v>3.5510558594994701</v>
      </c>
      <c r="CX20" s="160">
        <v>3.6577715278160401</v>
      </c>
      <c r="CY20" s="160">
        <v>3.7644871961325999</v>
      </c>
      <c r="CZ20" s="160">
        <v>3.8712028644491698</v>
      </c>
      <c r="DA20" s="160">
        <v>3.97791853276573</v>
      </c>
      <c r="DB20" s="160">
        <v>4.0846342010822996</v>
      </c>
      <c r="DC20" s="160">
        <v>4.1913498693988602</v>
      </c>
      <c r="DD20" s="160">
        <v>4.2980655377154298</v>
      </c>
      <c r="DE20" s="160">
        <v>4.4047812060319904</v>
      </c>
      <c r="DF20" s="160">
        <v>4.5114968743485502</v>
      </c>
      <c r="DG20" s="160">
        <v>4.6182125426651197</v>
      </c>
      <c r="DH20" s="160">
        <v>4.7249282109816804</v>
      </c>
      <c r="DI20" s="160">
        <v>4.8316438792982499</v>
      </c>
      <c r="DJ20" s="160">
        <v>4.9383595476148097</v>
      </c>
      <c r="DK20" s="160">
        <v>5.0450752159313801</v>
      </c>
      <c r="DL20" s="160">
        <v>5.1517908842479399</v>
      </c>
      <c r="DM20" s="161">
        <v>5.4093804284603397</v>
      </c>
      <c r="DO20" s="159" t="s">
        <v>69</v>
      </c>
      <c r="DP20" s="160">
        <v>2.31830589791157</v>
      </c>
      <c r="DQ20" s="160">
        <v>2.45078052064938</v>
      </c>
      <c r="DR20" s="160">
        <v>2.5832551433871802</v>
      </c>
      <c r="DS20" s="160">
        <v>2.71572976612498</v>
      </c>
      <c r="DT20" s="160">
        <v>2.8482043888627899</v>
      </c>
      <c r="DU20" s="160">
        <v>2.9806790116005901</v>
      </c>
      <c r="DV20" s="160">
        <v>3.1131536343384001</v>
      </c>
      <c r="DW20" s="160">
        <v>3.2456282570761998</v>
      </c>
      <c r="DX20" s="160">
        <v>3.4057017595510501</v>
      </c>
      <c r="DY20" s="160">
        <v>3.5657752620258898</v>
      </c>
      <c r="DZ20" s="160">
        <v>3.7258487645007401</v>
      </c>
      <c r="EA20" s="160">
        <v>3.88592226697559</v>
      </c>
      <c r="EB20" s="160">
        <v>4.04599576945043</v>
      </c>
      <c r="EC20" s="160">
        <v>4.2060692719252799</v>
      </c>
      <c r="ED20" s="160">
        <v>4.3661427744001298</v>
      </c>
      <c r="EE20" s="160">
        <v>4.5262162768749796</v>
      </c>
      <c r="EF20" s="160">
        <v>4.6862897793498197</v>
      </c>
      <c r="EG20" s="160">
        <v>4.8463632818246696</v>
      </c>
      <c r="EH20" s="160">
        <v>5.0064367842995203</v>
      </c>
      <c r="EI20" s="160">
        <v>5.1665102867743604</v>
      </c>
      <c r="EJ20" s="160">
        <v>5.3265837892492103</v>
      </c>
      <c r="EK20" s="160">
        <v>5.4866572917240504</v>
      </c>
      <c r="EL20" s="160">
        <v>5.6467307941989002</v>
      </c>
      <c r="EM20" s="160">
        <v>5.8068042966737501</v>
      </c>
      <c r="EN20" s="160">
        <v>5.9668777991485999</v>
      </c>
      <c r="EO20" s="160">
        <v>6.12695130162344</v>
      </c>
      <c r="EP20" s="160">
        <v>6.2870248040982899</v>
      </c>
      <c r="EQ20" s="160">
        <v>6.4470983065731398</v>
      </c>
      <c r="ER20" s="160">
        <v>6.6071718090479798</v>
      </c>
      <c r="ES20" s="160">
        <v>6.7672453115228297</v>
      </c>
      <c r="ET20" s="160">
        <v>6.9273188139976796</v>
      </c>
      <c r="EU20" s="160">
        <v>7.0873923164725197</v>
      </c>
      <c r="EV20" s="160">
        <v>7.2474658189473704</v>
      </c>
      <c r="EW20" s="160">
        <v>7.4075393214222096</v>
      </c>
      <c r="EX20" s="160">
        <v>7.5676128238970604</v>
      </c>
      <c r="EY20" s="160">
        <v>7.7276863263719102</v>
      </c>
      <c r="EZ20" s="161">
        <v>2.7046902142301699</v>
      </c>
      <c r="FB20" s="159" t="s">
        <v>69</v>
      </c>
      <c r="FC20" s="160">
        <v>3.0910745305487599</v>
      </c>
      <c r="FD20" s="160">
        <v>3.26770736086584</v>
      </c>
      <c r="FE20" s="160">
        <v>3.4443401911829099</v>
      </c>
      <c r="FF20" s="160">
        <v>3.6209730214999798</v>
      </c>
      <c r="FG20" s="160">
        <v>3.7976058518170501</v>
      </c>
      <c r="FH20" s="160">
        <v>3.97423868213412</v>
      </c>
      <c r="FI20" s="160">
        <v>4.1508715124512001</v>
      </c>
      <c r="FJ20" s="160">
        <v>4.32750434276827</v>
      </c>
      <c r="FK20" s="160">
        <v>4.5409356794014002</v>
      </c>
      <c r="FL20" s="160">
        <v>4.7543670160345304</v>
      </c>
      <c r="FM20" s="160">
        <v>4.9677983526676597</v>
      </c>
      <c r="FN20" s="160">
        <v>5.1812296893007899</v>
      </c>
      <c r="FO20" s="160">
        <v>5.3946610259339103</v>
      </c>
      <c r="FP20" s="160">
        <v>5.6080923625670396</v>
      </c>
      <c r="FQ20" s="160">
        <v>5.8215236992001698</v>
      </c>
      <c r="FR20" s="160">
        <v>6.0349550358333</v>
      </c>
      <c r="FS20" s="160">
        <v>6.2483863724664301</v>
      </c>
      <c r="FT20" s="160">
        <v>6.4618177090995603</v>
      </c>
      <c r="FU20" s="160">
        <v>6.6752490457326896</v>
      </c>
      <c r="FV20" s="160">
        <v>6.8886803823658198</v>
      </c>
      <c r="FW20" s="160">
        <v>7.10211171899895</v>
      </c>
      <c r="FX20" s="160">
        <v>7.3155430556320704</v>
      </c>
      <c r="FY20" s="160">
        <v>7.5289743922651997</v>
      </c>
      <c r="FZ20" s="160">
        <v>7.7424057288983299</v>
      </c>
      <c r="GA20" s="160">
        <v>7.9558370655314601</v>
      </c>
      <c r="GB20" s="160">
        <v>8.1692684021645903</v>
      </c>
      <c r="GC20" s="160">
        <v>8.3826997387977205</v>
      </c>
      <c r="GD20" s="160">
        <v>8.5961310754308506</v>
      </c>
      <c r="GE20" s="160">
        <v>8.8095624120639808</v>
      </c>
      <c r="GF20" s="160">
        <v>9.0229937486971092</v>
      </c>
      <c r="GG20" s="160">
        <v>9.2364250853302305</v>
      </c>
      <c r="GH20" s="160">
        <v>9.4498564219633696</v>
      </c>
      <c r="GI20" s="160">
        <v>9.6632877585964998</v>
      </c>
      <c r="GJ20" s="160">
        <v>9.8767190952296193</v>
      </c>
      <c r="GK20" s="160">
        <v>10.090150431862799</v>
      </c>
      <c r="GL20" s="160">
        <v>10.303581768495899</v>
      </c>
      <c r="GM20" s="156">
        <v>0</v>
      </c>
    </row>
    <row r="21" spans="1:195" s="150" customFormat="1" ht="15.5" x14ac:dyDescent="0.3">
      <c r="A21" s="163" t="s">
        <v>70</v>
      </c>
      <c r="B21" s="156">
        <v>0</v>
      </c>
      <c r="C21" s="156">
        <v>0</v>
      </c>
      <c r="D21" s="156">
        <v>0</v>
      </c>
      <c r="E21" s="156">
        <v>0</v>
      </c>
      <c r="F21" s="156">
        <v>0</v>
      </c>
      <c r="G21" s="156">
        <v>0</v>
      </c>
      <c r="H21" s="156">
        <v>0</v>
      </c>
      <c r="I21" s="156">
        <v>0</v>
      </c>
      <c r="J21" s="156">
        <v>0</v>
      </c>
      <c r="K21" s="156">
        <v>0</v>
      </c>
      <c r="L21" s="156">
        <v>0</v>
      </c>
      <c r="M21" s="156">
        <v>0</v>
      </c>
      <c r="N21" s="156">
        <v>0</v>
      </c>
      <c r="O21" s="156">
        <v>0</v>
      </c>
      <c r="P21" s="156">
        <v>0</v>
      </c>
      <c r="Q21" s="156">
        <v>0</v>
      </c>
      <c r="R21" s="156">
        <v>0</v>
      </c>
      <c r="S21" s="156">
        <v>0</v>
      </c>
      <c r="T21" s="156">
        <v>0</v>
      </c>
      <c r="U21" s="156">
        <v>0</v>
      </c>
      <c r="V21" s="156">
        <v>0</v>
      </c>
      <c r="W21" s="156">
        <v>0</v>
      </c>
      <c r="X21" s="156">
        <v>0</v>
      </c>
      <c r="Y21" s="156">
        <v>0</v>
      </c>
      <c r="Z21" s="156">
        <v>0</v>
      </c>
      <c r="AA21" s="156">
        <v>0</v>
      </c>
      <c r="AB21" s="156">
        <v>0</v>
      </c>
      <c r="AC21" s="156">
        <v>0</v>
      </c>
      <c r="AD21" s="156">
        <v>0</v>
      </c>
      <c r="AE21" s="156">
        <v>0</v>
      </c>
      <c r="AF21" s="156">
        <v>0</v>
      </c>
      <c r="AG21" s="156">
        <v>0</v>
      </c>
      <c r="AH21" s="156">
        <v>0</v>
      </c>
      <c r="AI21" s="156">
        <v>0</v>
      </c>
      <c r="AJ21" s="156">
        <v>0</v>
      </c>
      <c r="AK21" s="156">
        <v>0</v>
      </c>
      <c r="AL21" s="161">
        <v>236.272656087071</v>
      </c>
      <c r="AO21" s="159" t="s">
        <v>70</v>
      </c>
      <c r="AP21" s="160">
        <v>16.876618291933699</v>
      </c>
      <c r="AQ21" s="160">
        <v>17.840996480044101</v>
      </c>
      <c r="AR21" s="160">
        <v>18.805374668154599</v>
      </c>
      <c r="AS21" s="160">
        <v>19.7697528562651</v>
      </c>
      <c r="AT21" s="160">
        <v>20.734131044375602</v>
      </c>
      <c r="AU21" s="160">
        <v>21.698509232486099</v>
      </c>
      <c r="AV21" s="160">
        <v>22.662887420596601</v>
      </c>
      <c r="AW21" s="160">
        <v>23.627265608707098</v>
      </c>
      <c r="AX21" s="160">
        <v>24.7925559193406</v>
      </c>
      <c r="AY21" s="160">
        <v>25.957846229974098</v>
      </c>
      <c r="AZ21" s="160">
        <v>27.1231365406077</v>
      </c>
      <c r="BA21" s="160">
        <v>28.288426851241201</v>
      </c>
      <c r="BB21" s="160">
        <v>29.4537171618747</v>
      </c>
      <c r="BC21" s="160">
        <v>30.619007472508201</v>
      </c>
      <c r="BD21" s="160">
        <v>31.7842977831417</v>
      </c>
      <c r="BE21" s="160">
        <v>32.949588093775198</v>
      </c>
      <c r="BF21" s="160">
        <v>34.114878404408699</v>
      </c>
      <c r="BG21" s="160">
        <v>35.280168715042201</v>
      </c>
      <c r="BH21" s="160">
        <v>36.445459025675802</v>
      </c>
      <c r="BI21" s="160">
        <v>37.610749336309297</v>
      </c>
      <c r="BJ21" s="160">
        <v>38.776039646942799</v>
      </c>
      <c r="BK21" s="160">
        <v>39.941329957576301</v>
      </c>
      <c r="BL21" s="160">
        <v>41.106620268209802</v>
      </c>
      <c r="BM21" s="160">
        <v>42.271910578843404</v>
      </c>
      <c r="BN21" s="160">
        <v>43.437200889476898</v>
      </c>
      <c r="BO21" s="160">
        <v>44.6024912001104</v>
      </c>
      <c r="BP21" s="160">
        <v>45.767781510743902</v>
      </c>
      <c r="BQ21" s="160">
        <v>46.933071821377403</v>
      </c>
      <c r="BR21" s="160">
        <v>48.098362132010898</v>
      </c>
      <c r="BS21" s="160">
        <v>49.2636524426444</v>
      </c>
      <c r="BT21" s="160">
        <v>50.428942753278001</v>
      </c>
      <c r="BU21" s="160">
        <v>51.594233063911503</v>
      </c>
      <c r="BV21" s="160">
        <v>52.759523374544997</v>
      </c>
      <c r="BW21" s="160">
        <v>53.924813685178499</v>
      </c>
      <c r="BX21" s="160">
        <v>55.090103995812001</v>
      </c>
      <c r="BY21" s="160">
        <v>56.255394306445503</v>
      </c>
      <c r="BZ21" s="161">
        <v>177.20449206530299</v>
      </c>
      <c r="CB21" s="162" t="s">
        <v>70</v>
      </c>
      <c r="CC21" s="160">
        <v>33.753236583867299</v>
      </c>
      <c r="CD21" s="160">
        <v>35.681992960088301</v>
      </c>
      <c r="CE21" s="160">
        <v>37.610749336309297</v>
      </c>
      <c r="CF21" s="160">
        <v>39.5395057125302</v>
      </c>
      <c r="CG21" s="160">
        <v>41.468262088751302</v>
      </c>
      <c r="CH21" s="160">
        <v>43.397018464972199</v>
      </c>
      <c r="CI21" s="160">
        <v>45.325774841193201</v>
      </c>
      <c r="CJ21" s="160">
        <v>47.254531217414197</v>
      </c>
      <c r="CK21" s="160">
        <v>49.5851118386813</v>
      </c>
      <c r="CL21" s="160">
        <v>51.915692459948303</v>
      </c>
      <c r="CM21" s="160">
        <v>54.2462730812153</v>
      </c>
      <c r="CN21" s="160">
        <v>56.576853702482303</v>
      </c>
      <c r="CO21" s="160">
        <v>58.907434323749399</v>
      </c>
      <c r="CP21" s="160">
        <v>61.238014945016403</v>
      </c>
      <c r="CQ21" s="160">
        <v>63.568595566283399</v>
      </c>
      <c r="CR21" s="160">
        <v>65.899176187550495</v>
      </c>
      <c r="CS21" s="160">
        <v>68.229756808817498</v>
      </c>
      <c r="CT21" s="160">
        <v>70.560337430084502</v>
      </c>
      <c r="CU21" s="160">
        <v>72.890918051351605</v>
      </c>
      <c r="CV21" s="160">
        <v>75.221498672618594</v>
      </c>
      <c r="CW21" s="160">
        <v>77.552079293885598</v>
      </c>
      <c r="CX21" s="160">
        <v>79.882659915152601</v>
      </c>
      <c r="CY21" s="160">
        <v>82.213240536419605</v>
      </c>
      <c r="CZ21" s="160">
        <v>84.543821157686693</v>
      </c>
      <c r="DA21" s="160">
        <v>86.874401778953796</v>
      </c>
      <c r="DB21" s="160">
        <v>89.2049824002207</v>
      </c>
      <c r="DC21" s="160">
        <v>91.535563021487803</v>
      </c>
      <c r="DD21" s="160">
        <v>93.866143642754807</v>
      </c>
      <c r="DE21" s="160">
        <v>96.196724264021796</v>
      </c>
      <c r="DF21" s="160">
        <v>98.527304885288899</v>
      </c>
      <c r="DG21" s="160">
        <v>100.857885506556</v>
      </c>
      <c r="DH21" s="160">
        <v>103.18846612782301</v>
      </c>
      <c r="DI21" s="160">
        <v>105.51904674908999</v>
      </c>
      <c r="DJ21" s="160">
        <v>107.849627370357</v>
      </c>
      <c r="DK21" s="160">
        <v>110.180207991624</v>
      </c>
      <c r="DL21" s="160">
        <v>112.51078861289101</v>
      </c>
      <c r="DM21" s="161">
        <v>118.136328043536</v>
      </c>
      <c r="DO21" s="159" t="s">
        <v>70</v>
      </c>
      <c r="DP21" s="160">
        <v>50.629854875801001</v>
      </c>
      <c r="DQ21" s="160">
        <v>53.522989440132399</v>
      </c>
      <c r="DR21" s="160">
        <v>56.416124004464002</v>
      </c>
      <c r="DS21" s="160">
        <v>59.3092585687954</v>
      </c>
      <c r="DT21" s="160">
        <v>62.202393133126897</v>
      </c>
      <c r="DU21" s="160">
        <v>65.095527697458394</v>
      </c>
      <c r="DV21" s="160">
        <v>67.988662261789898</v>
      </c>
      <c r="DW21" s="160">
        <v>70.881796826121303</v>
      </c>
      <c r="DX21" s="160">
        <v>74.3776677580219</v>
      </c>
      <c r="DY21" s="160">
        <v>77.873538689922398</v>
      </c>
      <c r="DZ21" s="160">
        <v>81.369409621822996</v>
      </c>
      <c r="EA21" s="160">
        <v>84.865280553723494</v>
      </c>
      <c r="EB21" s="160">
        <v>88.361151485624106</v>
      </c>
      <c r="EC21" s="160">
        <v>91.857022417524604</v>
      </c>
      <c r="ED21" s="160">
        <v>95.352893349425102</v>
      </c>
      <c r="EE21" s="160">
        <v>98.8487642813257</v>
      </c>
      <c r="EF21" s="160">
        <v>102.344635213226</v>
      </c>
      <c r="EG21" s="160">
        <v>105.84050614512699</v>
      </c>
      <c r="EH21" s="160">
        <v>109.336377077027</v>
      </c>
      <c r="EI21" s="160">
        <v>112.832248008928</v>
      </c>
      <c r="EJ21" s="160">
        <v>116.32811894082801</v>
      </c>
      <c r="EK21" s="160">
        <v>119.823989872729</v>
      </c>
      <c r="EL21" s="160">
        <v>123.319860804629</v>
      </c>
      <c r="EM21" s="160">
        <v>126.81573173653</v>
      </c>
      <c r="EN21" s="160">
        <v>130.31160266843099</v>
      </c>
      <c r="EO21" s="160">
        <v>133.80747360033101</v>
      </c>
      <c r="EP21" s="160">
        <v>137.30334453223199</v>
      </c>
      <c r="EQ21" s="160">
        <v>140.799215464132</v>
      </c>
      <c r="ER21" s="160">
        <v>144.29508639603301</v>
      </c>
      <c r="ES21" s="160">
        <v>147.790957327933</v>
      </c>
      <c r="ET21" s="160">
        <v>151.28682825983401</v>
      </c>
      <c r="EU21" s="160">
        <v>154.782699191734</v>
      </c>
      <c r="EV21" s="160">
        <v>158.27857012363501</v>
      </c>
      <c r="EW21" s="160">
        <v>161.77444105553599</v>
      </c>
      <c r="EX21" s="160">
        <v>165.270311987436</v>
      </c>
      <c r="EY21" s="160">
        <v>168.76618291933599</v>
      </c>
      <c r="EZ21" s="161">
        <v>59.068164021767799</v>
      </c>
      <c r="FB21" s="159" t="s">
        <v>70</v>
      </c>
      <c r="FC21" s="160">
        <v>67.506473167734597</v>
      </c>
      <c r="FD21" s="160">
        <v>71.363985920176603</v>
      </c>
      <c r="FE21" s="160">
        <v>75.221498672618594</v>
      </c>
      <c r="FF21" s="160">
        <v>79.0790114250605</v>
      </c>
      <c r="FG21" s="160">
        <v>82.936524177502505</v>
      </c>
      <c r="FH21" s="160">
        <v>86.794036929944497</v>
      </c>
      <c r="FI21" s="160">
        <v>90.651549682386403</v>
      </c>
      <c r="FJ21" s="160">
        <v>94.509062434828493</v>
      </c>
      <c r="FK21" s="160">
        <v>99.1702236773626</v>
      </c>
      <c r="FL21" s="160">
        <v>103.831384919897</v>
      </c>
      <c r="FM21" s="160">
        <v>108.492546162431</v>
      </c>
      <c r="FN21" s="160">
        <v>113.153707404965</v>
      </c>
      <c r="FO21" s="160">
        <v>117.814868647499</v>
      </c>
      <c r="FP21" s="160">
        <v>122.476029890033</v>
      </c>
      <c r="FQ21" s="160">
        <v>127.137191132567</v>
      </c>
      <c r="FR21" s="160">
        <v>131.79835237510099</v>
      </c>
      <c r="FS21" s="160">
        <v>136.459513617635</v>
      </c>
      <c r="FT21" s="160">
        <v>141.120674860169</v>
      </c>
      <c r="FU21" s="160">
        <v>145.78183610270301</v>
      </c>
      <c r="FV21" s="160">
        <v>150.44299734523699</v>
      </c>
      <c r="FW21" s="160">
        <v>155.104158587771</v>
      </c>
      <c r="FX21" s="160">
        <v>159.765319830305</v>
      </c>
      <c r="FY21" s="160">
        <v>164.42648107283901</v>
      </c>
      <c r="FZ21" s="160">
        <v>169.08764231537299</v>
      </c>
      <c r="GA21" s="160">
        <v>173.74880355790799</v>
      </c>
      <c r="GB21" s="160">
        <v>178.409964800441</v>
      </c>
      <c r="GC21" s="160">
        <v>183.071126042976</v>
      </c>
      <c r="GD21" s="160">
        <v>187.73228728551001</v>
      </c>
      <c r="GE21" s="160">
        <v>192.39344852804399</v>
      </c>
      <c r="GF21" s="160">
        <v>197.054609770578</v>
      </c>
      <c r="GG21" s="160">
        <v>201.715771013112</v>
      </c>
      <c r="GH21" s="160">
        <v>206.37693225564601</v>
      </c>
      <c r="GI21" s="160">
        <v>211.03809349817999</v>
      </c>
      <c r="GJ21" s="160">
        <v>215.699254740714</v>
      </c>
      <c r="GK21" s="160">
        <v>220.360415983248</v>
      </c>
      <c r="GL21" s="160">
        <v>225.02157722578201</v>
      </c>
      <c r="GM21" s="156">
        <v>0</v>
      </c>
    </row>
    <row r="22" spans="1:195" s="150" customFormat="1" ht="15.5" x14ac:dyDescent="0.3">
      <c r="A22" s="163" t="s">
        <v>71</v>
      </c>
      <c r="B22" s="156">
        <v>0</v>
      </c>
      <c r="C22" s="156">
        <v>0</v>
      </c>
      <c r="D22" s="156">
        <v>0</v>
      </c>
      <c r="E22" s="156">
        <v>0</v>
      </c>
      <c r="F22" s="156">
        <v>0</v>
      </c>
      <c r="G22" s="156">
        <v>0</v>
      </c>
      <c r="H22" s="156">
        <v>0</v>
      </c>
      <c r="I22" s="156">
        <v>0</v>
      </c>
      <c r="J22" s="156">
        <v>0</v>
      </c>
      <c r="K22" s="156">
        <v>0</v>
      </c>
      <c r="L22" s="156">
        <v>0</v>
      </c>
      <c r="M22" s="156">
        <v>0</v>
      </c>
      <c r="N22" s="156">
        <v>0</v>
      </c>
      <c r="O22" s="156">
        <v>0</v>
      </c>
      <c r="P22" s="156">
        <v>0</v>
      </c>
      <c r="Q22" s="156">
        <v>0</v>
      </c>
      <c r="R22" s="156">
        <v>0</v>
      </c>
      <c r="S22" s="156">
        <v>0</v>
      </c>
      <c r="T22" s="156">
        <v>0</v>
      </c>
      <c r="U22" s="156">
        <v>0</v>
      </c>
      <c r="V22" s="156">
        <v>0</v>
      </c>
      <c r="W22" s="156">
        <v>0</v>
      </c>
      <c r="X22" s="156">
        <v>0</v>
      </c>
      <c r="Y22" s="156">
        <v>0</v>
      </c>
      <c r="Z22" s="156">
        <v>0</v>
      </c>
      <c r="AA22" s="156">
        <v>0</v>
      </c>
      <c r="AB22" s="156">
        <v>0</v>
      </c>
      <c r="AC22" s="156">
        <v>0</v>
      </c>
      <c r="AD22" s="156">
        <v>0</v>
      </c>
      <c r="AE22" s="156">
        <v>0</v>
      </c>
      <c r="AF22" s="156">
        <v>0</v>
      </c>
      <c r="AG22" s="156">
        <v>0</v>
      </c>
      <c r="AH22" s="156">
        <v>0</v>
      </c>
      <c r="AI22" s="156">
        <v>0</v>
      </c>
      <c r="AJ22" s="156">
        <v>0</v>
      </c>
      <c r="AK22" s="156">
        <v>0</v>
      </c>
      <c r="AL22" s="161">
        <v>5.2401875550758996</v>
      </c>
      <c r="AO22" s="159" t="s">
        <v>71</v>
      </c>
      <c r="AP22" s="160">
        <v>0.37429911107684999</v>
      </c>
      <c r="AQ22" s="160">
        <v>0.39568763170981303</v>
      </c>
      <c r="AR22" s="160">
        <v>0.41707615234277601</v>
      </c>
      <c r="AS22" s="160">
        <v>0.43846467297573799</v>
      </c>
      <c r="AT22" s="160">
        <v>0.45985319360870103</v>
      </c>
      <c r="AU22" s="160">
        <v>0.48124171424166401</v>
      </c>
      <c r="AV22" s="160">
        <v>0.50263023487462699</v>
      </c>
      <c r="AW22" s="160">
        <v>0.52401875550759003</v>
      </c>
      <c r="AX22" s="160">
        <v>0.54986321793908699</v>
      </c>
      <c r="AY22" s="160">
        <v>0.57570768037058295</v>
      </c>
      <c r="AZ22" s="160">
        <v>0.60155214280208003</v>
      </c>
      <c r="BA22" s="160">
        <v>0.62739660523357699</v>
      </c>
      <c r="BB22" s="160">
        <v>0.65324106766507395</v>
      </c>
      <c r="BC22" s="160">
        <v>0.67908553009657002</v>
      </c>
      <c r="BD22" s="160">
        <v>0.70492999252806698</v>
      </c>
      <c r="BE22" s="160">
        <v>0.73077445495956395</v>
      </c>
      <c r="BF22" s="160">
        <v>0.75661891739106102</v>
      </c>
      <c r="BG22" s="160">
        <v>0.78246337982255698</v>
      </c>
      <c r="BH22" s="160">
        <v>0.80830784225405505</v>
      </c>
      <c r="BI22" s="160">
        <v>0.83415230468555102</v>
      </c>
      <c r="BJ22" s="160">
        <v>0.85999676711704798</v>
      </c>
      <c r="BK22" s="160">
        <v>0.88584122954854505</v>
      </c>
      <c r="BL22" s="160">
        <v>0.91168569198004101</v>
      </c>
      <c r="BM22" s="160">
        <v>0.93753015441153797</v>
      </c>
      <c r="BN22" s="160">
        <v>0.96337461684303505</v>
      </c>
      <c r="BO22" s="160">
        <v>0.98921907927453201</v>
      </c>
      <c r="BP22" s="160">
        <v>1.0150635417060301</v>
      </c>
      <c r="BQ22" s="160">
        <v>1.04090800413753</v>
      </c>
      <c r="BR22" s="160">
        <v>1.06675246656902</v>
      </c>
      <c r="BS22" s="160">
        <v>1.09259692900052</v>
      </c>
      <c r="BT22" s="160">
        <v>1.1184413914320199</v>
      </c>
      <c r="BU22" s="160">
        <v>1.1442858538635099</v>
      </c>
      <c r="BV22" s="160">
        <v>1.1701303162950101</v>
      </c>
      <c r="BW22" s="160">
        <v>1.19597477872651</v>
      </c>
      <c r="BX22" s="160">
        <v>1.221819241158</v>
      </c>
      <c r="BY22" s="160">
        <v>1.2476637035895</v>
      </c>
      <c r="BZ22" s="161">
        <v>3.93014066630692</v>
      </c>
      <c r="CB22" s="162" t="s">
        <v>71</v>
      </c>
      <c r="CC22" s="160">
        <v>0.74859822215369998</v>
      </c>
      <c r="CD22" s="160">
        <v>0.79137526341962505</v>
      </c>
      <c r="CE22" s="160">
        <v>0.83415230468555102</v>
      </c>
      <c r="CF22" s="160">
        <v>0.87692934595147698</v>
      </c>
      <c r="CG22" s="160">
        <v>0.91970638721740205</v>
      </c>
      <c r="CH22" s="160">
        <v>0.96248342848332802</v>
      </c>
      <c r="CI22" s="160">
        <v>1.00526046974925</v>
      </c>
      <c r="CJ22" s="160">
        <v>1.0480375110151801</v>
      </c>
      <c r="CK22" s="160">
        <v>1.09972643587817</v>
      </c>
      <c r="CL22" s="160">
        <v>1.1514153607411699</v>
      </c>
      <c r="CM22" s="160">
        <v>1.2031042856041601</v>
      </c>
      <c r="CN22" s="160">
        <v>1.25479321046715</v>
      </c>
      <c r="CO22" s="160">
        <v>1.3064821353301499</v>
      </c>
      <c r="CP22" s="160">
        <v>1.35817106019314</v>
      </c>
      <c r="CQ22" s="160">
        <v>1.40985998505613</v>
      </c>
      <c r="CR22" s="160">
        <v>1.4615489099191299</v>
      </c>
      <c r="CS22" s="160">
        <v>1.51323783478212</v>
      </c>
      <c r="CT22" s="160">
        <v>1.56492675964511</v>
      </c>
      <c r="CU22" s="160">
        <v>1.6166156845081101</v>
      </c>
      <c r="CV22" s="160">
        <v>1.6683046093711</v>
      </c>
      <c r="CW22" s="160">
        <v>1.7199935342341</v>
      </c>
      <c r="CX22" s="160">
        <v>1.7716824590970901</v>
      </c>
      <c r="CY22" s="160">
        <v>1.82337138396008</v>
      </c>
      <c r="CZ22" s="160">
        <v>1.8750603088230799</v>
      </c>
      <c r="DA22" s="160">
        <v>1.9267492336860701</v>
      </c>
      <c r="DB22" s="160">
        <v>1.97843815854906</v>
      </c>
      <c r="DC22" s="160">
        <v>2.0301270834120602</v>
      </c>
      <c r="DD22" s="160">
        <v>2.0818160082750499</v>
      </c>
      <c r="DE22" s="160">
        <v>2.13350493313804</v>
      </c>
      <c r="DF22" s="160">
        <v>2.1851938580010399</v>
      </c>
      <c r="DG22" s="160">
        <v>2.2368827828640301</v>
      </c>
      <c r="DH22" s="160">
        <v>2.28857170772703</v>
      </c>
      <c r="DI22" s="160">
        <v>2.3402606325900202</v>
      </c>
      <c r="DJ22" s="160">
        <v>2.3919495574530099</v>
      </c>
      <c r="DK22" s="160">
        <v>2.4436384823160102</v>
      </c>
      <c r="DL22" s="160">
        <v>2.4953274071789999</v>
      </c>
      <c r="DM22" s="161">
        <v>2.6200937775379498</v>
      </c>
      <c r="DO22" s="159" t="s">
        <v>71</v>
      </c>
      <c r="DP22" s="160">
        <v>1.1228973332305501</v>
      </c>
      <c r="DQ22" s="160">
        <v>1.18706289512944</v>
      </c>
      <c r="DR22" s="160">
        <v>1.2512284570283301</v>
      </c>
      <c r="DS22" s="160">
        <v>1.31539401892722</v>
      </c>
      <c r="DT22" s="160">
        <v>1.3795595808261001</v>
      </c>
      <c r="DU22" s="160">
        <v>1.44372514272499</v>
      </c>
      <c r="DV22" s="160">
        <v>1.5078907046238801</v>
      </c>
      <c r="DW22" s="160">
        <v>1.57205626652277</v>
      </c>
      <c r="DX22" s="160">
        <v>1.6495896538172601</v>
      </c>
      <c r="DY22" s="160">
        <v>1.72712304111175</v>
      </c>
      <c r="DZ22" s="160">
        <v>1.8046564284062401</v>
      </c>
      <c r="EA22" s="160">
        <v>1.88218981570073</v>
      </c>
      <c r="EB22" s="160">
        <v>1.9597232029952201</v>
      </c>
      <c r="EC22" s="160">
        <v>2.0372565902897102</v>
      </c>
      <c r="ED22" s="160">
        <v>2.1147899775841998</v>
      </c>
      <c r="EE22" s="160">
        <v>2.19232336487869</v>
      </c>
      <c r="EF22" s="160">
        <v>2.2698567521731801</v>
      </c>
      <c r="EG22" s="160">
        <v>2.3473901394676702</v>
      </c>
      <c r="EH22" s="160">
        <v>2.4249235267621598</v>
      </c>
      <c r="EI22" s="160">
        <v>2.5024569140566499</v>
      </c>
      <c r="EJ22" s="160">
        <v>2.57999030135114</v>
      </c>
      <c r="EK22" s="160">
        <v>2.6575236886456302</v>
      </c>
      <c r="EL22" s="160">
        <v>2.7350570759401198</v>
      </c>
      <c r="EM22" s="160">
        <v>2.8125904632346201</v>
      </c>
      <c r="EN22" s="160">
        <v>2.8901238505291098</v>
      </c>
      <c r="EO22" s="160">
        <v>2.9676572378235901</v>
      </c>
      <c r="EP22" s="160">
        <v>3.04519062511809</v>
      </c>
      <c r="EQ22" s="160">
        <v>3.1227240124125801</v>
      </c>
      <c r="ER22" s="160">
        <v>3.2002573997070698</v>
      </c>
      <c r="ES22" s="160">
        <v>3.2777907870015599</v>
      </c>
      <c r="ET22" s="160">
        <v>3.35532417429605</v>
      </c>
      <c r="EU22" s="160">
        <v>3.4328575615905401</v>
      </c>
      <c r="EV22" s="160">
        <v>3.5103909488850298</v>
      </c>
      <c r="EW22" s="160">
        <v>3.5879243361795199</v>
      </c>
      <c r="EX22" s="160">
        <v>3.66545772347401</v>
      </c>
      <c r="EY22" s="160">
        <v>3.7429911107685001</v>
      </c>
      <c r="EZ22" s="161">
        <v>1.31004688876897</v>
      </c>
      <c r="FB22" s="159" t="s">
        <v>71</v>
      </c>
      <c r="FC22" s="160">
        <v>1.4971964443074</v>
      </c>
      <c r="FD22" s="160">
        <v>1.5827505268392501</v>
      </c>
      <c r="FE22" s="160">
        <v>1.6683046093711</v>
      </c>
      <c r="FF22" s="160">
        <v>1.75385869190295</v>
      </c>
      <c r="FG22" s="160">
        <v>1.8394127744348101</v>
      </c>
      <c r="FH22" s="160">
        <v>1.92496685696666</v>
      </c>
      <c r="FI22" s="160">
        <v>2.0105209394985102</v>
      </c>
      <c r="FJ22" s="160">
        <v>2.0960750220303601</v>
      </c>
      <c r="FK22" s="160">
        <v>2.1994528717563502</v>
      </c>
      <c r="FL22" s="160">
        <v>2.30283072148233</v>
      </c>
      <c r="FM22" s="160">
        <v>2.4062085712083201</v>
      </c>
      <c r="FN22" s="160">
        <v>2.5095864209343102</v>
      </c>
      <c r="FO22" s="160">
        <v>2.61296427066029</v>
      </c>
      <c r="FP22" s="160">
        <v>2.7163421203862801</v>
      </c>
      <c r="FQ22" s="160">
        <v>2.8197199701122702</v>
      </c>
      <c r="FR22" s="160">
        <v>2.9230978198382598</v>
      </c>
      <c r="FS22" s="160">
        <v>3.0264756695642401</v>
      </c>
      <c r="FT22" s="160">
        <v>3.1298535192902301</v>
      </c>
      <c r="FU22" s="160">
        <v>3.2332313690162202</v>
      </c>
      <c r="FV22" s="160">
        <v>3.3366092187422098</v>
      </c>
      <c r="FW22" s="160">
        <v>3.4399870684681901</v>
      </c>
      <c r="FX22" s="160">
        <v>3.5433649181941802</v>
      </c>
      <c r="FY22" s="160">
        <v>3.6467427679201698</v>
      </c>
      <c r="FZ22" s="160">
        <v>3.7501206176461501</v>
      </c>
      <c r="GA22" s="160">
        <v>3.8534984673721402</v>
      </c>
      <c r="GB22" s="160">
        <v>3.9568763170981298</v>
      </c>
      <c r="GC22" s="160">
        <v>4.0602541668241097</v>
      </c>
      <c r="GD22" s="160">
        <v>4.1636320165500997</v>
      </c>
      <c r="GE22" s="160">
        <v>4.2670098662760898</v>
      </c>
      <c r="GF22" s="160">
        <v>4.3703877160020799</v>
      </c>
      <c r="GG22" s="160">
        <v>4.4737655657280602</v>
      </c>
      <c r="GH22" s="160">
        <v>4.5771434154540502</v>
      </c>
      <c r="GI22" s="160">
        <v>4.6805212651800403</v>
      </c>
      <c r="GJ22" s="160">
        <v>4.7838991149060197</v>
      </c>
      <c r="GK22" s="160">
        <v>4.8872769646320098</v>
      </c>
      <c r="GL22" s="160">
        <v>4.9906548143579998</v>
      </c>
      <c r="GM22" s="156">
        <v>0</v>
      </c>
    </row>
    <row r="23" spans="1:195" s="150" customFormat="1" ht="15.5" x14ac:dyDescent="0.3">
      <c r="A23" s="163" t="s">
        <v>72</v>
      </c>
      <c r="B23" s="156">
        <v>0</v>
      </c>
      <c r="C23" s="156">
        <v>0</v>
      </c>
      <c r="D23" s="156">
        <v>0</v>
      </c>
      <c r="E23" s="156">
        <v>0</v>
      </c>
      <c r="F23" s="156">
        <v>0</v>
      </c>
      <c r="G23" s="156">
        <v>0</v>
      </c>
      <c r="H23" s="156">
        <v>0</v>
      </c>
      <c r="I23" s="156">
        <v>0</v>
      </c>
      <c r="J23" s="156">
        <v>0</v>
      </c>
      <c r="K23" s="156">
        <v>0</v>
      </c>
      <c r="L23" s="156">
        <v>0</v>
      </c>
      <c r="M23" s="156">
        <v>0</v>
      </c>
      <c r="N23" s="156">
        <v>0</v>
      </c>
      <c r="O23" s="156">
        <v>0</v>
      </c>
      <c r="P23" s="156">
        <v>0</v>
      </c>
      <c r="Q23" s="156">
        <v>0</v>
      </c>
      <c r="R23" s="156">
        <v>0</v>
      </c>
      <c r="S23" s="156">
        <v>0</v>
      </c>
      <c r="T23" s="156">
        <v>0</v>
      </c>
      <c r="U23" s="156">
        <v>0</v>
      </c>
      <c r="V23" s="156">
        <v>0</v>
      </c>
      <c r="W23" s="156">
        <v>0</v>
      </c>
      <c r="X23" s="156">
        <v>0</v>
      </c>
      <c r="Y23" s="156">
        <v>0</v>
      </c>
      <c r="Z23" s="156">
        <v>0</v>
      </c>
      <c r="AA23" s="156">
        <v>0</v>
      </c>
      <c r="AB23" s="156">
        <v>0</v>
      </c>
      <c r="AC23" s="156">
        <v>0</v>
      </c>
      <c r="AD23" s="156">
        <v>0</v>
      </c>
      <c r="AE23" s="156">
        <v>0</v>
      </c>
      <c r="AF23" s="156">
        <v>0</v>
      </c>
      <c r="AG23" s="156">
        <v>0</v>
      </c>
      <c r="AH23" s="156">
        <v>0</v>
      </c>
      <c r="AI23" s="156">
        <v>0</v>
      </c>
      <c r="AJ23" s="156">
        <v>0</v>
      </c>
      <c r="AK23" s="156">
        <v>0</v>
      </c>
      <c r="AL23" s="161">
        <v>9.6444715343714993</v>
      </c>
      <c r="AO23" s="159" t="s">
        <v>72</v>
      </c>
      <c r="AP23" s="160">
        <v>0.68889082388367895</v>
      </c>
      <c r="AQ23" s="160">
        <v>0.72825601381988903</v>
      </c>
      <c r="AR23" s="160">
        <v>0.76762120375609899</v>
      </c>
      <c r="AS23" s="160">
        <v>0.80698639369230896</v>
      </c>
      <c r="AT23" s="160">
        <v>0.84635158362852003</v>
      </c>
      <c r="AU23" s="160">
        <v>0.88571677356473</v>
      </c>
      <c r="AV23" s="160">
        <v>0.92508196350093996</v>
      </c>
      <c r="AW23" s="160">
        <v>0.96444715343715004</v>
      </c>
      <c r="AX23" s="160">
        <v>1.01201342461007</v>
      </c>
      <c r="AY23" s="160">
        <v>1.0595796957829899</v>
      </c>
      <c r="AZ23" s="160">
        <v>1.1071459669559101</v>
      </c>
      <c r="BA23" s="160">
        <v>1.1547122381288299</v>
      </c>
      <c r="BB23" s="160">
        <v>1.2022785093017501</v>
      </c>
      <c r="BC23" s="160">
        <v>1.24984478047467</v>
      </c>
      <c r="BD23" s="160">
        <v>1.2974110516476001</v>
      </c>
      <c r="BE23" s="160">
        <v>1.34497732282052</v>
      </c>
      <c r="BF23" s="160">
        <v>1.3925435939934401</v>
      </c>
      <c r="BG23" s="160">
        <v>1.44010986516636</v>
      </c>
      <c r="BH23" s="160">
        <v>1.4876761363392801</v>
      </c>
      <c r="BI23" s="160">
        <v>1.5352424075122</v>
      </c>
      <c r="BJ23" s="160">
        <v>1.5828086786851201</v>
      </c>
      <c r="BK23" s="160">
        <v>1.63037494985804</v>
      </c>
      <c r="BL23" s="160">
        <v>1.6779412210309601</v>
      </c>
      <c r="BM23" s="160">
        <v>1.72550749220388</v>
      </c>
      <c r="BN23" s="160">
        <v>1.7730737633767999</v>
      </c>
      <c r="BO23" s="160">
        <v>1.82064003454972</v>
      </c>
      <c r="BP23" s="160">
        <v>1.8682063057226399</v>
      </c>
      <c r="BQ23" s="160">
        <v>1.91577257689556</v>
      </c>
      <c r="BR23" s="160">
        <v>1.9633388480684799</v>
      </c>
      <c r="BS23" s="160">
        <v>2.0109051192414</v>
      </c>
      <c r="BT23" s="160">
        <v>2.0584713904143301</v>
      </c>
      <c r="BU23" s="160">
        <v>2.10603766158725</v>
      </c>
      <c r="BV23" s="160">
        <v>2.1536039327601699</v>
      </c>
      <c r="BW23" s="160">
        <v>2.2011702039330898</v>
      </c>
      <c r="BX23" s="160">
        <v>2.2487364751060102</v>
      </c>
      <c r="BY23" s="160">
        <v>2.2963027462789301</v>
      </c>
      <c r="BZ23" s="161">
        <v>7.2333536507786302</v>
      </c>
      <c r="CB23" s="162" t="s">
        <v>72</v>
      </c>
      <c r="CC23" s="160">
        <v>1.3777816477673599</v>
      </c>
      <c r="CD23" s="160">
        <v>1.45651202763978</v>
      </c>
      <c r="CE23" s="160">
        <v>1.5352424075122</v>
      </c>
      <c r="CF23" s="160">
        <v>1.6139727873846199</v>
      </c>
      <c r="CG23" s="160">
        <v>1.6927031672570401</v>
      </c>
      <c r="CH23" s="160">
        <v>1.77143354712946</v>
      </c>
      <c r="CI23" s="160">
        <v>1.8501639270018799</v>
      </c>
      <c r="CJ23" s="160">
        <v>1.9288943068743001</v>
      </c>
      <c r="CK23" s="160">
        <v>2.0240268492201401</v>
      </c>
      <c r="CL23" s="160">
        <v>2.1191593915659799</v>
      </c>
      <c r="CM23" s="160">
        <v>2.2142919339118201</v>
      </c>
      <c r="CN23" s="160">
        <v>2.3094244762576701</v>
      </c>
      <c r="CO23" s="160">
        <v>2.4045570186035099</v>
      </c>
      <c r="CP23" s="160">
        <v>2.4996895609493501</v>
      </c>
      <c r="CQ23" s="160">
        <v>2.5948221032951899</v>
      </c>
      <c r="CR23" s="160">
        <v>2.6899546456410302</v>
      </c>
      <c r="CS23" s="160">
        <v>2.7850871879868699</v>
      </c>
      <c r="CT23" s="160">
        <v>2.8802197303327102</v>
      </c>
      <c r="CU23" s="160">
        <v>2.97535227267855</v>
      </c>
      <c r="CV23" s="160">
        <v>3.0704848150244</v>
      </c>
      <c r="CW23" s="160">
        <v>3.1656173573702402</v>
      </c>
      <c r="CX23" s="160">
        <v>3.26074989971608</v>
      </c>
      <c r="CY23" s="160">
        <v>3.3558824420619202</v>
      </c>
      <c r="CZ23" s="160">
        <v>3.45101498440776</v>
      </c>
      <c r="DA23" s="160">
        <v>3.5461475267535998</v>
      </c>
      <c r="DB23" s="160">
        <v>3.64128006909944</v>
      </c>
      <c r="DC23" s="160">
        <v>3.73641261144529</v>
      </c>
      <c r="DD23" s="160">
        <v>3.8315451537911298</v>
      </c>
      <c r="DE23" s="160">
        <v>3.92667769613697</v>
      </c>
      <c r="DF23" s="160">
        <v>4.0218102384828098</v>
      </c>
      <c r="DG23" s="160">
        <v>4.1169427808286496</v>
      </c>
      <c r="DH23" s="160">
        <v>4.2120753231744903</v>
      </c>
      <c r="DI23" s="160">
        <v>4.3072078655203399</v>
      </c>
      <c r="DJ23" s="160">
        <v>4.4023404078661796</v>
      </c>
      <c r="DK23" s="160">
        <v>4.4974729502120203</v>
      </c>
      <c r="DL23" s="160">
        <v>4.5926054925578601</v>
      </c>
      <c r="DM23" s="161">
        <v>4.8222357671857496</v>
      </c>
      <c r="DO23" s="159" t="s">
        <v>72</v>
      </c>
      <c r="DP23" s="160">
        <v>2.0666724716510401</v>
      </c>
      <c r="DQ23" s="160">
        <v>2.18476804145967</v>
      </c>
      <c r="DR23" s="160">
        <v>2.3028636112682999</v>
      </c>
      <c r="DS23" s="160">
        <v>2.4209591810769302</v>
      </c>
      <c r="DT23" s="160">
        <v>2.5390547508855601</v>
      </c>
      <c r="DU23" s="160">
        <v>2.65715032069419</v>
      </c>
      <c r="DV23" s="160">
        <v>2.7752458905028199</v>
      </c>
      <c r="DW23" s="160">
        <v>2.8933414603114498</v>
      </c>
      <c r="DX23" s="160">
        <v>3.0360402738302099</v>
      </c>
      <c r="DY23" s="160">
        <v>3.17873908734897</v>
      </c>
      <c r="DZ23" s="160">
        <v>3.3214379008677399</v>
      </c>
      <c r="EA23" s="160">
        <v>3.4641367143865001</v>
      </c>
      <c r="EB23" s="160">
        <v>3.6068355279052602</v>
      </c>
      <c r="EC23" s="160">
        <v>3.7495343414240199</v>
      </c>
      <c r="ED23" s="160">
        <v>3.89223315494278</v>
      </c>
      <c r="EE23" s="160">
        <v>4.0349319684615503</v>
      </c>
      <c r="EF23" s="160">
        <v>4.1776307819803096</v>
      </c>
      <c r="EG23" s="160">
        <v>4.3203295954990697</v>
      </c>
      <c r="EH23" s="160">
        <v>4.4630284090178396</v>
      </c>
      <c r="EI23" s="160">
        <v>4.6057272225365997</v>
      </c>
      <c r="EJ23" s="160">
        <v>4.7484260360553598</v>
      </c>
      <c r="EK23" s="160">
        <v>4.89112484957412</v>
      </c>
      <c r="EL23" s="160">
        <v>5.0338236630928801</v>
      </c>
      <c r="EM23" s="160">
        <v>5.1765224766116402</v>
      </c>
      <c r="EN23" s="160">
        <v>5.3192212901304101</v>
      </c>
      <c r="EO23" s="160">
        <v>5.4619201036491702</v>
      </c>
      <c r="EP23" s="160">
        <v>5.6046189171679304</v>
      </c>
      <c r="EQ23" s="160">
        <v>5.7473177306866896</v>
      </c>
      <c r="ER23" s="160">
        <v>5.8900165442054604</v>
      </c>
      <c r="ES23" s="160">
        <v>6.0327153577242196</v>
      </c>
      <c r="ET23" s="160">
        <v>6.1754141712429798</v>
      </c>
      <c r="EU23" s="160">
        <v>6.3181129847617399</v>
      </c>
      <c r="EV23" s="160">
        <v>6.4608117982805</v>
      </c>
      <c r="EW23" s="160">
        <v>6.6035106117992601</v>
      </c>
      <c r="EX23" s="160">
        <v>6.7462094253180203</v>
      </c>
      <c r="EY23" s="160">
        <v>6.8889082388367902</v>
      </c>
      <c r="EZ23" s="161">
        <v>2.4111178835928802</v>
      </c>
      <c r="FB23" s="159" t="s">
        <v>72</v>
      </c>
      <c r="FC23" s="160">
        <v>2.75556329553471</v>
      </c>
      <c r="FD23" s="160">
        <v>2.9130240552795601</v>
      </c>
      <c r="FE23" s="160">
        <v>3.0704848150244</v>
      </c>
      <c r="FF23" s="160">
        <v>3.2279455747692398</v>
      </c>
      <c r="FG23" s="160">
        <v>3.3854063345140801</v>
      </c>
      <c r="FH23" s="160">
        <v>3.54286709425892</v>
      </c>
      <c r="FI23" s="160">
        <v>3.7003278540037599</v>
      </c>
      <c r="FJ23" s="160">
        <v>3.8577886137486002</v>
      </c>
      <c r="FK23" s="160">
        <v>4.0480536984402802</v>
      </c>
      <c r="FL23" s="160">
        <v>4.2383187831319704</v>
      </c>
      <c r="FM23" s="160">
        <v>4.42858386782365</v>
      </c>
      <c r="FN23" s="160">
        <v>4.6188489525153296</v>
      </c>
      <c r="FO23" s="160">
        <v>4.80911403720701</v>
      </c>
      <c r="FP23" s="160">
        <v>4.9993791218987003</v>
      </c>
      <c r="FQ23" s="160">
        <v>5.1896442065903798</v>
      </c>
      <c r="FR23" s="160">
        <v>5.3799092912820603</v>
      </c>
      <c r="FS23" s="160">
        <v>5.5701743759737399</v>
      </c>
      <c r="FT23" s="160">
        <v>5.7604394606654301</v>
      </c>
      <c r="FU23" s="160">
        <v>5.9507045453571097</v>
      </c>
      <c r="FV23" s="160">
        <v>6.1409696300487902</v>
      </c>
      <c r="FW23" s="160">
        <v>6.3312347147404804</v>
      </c>
      <c r="FX23" s="160">
        <v>6.52149979943216</v>
      </c>
      <c r="FY23" s="160">
        <v>6.7117648841238404</v>
      </c>
      <c r="FZ23" s="160">
        <v>6.9020299688155298</v>
      </c>
      <c r="GA23" s="160">
        <v>7.0922950535072102</v>
      </c>
      <c r="GB23" s="160">
        <v>7.2825601381988898</v>
      </c>
      <c r="GC23" s="160">
        <v>7.4728252228905703</v>
      </c>
      <c r="GD23" s="160">
        <v>7.6630903075822596</v>
      </c>
      <c r="GE23" s="160">
        <v>7.8533553922739401</v>
      </c>
      <c r="GF23" s="160">
        <v>8.0436204769656197</v>
      </c>
      <c r="GG23" s="160">
        <v>8.2338855616572992</v>
      </c>
      <c r="GH23" s="160">
        <v>8.4241506463489895</v>
      </c>
      <c r="GI23" s="160">
        <v>8.6144157310406708</v>
      </c>
      <c r="GJ23" s="160">
        <v>8.8046808157323504</v>
      </c>
      <c r="GK23" s="160">
        <v>8.9949459004240406</v>
      </c>
      <c r="GL23" s="160">
        <v>9.1852109851157202</v>
      </c>
      <c r="GM23" s="156">
        <v>0</v>
      </c>
    </row>
    <row r="24" spans="1:195" s="150" customFormat="1" ht="31" x14ac:dyDescent="0.3">
      <c r="A24" s="163" t="s">
        <v>73</v>
      </c>
      <c r="B24" s="156">
        <v>0</v>
      </c>
      <c r="C24" s="156">
        <v>0</v>
      </c>
      <c r="D24" s="156">
        <v>0</v>
      </c>
      <c r="E24" s="156">
        <v>0</v>
      </c>
      <c r="F24" s="156">
        <v>0</v>
      </c>
      <c r="G24" s="156">
        <v>0</v>
      </c>
      <c r="H24" s="156">
        <v>0</v>
      </c>
      <c r="I24" s="156">
        <v>0</v>
      </c>
      <c r="J24" s="156">
        <v>0</v>
      </c>
      <c r="K24" s="156">
        <v>0</v>
      </c>
      <c r="L24" s="156">
        <v>0</v>
      </c>
      <c r="M24" s="156">
        <v>0</v>
      </c>
      <c r="N24" s="156">
        <v>0</v>
      </c>
      <c r="O24" s="156">
        <v>0</v>
      </c>
      <c r="P24" s="156">
        <v>0</v>
      </c>
      <c r="Q24" s="156">
        <v>0</v>
      </c>
      <c r="R24" s="156">
        <v>0</v>
      </c>
      <c r="S24" s="156">
        <v>0</v>
      </c>
      <c r="T24" s="156">
        <v>0</v>
      </c>
      <c r="U24" s="156">
        <v>0</v>
      </c>
      <c r="V24" s="156">
        <v>0</v>
      </c>
      <c r="W24" s="156">
        <v>0</v>
      </c>
      <c r="X24" s="156">
        <v>0</v>
      </c>
      <c r="Y24" s="156">
        <v>0</v>
      </c>
      <c r="Z24" s="156">
        <v>0</v>
      </c>
      <c r="AA24" s="156">
        <v>0</v>
      </c>
      <c r="AB24" s="156">
        <v>0</v>
      </c>
      <c r="AC24" s="156">
        <v>0</v>
      </c>
      <c r="AD24" s="156">
        <v>0</v>
      </c>
      <c r="AE24" s="156">
        <v>0</v>
      </c>
      <c r="AF24" s="156">
        <v>0</v>
      </c>
      <c r="AG24" s="156">
        <v>0</v>
      </c>
      <c r="AH24" s="156">
        <v>0</v>
      </c>
      <c r="AI24" s="156">
        <v>0</v>
      </c>
      <c r="AJ24" s="156">
        <v>0</v>
      </c>
      <c r="AK24" s="156">
        <v>0</v>
      </c>
      <c r="AL24" s="161">
        <v>3.8070941876303701</v>
      </c>
      <c r="AO24" s="159" t="s">
        <v>73</v>
      </c>
      <c r="AP24" s="160">
        <v>0.27193529911645498</v>
      </c>
      <c r="AQ24" s="160">
        <v>0.28747445906596703</v>
      </c>
      <c r="AR24" s="160">
        <v>0.30301361901547902</v>
      </c>
      <c r="AS24" s="160">
        <v>0.31855277896499001</v>
      </c>
      <c r="AT24" s="160">
        <v>0.33409193891450201</v>
      </c>
      <c r="AU24" s="160">
        <v>0.349631098864014</v>
      </c>
      <c r="AV24" s="160">
        <v>0.36517025881352499</v>
      </c>
      <c r="AW24" s="160">
        <v>0.38070941876303699</v>
      </c>
      <c r="AX24" s="160">
        <v>0.39948590370203002</v>
      </c>
      <c r="AY24" s="160">
        <v>0.418262388641024</v>
      </c>
      <c r="AZ24" s="160">
        <v>0.43703887358001697</v>
      </c>
      <c r="BA24" s="160">
        <v>0.45581535851901001</v>
      </c>
      <c r="BB24" s="160">
        <v>0.47459184345800398</v>
      </c>
      <c r="BC24" s="160">
        <v>0.49336832839699701</v>
      </c>
      <c r="BD24" s="160">
        <v>0.51214481333599005</v>
      </c>
      <c r="BE24" s="160">
        <v>0.53092129827498402</v>
      </c>
      <c r="BF24" s="160">
        <v>0.549697783213977</v>
      </c>
      <c r="BG24" s="160">
        <v>0.56847426815296997</v>
      </c>
      <c r="BH24" s="160">
        <v>0.58725075309196395</v>
      </c>
      <c r="BI24" s="160">
        <v>0.60602723803095704</v>
      </c>
      <c r="BJ24" s="160">
        <v>0.62480372296995002</v>
      </c>
      <c r="BK24" s="160">
        <v>0.64358020790894399</v>
      </c>
      <c r="BL24" s="160">
        <v>0.66235669284793697</v>
      </c>
      <c r="BM24" s="160">
        <v>0.68113317778693006</v>
      </c>
      <c r="BN24" s="160">
        <v>0.69990966272592403</v>
      </c>
      <c r="BO24" s="160">
        <v>0.71868614766491701</v>
      </c>
      <c r="BP24" s="160">
        <v>0.73746263260390998</v>
      </c>
      <c r="BQ24" s="160">
        <v>0.75623911754290396</v>
      </c>
      <c r="BR24" s="160">
        <v>0.77501560248189705</v>
      </c>
      <c r="BS24" s="160">
        <v>0.79379208742089002</v>
      </c>
      <c r="BT24" s="160">
        <v>0.812568572359883</v>
      </c>
      <c r="BU24" s="160">
        <v>0.83134505729887698</v>
      </c>
      <c r="BV24" s="160">
        <v>0.85012154223786995</v>
      </c>
      <c r="BW24" s="160">
        <v>0.86889802717686304</v>
      </c>
      <c r="BX24" s="160">
        <v>0.88767451211585702</v>
      </c>
      <c r="BY24" s="160">
        <v>0.90645099705484999</v>
      </c>
      <c r="BZ24" s="161">
        <v>2.85532064072278</v>
      </c>
      <c r="CB24" s="162" t="s">
        <v>73</v>
      </c>
      <c r="CC24" s="160">
        <v>0.54387059823290995</v>
      </c>
      <c r="CD24" s="160">
        <v>0.57494891813193305</v>
      </c>
      <c r="CE24" s="160">
        <v>0.60602723803095704</v>
      </c>
      <c r="CF24" s="160">
        <v>0.63710555792998003</v>
      </c>
      <c r="CG24" s="160">
        <v>0.66818387782900401</v>
      </c>
      <c r="CH24" s="160">
        <v>0.699262197728027</v>
      </c>
      <c r="CI24" s="160">
        <v>0.73034051762705099</v>
      </c>
      <c r="CJ24" s="160">
        <v>0.76141883752607398</v>
      </c>
      <c r="CK24" s="160">
        <v>0.79897180740406104</v>
      </c>
      <c r="CL24" s="160">
        <v>0.83652477728204699</v>
      </c>
      <c r="CM24" s="160">
        <v>0.87407774716003395</v>
      </c>
      <c r="CN24" s="160">
        <v>0.91163071703802101</v>
      </c>
      <c r="CO24" s="160">
        <v>0.94918368691600696</v>
      </c>
      <c r="CP24" s="160">
        <v>0.98673665679399403</v>
      </c>
      <c r="CQ24" s="160">
        <v>1.0242896266719801</v>
      </c>
      <c r="CR24" s="160">
        <v>1.06184259654997</v>
      </c>
      <c r="CS24" s="160">
        <v>1.09939556642795</v>
      </c>
      <c r="CT24" s="160">
        <v>1.1369485363059399</v>
      </c>
      <c r="CU24" s="160">
        <v>1.1745015061839299</v>
      </c>
      <c r="CV24" s="160">
        <v>1.2120544760619101</v>
      </c>
      <c r="CW24" s="160">
        <v>1.2496074459399</v>
      </c>
      <c r="CX24" s="160">
        <v>1.28716041581789</v>
      </c>
      <c r="CY24" s="160">
        <v>1.3247133856958699</v>
      </c>
      <c r="CZ24" s="160">
        <v>1.3622663555738601</v>
      </c>
      <c r="DA24" s="160">
        <v>1.3998193254518501</v>
      </c>
      <c r="DB24" s="160">
        <v>1.43737229532983</v>
      </c>
      <c r="DC24" s="160">
        <v>1.47492526520782</v>
      </c>
      <c r="DD24" s="160">
        <v>1.5124782350858099</v>
      </c>
      <c r="DE24" s="160">
        <v>1.5500312049637901</v>
      </c>
      <c r="DF24" s="160">
        <v>1.58758417484178</v>
      </c>
      <c r="DG24" s="160">
        <v>1.62513714471977</v>
      </c>
      <c r="DH24" s="160">
        <v>1.66269011459775</v>
      </c>
      <c r="DI24" s="160">
        <v>1.7002430844757399</v>
      </c>
      <c r="DJ24" s="160">
        <v>1.7377960543537301</v>
      </c>
      <c r="DK24" s="160">
        <v>1.77534902423171</v>
      </c>
      <c r="DL24" s="160">
        <v>1.8129019941097</v>
      </c>
      <c r="DM24" s="161">
        <v>1.9035470938151799</v>
      </c>
      <c r="DO24" s="159" t="s">
        <v>73</v>
      </c>
      <c r="DP24" s="160">
        <v>0.81580589734936504</v>
      </c>
      <c r="DQ24" s="160">
        <v>0.86242337719789997</v>
      </c>
      <c r="DR24" s="160">
        <v>0.909040857046435</v>
      </c>
      <c r="DS24" s="160">
        <v>0.95565833689497004</v>
      </c>
      <c r="DT24" s="160">
        <v>1.00227581674351</v>
      </c>
      <c r="DU24" s="160">
        <v>1.0488932965920399</v>
      </c>
      <c r="DV24" s="160">
        <v>1.09551077644058</v>
      </c>
      <c r="DW24" s="160">
        <v>1.14212825628911</v>
      </c>
      <c r="DX24" s="160">
        <v>1.1984577111060899</v>
      </c>
      <c r="DY24" s="160">
        <v>1.25478716592307</v>
      </c>
      <c r="DZ24" s="160">
        <v>1.31111662074005</v>
      </c>
      <c r="EA24" s="160">
        <v>1.3674460755570299</v>
      </c>
      <c r="EB24" s="160">
        <v>1.4237755303740101</v>
      </c>
      <c r="EC24" s="160">
        <v>1.48010498519099</v>
      </c>
      <c r="ED24" s="160">
        <v>1.5364344400079699</v>
      </c>
      <c r="EE24" s="160">
        <v>1.5927638948249501</v>
      </c>
      <c r="EF24" s="160">
        <v>1.64909334964193</v>
      </c>
      <c r="EG24" s="160">
        <v>1.7054228044589099</v>
      </c>
      <c r="EH24" s="160">
        <v>1.7617522592758901</v>
      </c>
      <c r="EI24" s="160">
        <v>1.81808171409287</v>
      </c>
      <c r="EJ24" s="160">
        <v>1.8744111689098499</v>
      </c>
      <c r="EK24" s="160">
        <v>1.9307406237268301</v>
      </c>
      <c r="EL24" s="160">
        <v>1.98707007854381</v>
      </c>
      <c r="EM24" s="160">
        <v>2.0433995333607902</v>
      </c>
      <c r="EN24" s="160">
        <v>2.0997289881777701</v>
      </c>
      <c r="EO24" s="160">
        <v>2.15605844299475</v>
      </c>
      <c r="EP24" s="160">
        <v>2.21238789781173</v>
      </c>
      <c r="EQ24" s="160">
        <v>2.2687173526287099</v>
      </c>
      <c r="ER24" s="160">
        <v>2.3250468074456898</v>
      </c>
      <c r="ES24" s="160">
        <v>2.3813762622626702</v>
      </c>
      <c r="ET24" s="160">
        <v>2.4377057170796501</v>
      </c>
      <c r="EU24" s="160">
        <v>2.49403517189663</v>
      </c>
      <c r="EV24" s="160">
        <v>2.55036462671361</v>
      </c>
      <c r="EW24" s="160">
        <v>2.6066940815305899</v>
      </c>
      <c r="EX24" s="160">
        <v>2.6630235363475698</v>
      </c>
      <c r="EY24" s="160">
        <v>2.7193529911645502</v>
      </c>
      <c r="EZ24" s="161">
        <v>0.95177354690759197</v>
      </c>
      <c r="FB24" s="159" t="s">
        <v>73</v>
      </c>
      <c r="FC24" s="160">
        <v>1.0877411964658199</v>
      </c>
      <c r="FD24" s="160">
        <v>1.1498978362638701</v>
      </c>
      <c r="FE24" s="160">
        <v>1.2120544760619101</v>
      </c>
      <c r="FF24" s="160">
        <v>1.2742111158599601</v>
      </c>
      <c r="FG24" s="160">
        <v>1.33636775565801</v>
      </c>
      <c r="FH24" s="160">
        <v>1.39852439545605</v>
      </c>
      <c r="FI24" s="160">
        <v>1.4606810352541</v>
      </c>
      <c r="FJ24" s="160">
        <v>1.52283767505215</v>
      </c>
      <c r="FK24" s="160">
        <v>1.5979436148081201</v>
      </c>
      <c r="FL24" s="160">
        <v>1.67304955456409</v>
      </c>
      <c r="FM24" s="160">
        <v>1.7481554943200699</v>
      </c>
      <c r="FN24" s="160">
        <v>1.82326143407604</v>
      </c>
      <c r="FO24" s="160">
        <v>1.8983673738320099</v>
      </c>
      <c r="FP24" s="160">
        <v>1.9734733135879901</v>
      </c>
      <c r="FQ24" s="160">
        <v>2.0485792533439602</v>
      </c>
      <c r="FR24" s="160">
        <v>2.1236851930999299</v>
      </c>
      <c r="FS24" s="160">
        <v>2.1987911328559102</v>
      </c>
      <c r="FT24" s="160">
        <v>2.2738970726118799</v>
      </c>
      <c r="FU24" s="160">
        <v>2.34900301236785</v>
      </c>
      <c r="FV24" s="160">
        <v>2.4241089521238299</v>
      </c>
      <c r="FW24" s="160">
        <v>2.4992148918798001</v>
      </c>
      <c r="FX24" s="160">
        <v>2.5743208316357702</v>
      </c>
      <c r="FY24" s="160">
        <v>2.6494267713917501</v>
      </c>
      <c r="FZ24" s="160">
        <v>2.7245327111477202</v>
      </c>
      <c r="GA24" s="160">
        <v>2.7996386509036899</v>
      </c>
      <c r="GB24" s="160">
        <v>2.8747445906596698</v>
      </c>
      <c r="GC24" s="160">
        <v>2.9498505304156399</v>
      </c>
      <c r="GD24" s="160">
        <v>3.0249564701716101</v>
      </c>
      <c r="GE24" s="160">
        <v>3.10006240992759</v>
      </c>
      <c r="GF24" s="160">
        <v>3.1751683496835601</v>
      </c>
      <c r="GG24" s="160">
        <v>3.2502742894395298</v>
      </c>
      <c r="GH24" s="160">
        <v>3.3253802291955101</v>
      </c>
      <c r="GI24" s="160">
        <v>3.4004861689514798</v>
      </c>
      <c r="GJ24" s="160">
        <v>3.4755921087074499</v>
      </c>
      <c r="GK24" s="160">
        <v>3.5506980484634298</v>
      </c>
      <c r="GL24" s="160">
        <v>3.6258039882194</v>
      </c>
      <c r="GM24" s="156">
        <v>0</v>
      </c>
    </row>
    <row r="25" spans="1:195" s="150" customFormat="1" ht="15.5" x14ac:dyDescent="0.3">
      <c r="A25" s="163" t="s">
        <v>74</v>
      </c>
      <c r="B25" s="156">
        <v>0</v>
      </c>
      <c r="C25" s="156">
        <v>0</v>
      </c>
      <c r="D25" s="156">
        <v>0</v>
      </c>
      <c r="E25" s="156">
        <v>0</v>
      </c>
      <c r="F25" s="156">
        <v>0</v>
      </c>
      <c r="G25" s="156">
        <v>0</v>
      </c>
      <c r="H25" s="156">
        <v>0</v>
      </c>
      <c r="I25" s="156">
        <v>0</v>
      </c>
      <c r="J25" s="156">
        <v>0</v>
      </c>
      <c r="K25" s="156">
        <v>0</v>
      </c>
      <c r="L25" s="156">
        <v>0</v>
      </c>
      <c r="M25" s="156">
        <v>0</v>
      </c>
      <c r="N25" s="156">
        <v>0</v>
      </c>
      <c r="O25" s="156">
        <v>0</v>
      </c>
      <c r="P25" s="156">
        <v>0</v>
      </c>
      <c r="Q25" s="156">
        <v>0</v>
      </c>
      <c r="R25" s="156">
        <v>0</v>
      </c>
      <c r="S25" s="156">
        <v>0</v>
      </c>
      <c r="T25" s="156">
        <v>0</v>
      </c>
      <c r="U25" s="156">
        <v>0</v>
      </c>
      <c r="V25" s="156">
        <v>0</v>
      </c>
      <c r="W25" s="156">
        <v>0</v>
      </c>
      <c r="X25" s="156">
        <v>0</v>
      </c>
      <c r="Y25" s="156">
        <v>0</v>
      </c>
      <c r="Z25" s="156">
        <v>0</v>
      </c>
      <c r="AA25" s="156">
        <v>0</v>
      </c>
      <c r="AB25" s="156">
        <v>0</v>
      </c>
      <c r="AC25" s="156">
        <v>0</v>
      </c>
      <c r="AD25" s="156">
        <v>0</v>
      </c>
      <c r="AE25" s="156">
        <v>0</v>
      </c>
      <c r="AF25" s="156">
        <v>0</v>
      </c>
      <c r="AG25" s="156">
        <v>0</v>
      </c>
      <c r="AH25" s="156">
        <v>0</v>
      </c>
      <c r="AI25" s="156">
        <v>0</v>
      </c>
      <c r="AJ25" s="156">
        <v>0</v>
      </c>
      <c r="AK25" s="156">
        <v>0</v>
      </c>
      <c r="AL25" s="161">
        <v>1.56840512208435</v>
      </c>
      <c r="AO25" s="159" t="s">
        <v>74</v>
      </c>
      <c r="AP25" s="160">
        <v>0.112028937291739</v>
      </c>
      <c r="AQ25" s="160">
        <v>0.118430590851267</v>
      </c>
      <c r="AR25" s="160">
        <v>0.124832244410795</v>
      </c>
      <c r="AS25" s="160">
        <v>0.131233897970323</v>
      </c>
      <c r="AT25" s="160">
        <v>0.13763555152985099</v>
      </c>
      <c r="AU25" s="160">
        <v>0.14403720508937901</v>
      </c>
      <c r="AV25" s="160">
        <v>0.15043885864890699</v>
      </c>
      <c r="AW25" s="160">
        <v>0.15684051220843501</v>
      </c>
      <c r="AX25" s="160">
        <v>0.16457584359286501</v>
      </c>
      <c r="AY25" s="160">
        <v>0.17231117497729401</v>
      </c>
      <c r="AZ25" s="160">
        <v>0.18004650636172401</v>
      </c>
      <c r="BA25" s="160">
        <v>0.18778183774615401</v>
      </c>
      <c r="BB25" s="160">
        <v>0.19551716913058301</v>
      </c>
      <c r="BC25" s="160">
        <v>0.20325250051501301</v>
      </c>
      <c r="BD25" s="160">
        <v>0.21098783189944301</v>
      </c>
      <c r="BE25" s="160">
        <v>0.21872316328387201</v>
      </c>
      <c r="BF25" s="160">
        <v>0.22645849466830201</v>
      </c>
      <c r="BG25" s="160">
        <v>0.23419382605273101</v>
      </c>
      <c r="BH25" s="160">
        <v>0.24192915743716101</v>
      </c>
      <c r="BI25" s="160">
        <v>0.24966448882159101</v>
      </c>
      <c r="BJ25" s="160">
        <v>0.25739982020601998</v>
      </c>
      <c r="BK25" s="160">
        <v>0.26513515159044998</v>
      </c>
      <c r="BL25" s="160">
        <v>0.27287048297487998</v>
      </c>
      <c r="BM25" s="160">
        <v>0.28060581435930898</v>
      </c>
      <c r="BN25" s="160">
        <v>0.28834114574373898</v>
      </c>
      <c r="BO25" s="160">
        <v>0.29607647712816898</v>
      </c>
      <c r="BP25" s="160">
        <v>0.30381180851259798</v>
      </c>
      <c r="BQ25" s="160">
        <v>0.31154713989702798</v>
      </c>
      <c r="BR25" s="160">
        <v>0.31928247128145698</v>
      </c>
      <c r="BS25" s="160">
        <v>0.32701780266588698</v>
      </c>
      <c r="BT25" s="160">
        <v>0.33475313405031698</v>
      </c>
      <c r="BU25" s="160">
        <v>0.34248846543474598</v>
      </c>
      <c r="BV25" s="160">
        <v>0.35022379681917598</v>
      </c>
      <c r="BW25" s="160">
        <v>0.35795912820360598</v>
      </c>
      <c r="BX25" s="160">
        <v>0.36569445958803498</v>
      </c>
      <c r="BY25" s="160">
        <v>0.37342979097246498</v>
      </c>
      <c r="BZ25" s="161">
        <v>1.1763038415632601</v>
      </c>
      <c r="CB25" s="162" t="s">
        <v>74</v>
      </c>
      <c r="CC25" s="160">
        <v>0.22405787458347901</v>
      </c>
      <c r="CD25" s="160">
        <v>0.23686118170253501</v>
      </c>
      <c r="CE25" s="160">
        <v>0.24966448882159101</v>
      </c>
      <c r="CF25" s="160">
        <v>0.26246779594064701</v>
      </c>
      <c r="CG25" s="160">
        <v>0.27527110305970298</v>
      </c>
      <c r="CH25" s="160">
        <v>0.28807441017875901</v>
      </c>
      <c r="CI25" s="160">
        <v>0.30087771729781398</v>
      </c>
      <c r="CJ25" s="160">
        <v>0.31368102441687001</v>
      </c>
      <c r="CK25" s="160">
        <v>0.32915168718573001</v>
      </c>
      <c r="CL25" s="160">
        <v>0.34462234995458901</v>
      </c>
      <c r="CM25" s="160">
        <v>0.36009301272344801</v>
      </c>
      <c r="CN25" s="160">
        <v>0.37556367549230801</v>
      </c>
      <c r="CO25" s="160">
        <v>0.39103433826116701</v>
      </c>
      <c r="CP25" s="160">
        <v>0.40650500103002601</v>
      </c>
      <c r="CQ25" s="160">
        <v>0.42197566379888501</v>
      </c>
      <c r="CR25" s="160">
        <v>0.43744632656774501</v>
      </c>
      <c r="CS25" s="160">
        <v>0.45291698933660401</v>
      </c>
      <c r="CT25" s="160">
        <v>0.46838765210546301</v>
      </c>
      <c r="CU25" s="160">
        <v>0.48385831487432202</v>
      </c>
      <c r="CV25" s="160">
        <v>0.49932897764318102</v>
      </c>
      <c r="CW25" s="160">
        <v>0.51479964041204096</v>
      </c>
      <c r="CX25" s="160">
        <v>0.53027030318089996</v>
      </c>
      <c r="CY25" s="160">
        <v>0.54574096594975896</v>
      </c>
      <c r="CZ25" s="160">
        <v>0.56121162871861896</v>
      </c>
      <c r="DA25" s="160">
        <v>0.57668229148747796</v>
      </c>
      <c r="DB25" s="160">
        <v>0.59215295425633696</v>
      </c>
      <c r="DC25" s="160">
        <v>0.60762361702519596</v>
      </c>
      <c r="DD25" s="160">
        <v>0.62309427979405596</v>
      </c>
      <c r="DE25" s="160">
        <v>0.63856494256291496</v>
      </c>
      <c r="DF25" s="160">
        <v>0.65403560533177396</v>
      </c>
      <c r="DG25" s="160">
        <v>0.66950626810063296</v>
      </c>
      <c r="DH25" s="160">
        <v>0.68497693086949296</v>
      </c>
      <c r="DI25" s="160">
        <v>0.70044759363835196</v>
      </c>
      <c r="DJ25" s="160">
        <v>0.71591825640721096</v>
      </c>
      <c r="DK25" s="160">
        <v>0.73138891917606996</v>
      </c>
      <c r="DL25" s="160">
        <v>0.74685958194492996</v>
      </c>
      <c r="DM25" s="161">
        <v>0.78420256104217601</v>
      </c>
      <c r="DO25" s="159" t="s">
        <v>74</v>
      </c>
      <c r="DP25" s="160">
        <v>0.33608681187521799</v>
      </c>
      <c r="DQ25" s="160">
        <v>0.35529177255380201</v>
      </c>
      <c r="DR25" s="160">
        <v>0.37449673323238603</v>
      </c>
      <c r="DS25" s="160">
        <v>0.39370169391096999</v>
      </c>
      <c r="DT25" s="160">
        <v>0.412906654589554</v>
      </c>
      <c r="DU25" s="160">
        <v>0.43211161526813802</v>
      </c>
      <c r="DV25" s="160">
        <v>0.45131657594672198</v>
      </c>
      <c r="DW25" s="160">
        <v>0.47052153662530599</v>
      </c>
      <c r="DX25" s="160">
        <v>0.49372753077859399</v>
      </c>
      <c r="DY25" s="160">
        <v>0.51693352493188305</v>
      </c>
      <c r="DZ25" s="160">
        <v>0.54013951908517199</v>
      </c>
      <c r="EA25" s="160">
        <v>0.56334551323846105</v>
      </c>
      <c r="EB25" s="160">
        <v>0.58655150739174999</v>
      </c>
      <c r="EC25" s="160">
        <v>0.60975750154503905</v>
      </c>
      <c r="ED25" s="160">
        <v>0.63296349569832799</v>
      </c>
      <c r="EE25" s="160">
        <v>0.65616948985161705</v>
      </c>
      <c r="EF25" s="160">
        <v>0.67937548400490499</v>
      </c>
      <c r="EG25" s="160">
        <v>0.70258147815819405</v>
      </c>
      <c r="EH25" s="160">
        <v>0.725787472311483</v>
      </c>
      <c r="EI25" s="160">
        <v>0.74899346646477205</v>
      </c>
      <c r="EJ25" s="160">
        <v>0.772199460618061</v>
      </c>
      <c r="EK25" s="160">
        <v>0.79540545477135005</v>
      </c>
      <c r="EL25" s="160">
        <v>0.818611448924639</v>
      </c>
      <c r="EM25" s="160">
        <v>0.84181744307792805</v>
      </c>
      <c r="EN25" s="160">
        <v>0.865023437231217</v>
      </c>
      <c r="EO25" s="160">
        <v>0.88822943138450505</v>
      </c>
      <c r="EP25" s="160">
        <v>0.911435425537794</v>
      </c>
      <c r="EQ25" s="160">
        <v>0.93464141969108305</v>
      </c>
      <c r="ER25" s="160">
        <v>0.957847413844372</v>
      </c>
      <c r="ES25" s="160">
        <v>0.98105340799766105</v>
      </c>
      <c r="ET25" s="160">
        <v>1.0042594021509501</v>
      </c>
      <c r="EU25" s="160">
        <v>1.0274653963042399</v>
      </c>
      <c r="EV25" s="160">
        <v>1.05067139045753</v>
      </c>
      <c r="EW25" s="160">
        <v>1.0738773846108201</v>
      </c>
      <c r="EX25" s="160">
        <v>1.0970833787641101</v>
      </c>
      <c r="EY25" s="160">
        <v>1.1202893729173899</v>
      </c>
      <c r="EZ25" s="161">
        <v>0.392101280521088</v>
      </c>
      <c r="FB25" s="159" t="s">
        <v>74</v>
      </c>
      <c r="FC25" s="160">
        <v>0.44811574916695801</v>
      </c>
      <c r="FD25" s="160">
        <v>0.47372236340506901</v>
      </c>
      <c r="FE25" s="160">
        <v>0.49932897764318102</v>
      </c>
      <c r="FF25" s="160">
        <v>0.52493559188129302</v>
      </c>
      <c r="FG25" s="160">
        <v>0.55054220611940496</v>
      </c>
      <c r="FH25" s="160">
        <v>0.57614882035751702</v>
      </c>
      <c r="FI25" s="160">
        <v>0.60175543459562897</v>
      </c>
      <c r="FJ25" s="160">
        <v>0.62736204883374103</v>
      </c>
      <c r="FK25" s="160">
        <v>0.65830337437145903</v>
      </c>
      <c r="FL25" s="160">
        <v>0.68924469990917803</v>
      </c>
      <c r="FM25" s="160">
        <v>0.72018602544689603</v>
      </c>
      <c r="FN25" s="160">
        <v>0.75112735098461503</v>
      </c>
      <c r="FO25" s="160">
        <v>0.78206867652233303</v>
      </c>
      <c r="FP25" s="160">
        <v>0.81301000206005203</v>
      </c>
      <c r="FQ25" s="160">
        <v>0.84395132759777003</v>
      </c>
      <c r="FR25" s="160">
        <v>0.87489265313548903</v>
      </c>
      <c r="FS25" s="160">
        <v>0.90583397867320703</v>
      </c>
      <c r="FT25" s="160">
        <v>0.93677530421092603</v>
      </c>
      <c r="FU25" s="160">
        <v>0.96771662974864503</v>
      </c>
      <c r="FV25" s="160">
        <v>0.99865795528636303</v>
      </c>
      <c r="FW25" s="160">
        <v>1.0295992808240799</v>
      </c>
      <c r="FX25" s="160">
        <v>1.0605406063617999</v>
      </c>
      <c r="FY25" s="160">
        <v>1.0914819318995199</v>
      </c>
      <c r="FZ25" s="160">
        <v>1.1224232574372399</v>
      </c>
      <c r="GA25" s="160">
        <v>1.1533645829749599</v>
      </c>
      <c r="GB25" s="160">
        <v>1.1843059085126699</v>
      </c>
      <c r="GC25" s="160">
        <v>1.2152472340503899</v>
      </c>
      <c r="GD25" s="160">
        <v>1.2461885595881099</v>
      </c>
      <c r="GE25" s="160">
        <v>1.2771298851258299</v>
      </c>
      <c r="GF25" s="160">
        <v>1.3080712106635499</v>
      </c>
      <c r="GG25" s="160">
        <v>1.3390125362012699</v>
      </c>
      <c r="GH25" s="160">
        <v>1.3699538617389899</v>
      </c>
      <c r="GI25" s="160">
        <v>1.4008951872766999</v>
      </c>
      <c r="GJ25" s="160">
        <v>1.4318365128144199</v>
      </c>
      <c r="GK25" s="160">
        <v>1.4627778383521399</v>
      </c>
      <c r="GL25" s="160">
        <v>1.4937191638898599</v>
      </c>
      <c r="GM25" s="156">
        <v>0</v>
      </c>
    </row>
    <row r="26" spans="1:195" s="150" customFormat="1" ht="31" x14ac:dyDescent="0.3">
      <c r="A26" s="163" t="s">
        <v>75</v>
      </c>
      <c r="B26" s="156">
        <v>0</v>
      </c>
      <c r="C26" s="156">
        <v>0</v>
      </c>
      <c r="D26" s="156">
        <v>0</v>
      </c>
      <c r="E26" s="156">
        <v>0</v>
      </c>
      <c r="F26" s="156">
        <v>0</v>
      </c>
      <c r="G26" s="156">
        <v>0</v>
      </c>
      <c r="H26" s="156">
        <v>0</v>
      </c>
      <c r="I26" s="156">
        <v>0</v>
      </c>
      <c r="J26" s="156">
        <v>0</v>
      </c>
      <c r="K26" s="156">
        <v>0</v>
      </c>
      <c r="L26" s="156">
        <v>0</v>
      </c>
      <c r="M26" s="156">
        <v>0</v>
      </c>
      <c r="N26" s="156">
        <v>0</v>
      </c>
      <c r="O26" s="156">
        <v>0</v>
      </c>
      <c r="P26" s="156">
        <v>0</v>
      </c>
      <c r="Q26" s="156">
        <v>0</v>
      </c>
      <c r="R26" s="156">
        <v>0</v>
      </c>
      <c r="S26" s="156">
        <v>0</v>
      </c>
      <c r="T26" s="156">
        <v>0</v>
      </c>
      <c r="U26" s="156">
        <v>0</v>
      </c>
      <c r="V26" s="156">
        <v>0</v>
      </c>
      <c r="W26" s="156">
        <v>0</v>
      </c>
      <c r="X26" s="156">
        <v>0</v>
      </c>
      <c r="Y26" s="156">
        <v>0</v>
      </c>
      <c r="Z26" s="156">
        <v>0</v>
      </c>
      <c r="AA26" s="156">
        <v>0</v>
      </c>
      <c r="AB26" s="156">
        <v>0</v>
      </c>
      <c r="AC26" s="156">
        <v>0</v>
      </c>
      <c r="AD26" s="156">
        <v>0</v>
      </c>
      <c r="AE26" s="156">
        <v>0</v>
      </c>
      <c r="AF26" s="156">
        <v>0</v>
      </c>
      <c r="AG26" s="156">
        <v>0</v>
      </c>
      <c r="AH26" s="156">
        <v>0</v>
      </c>
      <c r="AI26" s="156">
        <v>0</v>
      </c>
      <c r="AJ26" s="156">
        <v>0</v>
      </c>
      <c r="AK26" s="156">
        <v>0</v>
      </c>
      <c r="AL26" s="161">
        <v>51.641749955738398</v>
      </c>
      <c r="AO26" s="159" t="s">
        <v>75</v>
      </c>
      <c r="AP26" s="160">
        <v>3.68869642540988</v>
      </c>
      <c r="AQ26" s="160">
        <v>3.89947907829045</v>
      </c>
      <c r="AR26" s="160">
        <v>4.1102617311710103</v>
      </c>
      <c r="AS26" s="160">
        <v>4.3210443840515804</v>
      </c>
      <c r="AT26" s="160">
        <v>4.5318270369321398</v>
      </c>
      <c r="AU26" s="160">
        <v>4.7426096898127099</v>
      </c>
      <c r="AV26" s="160">
        <v>4.9533923426932702</v>
      </c>
      <c r="AW26" s="160">
        <v>5.1641749955738403</v>
      </c>
      <c r="AX26" s="160">
        <v>5.4188707011378501</v>
      </c>
      <c r="AY26" s="160">
        <v>5.6735664067018696</v>
      </c>
      <c r="AZ26" s="160">
        <v>5.9282621122658803</v>
      </c>
      <c r="BA26" s="160">
        <v>6.1829578178298998</v>
      </c>
      <c r="BB26" s="160">
        <v>6.4376535233939203</v>
      </c>
      <c r="BC26" s="160">
        <v>6.6923492289579301</v>
      </c>
      <c r="BD26" s="160">
        <v>6.9470449345219496</v>
      </c>
      <c r="BE26" s="160">
        <v>7.2017406400859603</v>
      </c>
      <c r="BF26" s="160">
        <v>7.4564363456499798</v>
      </c>
      <c r="BG26" s="160">
        <v>7.7111320512139896</v>
      </c>
      <c r="BH26" s="160">
        <v>7.96582775677801</v>
      </c>
      <c r="BI26" s="160">
        <v>8.2205234623420296</v>
      </c>
      <c r="BJ26" s="160">
        <v>8.4752191679060402</v>
      </c>
      <c r="BK26" s="160">
        <v>8.7299148734700598</v>
      </c>
      <c r="BL26" s="160">
        <v>8.9846105790340705</v>
      </c>
      <c r="BM26" s="160">
        <v>9.23930628459809</v>
      </c>
      <c r="BN26" s="160">
        <v>9.4940019901621095</v>
      </c>
      <c r="BO26" s="160">
        <v>9.7486976957261202</v>
      </c>
      <c r="BP26" s="160">
        <v>10.003393401290101</v>
      </c>
      <c r="BQ26" s="160">
        <v>10.2580891068542</v>
      </c>
      <c r="BR26" s="160">
        <v>10.5127848124182</v>
      </c>
      <c r="BS26" s="160">
        <v>10.7674805179822</v>
      </c>
      <c r="BT26" s="160">
        <v>11.0221762235462</v>
      </c>
      <c r="BU26" s="160">
        <v>11.2768719291102</v>
      </c>
      <c r="BV26" s="160">
        <v>11.5315676346742</v>
      </c>
      <c r="BW26" s="160">
        <v>11.7862633402382</v>
      </c>
      <c r="BX26" s="160">
        <v>12.0409590458023</v>
      </c>
      <c r="BY26" s="160">
        <v>12.2956547513663</v>
      </c>
      <c r="BZ26" s="161">
        <v>38.7313124668038</v>
      </c>
      <c r="CB26" s="162" t="s">
        <v>75</v>
      </c>
      <c r="CC26" s="160">
        <v>7.3773928508197697</v>
      </c>
      <c r="CD26" s="160">
        <v>7.7989581565809001</v>
      </c>
      <c r="CE26" s="160">
        <v>8.2205234623420296</v>
      </c>
      <c r="CF26" s="160">
        <v>8.6420887681031502</v>
      </c>
      <c r="CG26" s="160">
        <v>9.0636540738642903</v>
      </c>
      <c r="CH26" s="160">
        <v>9.4852193796254092</v>
      </c>
      <c r="CI26" s="160">
        <v>9.9067846853865404</v>
      </c>
      <c r="CJ26" s="160">
        <v>10.3283499911477</v>
      </c>
      <c r="CK26" s="160">
        <v>10.8377414022757</v>
      </c>
      <c r="CL26" s="160">
        <v>11.3471328134037</v>
      </c>
      <c r="CM26" s="160">
        <v>11.8565242245318</v>
      </c>
      <c r="CN26" s="160">
        <v>12.3659156356598</v>
      </c>
      <c r="CO26" s="160">
        <v>12.8753070467878</v>
      </c>
      <c r="CP26" s="160">
        <v>13.384698457915899</v>
      </c>
      <c r="CQ26" s="160">
        <v>13.894089869043899</v>
      </c>
      <c r="CR26" s="160">
        <v>14.403481280171899</v>
      </c>
      <c r="CS26" s="160">
        <v>14.9128726913</v>
      </c>
      <c r="CT26" s="160">
        <v>15.422264102428</v>
      </c>
      <c r="CU26" s="160">
        <v>15.931655513556001</v>
      </c>
      <c r="CV26" s="160">
        <v>16.441046924684098</v>
      </c>
      <c r="CW26" s="160">
        <v>16.950438335812098</v>
      </c>
      <c r="CX26" s="160">
        <v>17.459829746940098</v>
      </c>
      <c r="CY26" s="160">
        <v>17.969221158068098</v>
      </c>
      <c r="CZ26" s="160">
        <v>18.478612569196201</v>
      </c>
      <c r="DA26" s="160">
        <v>18.988003980324201</v>
      </c>
      <c r="DB26" s="160">
        <v>19.497395391452201</v>
      </c>
      <c r="DC26" s="160">
        <v>20.006786802580301</v>
      </c>
      <c r="DD26" s="160">
        <v>20.516178213708301</v>
      </c>
      <c r="DE26" s="160">
        <v>21.025569624836301</v>
      </c>
      <c r="DF26" s="160">
        <v>21.5349610359644</v>
      </c>
      <c r="DG26" s="160">
        <v>22.0443524470924</v>
      </c>
      <c r="DH26" s="160">
        <v>22.5537438582204</v>
      </c>
      <c r="DI26" s="160">
        <v>23.0631352693485</v>
      </c>
      <c r="DJ26" s="160">
        <v>23.5725266804765</v>
      </c>
      <c r="DK26" s="160">
        <v>24.0819180916045</v>
      </c>
      <c r="DL26" s="160">
        <v>24.5913095027325</v>
      </c>
      <c r="DM26" s="161">
        <v>25.820874977869199</v>
      </c>
      <c r="DO26" s="159" t="s">
        <v>75</v>
      </c>
      <c r="DP26" s="160">
        <v>11.066089276229601</v>
      </c>
      <c r="DQ26" s="160">
        <v>11.698437234871299</v>
      </c>
      <c r="DR26" s="160">
        <v>12.330785193513</v>
      </c>
      <c r="DS26" s="160">
        <v>12.9631331521547</v>
      </c>
      <c r="DT26" s="160">
        <v>13.595481110796401</v>
      </c>
      <c r="DU26" s="160">
        <v>14.2278290694381</v>
      </c>
      <c r="DV26" s="160">
        <v>14.8601770280798</v>
      </c>
      <c r="DW26" s="160">
        <v>15.4925249867215</v>
      </c>
      <c r="DX26" s="160">
        <v>16.256612103413602</v>
      </c>
      <c r="DY26" s="160">
        <v>17.020699220105602</v>
      </c>
      <c r="DZ26" s="160">
        <v>17.784786336797701</v>
      </c>
      <c r="EA26" s="160">
        <v>18.548873453489701</v>
      </c>
      <c r="EB26" s="160">
        <v>19.312960570181701</v>
      </c>
      <c r="EC26" s="160">
        <v>20.077047686873801</v>
      </c>
      <c r="ED26" s="160">
        <v>20.841134803565801</v>
      </c>
      <c r="EE26" s="160">
        <v>21.6052219202579</v>
      </c>
      <c r="EF26" s="160">
        <v>22.3693090369499</v>
      </c>
      <c r="EG26" s="160">
        <v>23.133396153642</v>
      </c>
      <c r="EH26" s="160">
        <v>23.897483270334</v>
      </c>
      <c r="EI26" s="160">
        <v>24.661570387026099</v>
      </c>
      <c r="EJ26" s="160">
        <v>25.425657503718099</v>
      </c>
      <c r="EK26" s="160">
        <v>26.189744620410199</v>
      </c>
      <c r="EL26" s="160">
        <v>26.953831737102199</v>
      </c>
      <c r="EM26" s="160">
        <v>27.717918853794298</v>
      </c>
      <c r="EN26" s="160">
        <v>28.482005970486298</v>
      </c>
      <c r="EO26" s="160">
        <v>29.246093087178402</v>
      </c>
      <c r="EP26" s="160">
        <v>30.010180203870402</v>
      </c>
      <c r="EQ26" s="160">
        <v>30.774267320562501</v>
      </c>
      <c r="ER26" s="160">
        <v>31.538354437254501</v>
      </c>
      <c r="ES26" s="160">
        <v>32.302441553946601</v>
      </c>
      <c r="ET26" s="160">
        <v>33.066528670638597</v>
      </c>
      <c r="EU26" s="160">
        <v>33.8306157873307</v>
      </c>
      <c r="EV26" s="160">
        <v>34.594702904022697</v>
      </c>
      <c r="EW26" s="160">
        <v>35.3587900207147</v>
      </c>
      <c r="EX26" s="160">
        <v>36.122877137406803</v>
      </c>
      <c r="EY26" s="160">
        <v>36.8869642540988</v>
      </c>
      <c r="EZ26" s="161">
        <v>12.910437488934599</v>
      </c>
      <c r="FB26" s="159" t="s">
        <v>75</v>
      </c>
      <c r="FC26" s="160">
        <v>14.7547857016395</v>
      </c>
      <c r="FD26" s="160">
        <v>15.5979163131618</v>
      </c>
      <c r="FE26" s="160">
        <v>16.441046924684098</v>
      </c>
      <c r="FF26" s="160">
        <v>17.2841775362063</v>
      </c>
      <c r="FG26" s="160">
        <v>18.127308147728598</v>
      </c>
      <c r="FH26" s="160">
        <v>18.970438759250801</v>
      </c>
      <c r="FI26" s="160">
        <v>19.813569370773099</v>
      </c>
      <c r="FJ26" s="160">
        <v>20.656699982295301</v>
      </c>
      <c r="FK26" s="160">
        <v>21.6754828045514</v>
      </c>
      <c r="FL26" s="160">
        <v>22.6942656268075</v>
      </c>
      <c r="FM26" s="160">
        <v>23.7130484490635</v>
      </c>
      <c r="FN26" s="160">
        <v>24.731831271319599</v>
      </c>
      <c r="FO26" s="160">
        <v>25.750614093575699</v>
      </c>
      <c r="FP26" s="160">
        <v>26.769396915831699</v>
      </c>
      <c r="FQ26" s="160">
        <v>27.788179738087798</v>
      </c>
      <c r="FR26" s="160">
        <v>28.806962560343901</v>
      </c>
      <c r="FS26" s="160">
        <v>29.825745382599901</v>
      </c>
      <c r="FT26" s="160">
        <v>30.844528204856001</v>
      </c>
      <c r="FU26" s="160">
        <v>31.863311027112001</v>
      </c>
      <c r="FV26" s="160">
        <v>32.882093849368097</v>
      </c>
      <c r="FW26" s="160">
        <v>33.900876671624196</v>
      </c>
      <c r="FX26" s="160">
        <v>34.919659493880197</v>
      </c>
      <c r="FY26" s="160">
        <v>35.938442316136303</v>
      </c>
      <c r="FZ26" s="160">
        <v>36.957225138392403</v>
      </c>
      <c r="GA26" s="160">
        <v>37.976007960648403</v>
      </c>
      <c r="GB26" s="160">
        <v>38.994790782904502</v>
      </c>
      <c r="GC26" s="160">
        <v>40.013573605160502</v>
      </c>
      <c r="GD26" s="160">
        <v>41.032356427416602</v>
      </c>
      <c r="GE26" s="160">
        <v>42.051139249672701</v>
      </c>
      <c r="GF26" s="160">
        <v>43.069922071928701</v>
      </c>
      <c r="GG26" s="160">
        <v>44.088704894184801</v>
      </c>
      <c r="GH26" s="160">
        <v>45.1074877164409</v>
      </c>
      <c r="GI26" s="160">
        <v>46.1262705386969</v>
      </c>
      <c r="GJ26" s="160">
        <v>47.145053360953</v>
      </c>
      <c r="GK26" s="160">
        <v>48.163836183209</v>
      </c>
      <c r="GL26" s="160">
        <v>49.182619005465099</v>
      </c>
      <c r="GM26" s="156">
        <v>0</v>
      </c>
    </row>
    <row r="27" spans="1:195" s="150" customFormat="1" ht="15.5" x14ac:dyDescent="0.3">
      <c r="A27" s="163" t="s">
        <v>76</v>
      </c>
      <c r="B27" s="156">
        <v>0</v>
      </c>
      <c r="C27" s="156">
        <v>0</v>
      </c>
      <c r="D27" s="156">
        <v>0</v>
      </c>
      <c r="E27" s="156">
        <v>0</v>
      </c>
      <c r="F27" s="156">
        <v>0</v>
      </c>
      <c r="G27" s="156">
        <v>0</v>
      </c>
      <c r="H27" s="156">
        <v>0</v>
      </c>
      <c r="I27" s="156">
        <v>0</v>
      </c>
      <c r="J27" s="156">
        <v>0</v>
      </c>
      <c r="K27" s="156">
        <v>0</v>
      </c>
      <c r="L27" s="156">
        <v>0</v>
      </c>
      <c r="M27" s="156">
        <v>0</v>
      </c>
      <c r="N27" s="156">
        <v>0</v>
      </c>
      <c r="O27" s="156">
        <v>0</v>
      </c>
      <c r="P27" s="156">
        <v>0</v>
      </c>
      <c r="Q27" s="156">
        <v>0</v>
      </c>
      <c r="R27" s="156">
        <v>0</v>
      </c>
      <c r="S27" s="156">
        <v>0</v>
      </c>
      <c r="T27" s="156">
        <v>0</v>
      </c>
      <c r="U27" s="156">
        <v>0</v>
      </c>
      <c r="V27" s="156">
        <v>0</v>
      </c>
      <c r="W27" s="156">
        <v>0</v>
      </c>
      <c r="X27" s="156">
        <v>0</v>
      </c>
      <c r="Y27" s="156">
        <v>0</v>
      </c>
      <c r="Z27" s="156">
        <v>0</v>
      </c>
      <c r="AA27" s="156">
        <v>0</v>
      </c>
      <c r="AB27" s="156">
        <v>0</v>
      </c>
      <c r="AC27" s="156">
        <v>0</v>
      </c>
      <c r="AD27" s="156">
        <v>0</v>
      </c>
      <c r="AE27" s="156">
        <v>0</v>
      </c>
      <c r="AF27" s="156">
        <v>0</v>
      </c>
      <c r="AG27" s="156">
        <v>0</v>
      </c>
      <c r="AH27" s="156">
        <v>0</v>
      </c>
      <c r="AI27" s="156">
        <v>0</v>
      </c>
      <c r="AJ27" s="156">
        <v>0</v>
      </c>
      <c r="AK27" s="156">
        <v>0</v>
      </c>
      <c r="AL27" s="161">
        <v>102.610287468</v>
      </c>
      <c r="AO27" s="159" t="s">
        <v>76</v>
      </c>
      <c r="AP27" s="160">
        <v>7.3293062477142996</v>
      </c>
      <c r="AQ27" s="160">
        <v>7.7481237475836897</v>
      </c>
      <c r="AR27" s="160">
        <v>8.1669412474530798</v>
      </c>
      <c r="AS27" s="160">
        <v>8.5857587473224708</v>
      </c>
      <c r="AT27" s="160">
        <v>9.0045762471918493</v>
      </c>
      <c r="AU27" s="160">
        <v>9.4233937470612403</v>
      </c>
      <c r="AV27" s="160">
        <v>9.8422112469306207</v>
      </c>
      <c r="AW27" s="160">
        <v>10.261028746799999</v>
      </c>
      <c r="AX27" s="160">
        <v>10.7670998924755</v>
      </c>
      <c r="AY27" s="160">
        <v>11.273171038151</v>
      </c>
      <c r="AZ27" s="160">
        <v>11.779242183826501</v>
      </c>
      <c r="BA27" s="160">
        <v>12.285313329502101</v>
      </c>
      <c r="BB27" s="160">
        <v>12.791384475177599</v>
      </c>
      <c r="BC27" s="160">
        <v>13.2974556208531</v>
      </c>
      <c r="BD27" s="160">
        <v>13.8035267665286</v>
      </c>
      <c r="BE27" s="160">
        <v>14.309597912204101</v>
      </c>
      <c r="BF27" s="160">
        <v>14.8156690578796</v>
      </c>
      <c r="BG27" s="160">
        <v>15.3217402035551</v>
      </c>
      <c r="BH27" s="160">
        <v>15.827811349230601</v>
      </c>
      <c r="BI27" s="160">
        <v>16.333882494906199</v>
      </c>
      <c r="BJ27" s="160">
        <v>16.839953640581701</v>
      </c>
      <c r="BK27" s="160">
        <v>17.3460247862572</v>
      </c>
      <c r="BL27" s="160">
        <v>17.852095931932698</v>
      </c>
      <c r="BM27" s="160">
        <v>18.358167077608201</v>
      </c>
      <c r="BN27" s="160">
        <v>18.864238223283699</v>
      </c>
      <c r="BO27" s="160">
        <v>19.370309368959202</v>
      </c>
      <c r="BP27" s="160">
        <v>19.8763805146347</v>
      </c>
      <c r="BQ27" s="160">
        <v>20.382451660310199</v>
      </c>
      <c r="BR27" s="160">
        <v>20.888522805985801</v>
      </c>
      <c r="BS27" s="160">
        <v>21.3945939516613</v>
      </c>
      <c r="BT27" s="160">
        <v>21.900665097336798</v>
      </c>
      <c r="BU27" s="160">
        <v>22.4067362430123</v>
      </c>
      <c r="BV27" s="160">
        <v>22.912807388687799</v>
      </c>
      <c r="BW27" s="160">
        <v>23.418878534363301</v>
      </c>
      <c r="BX27" s="160">
        <v>23.9249496800388</v>
      </c>
      <c r="BY27" s="160">
        <v>24.431020825714299</v>
      </c>
      <c r="BZ27" s="161">
        <v>76.957715601000203</v>
      </c>
      <c r="CB27" s="162" t="s">
        <v>76</v>
      </c>
      <c r="CC27" s="160">
        <v>14.658612495428599</v>
      </c>
      <c r="CD27" s="160">
        <v>15.496247495167401</v>
      </c>
      <c r="CE27" s="160">
        <v>16.333882494906199</v>
      </c>
      <c r="CF27" s="160">
        <v>17.171517494644899</v>
      </c>
      <c r="CG27" s="160">
        <v>18.009152494383699</v>
      </c>
      <c r="CH27" s="160">
        <v>18.846787494122498</v>
      </c>
      <c r="CI27" s="160">
        <v>19.684422493861199</v>
      </c>
      <c r="CJ27" s="160">
        <v>20.522057493599998</v>
      </c>
      <c r="CK27" s="160">
        <v>21.534199784951099</v>
      </c>
      <c r="CL27" s="160">
        <v>22.5463420763021</v>
      </c>
      <c r="CM27" s="160">
        <v>23.558484367653101</v>
      </c>
      <c r="CN27" s="160">
        <v>24.570626659004098</v>
      </c>
      <c r="CO27" s="160">
        <v>25.582768950355099</v>
      </c>
      <c r="CP27" s="160">
        <v>26.5949112417061</v>
      </c>
      <c r="CQ27" s="160">
        <v>27.607053533057201</v>
      </c>
      <c r="CR27" s="160">
        <v>28.619195824408202</v>
      </c>
      <c r="CS27" s="160">
        <v>29.631338115759199</v>
      </c>
      <c r="CT27" s="160">
        <v>30.6434804071102</v>
      </c>
      <c r="CU27" s="160">
        <v>31.655622698461301</v>
      </c>
      <c r="CV27" s="160">
        <v>32.667764989812298</v>
      </c>
      <c r="CW27" s="160">
        <v>33.679907281163302</v>
      </c>
      <c r="CX27" s="160">
        <v>34.6920495725143</v>
      </c>
      <c r="CY27" s="160">
        <v>35.704191863865297</v>
      </c>
      <c r="CZ27" s="160">
        <v>36.716334155216401</v>
      </c>
      <c r="DA27" s="160">
        <v>37.728476446567399</v>
      </c>
      <c r="DB27" s="160">
        <v>38.740618737918403</v>
      </c>
      <c r="DC27" s="160">
        <v>39.7527610292695</v>
      </c>
      <c r="DD27" s="160">
        <v>40.764903320620498</v>
      </c>
      <c r="DE27" s="160">
        <v>41.777045611971502</v>
      </c>
      <c r="DF27" s="160">
        <v>42.7891879033225</v>
      </c>
      <c r="DG27" s="160">
        <v>43.801330194673497</v>
      </c>
      <c r="DH27" s="160">
        <v>44.813472486024601</v>
      </c>
      <c r="DI27" s="160">
        <v>45.825614777375598</v>
      </c>
      <c r="DJ27" s="160">
        <v>46.837757068726603</v>
      </c>
      <c r="DK27" s="160">
        <v>47.8498993600777</v>
      </c>
      <c r="DL27" s="160">
        <v>48.862041651428598</v>
      </c>
      <c r="DM27" s="161">
        <v>51.305143734000097</v>
      </c>
      <c r="DO27" s="159" t="s">
        <v>76</v>
      </c>
      <c r="DP27" s="160">
        <v>21.987918743142899</v>
      </c>
      <c r="DQ27" s="160">
        <v>23.2443712427511</v>
      </c>
      <c r="DR27" s="160">
        <v>24.500823742359199</v>
      </c>
      <c r="DS27" s="160">
        <v>25.7572762419674</v>
      </c>
      <c r="DT27" s="160">
        <v>27.013728741575601</v>
      </c>
      <c r="DU27" s="160">
        <v>28.2701812411837</v>
      </c>
      <c r="DV27" s="160">
        <v>29.526633740791901</v>
      </c>
      <c r="DW27" s="160">
        <v>30.783086240399999</v>
      </c>
      <c r="DX27" s="160">
        <v>32.301299677426599</v>
      </c>
      <c r="DY27" s="160">
        <v>33.819513114453102</v>
      </c>
      <c r="DZ27" s="160">
        <v>35.337726551479598</v>
      </c>
      <c r="EA27" s="160">
        <v>36.855939988506201</v>
      </c>
      <c r="EB27" s="160">
        <v>38.374153425532697</v>
      </c>
      <c r="EC27" s="160">
        <v>39.8923668625593</v>
      </c>
      <c r="ED27" s="160">
        <v>41.410580299585803</v>
      </c>
      <c r="EE27" s="160">
        <v>42.928793736612299</v>
      </c>
      <c r="EF27" s="160">
        <v>44.447007173638802</v>
      </c>
      <c r="EG27" s="160">
        <v>45.965220610665398</v>
      </c>
      <c r="EH27" s="160">
        <v>47.483434047691901</v>
      </c>
      <c r="EI27" s="160">
        <v>49.001647484718397</v>
      </c>
      <c r="EJ27" s="160">
        <v>50.519860921745</v>
      </c>
      <c r="EK27" s="160">
        <v>52.038074358771503</v>
      </c>
      <c r="EL27" s="160">
        <v>53.556287795797999</v>
      </c>
      <c r="EM27" s="160">
        <v>55.074501232824602</v>
      </c>
      <c r="EN27" s="160">
        <v>56.592714669851098</v>
      </c>
      <c r="EO27" s="160">
        <v>58.110928106877601</v>
      </c>
      <c r="EP27" s="160">
        <v>59.629141543904197</v>
      </c>
      <c r="EQ27" s="160">
        <v>61.1473549809307</v>
      </c>
      <c r="ER27" s="160">
        <v>62.665568417957203</v>
      </c>
      <c r="ES27" s="160">
        <v>64.183781854983806</v>
      </c>
      <c r="ET27" s="160">
        <v>65.701995292010295</v>
      </c>
      <c r="EU27" s="160">
        <v>67.220208729036798</v>
      </c>
      <c r="EV27" s="160">
        <v>68.738422166063302</v>
      </c>
      <c r="EW27" s="160">
        <v>70.256635603089904</v>
      </c>
      <c r="EX27" s="160">
        <v>71.774849040116393</v>
      </c>
      <c r="EY27" s="160">
        <v>73.293062477142996</v>
      </c>
      <c r="EZ27" s="161">
        <v>25.652571866999999</v>
      </c>
      <c r="FB27" s="159" t="s">
        <v>76</v>
      </c>
      <c r="FC27" s="160">
        <v>29.317224990857198</v>
      </c>
      <c r="FD27" s="160">
        <v>30.992494990334698</v>
      </c>
      <c r="FE27" s="160">
        <v>32.667764989812298</v>
      </c>
      <c r="FF27" s="160">
        <v>34.343034989289897</v>
      </c>
      <c r="FG27" s="160">
        <v>36.018304988767397</v>
      </c>
      <c r="FH27" s="160">
        <v>37.693574988244897</v>
      </c>
      <c r="FI27" s="160">
        <v>39.368844987722497</v>
      </c>
      <c r="FJ27" s="160">
        <v>41.044114987200103</v>
      </c>
      <c r="FK27" s="160">
        <v>43.068399569902098</v>
      </c>
      <c r="FL27" s="160">
        <v>45.0926841526042</v>
      </c>
      <c r="FM27" s="160">
        <v>47.116968735306202</v>
      </c>
      <c r="FN27" s="160">
        <v>49.141253318008197</v>
      </c>
      <c r="FO27" s="160">
        <v>51.165537900710298</v>
      </c>
      <c r="FP27" s="160">
        <v>53.1898224834123</v>
      </c>
      <c r="FQ27" s="160">
        <v>55.214107066114401</v>
      </c>
      <c r="FR27" s="160">
        <v>57.238391648816403</v>
      </c>
      <c r="FS27" s="160">
        <v>59.262676231518498</v>
      </c>
      <c r="FT27" s="160">
        <v>61.2869608142205</v>
      </c>
      <c r="FU27" s="160">
        <v>63.311245396922601</v>
      </c>
      <c r="FV27" s="160">
        <v>65.335529979624596</v>
      </c>
      <c r="FW27" s="160">
        <v>67.359814562326605</v>
      </c>
      <c r="FX27" s="160">
        <v>69.3840991450286</v>
      </c>
      <c r="FY27" s="160">
        <v>71.408383727730694</v>
      </c>
      <c r="FZ27" s="160">
        <v>73.432668310432703</v>
      </c>
      <c r="GA27" s="160">
        <v>75.456952893134897</v>
      </c>
      <c r="GB27" s="160">
        <v>77.481237475836807</v>
      </c>
      <c r="GC27" s="160">
        <v>79.505522058538901</v>
      </c>
      <c r="GD27" s="160">
        <v>81.529806641240896</v>
      </c>
      <c r="GE27" s="160">
        <v>83.554091223943004</v>
      </c>
      <c r="GF27" s="160">
        <v>85.578375806644999</v>
      </c>
      <c r="GG27" s="160">
        <v>87.602660389347093</v>
      </c>
      <c r="GH27" s="160">
        <v>89.626944972049102</v>
      </c>
      <c r="GI27" s="160">
        <v>91.651229554751197</v>
      </c>
      <c r="GJ27" s="160">
        <v>93.675514137453206</v>
      </c>
      <c r="GK27" s="160">
        <v>95.6997987201553</v>
      </c>
      <c r="GL27" s="160">
        <v>97.724083302857196</v>
      </c>
      <c r="GM27" s="156">
        <v>0</v>
      </c>
    </row>
    <row r="28" spans="1:195" s="150" customFormat="1" ht="15.5" x14ac:dyDescent="0.3">
      <c r="A28" s="163" t="s">
        <v>77</v>
      </c>
      <c r="B28" s="156">
        <v>0</v>
      </c>
      <c r="C28" s="156">
        <v>0</v>
      </c>
      <c r="D28" s="156">
        <v>0</v>
      </c>
      <c r="E28" s="156">
        <v>0</v>
      </c>
      <c r="F28" s="156">
        <v>0</v>
      </c>
      <c r="G28" s="156">
        <v>0</v>
      </c>
      <c r="H28" s="156">
        <v>0</v>
      </c>
      <c r="I28" s="156">
        <v>0</v>
      </c>
      <c r="J28" s="156">
        <v>0</v>
      </c>
      <c r="K28" s="156">
        <v>0</v>
      </c>
      <c r="L28" s="156">
        <v>0</v>
      </c>
      <c r="M28" s="156">
        <v>0</v>
      </c>
      <c r="N28" s="156">
        <v>0</v>
      </c>
      <c r="O28" s="156">
        <v>0</v>
      </c>
      <c r="P28" s="156">
        <v>0</v>
      </c>
      <c r="Q28" s="156">
        <v>0</v>
      </c>
      <c r="R28" s="156">
        <v>0</v>
      </c>
      <c r="S28" s="156">
        <v>0</v>
      </c>
      <c r="T28" s="156">
        <v>0</v>
      </c>
      <c r="U28" s="156">
        <v>0</v>
      </c>
      <c r="V28" s="156">
        <v>0</v>
      </c>
      <c r="W28" s="156">
        <v>0</v>
      </c>
      <c r="X28" s="156">
        <v>0</v>
      </c>
      <c r="Y28" s="156">
        <v>0</v>
      </c>
      <c r="Z28" s="156">
        <v>0</v>
      </c>
      <c r="AA28" s="156">
        <v>0</v>
      </c>
      <c r="AB28" s="156">
        <v>0</v>
      </c>
      <c r="AC28" s="156">
        <v>0</v>
      </c>
      <c r="AD28" s="156">
        <v>0</v>
      </c>
      <c r="AE28" s="156">
        <v>0</v>
      </c>
      <c r="AF28" s="156">
        <v>0</v>
      </c>
      <c r="AG28" s="156">
        <v>0</v>
      </c>
      <c r="AH28" s="156">
        <v>0</v>
      </c>
      <c r="AI28" s="156">
        <v>0</v>
      </c>
      <c r="AJ28" s="156">
        <v>0</v>
      </c>
      <c r="AK28" s="156">
        <v>0</v>
      </c>
      <c r="AL28" s="161">
        <v>53.375520413192802</v>
      </c>
      <c r="AO28" s="159" t="s">
        <v>77</v>
      </c>
      <c r="AP28" s="160">
        <v>3.8125371723709098</v>
      </c>
      <c r="AQ28" s="160">
        <v>4.0303964393635301</v>
      </c>
      <c r="AR28" s="160">
        <v>4.2482557063561597</v>
      </c>
      <c r="AS28" s="160">
        <v>4.4661149733487804</v>
      </c>
      <c r="AT28" s="160">
        <v>4.6839742403414002</v>
      </c>
      <c r="AU28" s="160">
        <v>4.9018335073340298</v>
      </c>
      <c r="AV28" s="160">
        <v>5.1196927743266496</v>
      </c>
      <c r="AW28" s="160">
        <v>5.3375520413192801</v>
      </c>
      <c r="AX28" s="160">
        <v>5.6007986556020297</v>
      </c>
      <c r="AY28" s="160">
        <v>5.8640452698847803</v>
      </c>
      <c r="AZ28" s="160">
        <v>6.1272918841675397</v>
      </c>
      <c r="BA28" s="160">
        <v>6.3905384984502902</v>
      </c>
      <c r="BB28" s="160">
        <v>6.6537851127330496</v>
      </c>
      <c r="BC28" s="160">
        <v>6.9170317270158002</v>
      </c>
      <c r="BD28" s="160">
        <v>7.1802783412985498</v>
      </c>
      <c r="BE28" s="160">
        <v>7.4435249555813101</v>
      </c>
      <c r="BF28" s="160">
        <v>7.7067715698640598</v>
      </c>
      <c r="BG28" s="160">
        <v>7.9700181841468103</v>
      </c>
      <c r="BH28" s="160">
        <v>8.2332647984295697</v>
      </c>
      <c r="BI28" s="160">
        <v>8.4965114127123194</v>
      </c>
      <c r="BJ28" s="160">
        <v>8.7597580269950708</v>
      </c>
      <c r="BK28" s="160">
        <v>9.0230046412778204</v>
      </c>
      <c r="BL28" s="160">
        <v>9.2862512555605701</v>
      </c>
      <c r="BM28" s="160">
        <v>9.5494978698433304</v>
      </c>
      <c r="BN28" s="160">
        <v>9.81274448412608</v>
      </c>
      <c r="BO28" s="160">
        <v>10.075991098408799</v>
      </c>
      <c r="BP28" s="160">
        <v>10.339237712691601</v>
      </c>
      <c r="BQ28" s="160">
        <v>10.602484326974301</v>
      </c>
      <c r="BR28" s="160">
        <v>10.8657309412571</v>
      </c>
      <c r="BS28" s="160">
        <v>11.128977555539899</v>
      </c>
      <c r="BT28" s="160">
        <v>11.392224169822599</v>
      </c>
      <c r="BU28" s="160">
        <v>11.6554707841054</v>
      </c>
      <c r="BV28" s="160">
        <v>11.9187173983881</v>
      </c>
      <c r="BW28" s="160">
        <v>12.1819640126709</v>
      </c>
      <c r="BX28" s="160">
        <v>12.4452106269536</v>
      </c>
      <c r="BY28" s="160">
        <v>12.708457241236401</v>
      </c>
      <c r="BZ28" s="161">
        <v>40.031640309894598</v>
      </c>
      <c r="CB28" s="162" t="s">
        <v>77</v>
      </c>
      <c r="CC28" s="160">
        <v>7.6250743447418197</v>
      </c>
      <c r="CD28" s="160">
        <v>8.0607928787270708</v>
      </c>
      <c r="CE28" s="160">
        <v>8.4965114127123194</v>
      </c>
      <c r="CF28" s="160">
        <v>8.9322299466975696</v>
      </c>
      <c r="CG28" s="160">
        <v>9.3679484806828093</v>
      </c>
      <c r="CH28" s="160">
        <v>9.8036670146680507</v>
      </c>
      <c r="CI28" s="160">
        <v>10.239385548653299</v>
      </c>
      <c r="CJ28" s="160">
        <v>10.675104082638599</v>
      </c>
      <c r="CK28" s="160">
        <v>11.2015973112041</v>
      </c>
      <c r="CL28" s="160">
        <v>11.7280905397696</v>
      </c>
      <c r="CM28" s="160">
        <v>12.254583768335101</v>
      </c>
      <c r="CN28" s="160">
        <v>12.7810769969006</v>
      </c>
      <c r="CO28" s="160">
        <v>13.307570225466099</v>
      </c>
      <c r="CP28" s="160">
        <v>13.8340634540316</v>
      </c>
      <c r="CQ28" s="160">
        <v>14.3605566825971</v>
      </c>
      <c r="CR28" s="160">
        <v>14.887049911162601</v>
      </c>
      <c r="CS28" s="160">
        <v>15.4135431397281</v>
      </c>
      <c r="CT28" s="160">
        <v>15.940036368293599</v>
      </c>
      <c r="CU28" s="160">
        <v>16.4665295968591</v>
      </c>
      <c r="CV28" s="160">
        <v>16.9930228254246</v>
      </c>
      <c r="CW28" s="160">
        <v>17.519516053990099</v>
      </c>
      <c r="CX28" s="160">
        <v>18.046009282555602</v>
      </c>
      <c r="CY28" s="160">
        <v>18.572502511121101</v>
      </c>
      <c r="CZ28" s="160">
        <v>19.0989957396867</v>
      </c>
      <c r="DA28" s="160">
        <v>19.625488968252199</v>
      </c>
      <c r="DB28" s="160">
        <v>20.151982196817698</v>
      </c>
      <c r="DC28" s="160">
        <v>20.678475425383201</v>
      </c>
      <c r="DD28" s="160">
        <v>21.204968653948701</v>
      </c>
      <c r="DE28" s="160">
        <v>21.7314618825142</v>
      </c>
      <c r="DF28" s="160">
        <v>22.257955111079699</v>
      </c>
      <c r="DG28" s="160">
        <v>22.784448339645198</v>
      </c>
      <c r="DH28" s="160">
        <v>23.310941568210701</v>
      </c>
      <c r="DI28" s="160">
        <v>23.837434796776201</v>
      </c>
      <c r="DJ28" s="160">
        <v>24.3639280253417</v>
      </c>
      <c r="DK28" s="160">
        <v>24.890421253907199</v>
      </c>
      <c r="DL28" s="160">
        <v>25.416914482472698</v>
      </c>
      <c r="DM28" s="161">
        <v>26.687760206596401</v>
      </c>
      <c r="DO28" s="159" t="s">
        <v>77</v>
      </c>
      <c r="DP28" s="160">
        <v>11.4376115171127</v>
      </c>
      <c r="DQ28" s="160">
        <v>12.091189318090599</v>
      </c>
      <c r="DR28" s="160">
        <v>12.7447671190685</v>
      </c>
      <c r="DS28" s="160">
        <v>13.3983449200463</v>
      </c>
      <c r="DT28" s="160">
        <v>14.0519227210242</v>
      </c>
      <c r="DU28" s="160">
        <v>14.705500522002099</v>
      </c>
      <c r="DV28" s="160">
        <v>15.35907832298</v>
      </c>
      <c r="DW28" s="160">
        <v>16.0126561239578</v>
      </c>
      <c r="DX28" s="160">
        <v>16.802395966806099</v>
      </c>
      <c r="DY28" s="160">
        <v>17.592135809654401</v>
      </c>
      <c r="DZ28" s="160">
        <v>18.3818756525026</v>
      </c>
      <c r="EA28" s="160">
        <v>19.171615495350899</v>
      </c>
      <c r="EB28" s="160">
        <v>19.961355338199098</v>
      </c>
      <c r="EC28" s="160">
        <v>20.7510951810474</v>
      </c>
      <c r="ED28" s="160">
        <v>21.5408350238956</v>
      </c>
      <c r="EE28" s="160">
        <v>22.330574866743898</v>
      </c>
      <c r="EF28" s="160">
        <v>23.120314709592201</v>
      </c>
      <c r="EG28" s="160">
        <v>23.9100545524404</v>
      </c>
      <c r="EH28" s="160">
        <v>24.699794395288698</v>
      </c>
      <c r="EI28" s="160">
        <v>25.489534238137001</v>
      </c>
      <c r="EJ28" s="160">
        <v>26.2792740809852</v>
      </c>
      <c r="EK28" s="160">
        <v>27.069013923833499</v>
      </c>
      <c r="EL28" s="160">
        <v>27.858753766681701</v>
      </c>
      <c r="EM28" s="160">
        <v>28.64849360953</v>
      </c>
      <c r="EN28" s="160">
        <v>29.438233452378299</v>
      </c>
      <c r="EO28" s="160">
        <v>30.227973295226501</v>
      </c>
      <c r="EP28" s="160">
        <v>31.0177131380748</v>
      </c>
      <c r="EQ28" s="160">
        <v>31.807452980922999</v>
      </c>
      <c r="ER28" s="160">
        <v>32.597192823771302</v>
      </c>
      <c r="ES28" s="160">
        <v>33.3869326666196</v>
      </c>
      <c r="ET28" s="160">
        <v>34.176672509467799</v>
      </c>
      <c r="EU28" s="160">
        <v>34.966412352316098</v>
      </c>
      <c r="EV28" s="160">
        <v>35.756152195164297</v>
      </c>
      <c r="EW28" s="160">
        <v>36.545892038012603</v>
      </c>
      <c r="EX28" s="160">
        <v>37.335631880860802</v>
      </c>
      <c r="EY28" s="160">
        <v>38.125371723709101</v>
      </c>
      <c r="EZ28" s="161">
        <v>13.343880103298201</v>
      </c>
      <c r="FB28" s="159" t="s">
        <v>77</v>
      </c>
      <c r="FC28" s="160">
        <v>15.2501486894836</v>
      </c>
      <c r="FD28" s="160">
        <v>16.121585757454099</v>
      </c>
      <c r="FE28" s="160">
        <v>16.9930228254246</v>
      </c>
      <c r="FF28" s="160">
        <v>17.8644598933951</v>
      </c>
      <c r="FG28" s="160">
        <v>18.735896961365601</v>
      </c>
      <c r="FH28" s="160">
        <v>19.607334029336101</v>
      </c>
      <c r="FI28" s="160">
        <v>20.478771097306598</v>
      </c>
      <c r="FJ28" s="160">
        <v>21.350208165277099</v>
      </c>
      <c r="FK28" s="160">
        <v>22.403194622408101</v>
      </c>
      <c r="FL28" s="160">
        <v>23.4561810795391</v>
      </c>
      <c r="FM28" s="160">
        <v>24.509167536670098</v>
      </c>
      <c r="FN28" s="160">
        <v>25.5621539938012</v>
      </c>
      <c r="FO28" s="160">
        <v>26.615140450932198</v>
      </c>
      <c r="FP28" s="160">
        <v>27.668126908063201</v>
      </c>
      <c r="FQ28" s="160">
        <v>28.721113365194199</v>
      </c>
      <c r="FR28" s="160">
        <v>29.774099822325201</v>
      </c>
      <c r="FS28" s="160">
        <v>30.8270862794562</v>
      </c>
      <c r="FT28" s="160">
        <v>31.880072736587199</v>
      </c>
      <c r="FU28" s="160">
        <v>32.9330591937183</v>
      </c>
      <c r="FV28" s="160">
        <v>33.986045650849299</v>
      </c>
      <c r="FW28" s="160">
        <v>35.039032107980297</v>
      </c>
      <c r="FX28" s="160">
        <v>36.092018565111303</v>
      </c>
      <c r="FY28" s="160">
        <v>37.145005022242302</v>
      </c>
      <c r="FZ28" s="160">
        <v>38.1979914793733</v>
      </c>
      <c r="GA28" s="160">
        <v>39.250977936504299</v>
      </c>
      <c r="GB28" s="160">
        <v>40.303964393635297</v>
      </c>
      <c r="GC28" s="160">
        <v>41.356950850766403</v>
      </c>
      <c r="GD28" s="160">
        <v>42.409937307897401</v>
      </c>
      <c r="GE28" s="160">
        <v>43.4629237650284</v>
      </c>
      <c r="GF28" s="160">
        <v>44.515910222159398</v>
      </c>
      <c r="GG28" s="160">
        <v>45.568896679290397</v>
      </c>
      <c r="GH28" s="160">
        <v>46.621883136421403</v>
      </c>
      <c r="GI28" s="160">
        <v>47.674869593552501</v>
      </c>
      <c r="GJ28" s="160">
        <v>48.7278560506834</v>
      </c>
      <c r="GK28" s="160">
        <v>49.780842507814498</v>
      </c>
      <c r="GL28" s="160">
        <v>50.833828964945504</v>
      </c>
      <c r="GM28" s="156">
        <v>0</v>
      </c>
    </row>
    <row r="29" spans="1:195" s="150" customFormat="1" ht="15.5" x14ac:dyDescent="0.3">
      <c r="A29" s="163" t="s">
        <v>78</v>
      </c>
      <c r="B29" s="156">
        <v>0</v>
      </c>
      <c r="C29" s="156">
        <v>0</v>
      </c>
      <c r="D29" s="156">
        <v>0</v>
      </c>
      <c r="E29" s="156">
        <v>0</v>
      </c>
      <c r="F29" s="156">
        <v>0</v>
      </c>
      <c r="G29" s="156">
        <v>0</v>
      </c>
      <c r="H29" s="156">
        <v>0</v>
      </c>
      <c r="I29" s="156">
        <v>0</v>
      </c>
      <c r="J29" s="156">
        <v>0</v>
      </c>
      <c r="K29" s="156">
        <v>0</v>
      </c>
      <c r="L29" s="156">
        <v>0</v>
      </c>
      <c r="M29" s="156">
        <v>0</v>
      </c>
      <c r="N29" s="156">
        <v>0</v>
      </c>
      <c r="O29" s="156">
        <v>0</v>
      </c>
      <c r="P29" s="156">
        <v>0</v>
      </c>
      <c r="Q29" s="156">
        <v>0</v>
      </c>
      <c r="R29" s="156">
        <v>0</v>
      </c>
      <c r="S29" s="156">
        <v>0</v>
      </c>
      <c r="T29" s="156">
        <v>0</v>
      </c>
      <c r="U29" s="156">
        <v>0</v>
      </c>
      <c r="V29" s="156">
        <v>0</v>
      </c>
      <c r="W29" s="156">
        <v>0</v>
      </c>
      <c r="X29" s="156">
        <v>0</v>
      </c>
      <c r="Y29" s="156">
        <v>0</v>
      </c>
      <c r="Z29" s="156">
        <v>0</v>
      </c>
      <c r="AA29" s="156">
        <v>0</v>
      </c>
      <c r="AB29" s="156">
        <v>0</v>
      </c>
      <c r="AC29" s="156">
        <v>0</v>
      </c>
      <c r="AD29" s="156">
        <v>0</v>
      </c>
      <c r="AE29" s="156">
        <v>0</v>
      </c>
      <c r="AF29" s="156">
        <v>0</v>
      </c>
      <c r="AG29" s="156">
        <v>0</v>
      </c>
      <c r="AH29" s="156">
        <v>0</v>
      </c>
      <c r="AI29" s="156">
        <v>0</v>
      </c>
      <c r="AJ29" s="156">
        <v>0</v>
      </c>
      <c r="AK29" s="156">
        <v>0</v>
      </c>
      <c r="AL29" s="161">
        <v>142.93173524175299</v>
      </c>
      <c r="AO29" s="159" t="s">
        <v>78</v>
      </c>
      <c r="AP29" s="160">
        <v>10.2094096601252</v>
      </c>
      <c r="AQ29" s="160">
        <v>10.792804497846699</v>
      </c>
      <c r="AR29" s="160">
        <v>11.376199335568099</v>
      </c>
      <c r="AS29" s="160">
        <v>11.959594173289601</v>
      </c>
      <c r="AT29" s="160">
        <v>12.542989011011</v>
      </c>
      <c r="AU29" s="160">
        <v>13.1263838487325</v>
      </c>
      <c r="AV29" s="160">
        <v>13.7097786864539</v>
      </c>
      <c r="AW29" s="160">
        <v>14.2931735241753</v>
      </c>
      <c r="AX29" s="160">
        <v>14.9981089530887</v>
      </c>
      <c r="AY29" s="160">
        <v>15.703044382002201</v>
      </c>
      <c r="AZ29" s="160">
        <v>16.407979810915599</v>
      </c>
      <c r="BA29" s="160">
        <v>17.112915239829</v>
      </c>
      <c r="BB29" s="160">
        <v>17.817850668742398</v>
      </c>
      <c r="BC29" s="160">
        <v>18.5227860976558</v>
      </c>
      <c r="BD29" s="160">
        <v>19.227721526569201</v>
      </c>
      <c r="BE29" s="160">
        <v>19.932656955482599</v>
      </c>
      <c r="BF29" s="160">
        <v>20.637592384396001</v>
      </c>
      <c r="BG29" s="160">
        <v>21.342527813309399</v>
      </c>
      <c r="BH29" s="160">
        <v>22.0474632422229</v>
      </c>
      <c r="BI29" s="160">
        <v>22.752398671136302</v>
      </c>
      <c r="BJ29" s="160">
        <v>23.4573341000497</v>
      </c>
      <c r="BK29" s="160">
        <v>24.162269528963101</v>
      </c>
      <c r="BL29" s="160">
        <v>24.867204957876499</v>
      </c>
      <c r="BM29" s="160">
        <v>25.572140386789901</v>
      </c>
      <c r="BN29" s="160">
        <v>26.277075815703299</v>
      </c>
      <c r="BO29" s="160">
        <v>26.9820112446167</v>
      </c>
      <c r="BP29" s="160">
        <v>27.686946673530102</v>
      </c>
      <c r="BQ29" s="160">
        <v>28.3918821024435</v>
      </c>
      <c r="BR29" s="160">
        <v>29.096817531356901</v>
      </c>
      <c r="BS29" s="160">
        <v>29.801752960270399</v>
      </c>
      <c r="BT29" s="160">
        <v>30.5066883891838</v>
      </c>
      <c r="BU29" s="160">
        <v>31.211623818097198</v>
      </c>
      <c r="BV29" s="160">
        <v>31.9165592470106</v>
      </c>
      <c r="BW29" s="160">
        <v>32.621494675923998</v>
      </c>
      <c r="BX29" s="160">
        <v>33.326430104837399</v>
      </c>
      <c r="BY29" s="160">
        <v>34.031365533750801</v>
      </c>
      <c r="BZ29" s="161">
        <v>107.198801431315</v>
      </c>
      <c r="CB29" s="162" t="s">
        <v>78</v>
      </c>
      <c r="CC29" s="160">
        <v>20.418819320250499</v>
      </c>
      <c r="CD29" s="160">
        <v>21.585608995693399</v>
      </c>
      <c r="CE29" s="160">
        <v>22.752398671136302</v>
      </c>
      <c r="CF29" s="160">
        <v>23.919188346579102</v>
      </c>
      <c r="CG29" s="160">
        <v>25.085978022022001</v>
      </c>
      <c r="CH29" s="160">
        <v>26.2527676974649</v>
      </c>
      <c r="CI29" s="160">
        <v>27.4195573729078</v>
      </c>
      <c r="CJ29" s="160">
        <v>28.586347048350699</v>
      </c>
      <c r="CK29" s="160">
        <v>29.996217906177499</v>
      </c>
      <c r="CL29" s="160">
        <v>31.406088764004298</v>
      </c>
      <c r="CM29" s="160">
        <v>32.815959621831098</v>
      </c>
      <c r="CN29" s="160">
        <v>34.225830479658001</v>
      </c>
      <c r="CO29" s="160">
        <v>35.635701337484797</v>
      </c>
      <c r="CP29" s="160">
        <v>37.0455721953116</v>
      </c>
      <c r="CQ29" s="160">
        <v>38.455443053138403</v>
      </c>
      <c r="CR29" s="160">
        <v>39.865313910965199</v>
      </c>
      <c r="CS29" s="160">
        <v>41.275184768792101</v>
      </c>
      <c r="CT29" s="160">
        <v>42.685055626618897</v>
      </c>
      <c r="CU29" s="160">
        <v>44.094926484445701</v>
      </c>
      <c r="CV29" s="160">
        <v>45.504797342272497</v>
      </c>
      <c r="CW29" s="160">
        <v>46.9146682000993</v>
      </c>
      <c r="CX29" s="160">
        <v>48.324539057926202</v>
      </c>
      <c r="CY29" s="160">
        <v>49.734409915752998</v>
      </c>
      <c r="CZ29" s="160">
        <v>51.144280773579801</v>
      </c>
      <c r="DA29" s="160">
        <v>52.554151631406697</v>
      </c>
      <c r="DB29" s="160">
        <v>53.9640224892334</v>
      </c>
      <c r="DC29" s="160">
        <v>55.373893347060203</v>
      </c>
      <c r="DD29" s="160">
        <v>56.783764204886999</v>
      </c>
      <c r="DE29" s="160">
        <v>58.193635062713902</v>
      </c>
      <c r="DF29" s="160">
        <v>59.603505920540698</v>
      </c>
      <c r="DG29" s="160">
        <v>61.013376778367501</v>
      </c>
      <c r="DH29" s="160">
        <v>62.423247636194397</v>
      </c>
      <c r="DI29" s="160">
        <v>63.8331184940211</v>
      </c>
      <c r="DJ29" s="160">
        <v>65.242989351847996</v>
      </c>
      <c r="DK29" s="160">
        <v>66.652860209674799</v>
      </c>
      <c r="DL29" s="160">
        <v>68.062731067501602</v>
      </c>
      <c r="DM29" s="161">
        <v>71.465867620876693</v>
      </c>
      <c r="DO29" s="159" t="s">
        <v>78</v>
      </c>
      <c r="DP29" s="160">
        <v>30.628228980375699</v>
      </c>
      <c r="DQ29" s="160">
        <v>32.378413493540101</v>
      </c>
      <c r="DR29" s="160">
        <v>34.128598006704401</v>
      </c>
      <c r="DS29" s="160">
        <v>35.8787825198687</v>
      </c>
      <c r="DT29" s="160">
        <v>37.628967033033</v>
      </c>
      <c r="DU29" s="160">
        <v>39.379151546197399</v>
      </c>
      <c r="DV29" s="160">
        <v>41.129336059361698</v>
      </c>
      <c r="DW29" s="160">
        <v>42.879520572525998</v>
      </c>
      <c r="DX29" s="160">
        <v>44.994326859266202</v>
      </c>
      <c r="DY29" s="160">
        <v>47.109133146006499</v>
      </c>
      <c r="DZ29" s="160">
        <v>49.223939432746697</v>
      </c>
      <c r="EA29" s="160">
        <v>51.338745719486901</v>
      </c>
      <c r="EB29" s="160">
        <v>53.453552006227099</v>
      </c>
      <c r="EC29" s="160">
        <v>55.568358292967403</v>
      </c>
      <c r="ED29" s="160">
        <v>57.683164579707601</v>
      </c>
      <c r="EE29" s="160">
        <v>59.797970866447798</v>
      </c>
      <c r="EF29" s="160">
        <v>61.912777153188102</v>
      </c>
      <c r="EG29" s="160">
        <v>64.027583439928307</v>
      </c>
      <c r="EH29" s="160">
        <v>66.142389726668497</v>
      </c>
      <c r="EI29" s="160">
        <v>68.257196013408802</v>
      </c>
      <c r="EJ29" s="160">
        <v>70.372002300149006</v>
      </c>
      <c r="EK29" s="160">
        <v>72.486808586889197</v>
      </c>
      <c r="EL29" s="160">
        <v>74.601614873629401</v>
      </c>
      <c r="EM29" s="160">
        <v>76.716421160369705</v>
      </c>
      <c r="EN29" s="160">
        <v>78.831227447109896</v>
      </c>
      <c r="EO29" s="160">
        <v>80.946033733850101</v>
      </c>
      <c r="EP29" s="160">
        <v>83.060840020590405</v>
      </c>
      <c r="EQ29" s="160">
        <v>85.175646307330595</v>
      </c>
      <c r="ER29" s="160">
        <v>87.2904525940708</v>
      </c>
      <c r="ES29" s="160">
        <v>89.405258880811004</v>
      </c>
      <c r="ET29" s="160">
        <v>91.520065167551294</v>
      </c>
      <c r="EU29" s="160">
        <v>93.634871454291499</v>
      </c>
      <c r="EV29" s="160">
        <v>95.749677741031704</v>
      </c>
      <c r="EW29" s="160">
        <v>97.864484027771994</v>
      </c>
      <c r="EX29" s="160">
        <v>99.979290314512198</v>
      </c>
      <c r="EY29" s="160">
        <v>102.09409660125201</v>
      </c>
      <c r="EZ29" s="161">
        <v>35.732933810438396</v>
      </c>
      <c r="FB29" s="159" t="s">
        <v>78</v>
      </c>
      <c r="FC29" s="160">
        <v>40.837638640500998</v>
      </c>
      <c r="FD29" s="160">
        <v>43.171217991386698</v>
      </c>
      <c r="FE29" s="160">
        <v>45.504797342272497</v>
      </c>
      <c r="FF29" s="160">
        <v>47.838376693158303</v>
      </c>
      <c r="FG29" s="160">
        <v>50.171956044044101</v>
      </c>
      <c r="FH29" s="160">
        <v>52.505535394929801</v>
      </c>
      <c r="FI29" s="160">
        <v>54.8391147458156</v>
      </c>
      <c r="FJ29" s="160">
        <v>57.172694096701399</v>
      </c>
      <c r="FK29" s="160">
        <v>59.992435812354998</v>
      </c>
      <c r="FL29" s="160">
        <v>62.812177528008597</v>
      </c>
      <c r="FM29" s="160">
        <v>65.631919243662296</v>
      </c>
      <c r="FN29" s="160">
        <v>68.451660959315902</v>
      </c>
      <c r="FO29" s="160">
        <v>71.271402674969494</v>
      </c>
      <c r="FP29" s="160">
        <v>74.0911443906231</v>
      </c>
      <c r="FQ29" s="160">
        <v>76.910886106276806</v>
      </c>
      <c r="FR29" s="160">
        <v>79.730627821930497</v>
      </c>
      <c r="FS29" s="160">
        <v>82.550369537584103</v>
      </c>
      <c r="FT29" s="160">
        <v>85.370111253237695</v>
      </c>
      <c r="FU29" s="160">
        <v>88.189852968891401</v>
      </c>
      <c r="FV29" s="160">
        <v>91.009594684544993</v>
      </c>
      <c r="FW29" s="160">
        <v>93.829336400198699</v>
      </c>
      <c r="FX29" s="160">
        <v>96.649078115852305</v>
      </c>
      <c r="FY29" s="160">
        <v>99.468819831505897</v>
      </c>
      <c r="FZ29" s="160">
        <v>102.28856154716</v>
      </c>
      <c r="GA29" s="160">
        <v>105.108303262813</v>
      </c>
      <c r="GB29" s="160">
        <v>107.928044978467</v>
      </c>
      <c r="GC29" s="160">
        <v>110.74778669411999</v>
      </c>
      <c r="GD29" s="160">
        <v>113.567528409774</v>
      </c>
      <c r="GE29" s="160">
        <v>116.387270125428</v>
      </c>
      <c r="GF29" s="160">
        <v>119.207011841081</v>
      </c>
      <c r="GG29" s="160">
        <v>122.026753556735</v>
      </c>
      <c r="GH29" s="160">
        <v>124.84649527238901</v>
      </c>
      <c r="GI29" s="160">
        <v>127.666236988042</v>
      </c>
      <c r="GJ29" s="160">
        <v>130.48597870369599</v>
      </c>
      <c r="GK29" s="160">
        <v>133.30572041935</v>
      </c>
      <c r="GL29" s="160">
        <v>136.125462135003</v>
      </c>
      <c r="GM29" s="156">
        <v>0</v>
      </c>
    </row>
    <row r="30" spans="1:195" s="150" customFormat="1" ht="15.5" x14ac:dyDescent="0.3">
      <c r="A30" s="163" t="s">
        <v>79</v>
      </c>
      <c r="B30" s="156">
        <v>0</v>
      </c>
      <c r="C30" s="156">
        <v>0</v>
      </c>
      <c r="D30" s="156">
        <v>0</v>
      </c>
      <c r="E30" s="156">
        <v>0</v>
      </c>
      <c r="F30" s="156">
        <v>0</v>
      </c>
      <c r="G30" s="156">
        <v>0</v>
      </c>
      <c r="H30" s="156">
        <v>0</v>
      </c>
      <c r="I30" s="156">
        <v>0</v>
      </c>
      <c r="J30" s="156">
        <v>0</v>
      </c>
      <c r="K30" s="156">
        <v>0</v>
      </c>
      <c r="L30" s="156">
        <v>0</v>
      </c>
      <c r="M30" s="156">
        <v>0</v>
      </c>
      <c r="N30" s="156">
        <v>0</v>
      </c>
      <c r="O30" s="156">
        <v>0</v>
      </c>
      <c r="P30" s="156">
        <v>0</v>
      </c>
      <c r="Q30" s="156">
        <v>0</v>
      </c>
      <c r="R30" s="156">
        <v>0</v>
      </c>
      <c r="S30" s="156">
        <v>0</v>
      </c>
      <c r="T30" s="156">
        <v>0</v>
      </c>
      <c r="U30" s="156">
        <v>0</v>
      </c>
      <c r="V30" s="156">
        <v>0</v>
      </c>
      <c r="W30" s="156">
        <v>0</v>
      </c>
      <c r="X30" s="156">
        <v>0</v>
      </c>
      <c r="Y30" s="156">
        <v>0</v>
      </c>
      <c r="Z30" s="156">
        <v>0</v>
      </c>
      <c r="AA30" s="156">
        <v>0</v>
      </c>
      <c r="AB30" s="156">
        <v>0</v>
      </c>
      <c r="AC30" s="156">
        <v>0</v>
      </c>
      <c r="AD30" s="156">
        <v>0</v>
      </c>
      <c r="AE30" s="156">
        <v>0</v>
      </c>
      <c r="AF30" s="156">
        <v>0</v>
      </c>
      <c r="AG30" s="156">
        <v>0</v>
      </c>
      <c r="AH30" s="156">
        <v>0</v>
      </c>
      <c r="AI30" s="156">
        <v>0</v>
      </c>
      <c r="AJ30" s="156">
        <v>0</v>
      </c>
      <c r="AK30" s="156">
        <v>0</v>
      </c>
      <c r="AL30" s="161">
        <v>25.146612618452799</v>
      </c>
      <c r="AO30" s="159" t="s">
        <v>79</v>
      </c>
      <c r="AP30" s="160">
        <v>1.79618661560377</v>
      </c>
      <c r="AQ30" s="160">
        <v>1.89882585078113</v>
      </c>
      <c r="AR30" s="160">
        <v>2.0014650859584902</v>
      </c>
      <c r="AS30" s="160">
        <v>2.1041043211358499</v>
      </c>
      <c r="AT30" s="160">
        <v>2.2067435563132101</v>
      </c>
      <c r="AU30" s="160">
        <v>2.30938279149056</v>
      </c>
      <c r="AV30" s="160">
        <v>2.4120220266679202</v>
      </c>
      <c r="AW30" s="160">
        <v>2.5146612618452799</v>
      </c>
      <c r="AX30" s="160">
        <v>2.6386836710179198</v>
      </c>
      <c r="AY30" s="160">
        <v>2.7627060801905601</v>
      </c>
      <c r="AZ30" s="160">
        <v>2.8867284893632101</v>
      </c>
      <c r="BA30" s="160">
        <v>3.01075089853585</v>
      </c>
      <c r="BB30" s="160">
        <v>3.1347733077084898</v>
      </c>
      <c r="BC30" s="160">
        <v>3.2587957168811301</v>
      </c>
      <c r="BD30" s="160">
        <v>3.38281812605377</v>
      </c>
      <c r="BE30" s="160">
        <v>3.5068405352264098</v>
      </c>
      <c r="BF30" s="160">
        <v>3.6308629443990501</v>
      </c>
      <c r="BG30" s="160">
        <v>3.7548853535717002</v>
      </c>
      <c r="BH30" s="160">
        <v>3.87890776274434</v>
      </c>
      <c r="BI30" s="160">
        <v>4.0029301719169803</v>
      </c>
      <c r="BJ30" s="160">
        <v>4.1269525810896202</v>
      </c>
      <c r="BK30" s="160">
        <v>4.25097499026226</v>
      </c>
      <c r="BL30" s="160">
        <v>4.3749973994348998</v>
      </c>
      <c r="BM30" s="160">
        <v>4.4990198086075397</v>
      </c>
      <c r="BN30" s="160">
        <v>4.6230422177801902</v>
      </c>
      <c r="BO30" s="160">
        <v>4.74706462695283</v>
      </c>
      <c r="BP30" s="160">
        <v>4.8710870361254699</v>
      </c>
      <c r="BQ30" s="160">
        <v>4.9951094452981097</v>
      </c>
      <c r="BR30" s="160">
        <v>5.1191318544707496</v>
      </c>
      <c r="BS30" s="160">
        <v>5.2431542636433903</v>
      </c>
      <c r="BT30" s="160">
        <v>5.3671766728160302</v>
      </c>
      <c r="BU30" s="160">
        <v>5.4911990819886798</v>
      </c>
      <c r="BV30" s="160">
        <v>5.6152214911613196</v>
      </c>
      <c r="BW30" s="160">
        <v>5.7392439003339604</v>
      </c>
      <c r="BX30" s="160">
        <v>5.8632663095066002</v>
      </c>
      <c r="BY30" s="160">
        <v>5.9872887186792401</v>
      </c>
      <c r="BZ30" s="161">
        <v>18.859959463839601</v>
      </c>
      <c r="CB30" s="162" t="s">
        <v>79</v>
      </c>
      <c r="CC30" s="160">
        <v>3.59237323120754</v>
      </c>
      <c r="CD30" s="160">
        <v>3.79765170156226</v>
      </c>
      <c r="CE30" s="160">
        <v>4.0029301719169803</v>
      </c>
      <c r="CF30" s="160">
        <v>4.20820864227169</v>
      </c>
      <c r="CG30" s="160">
        <v>4.4134871126264104</v>
      </c>
      <c r="CH30" s="160">
        <v>4.6187655829811298</v>
      </c>
      <c r="CI30" s="160">
        <v>4.8240440533358404</v>
      </c>
      <c r="CJ30" s="160">
        <v>5.0293225236905599</v>
      </c>
      <c r="CK30" s="160">
        <v>5.2773673420358502</v>
      </c>
      <c r="CL30" s="160">
        <v>5.5254121603811299</v>
      </c>
      <c r="CM30" s="160">
        <v>5.7734569787264096</v>
      </c>
      <c r="CN30" s="160">
        <v>6.0215017970716902</v>
      </c>
      <c r="CO30" s="160">
        <v>6.2695466154169797</v>
      </c>
      <c r="CP30" s="160">
        <v>6.5175914337622602</v>
      </c>
      <c r="CQ30" s="160">
        <v>6.7656362521075399</v>
      </c>
      <c r="CR30" s="160">
        <v>7.0136810704528303</v>
      </c>
      <c r="CS30" s="160">
        <v>7.26172588879811</v>
      </c>
      <c r="CT30" s="160">
        <v>7.5097707071433897</v>
      </c>
      <c r="CU30" s="160">
        <v>7.75781552548868</v>
      </c>
      <c r="CV30" s="160">
        <v>8.0058603438339606</v>
      </c>
      <c r="CW30" s="160">
        <v>8.2539051621792403</v>
      </c>
      <c r="CX30" s="160">
        <v>8.50194998052452</v>
      </c>
      <c r="CY30" s="160">
        <v>8.7499947988698104</v>
      </c>
      <c r="CZ30" s="160">
        <v>8.99803961721509</v>
      </c>
      <c r="DA30" s="160">
        <v>9.2460844355603697</v>
      </c>
      <c r="DB30" s="160">
        <v>9.4941292539056601</v>
      </c>
      <c r="DC30" s="160">
        <v>9.7421740722509398</v>
      </c>
      <c r="DD30" s="160">
        <v>9.9902188905962195</v>
      </c>
      <c r="DE30" s="160">
        <v>10.238263708941499</v>
      </c>
      <c r="DF30" s="160">
        <v>10.4863085272868</v>
      </c>
      <c r="DG30" s="160">
        <v>10.734353345632099</v>
      </c>
      <c r="DH30" s="160">
        <v>10.9823981639774</v>
      </c>
      <c r="DI30" s="160">
        <v>11.2304429823226</v>
      </c>
      <c r="DJ30" s="160">
        <v>11.478487800667899</v>
      </c>
      <c r="DK30" s="160">
        <v>11.7265326190132</v>
      </c>
      <c r="DL30" s="160">
        <v>11.9745774373585</v>
      </c>
      <c r="DM30" s="161">
        <v>12.5733063092264</v>
      </c>
      <c r="DO30" s="159" t="s">
        <v>79</v>
      </c>
      <c r="DP30" s="160">
        <v>5.3885598468113196</v>
      </c>
      <c r="DQ30" s="160">
        <v>5.6964775523433904</v>
      </c>
      <c r="DR30" s="160">
        <v>6.00439525787547</v>
      </c>
      <c r="DS30" s="160">
        <v>6.3123129634075399</v>
      </c>
      <c r="DT30" s="160">
        <v>6.6202306689396204</v>
      </c>
      <c r="DU30" s="160">
        <v>6.9281483744716903</v>
      </c>
      <c r="DV30" s="160">
        <v>7.2360660800037699</v>
      </c>
      <c r="DW30" s="160">
        <v>7.5439837855358398</v>
      </c>
      <c r="DX30" s="160">
        <v>7.91605101305377</v>
      </c>
      <c r="DY30" s="160">
        <v>8.2881182405716896</v>
      </c>
      <c r="DZ30" s="160">
        <v>8.6601854680896206</v>
      </c>
      <c r="EA30" s="160">
        <v>9.0322526956075393</v>
      </c>
      <c r="EB30" s="160">
        <v>9.4043199231254597</v>
      </c>
      <c r="EC30" s="160">
        <v>9.7763871506433908</v>
      </c>
      <c r="ED30" s="160">
        <v>10.148454378161301</v>
      </c>
      <c r="EE30" s="160">
        <v>10.5205216056792</v>
      </c>
      <c r="EF30" s="160">
        <v>10.8925888331972</v>
      </c>
      <c r="EG30" s="160">
        <v>11.264656060715099</v>
      </c>
      <c r="EH30" s="160">
        <v>11.636723288233</v>
      </c>
      <c r="EI30" s="160">
        <v>12.008790515750899</v>
      </c>
      <c r="EJ30" s="160">
        <v>12.3808577432689</v>
      </c>
      <c r="EK30" s="160">
        <v>12.7529249707868</v>
      </c>
      <c r="EL30" s="160">
        <v>13.1249921983047</v>
      </c>
      <c r="EM30" s="160">
        <v>13.4970594258226</v>
      </c>
      <c r="EN30" s="160">
        <v>13.869126653340601</v>
      </c>
      <c r="EO30" s="160">
        <v>14.2411938808585</v>
      </c>
      <c r="EP30" s="160">
        <v>14.613261108376401</v>
      </c>
      <c r="EQ30" s="160">
        <v>14.9853283358943</v>
      </c>
      <c r="ER30" s="160">
        <v>15.3573955634123</v>
      </c>
      <c r="ES30" s="160">
        <v>15.729462790930199</v>
      </c>
      <c r="ET30" s="160">
        <v>16.101530018448099</v>
      </c>
      <c r="EU30" s="160">
        <v>16.473597245966001</v>
      </c>
      <c r="EV30" s="160">
        <v>16.845664473484</v>
      </c>
      <c r="EW30" s="160">
        <v>17.217731701001899</v>
      </c>
      <c r="EX30" s="160">
        <v>17.589798928519802</v>
      </c>
      <c r="EY30" s="160">
        <v>17.961866156037701</v>
      </c>
      <c r="EZ30" s="161">
        <v>6.2866531546131998</v>
      </c>
      <c r="FB30" s="159" t="s">
        <v>79</v>
      </c>
      <c r="FC30" s="160">
        <v>7.1847464624150899</v>
      </c>
      <c r="FD30" s="160">
        <v>7.5953034031245199</v>
      </c>
      <c r="FE30" s="160">
        <v>8.0058603438339606</v>
      </c>
      <c r="FF30" s="160">
        <v>8.4164172845433907</v>
      </c>
      <c r="FG30" s="160">
        <v>8.8269742252528207</v>
      </c>
      <c r="FH30" s="160">
        <v>9.2375311659622596</v>
      </c>
      <c r="FI30" s="160">
        <v>9.6480881066716897</v>
      </c>
      <c r="FJ30" s="160">
        <v>10.0586450473811</v>
      </c>
      <c r="FK30" s="160">
        <v>10.5547346840717</v>
      </c>
      <c r="FL30" s="160">
        <v>11.050824320762301</v>
      </c>
      <c r="FM30" s="160">
        <v>11.5469139574528</v>
      </c>
      <c r="FN30" s="160">
        <v>12.0430035941434</v>
      </c>
      <c r="FO30" s="160">
        <v>12.539093230834</v>
      </c>
      <c r="FP30" s="160">
        <v>13.035182867524499</v>
      </c>
      <c r="FQ30" s="160">
        <v>13.531272504215099</v>
      </c>
      <c r="FR30" s="160">
        <v>14.0273621409057</v>
      </c>
      <c r="FS30" s="160">
        <v>14.5234517775962</v>
      </c>
      <c r="FT30" s="160">
        <v>15.019541414286801</v>
      </c>
      <c r="FU30" s="160">
        <v>15.515631050977399</v>
      </c>
      <c r="FV30" s="160">
        <v>16.0117206876679</v>
      </c>
      <c r="FW30" s="160">
        <v>16.507810324358498</v>
      </c>
      <c r="FX30" s="160">
        <v>17.003899961049001</v>
      </c>
      <c r="FY30" s="160">
        <v>17.499989597739599</v>
      </c>
      <c r="FZ30" s="160">
        <v>17.996079234430201</v>
      </c>
      <c r="GA30" s="160">
        <v>18.4921688711207</v>
      </c>
      <c r="GB30" s="160">
        <v>18.988258507811299</v>
      </c>
      <c r="GC30" s="160">
        <v>19.484348144501901</v>
      </c>
      <c r="GD30" s="160">
        <v>19.9804377811924</v>
      </c>
      <c r="GE30" s="160">
        <v>20.476527417882998</v>
      </c>
      <c r="GF30" s="160">
        <v>20.9726170545736</v>
      </c>
      <c r="GG30" s="160">
        <v>21.468706691264099</v>
      </c>
      <c r="GH30" s="160">
        <v>21.964796327954701</v>
      </c>
      <c r="GI30" s="160">
        <v>22.4608859646453</v>
      </c>
      <c r="GJ30" s="160">
        <v>22.956975601335799</v>
      </c>
      <c r="GK30" s="160">
        <v>23.453065238026401</v>
      </c>
      <c r="GL30" s="160">
        <v>23.949154874716999</v>
      </c>
      <c r="GM30" s="156">
        <v>0</v>
      </c>
    </row>
    <row r="31" spans="1:195" s="150" customFormat="1" ht="15.5" x14ac:dyDescent="0.3">
      <c r="A31" s="163" t="s">
        <v>80</v>
      </c>
      <c r="B31" s="156">
        <v>0</v>
      </c>
      <c r="C31" s="156">
        <v>0</v>
      </c>
      <c r="D31" s="156">
        <v>0</v>
      </c>
      <c r="E31" s="156">
        <v>0</v>
      </c>
      <c r="F31" s="156">
        <v>0</v>
      </c>
      <c r="G31" s="156">
        <v>0</v>
      </c>
      <c r="H31" s="156">
        <v>0</v>
      </c>
      <c r="I31" s="156">
        <v>0</v>
      </c>
      <c r="J31" s="156">
        <v>0</v>
      </c>
      <c r="K31" s="156">
        <v>0</v>
      </c>
      <c r="L31" s="156">
        <v>0</v>
      </c>
      <c r="M31" s="156">
        <v>0</v>
      </c>
      <c r="N31" s="156">
        <v>0</v>
      </c>
      <c r="O31" s="156">
        <v>0</v>
      </c>
      <c r="P31" s="156">
        <v>0</v>
      </c>
      <c r="Q31" s="156">
        <v>0</v>
      </c>
      <c r="R31" s="156">
        <v>0</v>
      </c>
      <c r="S31" s="156">
        <v>0</v>
      </c>
      <c r="T31" s="156">
        <v>0</v>
      </c>
      <c r="U31" s="156">
        <v>0</v>
      </c>
      <c r="V31" s="156">
        <v>0</v>
      </c>
      <c r="W31" s="156">
        <v>0</v>
      </c>
      <c r="X31" s="156">
        <v>0</v>
      </c>
      <c r="Y31" s="156">
        <v>0</v>
      </c>
      <c r="Z31" s="156">
        <v>0</v>
      </c>
      <c r="AA31" s="156">
        <v>0</v>
      </c>
      <c r="AB31" s="156">
        <v>0</v>
      </c>
      <c r="AC31" s="156">
        <v>0</v>
      </c>
      <c r="AD31" s="156">
        <v>0</v>
      </c>
      <c r="AE31" s="156">
        <v>0</v>
      </c>
      <c r="AF31" s="156">
        <v>0</v>
      </c>
      <c r="AG31" s="156">
        <v>0</v>
      </c>
      <c r="AH31" s="156">
        <v>0</v>
      </c>
      <c r="AI31" s="156">
        <v>0</v>
      </c>
      <c r="AJ31" s="156">
        <v>0</v>
      </c>
      <c r="AK31" s="156">
        <v>0</v>
      </c>
      <c r="AL31" s="161">
        <v>9.1105706079184099</v>
      </c>
      <c r="AO31" s="159" t="s">
        <v>80</v>
      </c>
      <c r="AP31" s="160">
        <v>0.65075504342274404</v>
      </c>
      <c r="AQ31" s="160">
        <v>0.68794104590404404</v>
      </c>
      <c r="AR31" s="160">
        <v>0.72512704838534303</v>
      </c>
      <c r="AS31" s="160">
        <v>0.76231305086664303</v>
      </c>
      <c r="AT31" s="160">
        <v>0.79949905334794302</v>
      </c>
      <c r="AU31" s="160">
        <v>0.83668505582924202</v>
      </c>
      <c r="AV31" s="160">
        <v>0.87387105831054201</v>
      </c>
      <c r="AW31" s="160">
        <v>0.91105706079184101</v>
      </c>
      <c r="AX31" s="160">
        <v>0.95599014712341202</v>
      </c>
      <c r="AY31" s="160">
        <v>1.00092323345498</v>
      </c>
      <c r="AZ31" s="160">
        <v>1.04585631978655</v>
      </c>
      <c r="BA31" s="160">
        <v>1.09078940611812</v>
      </c>
      <c r="BB31" s="160">
        <v>1.13572249244969</v>
      </c>
      <c r="BC31" s="160">
        <v>1.18065557878126</v>
      </c>
      <c r="BD31" s="160">
        <v>1.22558866511283</v>
      </c>
      <c r="BE31" s="160">
        <v>1.27052175144441</v>
      </c>
      <c r="BF31" s="160">
        <v>1.31545483777598</v>
      </c>
      <c r="BG31" s="160">
        <v>1.3603879241075501</v>
      </c>
      <c r="BH31" s="160">
        <v>1.4053210104391201</v>
      </c>
      <c r="BI31" s="160">
        <v>1.4502540967706901</v>
      </c>
      <c r="BJ31" s="160">
        <v>1.4951871831022601</v>
      </c>
      <c r="BK31" s="160">
        <v>1.5401202694338301</v>
      </c>
      <c r="BL31" s="160">
        <v>1.5850533557654001</v>
      </c>
      <c r="BM31" s="160">
        <v>1.6299864420969701</v>
      </c>
      <c r="BN31" s="160">
        <v>1.6749195284285401</v>
      </c>
      <c r="BO31" s="160">
        <v>1.7198526147601101</v>
      </c>
      <c r="BP31" s="160">
        <v>1.7647857010916801</v>
      </c>
      <c r="BQ31" s="160">
        <v>1.8097187874232501</v>
      </c>
      <c r="BR31" s="160">
        <v>1.8546518737548201</v>
      </c>
      <c r="BS31" s="160">
        <v>1.8995849600863901</v>
      </c>
      <c r="BT31" s="160">
        <v>1.9445180464179601</v>
      </c>
      <c r="BU31" s="160">
        <v>1.9894511327495299</v>
      </c>
      <c r="BV31" s="160">
        <v>2.0343842190811001</v>
      </c>
      <c r="BW31" s="160">
        <v>2.0793173054126699</v>
      </c>
      <c r="BX31" s="160">
        <v>2.1242503917442401</v>
      </c>
      <c r="BY31" s="160">
        <v>2.1691834780758099</v>
      </c>
      <c r="BZ31" s="161">
        <v>6.8329279559388096</v>
      </c>
      <c r="CB31" s="162" t="s">
        <v>80</v>
      </c>
      <c r="CC31" s="160">
        <v>1.3015100868454901</v>
      </c>
      <c r="CD31" s="160">
        <v>1.3758820918080901</v>
      </c>
      <c r="CE31" s="160">
        <v>1.4502540967706901</v>
      </c>
      <c r="CF31" s="160">
        <v>1.5246261017332901</v>
      </c>
      <c r="CG31" s="160">
        <v>1.59899810669589</v>
      </c>
      <c r="CH31" s="160">
        <v>1.67337011165848</v>
      </c>
      <c r="CI31" s="160">
        <v>1.74774211662108</v>
      </c>
      <c r="CJ31" s="160">
        <v>1.82211412158368</v>
      </c>
      <c r="CK31" s="160">
        <v>1.91198029424682</v>
      </c>
      <c r="CL31" s="160">
        <v>2.00184646690996</v>
      </c>
      <c r="CM31" s="160">
        <v>2.0917126395731098</v>
      </c>
      <c r="CN31" s="160">
        <v>2.1815788122362498</v>
      </c>
      <c r="CO31" s="160">
        <v>2.2714449848993898</v>
      </c>
      <c r="CP31" s="160">
        <v>2.3613111575625298</v>
      </c>
      <c r="CQ31" s="160">
        <v>2.4511773302256699</v>
      </c>
      <c r="CR31" s="160">
        <v>2.5410435028888099</v>
      </c>
      <c r="CS31" s="160">
        <v>2.6309096755519499</v>
      </c>
      <c r="CT31" s="160">
        <v>2.7207758482150899</v>
      </c>
      <c r="CU31" s="160">
        <v>2.8106420208782299</v>
      </c>
      <c r="CV31" s="160">
        <v>2.9005081935413699</v>
      </c>
      <c r="CW31" s="160">
        <v>2.9903743662045099</v>
      </c>
      <c r="CX31" s="160">
        <v>3.0802405388676499</v>
      </c>
      <c r="CY31" s="160">
        <v>3.1701067115307899</v>
      </c>
      <c r="CZ31" s="160">
        <v>3.2599728841939402</v>
      </c>
      <c r="DA31" s="160">
        <v>3.3498390568570802</v>
      </c>
      <c r="DB31" s="160">
        <v>3.4397052295202202</v>
      </c>
      <c r="DC31" s="160">
        <v>3.5295714021833602</v>
      </c>
      <c r="DD31" s="160">
        <v>3.6194375748465002</v>
      </c>
      <c r="DE31" s="160">
        <v>3.7093037475096402</v>
      </c>
      <c r="DF31" s="160">
        <v>3.7991699201727802</v>
      </c>
      <c r="DG31" s="160">
        <v>3.8890360928359202</v>
      </c>
      <c r="DH31" s="160">
        <v>3.9789022654990598</v>
      </c>
      <c r="DI31" s="160">
        <v>4.0687684381622002</v>
      </c>
      <c r="DJ31" s="160">
        <v>4.1586346108253398</v>
      </c>
      <c r="DK31" s="160">
        <v>4.2485007834884803</v>
      </c>
      <c r="DL31" s="160">
        <v>4.3383669561516296</v>
      </c>
      <c r="DM31" s="161">
        <v>4.5552853039592103</v>
      </c>
      <c r="DO31" s="159" t="s">
        <v>80</v>
      </c>
      <c r="DP31" s="160">
        <v>1.9522651302682299</v>
      </c>
      <c r="DQ31" s="160">
        <v>2.0638231377121299</v>
      </c>
      <c r="DR31" s="160">
        <v>2.1753811451560301</v>
      </c>
      <c r="DS31" s="160">
        <v>2.2869391525999299</v>
      </c>
      <c r="DT31" s="160">
        <v>2.3984971600438301</v>
      </c>
      <c r="DU31" s="160">
        <v>2.5100551674877298</v>
      </c>
      <c r="DV31" s="160">
        <v>2.62161317493163</v>
      </c>
      <c r="DW31" s="160">
        <v>2.73317118237552</v>
      </c>
      <c r="DX31" s="160">
        <v>2.86797044137024</v>
      </c>
      <c r="DY31" s="160">
        <v>3.0027697003649498</v>
      </c>
      <c r="DZ31" s="160">
        <v>3.1375689593596601</v>
      </c>
      <c r="EA31" s="160">
        <v>3.2723682183543699</v>
      </c>
      <c r="EB31" s="160">
        <v>3.4071674773490801</v>
      </c>
      <c r="EC31" s="160">
        <v>3.5419667363437899</v>
      </c>
      <c r="ED31" s="160">
        <v>3.6767659953385001</v>
      </c>
      <c r="EE31" s="160">
        <v>3.8115652543332099</v>
      </c>
      <c r="EF31" s="160">
        <v>3.9463645133279299</v>
      </c>
      <c r="EG31" s="160">
        <v>4.0811637723226397</v>
      </c>
      <c r="EH31" s="160">
        <v>4.21596303131735</v>
      </c>
      <c r="EI31" s="160">
        <v>4.3507622903120602</v>
      </c>
      <c r="EJ31" s="160">
        <v>4.4855615493067704</v>
      </c>
      <c r="EK31" s="160">
        <v>4.6203608083014798</v>
      </c>
      <c r="EL31" s="160">
        <v>4.75516006729619</v>
      </c>
      <c r="EM31" s="160">
        <v>4.8899593262909002</v>
      </c>
      <c r="EN31" s="160">
        <v>5.0247585852856202</v>
      </c>
      <c r="EO31" s="160">
        <v>5.1595578442803296</v>
      </c>
      <c r="EP31" s="160">
        <v>5.2943571032750398</v>
      </c>
      <c r="EQ31" s="160">
        <v>5.4291563622697501</v>
      </c>
      <c r="ER31" s="160">
        <v>5.5639556212644603</v>
      </c>
      <c r="ES31" s="160">
        <v>5.6987548802591697</v>
      </c>
      <c r="ET31" s="160">
        <v>5.8335541392538799</v>
      </c>
      <c r="EU31" s="160">
        <v>5.9683533982485901</v>
      </c>
      <c r="EV31" s="160">
        <v>6.1031526572433101</v>
      </c>
      <c r="EW31" s="160">
        <v>6.2379519162380204</v>
      </c>
      <c r="EX31" s="160">
        <v>6.3727511752327297</v>
      </c>
      <c r="EY31" s="160">
        <v>6.50755043422744</v>
      </c>
      <c r="EZ31" s="161">
        <v>2.2776426519795998</v>
      </c>
      <c r="FB31" s="159" t="s">
        <v>80</v>
      </c>
      <c r="FC31" s="160">
        <v>2.6030201736909802</v>
      </c>
      <c r="FD31" s="160">
        <v>2.7517641836161699</v>
      </c>
      <c r="FE31" s="160">
        <v>2.9005081935413699</v>
      </c>
      <c r="FF31" s="160">
        <v>3.0492522034665699</v>
      </c>
      <c r="FG31" s="160">
        <v>3.1979962133917699</v>
      </c>
      <c r="FH31" s="160">
        <v>3.3467402233169699</v>
      </c>
      <c r="FI31" s="160">
        <v>3.4954842332421698</v>
      </c>
      <c r="FJ31" s="160">
        <v>3.6442282431673698</v>
      </c>
      <c r="FK31" s="160">
        <v>3.8239605884936498</v>
      </c>
      <c r="FL31" s="160">
        <v>4.0036929338199299</v>
      </c>
      <c r="FM31" s="160">
        <v>4.1834252791462099</v>
      </c>
      <c r="FN31" s="160">
        <v>4.3631576244724899</v>
      </c>
      <c r="FO31" s="160">
        <v>4.5428899697987699</v>
      </c>
      <c r="FP31" s="160">
        <v>4.7226223151250597</v>
      </c>
      <c r="FQ31" s="160">
        <v>4.9023546604513397</v>
      </c>
      <c r="FR31" s="160">
        <v>5.0820870057776197</v>
      </c>
      <c r="FS31" s="160">
        <v>5.2618193511038998</v>
      </c>
      <c r="FT31" s="160">
        <v>5.4415516964301798</v>
      </c>
      <c r="FU31" s="160">
        <v>5.6212840417564696</v>
      </c>
      <c r="FV31" s="160">
        <v>5.8010163870827496</v>
      </c>
      <c r="FW31" s="160">
        <v>5.9807487324090296</v>
      </c>
      <c r="FX31" s="160">
        <v>6.1604810777353096</v>
      </c>
      <c r="FY31" s="160">
        <v>6.3402134230615896</v>
      </c>
      <c r="FZ31" s="160">
        <v>6.5199457683878697</v>
      </c>
      <c r="GA31" s="160">
        <v>6.6996781137141603</v>
      </c>
      <c r="GB31" s="160">
        <v>6.8794104590404404</v>
      </c>
      <c r="GC31" s="160">
        <v>7.0591428043667204</v>
      </c>
      <c r="GD31" s="160">
        <v>7.2388751496930004</v>
      </c>
      <c r="GE31" s="160">
        <v>7.4186074950192804</v>
      </c>
      <c r="GF31" s="160">
        <v>7.5983398403455604</v>
      </c>
      <c r="GG31" s="160">
        <v>7.7780721856718404</v>
      </c>
      <c r="GH31" s="160">
        <v>7.9578045309981302</v>
      </c>
      <c r="GI31" s="160">
        <v>8.1375368763244094</v>
      </c>
      <c r="GJ31" s="160">
        <v>8.3172692216506903</v>
      </c>
      <c r="GK31" s="160">
        <v>8.4970015669769694</v>
      </c>
      <c r="GL31" s="160">
        <v>8.6767339123032503</v>
      </c>
      <c r="GM31" s="156">
        <v>0</v>
      </c>
    </row>
    <row r="32" spans="1:195" s="150" customFormat="1" ht="15.5" x14ac:dyDescent="0.3">
      <c r="A32" s="163" t="s">
        <v>81</v>
      </c>
      <c r="B32" s="156">
        <v>0</v>
      </c>
      <c r="C32" s="156">
        <v>0</v>
      </c>
      <c r="D32" s="156">
        <v>0</v>
      </c>
      <c r="E32" s="156">
        <v>0</v>
      </c>
      <c r="F32" s="156">
        <v>0</v>
      </c>
      <c r="G32" s="156">
        <v>0</v>
      </c>
      <c r="H32" s="156">
        <v>0</v>
      </c>
      <c r="I32" s="156">
        <v>0</v>
      </c>
      <c r="J32" s="156">
        <v>0</v>
      </c>
      <c r="K32" s="156">
        <v>0</v>
      </c>
      <c r="L32" s="156">
        <v>0</v>
      </c>
      <c r="M32" s="156">
        <v>0</v>
      </c>
      <c r="N32" s="156">
        <v>0</v>
      </c>
      <c r="O32" s="156">
        <v>0</v>
      </c>
      <c r="P32" s="156">
        <v>0</v>
      </c>
      <c r="Q32" s="156">
        <v>0</v>
      </c>
      <c r="R32" s="156">
        <v>0</v>
      </c>
      <c r="S32" s="156">
        <v>0</v>
      </c>
      <c r="T32" s="156">
        <v>0</v>
      </c>
      <c r="U32" s="156">
        <v>0</v>
      </c>
      <c r="V32" s="156">
        <v>0</v>
      </c>
      <c r="W32" s="156">
        <v>0</v>
      </c>
      <c r="X32" s="156">
        <v>0</v>
      </c>
      <c r="Y32" s="156">
        <v>0</v>
      </c>
      <c r="Z32" s="156">
        <v>0</v>
      </c>
      <c r="AA32" s="156">
        <v>0</v>
      </c>
      <c r="AB32" s="156">
        <v>0</v>
      </c>
      <c r="AC32" s="156">
        <v>0</v>
      </c>
      <c r="AD32" s="156">
        <v>0</v>
      </c>
      <c r="AE32" s="156">
        <v>0</v>
      </c>
      <c r="AF32" s="156">
        <v>0</v>
      </c>
      <c r="AG32" s="156">
        <v>0</v>
      </c>
      <c r="AH32" s="156">
        <v>0</v>
      </c>
      <c r="AI32" s="156">
        <v>0</v>
      </c>
      <c r="AJ32" s="156">
        <v>0</v>
      </c>
      <c r="AK32" s="156">
        <v>0</v>
      </c>
      <c r="AL32" s="161">
        <v>151.59228975946499</v>
      </c>
      <c r="AO32" s="159" t="s">
        <v>81</v>
      </c>
      <c r="AP32" s="160">
        <v>10.8280206971046</v>
      </c>
      <c r="AQ32" s="160">
        <v>11.446764736939199</v>
      </c>
      <c r="AR32" s="160">
        <v>12.065508776773701</v>
      </c>
      <c r="AS32" s="160">
        <v>12.6842528166083</v>
      </c>
      <c r="AT32" s="160">
        <v>13.3029968564428</v>
      </c>
      <c r="AU32" s="160">
        <v>13.921740896277401</v>
      </c>
      <c r="AV32" s="160">
        <v>14.5404849361119</v>
      </c>
      <c r="AW32" s="160">
        <v>15.159228975946499</v>
      </c>
      <c r="AX32" s="160">
        <v>15.9068780240799</v>
      </c>
      <c r="AY32" s="160">
        <v>16.654527072213298</v>
      </c>
      <c r="AZ32" s="160">
        <v>17.402176120346699</v>
      </c>
      <c r="BA32" s="160">
        <v>18.149825168480099</v>
      </c>
      <c r="BB32" s="160">
        <v>18.897474216613499</v>
      </c>
      <c r="BC32" s="160">
        <v>19.6451232647469</v>
      </c>
      <c r="BD32" s="160">
        <v>20.3927723128804</v>
      </c>
      <c r="BE32" s="160">
        <v>21.1404213610138</v>
      </c>
      <c r="BF32" s="160">
        <v>21.8880704091472</v>
      </c>
      <c r="BG32" s="160">
        <v>22.635719457280601</v>
      </c>
      <c r="BH32" s="160">
        <v>23.383368505414001</v>
      </c>
      <c r="BI32" s="160">
        <v>24.131017553547402</v>
      </c>
      <c r="BJ32" s="160">
        <v>24.878666601680798</v>
      </c>
      <c r="BK32" s="160">
        <v>25.626315649814199</v>
      </c>
      <c r="BL32" s="160">
        <v>26.373964697947699</v>
      </c>
      <c r="BM32" s="160">
        <v>27.121613746081099</v>
      </c>
      <c r="BN32" s="160">
        <v>27.869262794214499</v>
      </c>
      <c r="BO32" s="160">
        <v>28.6169118423479</v>
      </c>
      <c r="BP32" s="160">
        <v>29.3645608904813</v>
      </c>
      <c r="BQ32" s="160">
        <v>30.112209938614701</v>
      </c>
      <c r="BR32" s="160">
        <v>30.8598589867482</v>
      </c>
      <c r="BS32" s="160">
        <v>31.607508034881601</v>
      </c>
      <c r="BT32" s="160">
        <v>32.355157083015001</v>
      </c>
      <c r="BU32" s="160">
        <v>33.102806131148398</v>
      </c>
      <c r="BV32" s="160">
        <v>33.850455179281802</v>
      </c>
      <c r="BW32" s="160">
        <v>34.598104227415199</v>
      </c>
      <c r="BX32" s="160">
        <v>35.345753275548603</v>
      </c>
      <c r="BY32" s="160">
        <v>36.093402323682</v>
      </c>
      <c r="BZ32" s="161">
        <v>113.694217319598</v>
      </c>
      <c r="CB32" s="162" t="s">
        <v>81</v>
      </c>
      <c r="CC32" s="160">
        <v>21.6560413942092</v>
      </c>
      <c r="CD32" s="160">
        <v>22.893529473878299</v>
      </c>
      <c r="CE32" s="160">
        <v>24.131017553547402</v>
      </c>
      <c r="CF32" s="160">
        <v>25.3685056332165</v>
      </c>
      <c r="CG32" s="160">
        <v>26.605993712885599</v>
      </c>
      <c r="CH32" s="160">
        <v>27.843481792554702</v>
      </c>
      <c r="CI32" s="160">
        <v>29.0809698722238</v>
      </c>
      <c r="CJ32" s="160">
        <v>30.318457951892899</v>
      </c>
      <c r="CK32" s="160">
        <v>31.8137560481597</v>
      </c>
      <c r="CL32" s="160">
        <v>33.309054144426597</v>
      </c>
      <c r="CM32" s="160">
        <v>34.804352240693397</v>
      </c>
      <c r="CN32" s="160">
        <v>36.299650336960198</v>
      </c>
      <c r="CO32" s="160">
        <v>37.794948433226999</v>
      </c>
      <c r="CP32" s="160">
        <v>39.290246529493899</v>
      </c>
      <c r="CQ32" s="160">
        <v>40.7855446257607</v>
      </c>
      <c r="CR32" s="160">
        <v>42.280842722027501</v>
      </c>
      <c r="CS32" s="160">
        <v>43.776140818294401</v>
      </c>
      <c r="CT32" s="160">
        <v>45.271438914561202</v>
      </c>
      <c r="CU32" s="160">
        <v>46.766737010828002</v>
      </c>
      <c r="CV32" s="160">
        <v>48.262035107094903</v>
      </c>
      <c r="CW32" s="160">
        <v>49.757333203361704</v>
      </c>
      <c r="CX32" s="160">
        <v>51.252631299628497</v>
      </c>
      <c r="CY32" s="160">
        <v>52.747929395895298</v>
      </c>
      <c r="CZ32" s="160">
        <v>54.243227492162198</v>
      </c>
      <c r="DA32" s="160">
        <v>55.738525588428999</v>
      </c>
      <c r="DB32" s="160">
        <v>57.2338236846958</v>
      </c>
      <c r="DC32" s="160">
        <v>58.7291217809627</v>
      </c>
      <c r="DD32" s="160">
        <v>60.224419877229501</v>
      </c>
      <c r="DE32" s="160">
        <v>61.719717973496302</v>
      </c>
      <c r="DF32" s="160">
        <v>63.215016069763102</v>
      </c>
      <c r="DG32" s="160">
        <v>64.710314166029903</v>
      </c>
      <c r="DH32" s="160">
        <v>66.205612262296796</v>
      </c>
      <c r="DI32" s="160">
        <v>67.700910358563604</v>
      </c>
      <c r="DJ32" s="160">
        <v>69.196208454830398</v>
      </c>
      <c r="DK32" s="160">
        <v>70.691506551097305</v>
      </c>
      <c r="DL32" s="160">
        <v>72.186804647363999</v>
      </c>
      <c r="DM32" s="161">
        <v>75.796144879732296</v>
      </c>
      <c r="DO32" s="159" t="s">
        <v>81</v>
      </c>
      <c r="DP32" s="160">
        <v>32.484062091313803</v>
      </c>
      <c r="DQ32" s="160">
        <v>34.340294210817497</v>
      </c>
      <c r="DR32" s="160">
        <v>36.196526330321099</v>
      </c>
      <c r="DS32" s="160">
        <v>38.0527584498248</v>
      </c>
      <c r="DT32" s="160">
        <v>39.908990569328402</v>
      </c>
      <c r="DU32" s="160">
        <v>41.765222688832097</v>
      </c>
      <c r="DV32" s="160">
        <v>43.621454808335699</v>
      </c>
      <c r="DW32" s="160">
        <v>45.4776869278394</v>
      </c>
      <c r="DX32" s="160">
        <v>47.720634072239598</v>
      </c>
      <c r="DY32" s="160">
        <v>49.963581216639902</v>
      </c>
      <c r="DZ32" s="160">
        <v>52.2065283610401</v>
      </c>
      <c r="EA32" s="160">
        <v>54.449475505440297</v>
      </c>
      <c r="EB32" s="160">
        <v>56.692422649840601</v>
      </c>
      <c r="EC32" s="160">
        <v>58.935369794240799</v>
      </c>
      <c r="ED32" s="160">
        <v>61.178316938640997</v>
      </c>
      <c r="EE32" s="160">
        <v>63.421264083041301</v>
      </c>
      <c r="EF32" s="160">
        <v>65.664211227441498</v>
      </c>
      <c r="EG32" s="160">
        <v>67.907158371841803</v>
      </c>
      <c r="EH32" s="160">
        <v>70.150105516241993</v>
      </c>
      <c r="EI32" s="160">
        <v>72.393052660642297</v>
      </c>
      <c r="EJ32" s="160">
        <v>74.635999805042502</v>
      </c>
      <c r="EK32" s="160">
        <v>76.878946949442707</v>
      </c>
      <c r="EL32" s="160">
        <v>79.121894093842997</v>
      </c>
      <c r="EM32" s="160">
        <v>81.364841238243201</v>
      </c>
      <c r="EN32" s="160">
        <v>83.607788382643406</v>
      </c>
      <c r="EO32" s="160">
        <v>85.850735527043696</v>
      </c>
      <c r="EP32" s="160">
        <v>88.093682671443901</v>
      </c>
      <c r="EQ32" s="160">
        <v>90.336629815844205</v>
      </c>
      <c r="ER32" s="160">
        <v>92.579576960244395</v>
      </c>
      <c r="ES32" s="160">
        <v>94.8225241046447</v>
      </c>
      <c r="ET32" s="160">
        <v>97.065471249044904</v>
      </c>
      <c r="EU32" s="160">
        <v>99.308418393445194</v>
      </c>
      <c r="EV32" s="160">
        <v>101.551365537845</v>
      </c>
      <c r="EW32" s="160">
        <v>103.794312682246</v>
      </c>
      <c r="EX32" s="160">
        <v>106.03725982664599</v>
      </c>
      <c r="EY32" s="160">
        <v>108.280206971046</v>
      </c>
      <c r="EZ32" s="161">
        <v>37.898072439866098</v>
      </c>
      <c r="FB32" s="159" t="s">
        <v>81</v>
      </c>
      <c r="FC32" s="160">
        <v>43.3120827884185</v>
      </c>
      <c r="FD32" s="160">
        <v>45.787058947756599</v>
      </c>
      <c r="FE32" s="160">
        <v>48.262035107094903</v>
      </c>
      <c r="FF32" s="160">
        <v>50.737011266433001</v>
      </c>
      <c r="FG32" s="160">
        <v>53.211987425771198</v>
      </c>
      <c r="FH32" s="160">
        <v>55.686963585109403</v>
      </c>
      <c r="FI32" s="160">
        <v>58.161939744447601</v>
      </c>
      <c r="FJ32" s="160">
        <v>60.636915903785798</v>
      </c>
      <c r="FK32" s="160">
        <v>63.627512096319499</v>
      </c>
      <c r="FL32" s="160">
        <v>66.618108288853094</v>
      </c>
      <c r="FM32" s="160">
        <v>69.608704481386795</v>
      </c>
      <c r="FN32" s="160">
        <v>72.599300673920496</v>
      </c>
      <c r="FO32" s="160">
        <v>75.589896866454097</v>
      </c>
      <c r="FP32" s="160">
        <v>78.580493058987798</v>
      </c>
      <c r="FQ32" s="160">
        <v>81.5710892515214</v>
      </c>
      <c r="FR32" s="160">
        <v>84.561685444055101</v>
      </c>
      <c r="FS32" s="160">
        <v>87.552281636588702</v>
      </c>
      <c r="FT32" s="160">
        <v>90.542877829122403</v>
      </c>
      <c r="FU32" s="160">
        <v>93.533474021656005</v>
      </c>
      <c r="FV32" s="160">
        <v>96.524070214189706</v>
      </c>
      <c r="FW32" s="160">
        <v>99.514666406723407</v>
      </c>
      <c r="FX32" s="160">
        <v>102.50526259925699</v>
      </c>
      <c r="FY32" s="160">
        <v>105.49585879179099</v>
      </c>
      <c r="FZ32" s="160">
        <v>108.486454984324</v>
      </c>
      <c r="GA32" s="160">
        <v>111.477051176858</v>
      </c>
      <c r="GB32" s="160">
        <v>114.467647369392</v>
      </c>
      <c r="GC32" s="160">
        <v>117.458243561925</v>
      </c>
      <c r="GD32" s="160">
        <v>120.448839754459</v>
      </c>
      <c r="GE32" s="160">
        <v>123.439435946993</v>
      </c>
      <c r="GF32" s="160">
        <v>126.43003213952601</v>
      </c>
      <c r="GG32" s="160">
        <v>129.42062833206001</v>
      </c>
      <c r="GH32" s="160">
        <v>132.41122452459399</v>
      </c>
      <c r="GI32" s="160">
        <v>135.40182071712701</v>
      </c>
      <c r="GJ32" s="160">
        <v>138.39241690966099</v>
      </c>
      <c r="GK32" s="160">
        <v>141.38301310219501</v>
      </c>
      <c r="GL32" s="160">
        <v>144.373609294728</v>
      </c>
      <c r="GM32" s="156">
        <v>0</v>
      </c>
    </row>
    <row r="33" spans="1:195" s="150" customFormat="1" ht="15.5" x14ac:dyDescent="0.3">
      <c r="A33" s="163" t="s">
        <v>82</v>
      </c>
      <c r="B33" s="156">
        <v>0</v>
      </c>
      <c r="C33" s="156">
        <v>0</v>
      </c>
      <c r="D33" s="156">
        <v>0</v>
      </c>
      <c r="E33" s="156">
        <v>0</v>
      </c>
      <c r="F33" s="156">
        <v>0</v>
      </c>
      <c r="G33" s="156">
        <v>0</v>
      </c>
      <c r="H33" s="156">
        <v>0</v>
      </c>
      <c r="I33" s="156">
        <v>0</v>
      </c>
      <c r="J33" s="156">
        <v>0</v>
      </c>
      <c r="K33" s="156">
        <v>0</v>
      </c>
      <c r="L33" s="156">
        <v>0</v>
      </c>
      <c r="M33" s="156">
        <v>0</v>
      </c>
      <c r="N33" s="156">
        <v>0</v>
      </c>
      <c r="O33" s="156">
        <v>0</v>
      </c>
      <c r="P33" s="156">
        <v>0</v>
      </c>
      <c r="Q33" s="156">
        <v>0</v>
      </c>
      <c r="R33" s="156">
        <v>0</v>
      </c>
      <c r="S33" s="156">
        <v>0</v>
      </c>
      <c r="T33" s="156">
        <v>0</v>
      </c>
      <c r="U33" s="156">
        <v>0</v>
      </c>
      <c r="V33" s="156">
        <v>0</v>
      </c>
      <c r="W33" s="156">
        <v>0</v>
      </c>
      <c r="X33" s="156">
        <v>0</v>
      </c>
      <c r="Y33" s="156">
        <v>0</v>
      </c>
      <c r="Z33" s="156">
        <v>0</v>
      </c>
      <c r="AA33" s="156">
        <v>0</v>
      </c>
      <c r="AB33" s="156">
        <v>0</v>
      </c>
      <c r="AC33" s="156">
        <v>0</v>
      </c>
      <c r="AD33" s="156">
        <v>0</v>
      </c>
      <c r="AE33" s="156">
        <v>0</v>
      </c>
      <c r="AF33" s="156">
        <v>0</v>
      </c>
      <c r="AG33" s="156">
        <v>0</v>
      </c>
      <c r="AH33" s="156">
        <v>0</v>
      </c>
      <c r="AI33" s="156">
        <v>0</v>
      </c>
      <c r="AJ33" s="156">
        <v>0</v>
      </c>
      <c r="AK33" s="156">
        <v>0</v>
      </c>
      <c r="AL33" s="161">
        <v>21.177030473599199</v>
      </c>
      <c r="AO33" s="159" t="s">
        <v>82</v>
      </c>
      <c r="AP33" s="160">
        <v>1.51264503382851</v>
      </c>
      <c r="AQ33" s="160">
        <v>1.5990818929044299</v>
      </c>
      <c r="AR33" s="160">
        <v>1.6855187519803401</v>
      </c>
      <c r="AS33" s="160">
        <v>1.77195561105626</v>
      </c>
      <c r="AT33" s="160">
        <v>1.8583924701321699</v>
      </c>
      <c r="AU33" s="160">
        <v>1.94482932920809</v>
      </c>
      <c r="AV33" s="160">
        <v>2.031266188284</v>
      </c>
      <c r="AW33" s="160">
        <v>2.1177030473599201</v>
      </c>
      <c r="AX33" s="160">
        <v>2.2221475854099801</v>
      </c>
      <c r="AY33" s="160">
        <v>2.32659212346005</v>
      </c>
      <c r="AZ33" s="160">
        <v>2.43103666151011</v>
      </c>
      <c r="BA33" s="160">
        <v>2.53548119956017</v>
      </c>
      <c r="BB33" s="160">
        <v>2.6399257376102399</v>
      </c>
      <c r="BC33" s="160">
        <v>2.7443702756602999</v>
      </c>
      <c r="BD33" s="160">
        <v>2.8488148137103599</v>
      </c>
      <c r="BE33" s="160">
        <v>2.9532593517604302</v>
      </c>
      <c r="BF33" s="160">
        <v>3.0577038898104898</v>
      </c>
      <c r="BG33" s="160">
        <v>3.1621484278605601</v>
      </c>
      <c r="BH33" s="160">
        <v>3.2665929659106201</v>
      </c>
      <c r="BI33" s="160">
        <v>3.3710375039606899</v>
      </c>
      <c r="BJ33" s="160">
        <v>3.47548204201075</v>
      </c>
      <c r="BK33" s="160">
        <v>3.57992658006081</v>
      </c>
      <c r="BL33" s="160">
        <v>3.6843711181108798</v>
      </c>
      <c r="BM33" s="160">
        <v>3.7888156561609398</v>
      </c>
      <c r="BN33" s="160">
        <v>3.8932601942110101</v>
      </c>
      <c r="BO33" s="160">
        <v>3.9977047322610701</v>
      </c>
      <c r="BP33" s="160">
        <v>4.1021492703111297</v>
      </c>
      <c r="BQ33" s="160">
        <v>4.2065938083612</v>
      </c>
      <c r="BR33" s="160">
        <v>4.3110383464112596</v>
      </c>
      <c r="BS33" s="160">
        <v>4.4154828844613201</v>
      </c>
      <c r="BT33" s="160">
        <v>4.5199274225113903</v>
      </c>
      <c r="BU33" s="160">
        <v>4.6243719605614499</v>
      </c>
      <c r="BV33" s="160">
        <v>4.7288164986115202</v>
      </c>
      <c r="BW33" s="160">
        <v>4.8332610366615798</v>
      </c>
      <c r="BX33" s="160">
        <v>4.9377055747116403</v>
      </c>
      <c r="BY33" s="160">
        <v>5.0421501127617097</v>
      </c>
      <c r="BZ33" s="161">
        <v>15.8827728551994</v>
      </c>
      <c r="CB33" s="162" t="s">
        <v>82</v>
      </c>
      <c r="CC33" s="160">
        <v>3.02529006765702</v>
      </c>
      <c r="CD33" s="160">
        <v>3.1981637858088598</v>
      </c>
      <c r="CE33" s="160">
        <v>3.3710375039606899</v>
      </c>
      <c r="CF33" s="160">
        <v>3.54391122211252</v>
      </c>
      <c r="CG33" s="160">
        <v>3.71678494026435</v>
      </c>
      <c r="CH33" s="160">
        <v>3.8896586584161699</v>
      </c>
      <c r="CI33" s="160">
        <v>4.0625323765679999</v>
      </c>
      <c r="CJ33" s="160">
        <v>4.2354060947198304</v>
      </c>
      <c r="CK33" s="160">
        <v>4.4442951708199603</v>
      </c>
      <c r="CL33" s="160">
        <v>4.6531842469200901</v>
      </c>
      <c r="CM33" s="160">
        <v>4.86207332302022</v>
      </c>
      <c r="CN33" s="160">
        <v>5.0709623991203499</v>
      </c>
      <c r="CO33" s="160">
        <v>5.2798514752204797</v>
      </c>
      <c r="CP33" s="160">
        <v>5.4887405513205998</v>
      </c>
      <c r="CQ33" s="160">
        <v>5.6976296274207296</v>
      </c>
      <c r="CR33" s="160">
        <v>5.9065187035208604</v>
      </c>
      <c r="CS33" s="160">
        <v>6.1154077796209902</v>
      </c>
      <c r="CT33" s="160">
        <v>6.3242968557211103</v>
      </c>
      <c r="CU33" s="160">
        <v>6.5331859318212402</v>
      </c>
      <c r="CV33" s="160">
        <v>6.74207500792137</v>
      </c>
      <c r="CW33" s="160">
        <v>6.9509640840214999</v>
      </c>
      <c r="CX33" s="160">
        <v>7.1598531601216298</v>
      </c>
      <c r="CY33" s="160">
        <v>7.3687422362217596</v>
      </c>
      <c r="CZ33" s="160">
        <v>7.5776313123218797</v>
      </c>
      <c r="DA33" s="160">
        <v>7.7865203884220104</v>
      </c>
      <c r="DB33" s="160">
        <v>7.9954094645221403</v>
      </c>
      <c r="DC33" s="160">
        <v>8.2042985406222595</v>
      </c>
      <c r="DD33" s="160">
        <v>8.4131876167223894</v>
      </c>
      <c r="DE33" s="160">
        <v>8.6220766928225192</v>
      </c>
      <c r="DF33" s="160">
        <v>8.8309657689226508</v>
      </c>
      <c r="DG33" s="160">
        <v>9.0398548450227807</v>
      </c>
      <c r="DH33" s="160">
        <v>9.2487439211229105</v>
      </c>
      <c r="DI33" s="160">
        <v>9.4576329972230404</v>
      </c>
      <c r="DJ33" s="160">
        <v>9.6665220733231596</v>
      </c>
      <c r="DK33" s="160">
        <v>9.8754111494232895</v>
      </c>
      <c r="DL33" s="160">
        <v>10.0843002255234</v>
      </c>
      <c r="DM33" s="161">
        <v>10.5885152367996</v>
      </c>
      <c r="DO33" s="159" t="s">
        <v>82</v>
      </c>
      <c r="DP33" s="160">
        <v>4.53793510148554</v>
      </c>
      <c r="DQ33" s="160">
        <v>4.7972456787132796</v>
      </c>
      <c r="DR33" s="160">
        <v>5.0565562559410298</v>
      </c>
      <c r="DS33" s="160">
        <v>5.3158668331687702</v>
      </c>
      <c r="DT33" s="160">
        <v>5.5751774103965204</v>
      </c>
      <c r="DU33" s="160">
        <v>5.8344879876242599</v>
      </c>
      <c r="DV33" s="160">
        <v>6.0937985648520101</v>
      </c>
      <c r="DW33" s="160">
        <v>6.3531091420797496</v>
      </c>
      <c r="DX33" s="160">
        <v>6.6664427562299498</v>
      </c>
      <c r="DY33" s="160">
        <v>6.9797763703801401</v>
      </c>
      <c r="DZ33" s="160">
        <v>7.2931099845303304</v>
      </c>
      <c r="EA33" s="160">
        <v>7.6064435986805199</v>
      </c>
      <c r="EB33" s="160">
        <v>7.9197772128307102</v>
      </c>
      <c r="EC33" s="160">
        <v>8.2331108269809103</v>
      </c>
      <c r="ED33" s="160">
        <v>8.54644444113109</v>
      </c>
      <c r="EE33" s="160">
        <v>8.8597780552812893</v>
      </c>
      <c r="EF33" s="160">
        <v>9.1731116694314796</v>
      </c>
      <c r="EG33" s="160">
        <v>9.4864452835816699</v>
      </c>
      <c r="EH33" s="160">
        <v>9.7997788977318692</v>
      </c>
      <c r="EI33" s="160">
        <v>10.1131125118821</v>
      </c>
      <c r="EJ33" s="160">
        <v>10.4264461260322</v>
      </c>
      <c r="EK33" s="160">
        <v>10.739779740182399</v>
      </c>
      <c r="EL33" s="160">
        <v>11.0531133543326</v>
      </c>
      <c r="EM33" s="160">
        <v>11.3664469684828</v>
      </c>
      <c r="EN33" s="160">
        <v>11.679780582633001</v>
      </c>
      <c r="EO33" s="160">
        <v>11.9931141967832</v>
      </c>
      <c r="EP33" s="160">
        <v>12.306447810933401</v>
      </c>
      <c r="EQ33" s="160">
        <v>12.6197814250836</v>
      </c>
      <c r="ER33" s="160">
        <v>12.933115039233799</v>
      </c>
      <c r="ES33" s="160">
        <v>13.246448653384</v>
      </c>
      <c r="ET33" s="160">
        <v>13.559782267534199</v>
      </c>
      <c r="EU33" s="160">
        <v>13.8731158816844</v>
      </c>
      <c r="EV33" s="160">
        <v>14.1864494958346</v>
      </c>
      <c r="EW33" s="160">
        <v>14.499783109984699</v>
      </c>
      <c r="EX33" s="160">
        <v>14.8131167241349</v>
      </c>
      <c r="EY33" s="160">
        <v>15.1264503382851</v>
      </c>
      <c r="EZ33" s="161">
        <v>5.29425761839979</v>
      </c>
      <c r="FB33" s="159" t="s">
        <v>82</v>
      </c>
      <c r="FC33" s="160">
        <v>6.0505801353140498</v>
      </c>
      <c r="FD33" s="160">
        <v>6.3963275716177099</v>
      </c>
      <c r="FE33" s="160">
        <v>6.74207500792137</v>
      </c>
      <c r="FF33" s="160">
        <v>7.0878224442250302</v>
      </c>
      <c r="FG33" s="160">
        <v>7.4335698805287</v>
      </c>
      <c r="FH33" s="160">
        <v>7.7793173168323504</v>
      </c>
      <c r="FI33" s="160">
        <v>8.1250647531360105</v>
      </c>
      <c r="FJ33" s="160">
        <v>8.4708121894396697</v>
      </c>
      <c r="FK33" s="160">
        <v>8.8885903416399294</v>
      </c>
      <c r="FL33" s="160">
        <v>9.3063684938401803</v>
      </c>
      <c r="FM33" s="160">
        <v>9.72414664604044</v>
      </c>
      <c r="FN33" s="160">
        <v>10.1419247982407</v>
      </c>
      <c r="FO33" s="160">
        <v>10.559702950441</v>
      </c>
      <c r="FP33" s="160">
        <v>10.9774811026412</v>
      </c>
      <c r="FQ33" s="160">
        <v>11.3952592548415</v>
      </c>
      <c r="FR33" s="160">
        <v>11.813037407041699</v>
      </c>
      <c r="FS33" s="160">
        <v>12.230815559242</v>
      </c>
      <c r="FT33" s="160">
        <v>12.648593711442199</v>
      </c>
      <c r="FU33" s="160">
        <v>13.0663718636425</v>
      </c>
      <c r="FV33" s="160">
        <v>13.484150015842699</v>
      </c>
      <c r="FW33" s="160">
        <v>13.901928168043</v>
      </c>
      <c r="FX33" s="160">
        <v>14.3197063202433</v>
      </c>
      <c r="FY33" s="160">
        <v>14.7374844724435</v>
      </c>
      <c r="FZ33" s="160">
        <v>15.1552626246438</v>
      </c>
      <c r="GA33" s="160">
        <v>15.573040776844</v>
      </c>
      <c r="GB33" s="160">
        <v>15.9908189290443</v>
      </c>
      <c r="GC33" s="160">
        <v>16.408597081244501</v>
      </c>
      <c r="GD33" s="160">
        <v>16.8263752334448</v>
      </c>
      <c r="GE33" s="160">
        <v>17.244153385644999</v>
      </c>
      <c r="GF33" s="160">
        <v>17.661931537845302</v>
      </c>
      <c r="GG33" s="160">
        <v>18.0797096900456</v>
      </c>
      <c r="GH33" s="160">
        <v>18.4974878422458</v>
      </c>
      <c r="GI33" s="160">
        <v>18.915265994446099</v>
      </c>
      <c r="GJ33" s="160">
        <v>19.333044146646301</v>
      </c>
      <c r="GK33" s="160">
        <v>19.7508222988466</v>
      </c>
      <c r="GL33" s="160">
        <v>20.1686004510468</v>
      </c>
      <c r="GM33" s="156">
        <v>0</v>
      </c>
    </row>
    <row r="34" spans="1:195" s="150" customFormat="1" ht="15.5" x14ac:dyDescent="0.3">
      <c r="A34" s="163" t="s">
        <v>143</v>
      </c>
      <c r="B34" s="156">
        <v>0</v>
      </c>
      <c r="C34" s="156">
        <v>0</v>
      </c>
      <c r="D34" s="156">
        <v>0</v>
      </c>
      <c r="E34" s="156">
        <v>0</v>
      </c>
      <c r="F34" s="156">
        <v>0</v>
      </c>
      <c r="G34" s="156">
        <v>0</v>
      </c>
      <c r="H34" s="156">
        <v>0</v>
      </c>
      <c r="I34" s="156">
        <v>0</v>
      </c>
      <c r="J34" s="156">
        <v>0</v>
      </c>
      <c r="K34" s="156">
        <v>0</v>
      </c>
      <c r="L34" s="156">
        <v>0</v>
      </c>
      <c r="M34" s="156">
        <v>0</v>
      </c>
      <c r="N34" s="156">
        <v>0</v>
      </c>
      <c r="O34" s="156">
        <v>0</v>
      </c>
      <c r="P34" s="156">
        <v>0</v>
      </c>
      <c r="Q34" s="156">
        <v>0</v>
      </c>
      <c r="R34" s="156">
        <v>0</v>
      </c>
      <c r="S34" s="156">
        <v>0</v>
      </c>
      <c r="T34" s="156">
        <v>0</v>
      </c>
      <c r="U34" s="156">
        <v>0</v>
      </c>
      <c r="V34" s="156">
        <v>0</v>
      </c>
      <c r="W34" s="156">
        <v>0</v>
      </c>
      <c r="X34" s="156">
        <v>0</v>
      </c>
      <c r="Y34" s="156">
        <v>0</v>
      </c>
      <c r="Z34" s="156">
        <v>0</v>
      </c>
      <c r="AA34" s="156">
        <v>0</v>
      </c>
      <c r="AB34" s="156">
        <v>0</v>
      </c>
      <c r="AC34" s="156">
        <v>0</v>
      </c>
      <c r="AD34" s="156">
        <v>0</v>
      </c>
      <c r="AE34" s="156">
        <v>0</v>
      </c>
      <c r="AF34" s="156">
        <v>0</v>
      </c>
      <c r="AG34" s="156">
        <v>0</v>
      </c>
      <c r="AH34" s="156">
        <v>0</v>
      </c>
      <c r="AI34" s="156">
        <v>0</v>
      </c>
      <c r="AJ34" s="156">
        <v>0</v>
      </c>
      <c r="AK34" s="156">
        <v>0</v>
      </c>
      <c r="AL34" s="161">
        <v>1691.9554536897001</v>
      </c>
      <c r="AN34" s="158"/>
      <c r="AO34" s="159" t="s">
        <v>143</v>
      </c>
      <c r="AP34" s="160">
        <v>120.9</v>
      </c>
      <c r="AQ34" s="160">
        <v>127.8</v>
      </c>
      <c r="AR34" s="160">
        <v>134.69999999999999</v>
      </c>
      <c r="AS34" s="160">
        <v>141.6</v>
      </c>
      <c r="AT34" s="160">
        <v>148.5</v>
      </c>
      <c r="AU34" s="160">
        <v>155.4</v>
      </c>
      <c r="AV34" s="160">
        <v>162.30000000000001</v>
      </c>
      <c r="AW34" s="160">
        <v>169.2</v>
      </c>
      <c r="AX34" s="160">
        <v>177.5</v>
      </c>
      <c r="AY34" s="160">
        <v>185.9</v>
      </c>
      <c r="AZ34" s="160">
        <v>194.2</v>
      </c>
      <c r="BA34" s="160">
        <v>202.6</v>
      </c>
      <c r="BB34" s="160">
        <v>210.9</v>
      </c>
      <c r="BC34" s="160">
        <v>219.3</v>
      </c>
      <c r="BD34" s="160">
        <v>227.6</v>
      </c>
      <c r="BE34" s="160">
        <v>236</v>
      </c>
      <c r="BF34" s="160">
        <v>244.3</v>
      </c>
      <c r="BG34" s="160">
        <v>252.6</v>
      </c>
      <c r="BH34" s="160">
        <v>261</v>
      </c>
      <c r="BI34" s="160">
        <v>269.3</v>
      </c>
      <c r="BJ34" s="160">
        <v>277.7</v>
      </c>
      <c r="BK34" s="160">
        <v>286</v>
      </c>
      <c r="BL34" s="160">
        <v>294.39999999999998</v>
      </c>
      <c r="BM34" s="160">
        <v>302.7</v>
      </c>
      <c r="BN34" s="160">
        <v>311.10000000000002</v>
      </c>
      <c r="BO34" s="160">
        <v>319.39999999999998</v>
      </c>
      <c r="BP34" s="160">
        <v>327.7</v>
      </c>
      <c r="BQ34" s="160">
        <v>336.1</v>
      </c>
      <c r="BR34" s="160">
        <v>344.4</v>
      </c>
      <c r="BS34" s="160">
        <v>352.8</v>
      </c>
      <c r="BT34" s="160">
        <v>361.1</v>
      </c>
      <c r="BU34" s="160">
        <v>369.5</v>
      </c>
      <c r="BV34" s="160">
        <v>377.8</v>
      </c>
      <c r="BW34" s="160">
        <v>386.2</v>
      </c>
      <c r="BX34" s="160">
        <v>394.5</v>
      </c>
      <c r="BY34" s="160">
        <v>402.8</v>
      </c>
      <c r="BZ34" s="161">
        <v>1268.96659026728</v>
      </c>
      <c r="CB34" s="162" t="s">
        <v>143</v>
      </c>
      <c r="CC34" s="160">
        <v>241.7</v>
      </c>
      <c r="CD34" s="160">
        <v>255.5</v>
      </c>
      <c r="CE34" s="160">
        <v>269.3</v>
      </c>
      <c r="CF34" s="160">
        <v>283.10000000000002</v>
      </c>
      <c r="CG34" s="160">
        <v>297</v>
      </c>
      <c r="CH34" s="160">
        <v>310.8</v>
      </c>
      <c r="CI34" s="160">
        <v>324.60000000000002</v>
      </c>
      <c r="CJ34" s="160">
        <v>338.4</v>
      </c>
      <c r="CK34" s="160">
        <v>355.1</v>
      </c>
      <c r="CL34" s="160">
        <v>371.8</v>
      </c>
      <c r="CM34" s="160">
        <v>388.5</v>
      </c>
      <c r="CN34" s="160">
        <v>405.1</v>
      </c>
      <c r="CO34" s="160">
        <v>421.8</v>
      </c>
      <c r="CP34" s="160">
        <v>438.5</v>
      </c>
      <c r="CQ34" s="160">
        <v>455.2</v>
      </c>
      <c r="CR34" s="160">
        <v>471.9</v>
      </c>
      <c r="CS34" s="160">
        <v>488.6</v>
      </c>
      <c r="CT34" s="160">
        <v>505.3</v>
      </c>
      <c r="CU34" s="160">
        <v>522</v>
      </c>
      <c r="CV34" s="160">
        <v>538.70000000000005</v>
      </c>
      <c r="CW34" s="160">
        <v>555.4</v>
      </c>
      <c r="CX34" s="160">
        <v>572</v>
      </c>
      <c r="CY34" s="160">
        <v>588.70000000000005</v>
      </c>
      <c r="CZ34" s="160">
        <v>605.4</v>
      </c>
      <c r="DA34" s="160">
        <v>622.1</v>
      </c>
      <c r="DB34" s="160">
        <v>638.79999999999995</v>
      </c>
      <c r="DC34" s="160">
        <v>655.5</v>
      </c>
      <c r="DD34" s="160">
        <v>672.2</v>
      </c>
      <c r="DE34" s="160">
        <v>688.9</v>
      </c>
      <c r="DF34" s="160">
        <v>705.6</v>
      </c>
      <c r="DG34" s="160">
        <v>722.2</v>
      </c>
      <c r="DH34" s="160">
        <v>738.9</v>
      </c>
      <c r="DI34" s="160">
        <v>755.6</v>
      </c>
      <c r="DJ34" s="160">
        <v>772.3</v>
      </c>
      <c r="DK34" s="160">
        <v>789</v>
      </c>
      <c r="DL34" s="160">
        <v>805.7</v>
      </c>
      <c r="DM34" s="161">
        <v>845.97772684485096</v>
      </c>
      <c r="DO34" s="159" t="s">
        <v>143</v>
      </c>
      <c r="DP34" s="160">
        <v>362.6</v>
      </c>
      <c r="DQ34" s="160">
        <v>383.3</v>
      </c>
      <c r="DR34" s="160">
        <v>404</v>
      </c>
      <c r="DS34" s="160">
        <v>424.7</v>
      </c>
      <c r="DT34" s="160">
        <v>445.4</v>
      </c>
      <c r="DU34" s="160">
        <v>466.2</v>
      </c>
      <c r="DV34" s="160">
        <v>486.9</v>
      </c>
      <c r="DW34" s="160">
        <v>507.6</v>
      </c>
      <c r="DX34" s="160">
        <v>532.6</v>
      </c>
      <c r="DY34" s="160">
        <v>557.70000000000005</v>
      </c>
      <c r="DZ34" s="160">
        <v>582.70000000000005</v>
      </c>
      <c r="EA34" s="160">
        <v>607.70000000000005</v>
      </c>
      <c r="EB34" s="160">
        <v>632.79999999999995</v>
      </c>
      <c r="EC34" s="160">
        <v>657.8</v>
      </c>
      <c r="ED34" s="160">
        <v>682.8</v>
      </c>
      <c r="EE34" s="160">
        <v>707.9</v>
      </c>
      <c r="EF34" s="160">
        <v>732.9</v>
      </c>
      <c r="EG34" s="160">
        <v>757.9</v>
      </c>
      <c r="EH34" s="160">
        <v>783</v>
      </c>
      <c r="EI34" s="160">
        <v>808</v>
      </c>
      <c r="EJ34" s="160">
        <v>833</v>
      </c>
      <c r="EK34" s="160">
        <v>858.1</v>
      </c>
      <c r="EL34" s="160">
        <v>883.1</v>
      </c>
      <c r="EM34" s="160">
        <v>908.1</v>
      </c>
      <c r="EN34" s="160">
        <v>933.2</v>
      </c>
      <c r="EO34" s="160">
        <v>958.2</v>
      </c>
      <c r="EP34" s="160">
        <v>983.2</v>
      </c>
      <c r="EQ34" s="160">
        <v>1008.3</v>
      </c>
      <c r="ER34" s="160">
        <v>1033.3</v>
      </c>
      <c r="ES34" s="160">
        <v>1058.3</v>
      </c>
      <c r="ET34" s="160">
        <v>1083.4000000000001</v>
      </c>
      <c r="EU34" s="160">
        <v>1108.4000000000001</v>
      </c>
      <c r="EV34" s="160">
        <v>1133.4000000000001</v>
      </c>
      <c r="EW34" s="160">
        <v>1158.5</v>
      </c>
      <c r="EX34" s="160">
        <v>1183.5</v>
      </c>
      <c r="EY34" s="160">
        <v>1208.5</v>
      </c>
      <c r="EZ34" s="161">
        <v>422.98886342242599</v>
      </c>
      <c r="FB34" s="159" t="s">
        <v>143</v>
      </c>
      <c r="FC34" s="160">
        <v>483.4</v>
      </c>
      <c r="FD34" s="160">
        <v>511</v>
      </c>
      <c r="FE34" s="160">
        <v>538.70000000000005</v>
      </c>
      <c r="FF34" s="160">
        <v>566.29999999999995</v>
      </c>
      <c r="FG34" s="160">
        <v>593.9</v>
      </c>
      <c r="FH34" s="160">
        <v>621.5</v>
      </c>
      <c r="FI34" s="160">
        <v>649.20000000000005</v>
      </c>
      <c r="FJ34" s="160">
        <v>676.8</v>
      </c>
      <c r="FK34" s="160">
        <v>710.2</v>
      </c>
      <c r="FL34" s="160">
        <v>743.5</v>
      </c>
      <c r="FM34" s="160">
        <v>776.9</v>
      </c>
      <c r="FN34" s="160">
        <v>810.3</v>
      </c>
      <c r="FO34" s="160">
        <v>843.7</v>
      </c>
      <c r="FP34" s="160">
        <v>877.1</v>
      </c>
      <c r="FQ34" s="160">
        <v>910.4</v>
      </c>
      <c r="FR34" s="160">
        <v>943.8</v>
      </c>
      <c r="FS34" s="160">
        <v>977.2</v>
      </c>
      <c r="FT34" s="160">
        <v>1010.6</v>
      </c>
      <c r="FU34" s="160">
        <v>1043.9000000000001</v>
      </c>
      <c r="FV34" s="160">
        <v>1077.3</v>
      </c>
      <c r="FW34" s="160">
        <v>1110.7</v>
      </c>
      <c r="FX34" s="160">
        <v>1144.0999999999999</v>
      </c>
      <c r="FY34" s="160">
        <v>1177.5</v>
      </c>
      <c r="FZ34" s="160">
        <v>1210.8</v>
      </c>
      <c r="GA34" s="160">
        <v>1244.2</v>
      </c>
      <c r="GB34" s="160">
        <v>1277.5999999999999</v>
      </c>
      <c r="GC34" s="160">
        <v>1311</v>
      </c>
      <c r="GD34" s="160">
        <v>1344.4</v>
      </c>
      <c r="GE34" s="160">
        <v>1377.7</v>
      </c>
      <c r="GF34" s="160">
        <v>1411.1</v>
      </c>
      <c r="GG34" s="160">
        <v>1444.5</v>
      </c>
      <c r="GH34" s="160">
        <v>1477.9</v>
      </c>
      <c r="GI34" s="160">
        <v>1511.3</v>
      </c>
      <c r="GJ34" s="160">
        <v>1544.6</v>
      </c>
      <c r="GK34" s="160">
        <v>1578</v>
      </c>
      <c r="GL34" s="160">
        <v>1611.4</v>
      </c>
      <c r="GM34" s="156">
        <v>0</v>
      </c>
    </row>
    <row r="35" spans="1:195" s="150" customFormat="1" ht="15.5" x14ac:dyDescent="0.3">
      <c r="A35" s="163" t="s">
        <v>83</v>
      </c>
      <c r="B35" s="156">
        <v>0</v>
      </c>
      <c r="C35" s="156">
        <v>0</v>
      </c>
      <c r="D35" s="156">
        <v>0</v>
      </c>
      <c r="E35" s="156">
        <v>0</v>
      </c>
      <c r="F35" s="156">
        <v>0</v>
      </c>
      <c r="G35" s="156">
        <v>0</v>
      </c>
      <c r="H35" s="156">
        <v>0</v>
      </c>
      <c r="I35" s="156">
        <v>0</v>
      </c>
      <c r="J35" s="156">
        <v>0</v>
      </c>
      <c r="K35" s="156">
        <v>0</v>
      </c>
      <c r="L35" s="156">
        <v>0</v>
      </c>
      <c r="M35" s="156">
        <v>0</v>
      </c>
      <c r="N35" s="156">
        <v>0</v>
      </c>
      <c r="O35" s="156">
        <v>0</v>
      </c>
      <c r="P35" s="156">
        <v>0</v>
      </c>
      <c r="Q35" s="156">
        <v>0</v>
      </c>
      <c r="R35" s="156">
        <v>0</v>
      </c>
      <c r="S35" s="156">
        <v>0</v>
      </c>
      <c r="T35" s="156">
        <v>0</v>
      </c>
      <c r="U35" s="156">
        <v>0</v>
      </c>
      <c r="V35" s="156">
        <v>0</v>
      </c>
      <c r="W35" s="156">
        <v>0</v>
      </c>
      <c r="X35" s="156">
        <v>0</v>
      </c>
      <c r="Y35" s="156">
        <v>0</v>
      </c>
      <c r="Z35" s="156">
        <v>0</v>
      </c>
      <c r="AA35" s="156">
        <v>0</v>
      </c>
      <c r="AB35" s="156">
        <v>0</v>
      </c>
      <c r="AC35" s="156">
        <v>0</v>
      </c>
      <c r="AD35" s="156">
        <v>0</v>
      </c>
      <c r="AE35" s="156">
        <v>0</v>
      </c>
      <c r="AF35" s="156">
        <v>0</v>
      </c>
      <c r="AG35" s="156">
        <v>0</v>
      </c>
      <c r="AH35" s="156">
        <v>0</v>
      </c>
      <c r="AI35" s="156">
        <v>0</v>
      </c>
      <c r="AJ35" s="156">
        <v>0</v>
      </c>
      <c r="AK35" s="156">
        <v>0</v>
      </c>
      <c r="AL35" s="161">
        <v>162.62068035006499</v>
      </c>
      <c r="AN35" s="158"/>
      <c r="AO35" s="159" t="s">
        <v>83</v>
      </c>
      <c r="AP35" s="160">
        <v>11.6</v>
      </c>
      <c r="AQ35" s="160">
        <v>12.3</v>
      </c>
      <c r="AR35" s="160">
        <v>12.9</v>
      </c>
      <c r="AS35" s="160">
        <v>13.6</v>
      </c>
      <c r="AT35" s="160">
        <v>14.3</v>
      </c>
      <c r="AU35" s="160">
        <v>14.9</v>
      </c>
      <c r="AV35" s="160">
        <v>15.6</v>
      </c>
      <c r="AW35" s="160">
        <v>16.3</v>
      </c>
      <c r="AX35" s="160">
        <v>17.100000000000001</v>
      </c>
      <c r="AY35" s="160">
        <v>17.899999999999999</v>
      </c>
      <c r="AZ35" s="160">
        <v>18.7</v>
      </c>
      <c r="BA35" s="160">
        <v>19.5</v>
      </c>
      <c r="BB35" s="160">
        <v>20.3</v>
      </c>
      <c r="BC35" s="160">
        <v>21.1</v>
      </c>
      <c r="BD35" s="160">
        <v>21.9</v>
      </c>
      <c r="BE35" s="160">
        <v>22.7</v>
      </c>
      <c r="BF35" s="160">
        <v>23.5</v>
      </c>
      <c r="BG35" s="160">
        <v>24.3</v>
      </c>
      <c r="BH35" s="160">
        <v>25.1</v>
      </c>
      <c r="BI35" s="160">
        <v>25.9</v>
      </c>
      <c r="BJ35" s="160">
        <v>26.7</v>
      </c>
      <c r="BK35" s="160">
        <v>27.5</v>
      </c>
      <c r="BL35" s="160">
        <v>28.3</v>
      </c>
      <c r="BM35" s="160">
        <v>29.1</v>
      </c>
      <c r="BN35" s="160">
        <v>29.9</v>
      </c>
      <c r="BO35" s="160">
        <v>30.7</v>
      </c>
      <c r="BP35" s="160">
        <v>31.5</v>
      </c>
      <c r="BQ35" s="160">
        <v>32.299999999999997</v>
      </c>
      <c r="BR35" s="160">
        <v>33.1</v>
      </c>
      <c r="BS35" s="160">
        <v>33.9</v>
      </c>
      <c r="BT35" s="160">
        <v>34.700000000000003</v>
      </c>
      <c r="BU35" s="160">
        <v>35.5</v>
      </c>
      <c r="BV35" s="160">
        <v>36.299999999999997</v>
      </c>
      <c r="BW35" s="160">
        <v>37.1</v>
      </c>
      <c r="BX35" s="160">
        <v>37.9</v>
      </c>
      <c r="BY35" s="160">
        <v>38.700000000000003</v>
      </c>
      <c r="BZ35" s="161">
        <v>121.96551026254799</v>
      </c>
      <c r="CB35" s="162" t="s">
        <v>83</v>
      </c>
      <c r="CC35" s="160">
        <v>23.2</v>
      </c>
      <c r="CD35" s="160">
        <v>24.6</v>
      </c>
      <c r="CE35" s="160">
        <v>25.9</v>
      </c>
      <c r="CF35" s="160">
        <v>27.2</v>
      </c>
      <c r="CG35" s="160">
        <v>28.5</v>
      </c>
      <c r="CH35" s="160">
        <v>29.9</v>
      </c>
      <c r="CI35" s="160">
        <v>31.2</v>
      </c>
      <c r="CJ35" s="160">
        <v>32.5</v>
      </c>
      <c r="CK35" s="160">
        <v>34.1</v>
      </c>
      <c r="CL35" s="160">
        <v>35.700000000000003</v>
      </c>
      <c r="CM35" s="160">
        <v>37.299999999999997</v>
      </c>
      <c r="CN35" s="160">
        <v>38.9</v>
      </c>
      <c r="CO35" s="160">
        <v>40.5</v>
      </c>
      <c r="CP35" s="160">
        <v>42.1</v>
      </c>
      <c r="CQ35" s="160">
        <v>43.8</v>
      </c>
      <c r="CR35" s="160">
        <v>45.4</v>
      </c>
      <c r="CS35" s="160">
        <v>47</v>
      </c>
      <c r="CT35" s="160">
        <v>48.6</v>
      </c>
      <c r="CU35" s="160">
        <v>50.2</v>
      </c>
      <c r="CV35" s="160">
        <v>51.8</v>
      </c>
      <c r="CW35" s="160">
        <v>53.4</v>
      </c>
      <c r="CX35" s="160">
        <v>55</v>
      </c>
      <c r="CY35" s="160">
        <v>56.6</v>
      </c>
      <c r="CZ35" s="160">
        <v>58.2</v>
      </c>
      <c r="DA35" s="160">
        <v>59.8</v>
      </c>
      <c r="DB35" s="160">
        <v>61.4</v>
      </c>
      <c r="DC35" s="160">
        <v>63</v>
      </c>
      <c r="DD35" s="160">
        <v>64.599999999999994</v>
      </c>
      <c r="DE35" s="160">
        <v>66.2</v>
      </c>
      <c r="DF35" s="160">
        <v>67.8</v>
      </c>
      <c r="DG35" s="160">
        <v>69.400000000000006</v>
      </c>
      <c r="DH35" s="160">
        <v>71</v>
      </c>
      <c r="DI35" s="160">
        <v>72.599999999999994</v>
      </c>
      <c r="DJ35" s="160">
        <v>74.2</v>
      </c>
      <c r="DK35" s="160">
        <v>75.8</v>
      </c>
      <c r="DL35" s="160">
        <v>77.400000000000006</v>
      </c>
      <c r="DM35" s="161">
        <v>81.310340175032294</v>
      </c>
      <c r="DO35" s="159" t="s">
        <v>83</v>
      </c>
      <c r="DP35" s="160">
        <v>34.799999999999997</v>
      </c>
      <c r="DQ35" s="160">
        <v>36.799999999999997</v>
      </c>
      <c r="DR35" s="160">
        <v>38.799999999999997</v>
      </c>
      <c r="DS35" s="160">
        <v>40.799999999999997</v>
      </c>
      <c r="DT35" s="160">
        <v>42.8</v>
      </c>
      <c r="DU35" s="160">
        <v>44.8</v>
      </c>
      <c r="DV35" s="160">
        <v>46.8</v>
      </c>
      <c r="DW35" s="160">
        <v>48.8</v>
      </c>
      <c r="DX35" s="160">
        <v>51.2</v>
      </c>
      <c r="DY35" s="160">
        <v>53.6</v>
      </c>
      <c r="DZ35" s="160">
        <v>56</v>
      </c>
      <c r="EA35" s="160">
        <v>58.4</v>
      </c>
      <c r="EB35" s="160">
        <v>60.8</v>
      </c>
      <c r="EC35" s="160">
        <v>63.2</v>
      </c>
      <c r="ED35" s="160">
        <v>65.599999999999994</v>
      </c>
      <c r="EE35" s="160">
        <v>68</v>
      </c>
      <c r="EF35" s="160">
        <v>70.400000000000006</v>
      </c>
      <c r="EG35" s="160">
        <v>72.8</v>
      </c>
      <c r="EH35" s="160">
        <v>75.3</v>
      </c>
      <c r="EI35" s="160">
        <v>77.7</v>
      </c>
      <c r="EJ35" s="160">
        <v>80.099999999999994</v>
      </c>
      <c r="EK35" s="160">
        <v>82.5</v>
      </c>
      <c r="EL35" s="160">
        <v>84.9</v>
      </c>
      <c r="EM35" s="160">
        <v>87.3</v>
      </c>
      <c r="EN35" s="160">
        <v>89.7</v>
      </c>
      <c r="EO35" s="160">
        <v>92.1</v>
      </c>
      <c r="EP35" s="160">
        <v>94.5</v>
      </c>
      <c r="EQ35" s="160">
        <v>96.9</v>
      </c>
      <c r="ER35" s="160">
        <v>99.3</v>
      </c>
      <c r="ES35" s="160">
        <v>101.7</v>
      </c>
      <c r="ET35" s="160">
        <v>104.1</v>
      </c>
      <c r="EU35" s="160">
        <v>106.5</v>
      </c>
      <c r="EV35" s="160">
        <v>108.9</v>
      </c>
      <c r="EW35" s="160">
        <v>111.3</v>
      </c>
      <c r="EX35" s="160">
        <v>113.8</v>
      </c>
      <c r="EY35" s="160">
        <v>116.2</v>
      </c>
      <c r="EZ35" s="161">
        <v>40.655170087516098</v>
      </c>
      <c r="FB35" s="159" t="s">
        <v>83</v>
      </c>
      <c r="FC35" s="160">
        <v>46.5</v>
      </c>
      <c r="FD35" s="160">
        <v>49.1</v>
      </c>
      <c r="FE35" s="160">
        <v>51.8</v>
      </c>
      <c r="FF35" s="160">
        <v>54.4</v>
      </c>
      <c r="FG35" s="160">
        <v>57.1</v>
      </c>
      <c r="FH35" s="160">
        <v>59.7</v>
      </c>
      <c r="FI35" s="160">
        <v>62.4</v>
      </c>
      <c r="FJ35" s="160">
        <v>65</v>
      </c>
      <c r="FK35" s="160">
        <v>68.3</v>
      </c>
      <c r="FL35" s="160">
        <v>71.5</v>
      </c>
      <c r="FM35" s="160">
        <v>74.7</v>
      </c>
      <c r="FN35" s="160">
        <v>77.900000000000006</v>
      </c>
      <c r="FO35" s="160">
        <v>81.099999999999994</v>
      </c>
      <c r="FP35" s="160">
        <v>84.3</v>
      </c>
      <c r="FQ35" s="160">
        <v>87.5</v>
      </c>
      <c r="FR35" s="160">
        <v>90.7</v>
      </c>
      <c r="FS35" s="160">
        <v>93.9</v>
      </c>
      <c r="FT35" s="160">
        <v>97.1</v>
      </c>
      <c r="FU35" s="160">
        <v>100.3</v>
      </c>
      <c r="FV35" s="160">
        <v>103.5</v>
      </c>
      <c r="FW35" s="160">
        <v>106.8</v>
      </c>
      <c r="FX35" s="160">
        <v>110</v>
      </c>
      <c r="FY35" s="160">
        <v>113.2</v>
      </c>
      <c r="FZ35" s="160">
        <v>116.4</v>
      </c>
      <c r="GA35" s="160">
        <v>119.6</v>
      </c>
      <c r="GB35" s="160">
        <v>122.8</v>
      </c>
      <c r="GC35" s="160">
        <v>126</v>
      </c>
      <c r="GD35" s="160">
        <v>129.19999999999999</v>
      </c>
      <c r="GE35" s="160">
        <v>132.4</v>
      </c>
      <c r="GF35" s="160">
        <v>135.6</v>
      </c>
      <c r="GG35" s="160">
        <v>138.80000000000001</v>
      </c>
      <c r="GH35" s="160">
        <v>142</v>
      </c>
      <c r="GI35" s="160">
        <v>145.30000000000001</v>
      </c>
      <c r="GJ35" s="160">
        <v>148.5</v>
      </c>
      <c r="GK35" s="160">
        <v>151.69999999999999</v>
      </c>
      <c r="GL35" s="160">
        <v>154.9</v>
      </c>
      <c r="GM35" s="156">
        <v>0</v>
      </c>
    </row>
    <row r="36" spans="1:195" s="150" customFormat="1" ht="15.5" x14ac:dyDescent="0.3">
      <c r="A36" s="163" t="s">
        <v>758</v>
      </c>
      <c r="B36" s="156">
        <v>0</v>
      </c>
      <c r="C36" s="156">
        <v>0</v>
      </c>
      <c r="D36" s="156">
        <v>0</v>
      </c>
      <c r="E36" s="156">
        <v>0</v>
      </c>
      <c r="F36" s="156">
        <v>0</v>
      </c>
      <c r="G36" s="156">
        <v>0</v>
      </c>
      <c r="H36" s="156">
        <v>0</v>
      </c>
      <c r="I36" s="156">
        <v>0</v>
      </c>
      <c r="J36" s="156">
        <v>0</v>
      </c>
      <c r="K36" s="156">
        <v>0</v>
      </c>
      <c r="L36" s="156">
        <v>0</v>
      </c>
      <c r="M36" s="156">
        <v>0</v>
      </c>
      <c r="N36" s="156">
        <v>0</v>
      </c>
      <c r="O36" s="156">
        <v>0</v>
      </c>
      <c r="P36" s="156">
        <v>0</v>
      </c>
      <c r="Q36" s="156">
        <v>0</v>
      </c>
      <c r="R36" s="156">
        <v>0</v>
      </c>
      <c r="S36" s="156">
        <v>0</v>
      </c>
      <c r="T36" s="156">
        <v>0</v>
      </c>
      <c r="U36" s="156">
        <v>0</v>
      </c>
      <c r="V36" s="156">
        <v>0</v>
      </c>
      <c r="W36" s="156">
        <v>0</v>
      </c>
      <c r="X36" s="156">
        <v>0</v>
      </c>
      <c r="Y36" s="156">
        <v>0</v>
      </c>
      <c r="Z36" s="156">
        <v>0</v>
      </c>
      <c r="AA36" s="156">
        <v>0</v>
      </c>
      <c r="AB36" s="156">
        <v>0</v>
      </c>
      <c r="AC36" s="156">
        <v>0</v>
      </c>
      <c r="AD36" s="156">
        <v>0</v>
      </c>
      <c r="AE36" s="156">
        <v>0</v>
      </c>
      <c r="AF36" s="156">
        <v>0</v>
      </c>
      <c r="AG36" s="156">
        <v>0</v>
      </c>
      <c r="AH36" s="156">
        <v>0</v>
      </c>
      <c r="AI36" s="156">
        <v>0</v>
      </c>
      <c r="AJ36" s="156">
        <v>0</v>
      </c>
      <c r="AK36" s="156">
        <v>0</v>
      </c>
      <c r="AL36" s="161">
        <v>2542.1070640964599</v>
      </c>
      <c r="AN36" s="158"/>
      <c r="AO36" s="159" t="s">
        <v>758</v>
      </c>
      <c r="AP36" s="160">
        <v>181.6</v>
      </c>
      <c r="AQ36" s="160">
        <v>192</v>
      </c>
      <c r="AR36" s="160">
        <v>202.3</v>
      </c>
      <c r="AS36" s="160">
        <v>212.7</v>
      </c>
      <c r="AT36" s="160">
        <v>223.1</v>
      </c>
      <c r="AU36" s="160">
        <v>233.5</v>
      </c>
      <c r="AV36" s="160">
        <v>243.8</v>
      </c>
      <c r="AW36" s="160">
        <v>254.2</v>
      </c>
      <c r="AX36" s="160">
        <v>266.7</v>
      </c>
      <c r="AY36" s="160">
        <v>279.3</v>
      </c>
      <c r="AZ36" s="160">
        <v>291.8</v>
      </c>
      <c r="BA36" s="160">
        <v>304.39999999999998</v>
      </c>
      <c r="BB36" s="160">
        <v>316.89999999999998</v>
      </c>
      <c r="BC36" s="160">
        <v>329.4</v>
      </c>
      <c r="BD36" s="160">
        <v>342</v>
      </c>
      <c r="BE36" s="160">
        <v>354.5</v>
      </c>
      <c r="BF36" s="160">
        <v>367</v>
      </c>
      <c r="BG36" s="160">
        <v>379.6</v>
      </c>
      <c r="BH36" s="160">
        <v>392.1</v>
      </c>
      <c r="BI36" s="160">
        <v>404.7</v>
      </c>
      <c r="BJ36" s="160">
        <v>417.2</v>
      </c>
      <c r="BK36" s="160">
        <v>429.7</v>
      </c>
      <c r="BL36" s="160">
        <v>442.3</v>
      </c>
      <c r="BM36" s="160">
        <v>454.8</v>
      </c>
      <c r="BN36" s="160">
        <v>467.3</v>
      </c>
      <c r="BO36" s="160">
        <v>479.9</v>
      </c>
      <c r="BP36" s="160">
        <v>492.4</v>
      </c>
      <c r="BQ36" s="160">
        <v>505</v>
      </c>
      <c r="BR36" s="160">
        <v>517.5</v>
      </c>
      <c r="BS36" s="160">
        <v>530</v>
      </c>
      <c r="BT36" s="160">
        <v>542.6</v>
      </c>
      <c r="BU36" s="160">
        <v>555.1</v>
      </c>
      <c r="BV36" s="160">
        <v>567.70000000000005</v>
      </c>
      <c r="BW36" s="160">
        <v>580.20000000000005</v>
      </c>
      <c r="BX36" s="160">
        <v>592.70000000000005</v>
      </c>
      <c r="BY36" s="160">
        <v>605.29999999999995</v>
      </c>
      <c r="BZ36" s="161">
        <v>1906.5802980723499</v>
      </c>
      <c r="CB36" s="162" t="s">
        <v>758</v>
      </c>
      <c r="CC36" s="160">
        <v>363.2</v>
      </c>
      <c r="CD36" s="160">
        <v>383.9</v>
      </c>
      <c r="CE36" s="160">
        <v>404.7</v>
      </c>
      <c r="CF36" s="160">
        <v>425.4</v>
      </c>
      <c r="CG36" s="160">
        <v>446.2</v>
      </c>
      <c r="CH36" s="160">
        <v>466.9</v>
      </c>
      <c r="CI36" s="160">
        <v>487.7</v>
      </c>
      <c r="CJ36" s="160">
        <v>508.4</v>
      </c>
      <c r="CK36" s="160">
        <v>533.5</v>
      </c>
      <c r="CL36" s="160">
        <v>558.6</v>
      </c>
      <c r="CM36" s="160">
        <v>583.6</v>
      </c>
      <c r="CN36" s="160">
        <v>608.70000000000005</v>
      </c>
      <c r="CO36" s="160">
        <v>633.79999999999995</v>
      </c>
      <c r="CP36" s="160">
        <v>658.9</v>
      </c>
      <c r="CQ36" s="160">
        <v>683.9</v>
      </c>
      <c r="CR36" s="160">
        <v>709</v>
      </c>
      <c r="CS36" s="160">
        <v>734.1</v>
      </c>
      <c r="CT36" s="160">
        <v>759.2</v>
      </c>
      <c r="CU36" s="160">
        <v>784.2</v>
      </c>
      <c r="CV36" s="160">
        <v>809.3</v>
      </c>
      <c r="CW36" s="160">
        <v>834.4</v>
      </c>
      <c r="CX36" s="160">
        <v>859.5</v>
      </c>
      <c r="CY36" s="160">
        <v>884.5</v>
      </c>
      <c r="CZ36" s="160">
        <v>909.6</v>
      </c>
      <c r="DA36" s="160">
        <v>934.7</v>
      </c>
      <c r="DB36" s="160">
        <v>959.8</v>
      </c>
      <c r="DC36" s="160">
        <v>984.9</v>
      </c>
      <c r="DD36" s="160">
        <v>1009.9</v>
      </c>
      <c r="DE36" s="160">
        <v>1035</v>
      </c>
      <c r="DF36" s="160">
        <v>1060.0999999999999</v>
      </c>
      <c r="DG36" s="160">
        <v>1085.2</v>
      </c>
      <c r="DH36" s="160">
        <v>1110.2</v>
      </c>
      <c r="DI36" s="160">
        <v>1135.3</v>
      </c>
      <c r="DJ36" s="160">
        <v>1160.4000000000001</v>
      </c>
      <c r="DK36" s="160">
        <v>1185.5</v>
      </c>
      <c r="DL36" s="160">
        <v>1210.5</v>
      </c>
      <c r="DM36" s="161">
        <v>1271.05353204823</v>
      </c>
      <c r="DO36" s="159" t="s">
        <v>758</v>
      </c>
      <c r="DP36" s="160">
        <v>544.70000000000005</v>
      </c>
      <c r="DQ36" s="160">
        <v>575.9</v>
      </c>
      <c r="DR36" s="160">
        <v>607</v>
      </c>
      <c r="DS36" s="160">
        <v>638.1</v>
      </c>
      <c r="DT36" s="160">
        <v>669.2</v>
      </c>
      <c r="DU36" s="160">
        <v>700.4</v>
      </c>
      <c r="DV36" s="160">
        <v>731.5</v>
      </c>
      <c r="DW36" s="160">
        <v>762.6</v>
      </c>
      <c r="DX36" s="160">
        <v>800.2</v>
      </c>
      <c r="DY36" s="160">
        <v>837.9</v>
      </c>
      <c r="DZ36" s="160">
        <v>875.5</v>
      </c>
      <c r="EA36" s="160">
        <v>913.1</v>
      </c>
      <c r="EB36" s="160">
        <v>950.7</v>
      </c>
      <c r="EC36" s="160">
        <v>988.3</v>
      </c>
      <c r="ED36" s="160">
        <v>1025.9000000000001</v>
      </c>
      <c r="EE36" s="160">
        <v>1063.5</v>
      </c>
      <c r="EF36" s="160">
        <v>1101.0999999999999</v>
      </c>
      <c r="EG36" s="160">
        <v>1138.8</v>
      </c>
      <c r="EH36" s="160">
        <v>1176.4000000000001</v>
      </c>
      <c r="EI36" s="160">
        <v>1214</v>
      </c>
      <c r="EJ36" s="160">
        <v>1251.5999999999999</v>
      </c>
      <c r="EK36" s="160">
        <v>1289.2</v>
      </c>
      <c r="EL36" s="160">
        <v>1326.8</v>
      </c>
      <c r="EM36" s="160">
        <v>1364.4</v>
      </c>
      <c r="EN36" s="160">
        <v>1402</v>
      </c>
      <c r="EO36" s="160">
        <v>1439.7</v>
      </c>
      <c r="EP36" s="160">
        <v>1477.3</v>
      </c>
      <c r="EQ36" s="160">
        <v>1514.9</v>
      </c>
      <c r="ER36" s="160">
        <v>1552.5</v>
      </c>
      <c r="ES36" s="160">
        <v>1590.1</v>
      </c>
      <c r="ET36" s="160">
        <v>1627.7</v>
      </c>
      <c r="EU36" s="160">
        <v>1665.3</v>
      </c>
      <c r="EV36" s="160">
        <v>1703</v>
      </c>
      <c r="EW36" s="160">
        <v>1740.6</v>
      </c>
      <c r="EX36" s="160">
        <v>1778.2</v>
      </c>
      <c r="EY36" s="160">
        <v>1815.8</v>
      </c>
      <c r="EZ36" s="161">
        <v>635.52676602411498</v>
      </c>
      <c r="FB36" s="159" t="s">
        <v>758</v>
      </c>
      <c r="FC36" s="160">
        <v>726.3</v>
      </c>
      <c r="FD36" s="160">
        <v>767.8</v>
      </c>
      <c r="FE36" s="160">
        <v>809.3</v>
      </c>
      <c r="FF36" s="160">
        <v>850.8</v>
      </c>
      <c r="FG36" s="160">
        <v>892.3</v>
      </c>
      <c r="FH36" s="160">
        <v>933.8</v>
      </c>
      <c r="FI36" s="160">
        <v>975.3</v>
      </c>
      <c r="FJ36" s="160">
        <v>1016.8</v>
      </c>
      <c r="FK36" s="160">
        <v>1067</v>
      </c>
      <c r="FL36" s="160">
        <v>1117.0999999999999</v>
      </c>
      <c r="FM36" s="160">
        <v>1167.3</v>
      </c>
      <c r="FN36" s="160">
        <v>1217.4000000000001</v>
      </c>
      <c r="FO36" s="160">
        <v>1267.5999999999999</v>
      </c>
      <c r="FP36" s="160">
        <v>1317.7</v>
      </c>
      <c r="FQ36" s="160">
        <v>1367.9</v>
      </c>
      <c r="FR36" s="160">
        <v>1418</v>
      </c>
      <c r="FS36" s="160">
        <v>1468.2</v>
      </c>
      <c r="FT36" s="160">
        <v>1518.3</v>
      </c>
      <c r="FU36" s="160">
        <v>1568.5</v>
      </c>
      <c r="FV36" s="160">
        <v>1618.6</v>
      </c>
      <c r="FW36" s="160">
        <v>1668.8</v>
      </c>
      <c r="FX36" s="160">
        <v>1718.9</v>
      </c>
      <c r="FY36" s="160">
        <v>1769.1</v>
      </c>
      <c r="FZ36" s="160">
        <v>1819.2</v>
      </c>
      <c r="GA36" s="160">
        <v>1869.4</v>
      </c>
      <c r="GB36" s="160">
        <v>1919.6</v>
      </c>
      <c r="GC36" s="160">
        <v>1969.7</v>
      </c>
      <c r="GD36" s="160">
        <v>2019.9</v>
      </c>
      <c r="GE36" s="160">
        <v>2070</v>
      </c>
      <c r="GF36" s="160">
        <v>2120.1999999999998</v>
      </c>
      <c r="GG36" s="160">
        <v>2170.3000000000002</v>
      </c>
      <c r="GH36" s="160">
        <v>2220.5</v>
      </c>
      <c r="GI36" s="160">
        <v>2270.6</v>
      </c>
      <c r="GJ36" s="160">
        <v>2320.8000000000002</v>
      </c>
      <c r="GK36" s="160">
        <v>2370.9</v>
      </c>
      <c r="GL36" s="160">
        <v>2421.1</v>
      </c>
      <c r="GM36" s="156">
        <v>0</v>
      </c>
    </row>
    <row r="37" spans="1:195" s="150" customFormat="1" ht="15.5" x14ac:dyDescent="0.3">
      <c r="A37" s="163" t="s">
        <v>164</v>
      </c>
      <c r="B37" s="156">
        <v>0</v>
      </c>
      <c r="C37" s="156">
        <v>0</v>
      </c>
      <c r="D37" s="156">
        <v>0</v>
      </c>
      <c r="E37" s="156">
        <v>0</v>
      </c>
      <c r="F37" s="156">
        <v>0</v>
      </c>
      <c r="G37" s="156">
        <v>0</v>
      </c>
      <c r="H37" s="156">
        <v>0</v>
      </c>
      <c r="I37" s="156">
        <v>0</v>
      </c>
      <c r="J37" s="156">
        <v>0</v>
      </c>
      <c r="K37" s="156">
        <v>0</v>
      </c>
      <c r="L37" s="156">
        <v>0</v>
      </c>
      <c r="M37" s="156">
        <v>0</v>
      </c>
      <c r="N37" s="156">
        <v>0</v>
      </c>
      <c r="O37" s="156">
        <v>0</v>
      </c>
      <c r="P37" s="156">
        <v>0</v>
      </c>
      <c r="Q37" s="156">
        <v>0</v>
      </c>
      <c r="R37" s="156">
        <v>0</v>
      </c>
      <c r="S37" s="156">
        <v>0</v>
      </c>
      <c r="T37" s="156">
        <v>0</v>
      </c>
      <c r="U37" s="156">
        <v>0</v>
      </c>
      <c r="V37" s="156">
        <v>0</v>
      </c>
      <c r="W37" s="156">
        <v>0</v>
      </c>
      <c r="X37" s="156">
        <v>0</v>
      </c>
      <c r="Y37" s="156">
        <v>0</v>
      </c>
      <c r="Z37" s="156">
        <v>0</v>
      </c>
      <c r="AA37" s="156">
        <v>0</v>
      </c>
      <c r="AB37" s="156">
        <v>0</v>
      </c>
      <c r="AC37" s="156">
        <v>0</v>
      </c>
      <c r="AD37" s="156">
        <v>0</v>
      </c>
      <c r="AE37" s="156">
        <v>0</v>
      </c>
      <c r="AF37" s="156">
        <v>0</v>
      </c>
      <c r="AG37" s="156">
        <v>0</v>
      </c>
      <c r="AH37" s="156">
        <v>0</v>
      </c>
      <c r="AI37" s="156">
        <v>0</v>
      </c>
      <c r="AJ37" s="156">
        <v>0</v>
      </c>
      <c r="AK37" s="156">
        <v>0</v>
      </c>
      <c r="AL37" s="161">
        <v>1569.2768512151599</v>
      </c>
      <c r="AN37" s="158"/>
      <c r="AO37" s="159" t="s">
        <v>164</v>
      </c>
      <c r="AP37" s="160">
        <v>112.1</v>
      </c>
      <c r="AQ37" s="160">
        <v>118.5</v>
      </c>
      <c r="AR37" s="160">
        <v>124.9</v>
      </c>
      <c r="AS37" s="160">
        <v>131.30000000000001</v>
      </c>
      <c r="AT37" s="160">
        <v>137.69999999999999</v>
      </c>
      <c r="AU37" s="160">
        <v>144.1</v>
      </c>
      <c r="AV37" s="160">
        <v>150.5</v>
      </c>
      <c r="AW37" s="160">
        <v>156.9</v>
      </c>
      <c r="AX37" s="160">
        <v>164.7</v>
      </c>
      <c r="AY37" s="160">
        <v>172.4</v>
      </c>
      <c r="AZ37" s="160">
        <v>180.1</v>
      </c>
      <c r="BA37" s="160">
        <v>187.9</v>
      </c>
      <c r="BB37" s="160">
        <v>195.6</v>
      </c>
      <c r="BC37" s="160">
        <v>203.4</v>
      </c>
      <c r="BD37" s="160">
        <v>211.1</v>
      </c>
      <c r="BE37" s="160">
        <v>218.8</v>
      </c>
      <c r="BF37" s="160">
        <v>226.6</v>
      </c>
      <c r="BG37" s="160">
        <v>234.3</v>
      </c>
      <c r="BH37" s="160">
        <v>242.1</v>
      </c>
      <c r="BI37" s="160">
        <v>249.8</v>
      </c>
      <c r="BJ37" s="160">
        <v>257.5</v>
      </c>
      <c r="BK37" s="160">
        <v>265.3</v>
      </c>
      <c r="BL37" s="160">
        <v>273</v>
      </c>
      <c r="BM37" s="160">
        <v>280.8</v>
      </c>
      <c r="BN37" s="160">
        <v>288.5</v>
      </c>
      <c r="BO37" s="160">
        <v>296.2</v>
      </c>
      <c r="BP37" s="160">
        <v>304</v>
      </c>
      <c r="BQ37" s="160">
        <v>311.7</v>
      </c>
      <c r="BR37" s="160">
        <v>319.5</v>
      </c>
      <c r="BS37" s="160">
        <v>327.2</v>
      </c>
      <c r="BT37" s="160">
        <v>334.9</v>
      </c>
      <c r="BU37" s="160">
        <v>342.7</v>
      </c>
      <c r="BV37" s="160">
        <v>350.4</v>
      </c>
      <c r="BW37" s="160">
        <v>358.2</v>
      </c>
      <c r="BX37" s="160">
        <v>365.9</v>
      </c>
      <c r="BY37" s="160">
        <v>373.6</v>
      </c>
      <c r="BZ37" s="161">
        <v>1176.95763841137</v>
      </c>
      <c r="CB37" s="162" t="s">
        <v>164</v>
      </c>
      <c r="CC37" s="160">
        <v>224.2</v>
      </c>
      <c r="CD37" s="160">
        <v>237</v>
      </c>
      <c r="CE37" s="160">
        <v>249.8</v>
      </c>
      <c r="CF37" s="160">
        <v>262.60000000000002</v>
      </c>
      <c r="CG37" s="160">
        <v>275.39999999999998</v>
      </c>
      <c r="CH37" s="160">
        <v>288.2</v>
      </c>
      <c r="CI37" s="160">
        <v>301</v>
      </c>
      <c r="CJ37" s="160">
        <v>313.89999999999998</v>
      </c>
      <c r="CK37" s="160">
        <v>329.3</v>
      </c>
      <c r="CL37" s="160">
        <v>344.8</v>
      </c>
      <c r="CM37" s="160">
        <v>360.3</v>
      </c>
      <c r="CN37" s="160">
        <v>375.8</v>
      </c>
      <c r="CO37" s="160">
        <v>391.3</v>
      </c>
      <c r="CP37" s="160">
        <v>406.7</v>
      </c>
      <c r="CQ37" s="160">
        <v>422.2</v>
      </c>
      <c r="CR37" s="160">
        <v>437.7</v>
      </c>
      <c r="CS37" s="160">
        <v>453.2</v>
      </c>
      <c r="CT37" s="160">
        <v>468.6</v>
      </c>
      <c r="CU37" s="160">
        <v>484.1</v>
      </c>
      <c r="CV37" s="160">
        <v>499.6</v>
      </c>
      <c r="CW37" s="160">
        <v>515.1</v>
      </c>
      <c r="CX37" s="160">
        <v>530.6</v>
      </c>
      <c r="CY37" s="160">
        <v>546</v>
      </c>
      <c r="CZ37" s="160">
        <v>561.5</v>
      </c>
      <c r="DA37" s="160">
        <v>577</v>
      </c>
      <c r="DB37" s="160">
        <v>592.5</v>
      </c>
      <c r="DC37" s="160">
        <v>608</v>
      </c>
      <c r="DD37" s="160">
        <v>623.4</v>
      </c>
      <c r="DE37" s="160">
        <v>638.9</v>
      </c>
      <c r="DF37" s="160">
        <v>654.4</v>
      </c>
      <c r="DG37" s="160">
        <v>669.9</v>
      </c>
      <c r="DH37" s="160">
        <v>685.4</v>
      </c>
      <c r="DI37" s="160">
        <v>700.8</v>
      </c>
      <c r="DJ37" s="160">
        <v>716.3</v>
      </c>
      <c r="DK37" s="160">
        <v>731.8</v>
      </c>
      <c r="DL37" s="160">
        <v>747.3</v>
      </c>
      <c r="DM37" s="161">
        <v>784.63842560757996</v>
      </c>
      <c r="DO37" s="159" t="s">
        <v>164</v>
      </c>
      <c r="DP37" s="160">
        <v>336.3</v>
      </c>
      <c r="DQ37" s="160">
        <v>355.5</v>
      </c>
      <c r="DR37" s="160">
        <v>374.7</v>
      </c>
      <c r="DS37" s="160">
        <v>393.9</v>
      </c>
      <c r="DT37" s="160">
        <v>413.1</v>
      </c>
      <c r="DU37" s="160">
        <v>432.4</v>
      </c>
      <c r="DV37" s="160">
        <v>451.6</v>
      </c>
      <c r="DW37" s="160">
        <v>470.8</v>
      </c>
      <c r="DX37" s="160">
        <v>494</v>
      </c>
      <c r="DY37" s="160">
        <v>517.20000000000005</v>
      </c>
      <c r="DZ37" s="160">
        <v>540.4</v>
      </c>
      <c r="EA37" s="160">
        <v>563.70000000000005</v>
      </c>
      <c r="EB37" s="160">
        <v>586.9</v>
      </c>
      <c r="EC37" s="160">
        <v>610.1</v>
      </c>
      <c r="ED37" s="160">
        <v>633.29999999999995</v>
      </c>
      <c r="EE37" s="160">
        <v>656.5</v>
      </c>
      <c r="EF37" s="160">
        <v>679.8</v>
      </c>
      <c r="EG37" s="160">
        <v>703</v>
      </c>
      <c r="EH37" s="160">
        <v>726.2</v>
      </c>
      <c r="EI37" s="160">
        <v>749.4</v>
      </c>
      <c r="EJ37" s="160">
        <v>772.6</v>
      </c>
      <c r="EK37" s="160">
        <v>795.8</v>
      </c>
      <c r="EL37" s="160">
        <v>819.1</v>
      </c>
      <c r="EM37" s="160">
        <v>842.3</v>
      </c>
      <c r="EN37" s="160">
        <v>865.5</v>
      </c>
      <c r="EO37" s="160">
        <v>888.7</v>
      </c>
      <c r="EP37" s="160">
        <v>911.9</v>
      </c>
      <c r="EQ37" s="160">
        <v>935.2</v>
      </c>
      <c r="ER37" s="160">
        <v>958.4</v>
      </c>
      <c r="ES37" s="160">
        <v>981.6</v>
      </c>
      <c r="ET37" s="160">
        <v>1004.8</v>
      </c>
      <c r="EU37" s="160">
        <v>1028</v>
      </c>
      <c r="EV37" s="160">
        <v>1051.3</v>
      </c>
      <c r="EW37" s="160">
        <v>1074.5</v>
      </c>
      <c r="EX37" s="160">
        <v>1097.7</v>
      </c>
      <c r="EY37" s="160">
        <v>1120.9000000000001</v>
      </c>
      <c r="EZ37" s="161">
        <v>392.31921280378998</v>
      </c>
      <c r="FB37" s="159" t="s">
        <v>164</v>
      </c>
      <c r="FC37" s="160">
        <v>448.4</v>
      </c>
      <c r="FD37" s="160">
        <v>474</v>
      </c>
      <c r="FE37" s="160">
        <v>499.6</v>
      </c>
      <c r="FF37" s="160">
        <v>525.20000000000005</v>
      </c>
      <c r="FG37" s="160">
        <v>550.79999999999995</v>
      </c>
      <c r="FH37" s="160">
        <v>576.5</v>
      </c>
      <c r="FI37" s="160">
        <v>602.1</v>
      </c>
      <c r="FJ37" s="160">
        <v>627.70000000000005</v>
      </c>
      <c r="FK37" s="160">
        <v>658.7</v>
      </c>
      <c r="FL37" s="160">
        <v>689.6</v>
      </c>
      <c r="FM37" s="160">
        <v>720.6</v>
      </c>
      <c r="FN37" s="160">
        <v>751.5</v>
      </c>
      <c r="FO37" s="160">
        <v>782.5</v>
      </c>
      <c r="FP37" s="160">
        <v>813.5</v>
      </c>
      <c r="FQ37" s="160">
        <v>844.4</v>
      </c>
      <c r="FR37" s="160">
        <v>875.4</v>
      </c>
      <c r="FS37" s="160">
        <v>906.3</v>
      </c>
      <c r="FT37" s="160">
        <v>937.3</v>
      </c>
      <c r="FU37" s="160">
        <v>968.3</v>
      </c>
      <c r="FV37" s="160">
        <v>999.2</v>
      </c>
      <c r="FW37" s="160">
        <v>1030.2</v>
      </c>
      <c r="FX37" s="160">
        <v>1061.0999999999999</v>
      </c>
      <c r="FY37" s="160">
        <v>1092.0999999999999</v>
      </c>
      <c r="FZ37" s="160">
        <v>1123</v>
      </c>
      <c r="GA37" s="160">
        <v>1154</v>
      </c>
      <c r="GB37" s="160">
        <v>1185</v>
      </c>
      <c r="GC37" s="160">
        <v>1215.9000000000001</v>
      </c>
      <c r="GD37" s="160">
        <v>1246.9000000000001</v>
      </c>
      <c r="GE37" s="160">
        <v>1277.8</v>
      </c>
      <c r="GF37" s="160">
        <v>1308.8</v>
      </c>
      <c r="GG37" s="160">
        <v>1339.8</v>
      </c>
      <c r="GH37" s="160">
        <v>1370.7</v>
      </c>
      <c r="GI37" s="160">
        <v>1401.7</v>
      </c>
      <c r="GJ37" s="160">
        <v>1432.6</v>
      </c>
      <c r="GK37" s="160">
        <v>1463.6</v>
      </c>
      <c r="GL37" s="160">
        <v>1494.5</v>
      </c>
      <c r="GM37" s="156">
        <v>0</v>
      </c>
    </row>
    <row r="38" spans="1:195" s="150" customFormat="1" ht="15.5" x14ac:dyDescent="0.3">
      <c r="A38" s="163" t="s">
        <v>759</v>
      </c>
      <c r="B38" s="156">
        <v>0</v>
      </c>
      <c r="C38" s="156">
        <v>0</v>
      </c>
      <c r="D38" s="156">
        <v>0</v>
      </c>
      <c r="E38" s="156">
        <v>0</v>
      </c>
      <c r="F38" s="156">
        <v>0</v>
      </c>
      <c r="G38" s="156">
        <v>0</v>
      </c>
      <c r="H38" s="156">
        <v>0</v>
      </c>
      <c r="I38" s="156">
        <v>0</v>
      </c>
      <c r="J38" s="156">
        <v>0</v>
      </c>
      <c r="K38" s="156">
        <v>0</v>
      </c>
      <c r="L38" s="156">
        <v>0</v>
      </c>
      <c r="M38" s="156">
        <v>0</v>
      </c>
      <c r="N38" s="156">
        <v>0</v>
      </c>
      <c r="O38" s="156">
        <v>0</v>
      </c>
      <c r="P38" s="156">
        <v>0</v>
      </c>
      <c r="Q38" s="156">
        <v>0</v>
      </c>
      <c r="R38" s="156">
        <v>0</v>
      </c>
      <c r="S38" s="156">
        <v>0</v>
      </c>
      <c r="T38" s="156">
        <v>0</v>
      </c>
      <c r="U38" s="156">
        <v>0</v>
      </c>
      <c r="V38" s="156">
        <v>0</v>
      </c>
      <c r="W38" s="156">
        <v>0</v>
      </c>
      <c r="X38" s="156">
        <v>0</v>
      </c>
      <c r="Y38" s="156">
        <v>0</v>
      </c>
      <c r="Z38" s="156">
        <v>0</v>
      </c>
      <c r="AA38" s="156">
        <v>0</v>
      </c>
      <c r="AB38" s="156">
        <v>0</v>
      </c>
      <c r="AC38" s="156">
        <v>0</v>
      </c>
      <c r="AD38" s="156">
        <v>0</v>
      </c>
      <c r="AE38" s="156">
        <v>0</v>
      </c>
      <c r="AF38" s="156">
        <v>0</v>
      </c>
      <c r="AG38" s="156">
        <v>0</v>
      </c>
      <c r="AH38" s="156">
        <v>0</v>
      </c>
      <c r="AI38" s="156">
        <v>0</v>
      </c>
      <c r="AJ38" s="156">
        <v>0</v>
      </c>
      <c r="AK38" s="156">
        <v>0</v>
      </c>
      <c r="AL38" s="161">
        <v>700.00492636534102</v>
      </c>
      <c r="AN38" s="158"/>
      <c r="AO38" s="159" t="s">
        <v>759</v>
      </c>
      <c r="AP38" s="160">
        <v>50</v>
      </c>
      <c r="AQ38" s="160">
        <v>52.9</v>
      </c>
      <c r="AR38" s="160">
        <v>55.7</v>
      </c>
      <c r="AS38" s="160">
        <v>58.6</v>
      </c>
      <c r="AT38" s="160">
        <v>61.4</v>
      </c>
      <c r="AU38" s="160">
        <v>64.3</v>
      </c>
      <c r="AV38" s="160">
        <v>67.099999999999994</v>
      </c>
      <c r="AW38" s="160">
        <v>70</v>
      </c>
      <c r="AX38" s="160">
        <v>73.5</v>
      </c>
      <c r="AY38" s="160">
        <v>76.900000000000006</v>
      </c>
      <c r="AZ38" s="160">
        <v>80.400000000000006</v>
      </c>
      <c r="BA38" s="160">
        <v>83.8</v>
      </c>
      <c r="BB38" s="160">
        <v>87.3</v>
      </c>
      <c r="BC38" s="160">
        <v>90.7</v>
      </c>
      <c r="BD38" s="160">
        <v>94.2</v>
      </c>
      <c r="BE38" s="160">
        <v>97.6</v>
      </c>
      <c r="BF38" s="160">
        <v>101.1</v>
      </c>
      <c r="BG38" s="160">
        <v>104.5</v>
      </c>
      <c r="BH38" s="160">
        <v>108</v>
      </c>
      <c r="BI38" s="160">
        <v>111.4</v>
      </c>
      <c r="BJ38" s="160">
        <v>114.9</v>
      </c>
      <c r="BK38" s="160">
        <v>118.3</v>
      </c>
      <c r="BL38" s="160">
        <v>121.8</v>
      </c>
      <c r="BM38" s="160">
        <v>125.2</v>
      </c>
      <c r="BN38" s="160">
        <v>128.69999999999999</v>
      </c>
      <c r="BO38" s="160">
        <v>132.1</v>
      </c>
      <c r="BP38" s="160">
        <v>135.6</v>
      </c>
      <c r="BQ38" s="160">
        <v>139</v>
      </c>
      <c r="BR38" s="160">
        <v>142.5</v>
      </c>
      <c r="BS38" s="160">
        <v>146</v>
      </c>
      <c r="BT38" s="160">
        <v>149.4</v>
      </c>
      <c r="BU38" s="160">
        <v>152.9</v>
      </c>
      <c r="BV38" s="160">
        <v>156.30000000000001</v>
      </c>
      <c r="BW38" s="160">
        <v>159.80000000000001</v>
      </c>
      <c r="BX38" s="160">
        <v>163.19999999999999</v>
      </c>
      <c r="BY38" s="160">
        <v>166.7</v>
      </c>
      <c r="BZ38" s="161">
        <v>525.00369477400602</v>
      </c>
      <c r="CB38" s="162" t="s">
        <v>759</v>
      </c>
      <c r="CC38" s="160">
        <v>100</v>
      </c>
      <c r="CD38" s="160">
        <v>105.7</v>
      </c>
      <c r="CE38" s="160">
        <v>111.4</v>
      </c>
      <c r="CF38" s="160">
        <v>117.1</v>
      </c>
      <c r="CG38" s="160">
        <v>122.9</v>
      </c>
      <c r="CH38" s="160">
        <v>128.6</v>
      </c>
      <c r="CI38" s="160">
        <v>134.30000000000001</v>
      </c>
      <c r="CJ38" s="160">
        <v>140</v>
      </c>
      <c r="CK38" s="160">
        <v>146.9</v>
      </c>
      <c r="CL38" s="160">
        <v>153.80000000000001</v>
      </c>
      <c r="CM38" s="160">
        <v>160.69999999999999</v>
      </c>
      <c r="CN38" s="160">
        <v>167.6</v>
      </c>
      <c r="CO38" s="160">
        <v>174.5</v>
      </c>
      <c r="CP38" s="160">
        <v>181.4</v>
      </c>
      <c r="CQ38" s="160">
        <v>188.3</v>
      </c>
      <c r="CR38" s="160">
        <v>195.2</v>
      </c>
      <c r="CS38" s="160">
        <v>202.1</v>
      </c>
      <c r="CT38" s="160">
        <v>209</v>
      </c>
      <c r="CU38" s="160">
        <v>216</v>
      </c>
      <c r="CV38" s="160">
        <v>222.9</v>
      </c>
      <c r="CW38" s="160">
        <v>229.8</v>
      </c>
      <c r="CX38" s="160">
        <v>236.7</v>
      </c>
      <c r="CY38" s="160">
        <v>243.6</v>
      </c>
      <c r="CZ38" s="160">
        <v>250.5</v>
      </c>
      <c r="DA38" s="160">
        <v>257.39999999999998</v>
      </c>
      <c r="DB38" s="160">
        <v>264.3</v>
      </c>
      <c r="DC38" s="160">
        <v>271.2</v>
      </c>
      <c r="DD38" s="160">
        <v>278.10000000000002</v>
      </c>
      <c r="DE38" s="160">
        <v>285</v>
      </c>
      <c r="DF38" s="160">
        <v>291.89999999999998</v>
      </c>
      <c r="DG38" s="160">
        <v>298.8</v>
      </c>
      <c r="DH38" s="160">
        <v>305.7</v>
      </c>
      <c r="DI38" s="160">
        <v>312.60000000000002</v>
      </c>
      <c r="DJ38" s="160">
        <v>319.5</v>
      </c>
      <c r="DK38" s="160">
        <v>326.39999999999998</v>
      </c>
      <c r="DL38" s="160">
        <v>333.3</v>
      </c>
      <c r="DM38" s="161">
        <v>350.00246318267102</v>
      </c>
      <c r="DO38" s="159" t="s">
        <v>759</v>
      </c>
      <c r="DP38" s="160">
        <v>150</v>
      </c>
      <c r="DQ38" s="160">
        <v>158.6</v>
      </c>
      <c r="DR38" s="160">
        <v>167.1</v>
      </c>
      <c r="DS38" s="160">
        <v>175.7</v>
      </c>
      <c r="DT38" s="160">
        <v>184.3</v>
      </c>
      <c r="DU38" s="160">
        <v>192.9</v>
      </c>
      <c r="DV38" s="160">
        <v>201.4</v>
      </c>
      <c r="DW38" s="160">
        <v>210</v>
      </c>
      <c r="DX38" s="160">
        <v>220.4</v>
      </c>
      <c r="DY38" s="160">
        <v>230.7</v>
      </c>
      <c r="DZ38" s="160">
        <v>241.1</v>
      </c>
      <c r="EA38" s="160">
        <v>251.4</v>
      </c>
      <c r="EB38" s="160">
        <v>261.8</v>
      </c>
      <c r="EC38" s="160">
        <v>272.10000000000002</v>
      </c>
      <c r="ED38" s="160">
        <v>282.5</v>
      </c>
      <c r="EE38" s="160">
        <v>292.89999999999998</v>
      </c>
      <c r="EF38" s="160">
        <v>303.2</v>
      </c>
      <c r="EG38" s="160">
        <v>313.60000000000002</v>
      </c>
      <c r="EH38" s="160">
        <v>323.89999999999998</v>
      </c>
      <c r="EI38" s="160">
        <v>334.3</v>
      </c>
      <c r="EJ38" s="160">
        <v>344.6</v>
      </c>
      <c r="EK38" s="160">
        <v>355</v>
      </c>
      <c r="EL38" s="160">
        <v>365.4</v>
      </c>
      <c r="EM38" s="160">
        <v>375.7</v>
      </c>
      <c r="EN38" s="160">
        <v>386.1</v>
      </c>
      <c r="EO38" s="160">
        <v>396.4</v>
      </c>
      <c r="EP38" s="160">
        <v>406.8</v>
      </c>
      <c r="EQ38" s="160">
        <v>417.1</v>
      </c>
      <c r="ER38" s="160">
        <v>427.5</v>
      </c>
      <c r="ES38" s="160">
        <v>437.9</v>
      </c>
      <c r="ET38" s="160">
        <v>448.2</v>
      </c>
      <c r="EU38" s="160">
        <v>458.6</v>
      </c>
      <c r="EV38" s="160">
        <v>468.9</v>
      </c>
      <c r="EW38" s="160">
        <v>479.3</v>
      </c>
      <c r="EX38" s="160">
        <v>489.6</v>
      </c>
      <c r="EY38" s="160">
        <v>500</v>
      </c>
      <c r="EZ38" s="161">
        <v>175.001231591335</v>
      </c>
      <c r="FB38" s="159" t="s">
        <v>759</v>
      </c>
      <c r="FC38" s="160">
        <v>200</v>
      </c>
      <c r="FD38" s="160">
        <v>211.4</v>
      </c>
      <c r="FE38" s="160">
        <v>222.9</v>
      </c>
      <c r="FF38" s="160">
        <v>234.3</v>
      </c>
      <c r="FG38" s="160">
        <v>245.7</v>
      </c>
      <c r="FH38" s="160">
        <v>257.10000000000002</v>
      </c>
      <c r="FI38" s="160">
        <v>268.60000000000002</v>
      </c>
      <c r="FJ38" s="160">
        <v>280</v>
      </c>
      <c r="FK38" s="160">
        <v>293.8</v>
      </c>
      <c r="FL38" s="160">
        <v>307.60000000000002</v>
      </c>
      <c r="FM38" s="160">
        <v>321.39999999999998</v>
      </c>
      <c r="FN38" s="160">
        <v>335.2</v>
      </c>
      <c r="FO38" s="160">
        <v>349.1</v>
      </c>
      <c r="FP38" s="160">
        <v>362.9</v>
      </c>
      <c r="FQ38" s="160">
        <v>376.7</v>
      </c>
      <c r="FR38" s="160">
        <v>390.5</v>
      </c>
      <c r="FS38" s="160">
        <v>404.3</v>
      </c>
      <c r="FT38" s="160">
        <v>418.1</v>
      </c>
      <c r="FU38" s="160">
        <v>431.9</v>
      </c>
      <c r="FV38" s="160">
        <v>445.7</v>
      </c>
      <c r="FW38" s="160">
        <v>459.5</v>
      </c>
      <c r="FX38" s="160">
        <v>473.3</v>
      </c>
      <c r="FY38" s="160">
        <v>487.1</v>
      </c>
      <c r="FZ38" s="160">
        <v>501</v>
      </c>
      <c r="GA38" s="160">
        <v>514.79999999999995</v>
      </c>
      <c r="GB38" s="160">
        <v>528.6</v>
      </c>
      <c r="GC38" s="160">
        <v>542.4</v>
      </c>
      <c r="GD38" s="160">
        <v>556.20000000000005</v>
      </c>
      <c r="GE38" s="160">
        <v>570</v>
      </c>
      <c r="GF38" s="160">
        <v>583.79999999999995</v>
      </c>
      <c r="GG38" s="160">
        <v>597.6</v>
      </c>
      <c r="GH38" s="160">
        <v>611.4</v>
      </c>
      <c r="GI38" s="160">
        <v>625.20000000000005</v>
      </c>
      <c r="GJ38" s="160">
        <v>639.1</v>
      </c>
      <c r="GK38" s="160">
        <v>652.9</v>
      </c>
      <c r="GL38" s="160">
        <v>666.7</v>
      </c>
      <c r="GM38" s="156">
        <v>0</v>
      </c>
    </row>
    <row r="39" spans="1:195" s="150" customFormat="1" ht="15.5" x14ac:dyDescent="0.3">
      <c r="A39" s="163" t="s">
        <v>87</v>
      </c>
      <c r="B39" s="156">
        <v>0</v>
      </c>
      <c r="C39" s="156">
        <v>0</v>
      </c>
      <c r="D39" s="156">
        <v>0</v>
      </c>
      <c r="E39" s="156">
        <v>0</v>
      </c>
      <c r="F39" s="156">
        <v>0</v>
      </c>
      <c r="G39" s="156">
        <v>0</v>
      </c>
      <c r="H39" s="156">
        <v>0</v>
      </c>
      <c r="I39" s="156">
        <v>0</v>
      </c>
      <c r="J39" s="156">
        <v>0</v>
      </c>
      <c r="K39" s="156">
        <v>0</v>
      </c>
      <c r="L39" s="156">
        <v>0</v>
      </c>
      <c r="M39" s="156">
        <v>0</v>
      </c>
      <c r="N39" s="156">
        <v>0</v>
      </c>
      <c r="O39" s="156">
        <v>0</v>
      </c>
      <c r="P39" s="156">
        <v>0</v>
      </c>
      <c r="Q39" s="156">
        <v>0</v>
      </c>
      <c r="R39" s="156">
        <v>0</v>
      </c>
      <c r="S39" s="156">
        <v>0</v>
      </c>
      <c r="T39" s="156">
        <v>0</v>
      </c>
      <c r="U39" s="156">
        <v>0</v>
      </c>
      <c r="V39" s="156">
        <v>0</v>
      </c>
      <c r="W39" s="156">
        <v>0</v>
      </c>
      <c r="X39" s="156">
        <v>0</v>
      </c>
      <c r="Y39" s="156">
        <v>0</v>
      </c>
      <c r="Z39" s="156">
        <v>0</v>
      </c>
      <c r="AA39" s="156">
        <v>0</v>
      </c>
      <c r="AB39" s="156">
        <v>0</v>
      </c>
      <c r="AC39" s="156">
        <v>0</v>
      </c>
      <c r="AD39" s="156">
        <v>0</v>
      </c>
      <c r="AE39" s="156">
        <v>0</v>
      </c>
      <c r="AF39" s="156">
        <v>0</v>
      </c>
      <c r="AG39" s="156">
        <v>0</v>
      </c>
      <c r="AH39" s="156">
        <v>0</v>
      </c>
      <c r="AI39" s="156">
        <v>0</v>
      </c>
      <c r="AJ39" s="156">
        <v>0</v>
      </c>
      <c r="AK39" s="156">
        <v>0</v>
      </c>
      <c r="AL39" s="161">
        <v>939.88073335758895</v>
      </c>
      <c r="AN39" s="158"/>
      <c r="AO39" s="159" t="s">
        <v>87</v>
      </c>
      <c r="AP39" s="160">
        <v>67.099999999999994</v>
      </c>
      <c r="AQ39" s="160">
        <v>71</v>
      </c>
      <c r="AR39" s="160">
        <v>74.8</v>
      </c>
      <c r="AS39" s="160">
        <v>78.599999999999994</v>
      </c>
      <c r="AT39" s="160">
        <v>82.5</v>
      </c>
      <c r="AU39" s="160">
        <v>86.3</v>
      </c>
      <c r="AV39" s="160">
        <v>90.2</v>
      </c>
      <c r="AW39" s="160">
        <v>94</v>
      </c>
      <c r="AX39" s="160">
        <v>98.6</v>
      </c>
      <c r="AY39" s="160">
        <v>103.3</v>
      </c>
      <c r="AZ39" s="160">
        <v>107.9</v>
      </c>
      <c r="BA39" s="160">
        <v>112.5</v>
      </c>
      <c r="BB39" s="160">
        <v>117.2</v>
      </c>
      <c r="BC39" s="160">
        <v>121.8</v>
      </c>
      <c r="BD39" s="160">
        <v>126.4</v>
      </c>
      <c r="BE39" s="160">
        <v>131.1</v>
      </c>
      <c r="BF39" s="160">
        <v>135.69999999999999</v>
      </c>
      <c r="BG39" s="160">
        <v>140.30000000000001</v>
      </c>
      <c r="BH39" s="160">
        <v>145</v>
      </c>
      <c r="BI39" s="160">
        <v>149.6</v>
      </c>
      <c r="BJ39" s="160">
        <v>154.19999999999999</v>
      </c>
      <c r="BK39" s="160">
        <v>158.9</v>
      </c>
      <c r="BL39" s="160">
        <v>163.5</v>
      </c>
      <c r="BM39" s="160">
        <v>168.2</v>
      </c>
      <c r="BN39" s="160">
        <v>172.8</v>
      </c>
      <c r="BO39" s="160">
        <v>177.4</v>
      </c>
      <c r="BP39" s="160">
        <v>182.1</v>
      </c>
      <c r="BQ39" s="160">
        <v>186.7</v>
      </c>
      <c r="BR39" s="160">
        <v>191.3</v>
      </c>
      <c r="BS39" s="160">
        <v>196</v>
      </c>
      <c r="BT39" s="160">
        <v>200.6</v>
      </c>
      <c r="BU39" s="160">
        <v>205.2</v>
      </c>
      <c r="BV39" s="160">
        <v>209.9</v>
      </c>
      <c r="BW39" s="160">
        <v>214.5</v>
      </c>
      <c r="BX39" s="160">
        <v>219.1</v>
      </c>
      <c r="BY39" s="160">
        <v>223.8</v>
      </c>
      <c r="BZ39" s="161">
        <v>704.91055001819302</v>
      </c>
      <c r="CB39" s="162" t="s">
        <v>87</v>
      </c>
      <c r="CC39" s="160">
        <v>134.30000000000001</v>
      </c>
      <c r="CD39" s="160">
        <v>141.9</v>
      </c>
      <c r="CE39" s="160">
        <v>149.6</v>
      </c>
      <c r="CF39" s="160">
        <v>157.30000000000001</v>
      </c>
      <c r="CG39" s="160">
        <v>165</v>
      </c>
      <c r="CH39" s="160">
        <v>172.6</v>
      </c>
      <c r="CI39" s="160">
        <v>180.3</v>
      </c>
      <c r="CJ39" s="160">
        <v>188</v>
      </c>
      <c r="CK39" s="160">
        <v>197.2</v>
      </c>
      <c r="CL39" s="160">
        <v>206.5</v>
      </c>
      <c r="CM39" s="160">
        <v>215.8</v>
      </c>
      <c r="CN39" s="160">
        <v>225.1</v>
      </c>
      <c r="CO39" s="160">
        <v>234.3</v>
      </c>
      <c r="CP39" s="160">
        <v>243.6</v>
      </c>
      <c r="CQ39" s="160">
        <v>252.9</v>
      </c>
      <c r="CR39" s="160">
        <v>262.10000000000002</v>
      </c>
      <c r="CS39" s="160">
        <v>271.39999999999998</v>
      </c>
      <c r="CT39" s="160">
        <v>280.7</v>
      </c>
      <c r="CU39" s="160">
        <v>290</v>
      </c>
      <c r="CV39" s="160">
        <v>299.2</v>
      </c>
      <c r="CW39" s="160">
        <v>308.5</v>
      </c>
      <c r="CX39" s="160">
        <v>317.8</v>
      </c>
      <c r="CY39" s="160">
        <v>327</v>
      </c>
      <c r="CZ39" s="160">
        <v>336.3</v>
      </c>
      <c r="DA39" s="160">
        <v>345.6</v>
      </c>
      <c r="DB39" s="160">
        <v>354.9</v>
      </c>
      <c r="DC39" s="160">
        <v>364.1</v>
      </c>
      <c r="DD39" s="160">
        <v>373.4</v>
      </c>
      <c r="DE39" s="160">
        <v>382.7</v>
      </c>
      <c r="DF39" s="160">
        <v>391.9</v>
      </c>
      <c r="DG39" s="160">
        <v>401.2</v>
      </c>
      <c r="DH39" s="160">
        <v>410.5</v>
      </c>
      <c r="DI39" s="160">
        <v>419.7</v>
      </c>
      <c r="DJ39" s="160">
        <v>429</v>
      </c>
      <c r="DK39" s="160">
        <v>438.3</v>
      </c>
      <c r="DL39" s="160">
        <v>447.6</v>
      </c>
      <c r="DM39" s="161">
        <v>469.94036667879499</v>
      </c>
      <c r="DO39" s="159" t="s">
        <v>87</v>
      </c>
      <c r="DP39" s="160">
        <v>201.4</v>
      </c>
      <c r="DQ39" s="160">
        <v>212.9</v>
      </c>
      <c r="DR39" s="160">
        <v>224.4</v>
      </c>
      <c r="DS39" s="160">
        <v>235.9</v>
      </c>
      <c r="DT39" s="160">
        <v>247.4</v>
      </c>
      <c r="DU39" s="160">
        <v>258.89999999999998</v>
      </c>
      <c r="DV39" s="160">
        <v>270.5</v>
      </c>
      <c r="DW39" s="160">
        <v>282</v>
      </c>
      <c r="DX39" s="160">
        <v>295.89999999999998</v>
      </c>
      <c r="DY39" s="160">
        <v>309.8</v>
      </c>
      <c r="DZ39" s="160">
        <v>323.7</v>
      </c>
      <c r="EA39" s="160">
        <v>337.6</v>
      </c>
      <c r="EB39" s="160">
        <v>351.5</v>
      </c>
      <c r="EC39" s="160">
        <v>365.4</v>
      </c>
      <c r="ED39" s="160">
        <v>379.3</v>
      </c>
      <c r="EE39" s="160">
        <v>393.2</v>
      </c>
      <c r="EF39" s="160">
        <v>407.1</v>
      </c>
      <c r="EG39" s="160">
        <v>421</v>
      </c>
      <c r="EH39" s="160">
        <v>434.9</v>
      </c>
      <c r="EI39" s="160">
        <v>448.8</v>
      </c>
      <c r="EJ39" s="160">
        <v>462.7</v>
      </c>
      <c r="EK39" s="160">
        <v>476.7</v>
      </c>
      <c r="EL39" s="160">
        <v>490.6</v>
      </c>
      <c r="EM39" s="160">
        <v>504.5</v>
      </c>
      <c r="EN39" s="160">
        <v>518.4</v>
      </c>
      <c r="EO39" s="160">
        <v>532.29999999999995</v>
      </c>
      <c r="EP39" s="160">
        <v>546.20000000000005</v>
      </c>
      <c r="EQ39" s="160">
        <v>560.1</v>
      </c>
      <c r="ER39" s="160">
        <v>574</v>
      </c>
      <c r="ES39" s="160">
        <v>587.9</v>
      </c>
      <c r="ET39" s="160">
        <v>601.79999999999995</v>
      </c>
      <c r="EU39" s="160">
        <v>615.70000000000005</v>
      </c>
      <c r="EV39" s="160">
        <v>629.6</v>
      </c>
      <c r="EW39" s="160">
        <v>643.5</v>
      </c>
      <c r="EX39" s="160">
        <v>657.4</v>
      </c>
      <c r="EY39" s="160">
        <v>671.3</v>
      </c>
      <c r="EZ39" s="161">
        <v>234.97018333939701</v>
      </c>
      <c r="FB39" s="159" t="s">
        <v>87</v>
      </c>
      <c r="FC39" s="160">
        <v>268.5</v>
      </c>
      <c r="FD39" s="160">
        <v>283.89999999999998</v>
      </c>
      <c r="FE39" s="160">
        <v>299.2</v>
      </c>
      <c r="FF39" s="160">
        <v>314.60000000000002</v>
      </c>
      <c r="FG39" s="160">
        <v>329.9</v>
      </c>
      <c r="FH39" s="160">
        <v>345.3</v>
      </c>
      <c r="FI39" s="160">
        <v>360.6</v>
      </c>
      <c r="FJ39" s="160">
        <v>376</v>
      </c>
      <c r="FK39" s="160">
        <v>394.5</v>
      </c>
      <c r="FL39" s="160">
        <v>413</v>
      </c>
      <c r="FM39" s="160">
        <v>431.6</v>
      </c>
      <c r="FN39" s="160">
        <v>450.1</v>
      </c>
      <c r="FO39" s="160">
        <v>468.7</v>
      </c>
      <c r="FP39" s="160">
        <v>487.2</v>
      </c>
      <c r="FQ39" s="160">
        <v>505.7</v>
      </c>
      <c r="FR39" s="160">
        <v>524.29999999999995</v>
      </c>
      <c r="FS39" s="160">
        <v>542.79999999999995</v>
      </c>
      <c r="FT39" s="160">
        <v>561.4</v>
      </c>
      <c r="FU39" s="160">
        <v>579.9</v>
      </c>
      <c r="FV39" s="160">
        <v>598.5</v>
      </c>
      <c r="FW39" s="160">
        <v>617</v>
      </c>
      <c r="FX39" s="160">
        <v>635.5</v>
      </c>
      <c r="FY39" s="160">
        <v>654.1</v>
      </c>
      <c r="FZ39" s="160">
        <v>672.6</v>
      </c>
      <c r="GA39" s="160">
        <v>691.2</v>
      </c>
      <c r="GB39" s="160">
        <v>709.7</v>
      </c>
      <c r="GC39" s="160">
        <v>728.2</v>
      </c>
      <c r="GD39" s="160">
        <v>746.8</v>
      </c>
      <c r="GE39" s="160">
        <v>765.3</v>
      </c>
      <c r="GF39" s="160">
        <v>783.9</v>
      </c>
      <c r="GG39" s="160">
        <v>802.4</v>
      </c>
      <c r="GH39" s="160">
        <v>821</v>
      </c>
      <c r="GI39" s="160">
        <v>839.5</v>
      </c>
      <c r="GJ39" s="160">
        <v>858</v>
      </c>
      <c r="GK39" s="160">
        <v>876.6</v>
      </c>
      <c r="GL39" s="160">
        <v>895.1</v>
      </c>
      <c r="GM39" s="156">
        <v>0</v>
      </c>
    </row>
    <row r="40" spans="1:195" s="150" customFormat="1" ht="15.5" x14ac:dyDescent="0.3">
      <c r="A40" s="163" t="s">
        <v>760</v>
      </c>
      <c r="B40" s="156">
        <v>0</v>
      </c>
      <c r="C40" s="156">
        <v>0</v>
      </c>
      <c r="D40" s="156">
        <v>0</v>
      </c>
      <c r="E40" s="156">
        <v>0</v>
      </c>
      <c r="F40" s="156">
        <v>0</v>
      </c>
      <c r="G40" s="156">
        <v>0</v>
      </c>
      <c r="H40" s="156">
        <v>0</v>
      </c>
      <c r="I40" s="156">
        <v>0</v>
      </c>
      <c r="J40" s="156">
        <v>0</v>
      </c>
      <c r="K40" s="156">
        <v>0</v>
      </c>
      <c r="L40" s="156">
        <v>0</v>
      </c>
      <c r="M40" s="156">
        <v>0</v>
      </c>
      <c r="N40" s="156">
        <v>0</v>
      </c>
      <c r="O40" s="156">
        <v>0</v>
      </c>
      <c r="P40" s="156">
        <v>0</v>
      </c>
      <c r="Q40" s="156">
        <v>0</v>
      </c>
      <c r="R40" s="156">
        <v>0</v>
      </c>
      <c r="S40" s="156">
        <v>0</v>
      </c>
      <c r="T40" s="156">
        <v>0</v>
      </c>
      <c r="U40" s="156">
        <v>0</v>
      </c>
      <c r="V40" s="156">
        <v>0</v>
      </c>
      <c r="W40" s="156">
        <v>0</v>
      </c>
      <c r="X40" s="156">
        <v>0</v>
      </c>
      <c r="Y40" s="156">
        <v>0</v>
      </c>
      <c r="Z40" s="156">
        <v>0</v>
      </c>
      <c r="AA40" s="156">
        <v>0</v>
      </c>
      <c r="AB40" s="156">
        <v>0</v>
      </c>
      <c r="AC40" s="156">
        <v>0</v>
      </c>
      <c r="AD40" s="156">
        <v>0</v>
      </c>
      <c r="AE40" s="156">
        <v>0</v>
      </c>
      <c r="AF40" s="156">
        <v>0</v>
      </c>
      <c r="AG40" s="156">
        <v>0</v>
      </c>
      <c r="AH40" s="156">
        <v>0</v>
      </c>
      <c r="AI40" s="156">
        <v>0</v>
      </c>
      <c r="AJ40" s="156">
        <v>0</v>
      </c>
      <c r="AK40" s="156">
        <v>0</v>
      </c>
      <c r="AL40" s="161">
        <v>491.16800329571998</v>
      </c>
      <c r="AN40" s="158"/>
      <c r="AO40" s="159" t="s">
        <v>760</v>
      </c>
      <c r="AP40" s="160">
        <v>35.1</v>
      </c>
      <c r="AQ40" s="160">
        <v>37.1</v>
      </c>
      <c r="AR40" s="160">
        <v>39.1</v>
      </c>
      <c r="AS40" s="160">
        <v>41.1</v>
      </c>
      <c r="AT40" s="160">
        <v>43.1</v>
      </c>
      <c r="AU40" s="160">
        <v>45.1</v>
      </c>
      <c r="AV40" s="160">
        <v>47.1</v>
      </c>
      <c r="AW40" s="160">
        <v>49.1</v>
      </c>
      <c r="AX40" s="160">
        <v>51.5</v>
      </c>
      <c r="AY40" s="160">
        <v>54</v>
      </c>
      <c r="AZ40" s="160">
        <v>56.4</v>
      </c>
      <c r="BA40" s="160">
        <v>58.8</v>
      </c>
      <c r="BB40" s="160">
        <v>61.2</v>
      </c>
      <c r="BC40" s="160">
        <v>63.7</v>
      </c>
      <c r="BD40" s="160">
        <v>66.099999999999994</v>
      </c>
      <c r="BE40" s="160">
        <v>68.5</v>
      </c>
      <c r="BF40" s="160">
        <v>70.900000000000006</v>
      </c>
      <c r="BG40" s="160">
        <v>73.3</v>
      </c>
      <c r="BH40" s="160">
        <v>75.8</v>
      </c>
      <c r="BI40" s="160">
        <v>78.2</v>
      </c>
      <c r="BJ40" s="160">
        <v>80.599999999999994</v>
      </c>
      <c r="BK40" s="160">
        <v>83</v>
      </c>
      <c r="BL40" s="160">
        <v>85.5</v>
      </c>
      <c r="BM40" s="160">
        <v>87.9</v>
      </c>
      <c r="BN40" s="160">
        <v>90.3</v>
      </c>
      <c r="BO40" s="160">
        <v>92.7</v>
      </c>
      <c r="BP40" s="160">
        <v>95.1</v>
      </c>
      <c r="BQ40" s="160">
        <v>97.6</v>
      </c>
      <c r="BR40" s="160">
        <v>100</v>
      </c>
      <c r="BS40" s="160">
        <v>102.4</v>
      </c>
      <c r="BT40" s="160">
        <v>104.8</v>
      </c>
      <c r="BU40" s="160">
        <v>107.3</v>
      </c>
      <c r="BV40" s="160">
        <v>109.7</v>
      </c>
      <c r="BW40" s="160">
        <v>112.1</v>
      </c>
      <c r="BX40" s="160">
        <v>114.5</v>
      </c>
      <c r="BY40" s="160">
        <v>116.9</v>
      </c>
      <c r="BZ40" s="161">
        <v>368.37600247179</v>
      </c>
      <c r="CB40" s="162" t="s">
        <v>760</v>
      </c>
      <c r="CC40" s="160">
        <v>70.2</v>
      </c>
      <c r="CD40" s="160">
        <v>74.2</v>
      </c>
      <c r="CE40" s="160">
        <v>78.2</v>
      </c>
      <c r="CF40" s="160">
        <v>82.2</v>
      </c>
      <c r="CG40" s="160">
        <v>86.2</v>
      </c>
      <c r="CH40" s="160">
        <v>90.2</v>
      </c>
      <c r="CI40" s="160">
        <v>94.2</v>
      </c>
      <c r="CJ40" s="160">
        <v>98.2</v>
      </c>
      <c r="CK40" s="160">
        <v>103.1</v>
      </c>
      <c r="CL40" s="160">
        <v>107.9</v>
      </c>
      <c r="CM40" s="160">
        <v>112.8</v>
      </c>
      <c r="CN40" s="160">
        <v>117.6</v>
      </c>
      <c r="CO40" s="160">
        <v>122.5</v>
      </c>
      <c r="CP40" s="160">
        <v>127.3</v>
      </c>
      <c r="CQ40" s="160">
        <v>132.1</v>
      </c>
      <c r="CR40" s="160">
        <v>137</v>
      </c>
      <c r="CS40" s="160">
        <v>141.80000000000001</v>
      </c>
      <c r="CT40" s="160">
        <v>146.69999999999999</v>
      </c>
      <c r="CU40" s="160">
        <v>151.5</v>
      </c>
      <c r="CV40" s="160">
        <v>156.4</v>
      </c>
      <c r="CW40" s="160">
        <v>161.19999999999999</v>
      </c>
      <c r="CX40" s="160">
        <v>166.1</v>
      </c>
      <c r="CY40" s="160">
        <v>170.9</v>
      </c>
      <c r="CZ40" s="160">
        <v>175.8</v>
      </c>
      <c r="DA40" s="160">
        <v>180.6</v>
      </c>
      <c r="DB40" s="160">
        <v>185.4</v>
      </c>
      <c r="DC40" s="160">
        <v>190.3</v>
      </c>
      <c r="DD40" s="160">
        <v>195.1</v>
      </c>
      <c r="DE40" s="160">
        <v>200</v>
      </c>
      <c r="DF40" s="160">
        <v>204.8</v>
      </c>
      <c r="DG40" s="160">
        <v>209.7</v>
      </c>
      <c r="DH40" s="160">
        <v>214.5</v>
      </c>
      <c r="DI40" s="160">
        <v>219.4</v>
      </c>
      <c r="DJ40" s="160">
        <v>224.2</v>
      </c>
      <c r="DK40" s="160">
        <v>229</v>
      </c>
      <c r="DL40" s="160">
        <v>233.9</v>
      </c>
      <c r="DM40" s="161">
        <v>245.58400164785999</v>
      </c>
      <c r="DO40" s="159" t="s">
        <v>760</v>
      </c>
      <c r="DP40" s="160">
        <v>105.3</v>
      </c>
      <c r="DQ40" s="160">
        <v>111.3</v>
      </c>
      <c r="DR40" s="160">
        <v>117.3</v>
      </c>
      <c r="DS40" s="160">
        <v>123.3</v>
      </c>
      <c r="DT40" s="160">
        <v>129.30000000000001</v>
      </c>
      <c r="DU40" s="160">
        <v>135.30000000000001</v>
      </c>
      <c r="DV40" s="160">
        <v>141.30000000000001</v>
      </c>
      <c r="DW40" s="160">
        <v>147.4</v>
      </c>
      <c r="DX40" s="160">
        <v>154.6</v>
      </c>
      <c r="DY40" s="160">
        <v>161.9</v>
      </c>
      <c r="DZ40" s="160">
        <v>169.2</v>
      </c>
      <c r="EA40" s="160">
        <v>176.4</v>
      </c>
      <c r="EB40" s="160">
        <v>183.7</v>
      </c>
      <c r="EC40" s="160">
        <v>191</v>
      </c>
      <c r="ED40" s="160">
        <v>198.2</v>
      </c>
      <c r="EE40" s="160">
        <v>205.5</v>
      </c>
      <c r="EF40" s="160">
        <v>212.8</v>
      </c>
      <c r="EG40" s="160">
        <v>220</v>
      </c>
      <c r="EH40" s="160">
        <v>227.3</v>
      </c>
      <c r="EI40" s="160">
        <v>234.6</v>
      </c>
      <c r="EJ40" s="160">
        <v>241.8</v>
      </c>
      <c r="EK40" s="160">
        <v>249.1</v>
      </c>
      <c r="EL40" s="160">
        <v>256.39999999999998</v>
      </c>
      <c r="EM40" s="160">
        <v>263.60000000000002</v>
      </c>
      <c r="EN40" s="160">
        <v>270.89999999999998</v>
      </c>
      <c r="EO40" s="160">
        <v>278.2</v>
      </c>
      <c r="EP40" s="160">
        <v>285.39999999999998</v>
      </c>
      <c r="EQ40" s="160">
        <v>292.7</v>
      </c>
      <c r="ER40" s="160">
        <v>300</v>
      </c>
      <c r="ES40" s="160">
        <v>307.2</v>
      </c>
      <c r="ET40" s="160">
        <v>314.5</v>
      </c>
      <c r="EU40" s="160">
        <v>321.8</v>
      </c>
      <c r="EV40" s="160">
        <v>329</v>
      </c>
      <c r="EW40" s="160">
        <v>336.3</v>
      </c>
      <c r="EX40" s="160">
        <v>343.6</v>
      </c>
      <c r="EY40" s="160">
        <v>350.8</v>
      </c>
      <c r="EZ40" s="161">
        <v>122.79200082393</v>
      </c>
      <c r="FB40" s="159" t="s">
        <v>760</v>
      </c>
      <c r="FC40" s="160">
        <v>140.30000000000001</v>
      </c>
      <c r="FD40" s="160">
        <v>148.4</v>
      </c>
      <c r="FE40" s="160">
        <v>156.4</v>
      </c>
      <c r="FF40" s="160">
        <v>164.4</v>
      </c>
      <c r="FG40" s="160">
        <v>172.4</v>
      </c>
      <c r="FH40" s="160">
        <v>180.4</v>
      </c>
      <c r="FI40" s="160">
        <v>188.4</v>
      </c>
      <c r="FJ40" s="160">
        <v>196.5</v>
      </c>
      <c r="FK40" s="160">
        <v>206.2</v>
      </c>
      <c r="FL40" s="160">
        <v>215.8</v>
      </c>
      <c r="FM40" s="160">
        <v>225.5</v>
      </c>
      <c r="FN40" s="160">
        <v>235.2</v>
      </c>
      <c r="FO40" s="160">
        <v>244.9</v>
      </c>
      <c r="FP40" s="160">
        <v>254.6</v>
      </c>
      <c r="FQ40" s="160">
        <v>264.3</v>
      </c>
      <c r="FR40" s="160">
        <v>274</v>
      </c>
      <c r="FS40" s="160">
        <v>283.7</v>
      </c>
      <c r="FT40" s="160">
        <v>293.39999999999998</v>
      </c>
      <c r="FU40" s="160">
        <v>303.10000000000002</v>
      </c>
      <c r="FV40" s="160">
        <v>312.7</v>
      </c>
      <c r="FW40" s="160">
        <v>322.39999999999998</v>
      </c>
      <c r="FX40" s="160">
        <v>332.1</v>
      </c>
      <c r="FY40" s="160">
        <v>341.8</v>
      </c>
      <c r="FZ40" s="160">
        <v>351.5</v>
      </c>
      <c r="GA40" s="160">
        <v>361.2</v>
      </c>
      <c r="GB40" s="160">
        <v>370.9</v>
      </c>
      <c r="GC40" s="160">
        <v>380.6</v>
      </c>
      <c r="GD40" s="160">
        <v>390.3</v>
      </c>
      <c r="GE40" s="160">
        <v>400</v>
      </c>
      <c r="GF40" s="160">
        <v>409.6</v>
      </c>
      <c r="GG40" s="160">
        <v>419.3</v>
      </c>
      <c r="GH40" s="160">
        <v>429</v>
      </c>
      <c r="GI40" s="160">
        <v>438.7</v>
      </c>
      <c r="GJ40" s="160">
        <v>448.4</v>
      </c>
      <c r="GK40" s="160">
        <v>458.1</v>
      </c>
      <c r="GL40" s="160">
        <v>467.8</v>
      </c>
      <c r="GM40" s="156">
        <v>0</v>
      </c>
    </row>
    <row r="41" spans="1:195" s="150" customFormat="1" ht="15.5" x14ac:dyDescent="0.3">
      <c r="A41" s="163" t="s">
        <v>89</v>
      </c>
      <c r="B41" s="156">
        <v>0</v>
      </c>
      <c r="C41" s="156">
        <v>0</v>
      </c>
      <c r="D41" s="156">
        <v>0</v>
      </c>
      <c r="E41" s="156">
        <v>0</v>
      </c>
      <c r="F41" s="156">
        <v>0</v>
      </c>
      <c r="G41" s="156">
        <v>0</v>
      </c>
      <c r="H41" s="156">
        <v>0</v>
      </c>
      <c r="I41" s="156">
        <v>0</v>
      </c>
      <c r="J41" s="156">
        <v>0</v>
      </c>
      <c r="K41" s="156">
        <v>0</v>
      </c>
      <c r="L41" s="156">
        <v>0</v>
      </c>
      <c r="M41" s="156">
        <v>0</v>
      </c>
      <c r="N41" s="156">
        <v>0</v>
      </c>
      <c r="O41" s="156">
        <v>0</v>
      </c>
      <c r="P41" s="156">
        <v>0</v>
      </c>
      <c r="Q41" s="156">
        <v>0</v>
      </c>
      <c r="R41" s="156">
        <v>0</v>
      </c>
      <c r="S41" s="156">
        <v>0</v>
      </c>
      <c r="T41" s="156">
        <v>0</v>
      </c>
      <c r="U41" s="156">
        <v>0</v>
      </c>
      <c r="V41" s="156">
        <v>0</v>
      </c>
      <c r="W41" s="156">
        <v>0</v>
      </c>
      <c r="X41" s="156">
        <v>0</v>
      </c>
      <c r="Y41" s="156">
        <v>0</v>
      </c>
      <c r="Z41" s="156">
        <v>0</v>
      </c>
      <c r="AA41" s="156">
        <v>0</v>
      </c>
      <c r="AB41" s="156">
        <v>0</v>
      </c>
      <c r="AC41" s="156">
        <v>0</v>
      </c>
      <c r="AD41" s="156">
        <v>0</v>
      </c>
      <c r="AE41" s="156">
        <v>0</v>
      </c>
      <c r="AF41" s="156">
        <v>0</v>
      </c>
      <c r="AG41" s="156">
        <v>0</v>
      </c>
      <c r="AH41" s="156">
        <v>0</v>
      </c>
      <c r="AI41" s="156">
        <v>0</v>
      </c>
      <c r="AJ41" s="156">
        <v>0</v>
      </c>
      <c r="AK41" s="156">
        <v>0</v>
      </c>
      <c r="AL41" s="161">
        <v>3664.3510374153002</v>
      </c>
      <c r="AN41" s="158"/>
      <c r="AO41" s="159" t="s">
        <v>89</v>
      </c>
      <c r="AP41" s="160">
        <v>261.7</v>
      </c>
      <c r="AQ41" s="160">
        <v>276.7</v>
      </c>
      <c r="AR41" s="160">
        <v>291.7</v>
      </c>
      <c r="AS41" s="160">
        <v>306.60000000000002</v>
      </c>
      <c r="AT41" s="160">
        <v>321.60000000000002</v>
      </c>
      <c r="AU41" s="160">
        <v>336.5</v>
      </c>
      <c r="AV41" s="160">
        <v>351.5</v>
      </c>
      <c r="AW41" s="160">
        <v>366.4</v>
      </c>
      <c r="AX41" s="160">
        <v>384.5</v>
      </c>
      <c r="AY41" s="160">
        <v>402.6</v>
      </c>
      <c r="AZ41" s="160">
        <v>420.7</v>
      </c>
      <c r="BA41" s="160">
        <v>438.7</v>
      </c>
      <c r="BB41" s="160">
        <v>456.8</v>
      </c>
      <c r="BC41" s="160">
        <v>474.9</v>
      </c>
      <c r="BD41" s="160">
        <v>492.9</v>
      </c>
      <c r="BE41" s="160">
        <v>511</v>
      </c>
      <c r="BF41" s="160">
        <v>529.1</v>
      </c>
      <c r="BG41" s="160">
        <v>547.20000000000005</v>
      </c>
      <c r="BH41" s="160">
        <v>565.20000000000005</v>
      </c>
      <c r="BI41" s="160">
        <v>583.29999999999995</v>
      </c>
      <c r="BJ41" s="160">
        <v>601.4</v>
      </c>
      <c r="BK41" s="160">
        <v>619.4</v>
      </c>
      <c r="BL41" s="160">
        <v>637.5</v>
      </c>
      <c r="BM41" s="160">
        <v>655.6</v>
      </c>
      <c r="BN41" s="160">
        <v>673.7</v>
      </c>
      <c r="BO41" s="160">
        <v>691.7</v>
      </c>
      <c r="BP41" s="160">
        <v>709.8</v>
      </c>
      <c r="BQ41" s="160">
        <v>727.9</v>
      </c>
      <c r="BR41" s="160">
        <v>746</v>
      </c>
      <c r="BS41" s="160">
        <v>764</v>
      </c>
      <c r="BT41" s="160">
        <v>782.1</v>
      </c>
      <c r="BU41" s="160">
        <v>800.2</v>
      </c>
      <c r="BV41" s="160">
        <v>818.2</v>
      </c>
      <c r="BW41" s="160">
        <v>836.3</v>
      </c>
      <c r="BX41" s="160">
        <v>854.4</v>
      </c>
      <c r="BY41" s="160">
        <v>872.5</v>
      </c>
      <c r="BZ41" s="161">
        <v>2748.2632780614699</v>
      </c>
      <c r="CB41" s="162" t="s">
        <v>89</v>
      </c>
      <c r="CC41" s="160">
        <v>523.5</v>
      </c>
      <c r="CD41" s="160">
        <v>553.4</v>
      </c>
      <c r="CE41" s="160">
        <v>583.29999999999995</v>
      </c>
      <c r="CF41" s="160">
        <v>613.20000000000005</v>
      </c>
      <c r="CG41" s="160">
        <v>643.1</v>
      </c>
      <c r="CH41" s="160">
        <v>673</v>
      </c>
      <c r="CI41" s="160">
        <v>703</v>
      </c>
      <c r="CJ41" s="160">
        <v>732.9</v>
      </c>
      <c r="CK41" s="160">
        <v>769</v>
      </c>
      <c r="CL41" s="160">
        <v>805.2</v>
      </c>
      <c r="CM41" s="160">
        <v>841.3</v>
      </c>
      <c r="CN41" s="160">
        <v>877.5</v>
      </c>
      <c r="CO41" s="160">
        <v>913.6</v>
      </c>
      <c r="CP41" s="160">
        <v>949.7</v>
      </c>
      <c r="CQ41" s="160">
        <v>985.9</v>
      </c>
      <c r="CR41" s="160">
        <v>1022</v>
      </c>
      <c r="CS41" s="160">
        <v>1058.2</v>
      </c>
      <c r="CT41" s="160">
        <v>1094.3</v>
      </c>
      <c r="CU41" s="160">
        <v>1130.5</v>
      </c>
      <c r="CV41" s="160">
        <v>1166.5999999999999</v>
      </c>
      <c r="CW41" s="160">
        <v>1202.8</v>
      </c>
      <c r="CX41" s="160">
        <v>1238.9000000000001</v>
      </c>
      <c r="CY41" s="160">
        <v>1275</v>
      </c>
      <c r="CZ41" s="160">
        <v>1311.2</v>
      </c>
      <c r="DA41" s="160">
        <v>1347.3</v>
      </c>
      <c r="DB41" s="160">
        <v>1383.5</v>
      </c>
      <c r="DC41" s="160">
        <v>1419.6</v>
      </c>
      <c r="DD41" s="160">
        <v>1455.8</v>
      </c>
      <c r="DE41" s="160">
        <v>1491.9</v>
      </c>
      <c r="DF41" s="160">
        <v>1528.1</v>
      </c>
      <c r="DG41" s="160">
        <v>1564.2</v>
      </c>
      <c r="DH41" s="160">
        <v>1600.3</v>
      </c>
      <c r="DI41" s="160">
        <v>1636.5</v>
      </c>
      <c r="DJ41" s="160">
        <v>1672.6</v>
      </c>
      <c r="DK41" s="160">
        <v>1708.8</v>
      </c>
      <c r="DL41" s="160">
        <v>1744.9</v>
      </c>
      <c r="DM41" s="161">
        <v>1832.1755187076501</v>
      </c>
      <c r="DO41" s="159" t="s">
        <v>89</v>
      </c>
      <c r="DP41" s="160">
        <v>785.2</v>
      </c>
      <c r="DQ41" s="160">
        <v>830.1</v>
      </c>
      <c r="DR41" s="160">
        <v>875</v>
      </c>
      <c r="DS41" s="160">
        <v>919.8</v>
      </c>
      <c r="DT41" s="160">
        <v>964.7</v>
      </c>
      <c r="DU41" s="160">
        <v>1009.6</v>
      </c>
      <c r="DV41" s="160">
        <v>1054.4000000000001</v>
      </c>
      <c r="DW41" s="160">
        <v>1099.3</v>
      </c>
      <c r="DX41" s="160">
        <v>1153.5</v>
      </c>
      <c r="DY41" s="160">
        <v>1207.7</v>
      </c>
      <c r="DZ41" s="160">
        <v>1262</v>
      </c>
      <c r="EA41" s="160">
        <v>1316.2</v>
      </c>
      <c r="EB41" s="160">
        <v>1370.4</v>
      </c>
      <c r="EC41" s="160">
        <v>1424.6</v>
      </c>
      <c r="ED41" s="160">
        <v>1478.8</v>
      </c>
      <c r="EE41" s="160">
        <v>1533</v>
      </c>
      <c r="EF41" s="160">
        <v>1587.3</v>
      </c>
      <c r="EG41" s="160">
        <v>1641.5</v>
      </c>
      <c r="EH41" s="160">
        <v>1695.7</v>
      </c>
      <c r="EI41" s="160">
        <v>1749.9</v>
      </c>
      <c r="EJ41" s="160">
        <v>1804.1</v>
      </c>
      <c r="EK41" s="160">
        <v>1858.3</v>
      </c>
      <c r="EL41" s="160">
        <v>1912.6</v>
      </c>
      <c r="EM41" s="160">
        <v>1966.8</v>
      </c>
      <c r="EN41" s="160">
        <v>2021</v>
      </c>
      <c r="EO41" s="160">
        <v>2075.1999999999998</v>
      </c>
      <c r="EP41" s="160">
        <v>2129.4</v>
      </c>
      <c r="EQ41" s="160">
        <v>2183.6999999999998</v>
      </c>
      <c r="ER41" s="160">
        <v>2237.9</v>
      </c>
      <c r="ES41" s="160">
        <v>2292.1</v>
      </c>
      <c r="ET41" s="160">
        <v>2346.3000000000002</v>
      </c>
      <c r="EU41" s="160">
        <v>2400.5</v>
      </c>
      <c r="EV41" s="160">
        <v>2454.6999999999998</v>
      </c>
      <c r="EW41" s="160">
        <v>2509</v>
      </c>
      <c r="EX41" s="160">
        <v>2563.1999999999998</v>
      </c>
      <c r="EY41" s="160">
        <v>2617.4</v>
      </c>
      <c r="EZ41" s="161">
        <v>916.08775935382505</v>
      </c>
      <c r="FB41" s="159" t="s">
        <v>89</v>
      </c>
      <c r="FC41" s="160">
        <v>1047</v>
      </c>
      <c r="FD41" s="160">
        <v>1106.8</v>
      </c>
      <c r="FE41" s="160">
        <v>1166.5999999999999</v>
      </c>
      <c r="FF41" s="160">
        <v>1226.4000000000001</v>
      </c>
      <c r="FG41" s="160">
        <v>1286.3</v>
      </c>
      <c r="FH41" s="160">
        <v>1346.1</v>
      </c>
      <c r="FI41" s="160">
        <v>1405.9</v>
      </c>
      <c r="FJ41" s="160">
        <v>1465.7</v>
      </c>
      <c r="FK41" s="160">
        <v>1538</v>
      </c>
      <c r="FL41" s="160">
        <v>1610.3</v>
      </c>
      <c r="FM41" s="160">
        <v>1682.6</v>
      </c>
      <c r="FN41" s="160">
        <v>1754.9</v>
      </c>
      <c r="FO41" s="160">
        <v>1827.2</v>
      </c>
      <c r="FP41" s="160">
        <v>1899.5</v>
      </c>
      <c r="FQ41" s="160">
        <v>1971.8</v>
      </c>
      <c r="FR41" s="160">
        <v>2044.1</v>
      </c>
      <c r="FS41" s="160">
        <v>2116.3000000000002</v>
      </c>
      <c r="FT41" s="160">
        <v>2188.6</v>
      </c>
      <c r="FU41" s="160">
        <v>2260.9</v>
      </c>
      <c r="FV41" s="160">
        <v>2333.1999999999998</v>
      </c>
      <c r="FW41" s="160">
        <v>2405.5</v>
      </c>
      <c r="FX41" s="160">
        <v>2477.8000000000002</v>
      </c>
      <c r="FY41" s="160">
        <v>2550.1</v>
      </c>
      <c r="FZ41" s="160">
        <v>2622.4</v>
      </c>
      <c r="GA41" s="160">
        <v>2694.7</v>
      </c>
      <c r="GB41" s="160">
        <v>2767</v>
      </c>
      <c r="GC41" s="160">
        <v>2839.2</v>
      </c>
      <c r="GD41" s="160">
        <v>2911.5</v>
      </c>
      <c r="GE41" s="160">
        <v>2983.8</v>
      </c>
      <c r="GF41" s="160">
        <v>3056.1</v>
      </c>
      <c r="GG41" s="160">
        <v>3128.4</v>
      </c>
      <c r="GH41" s="160">
        <v>3200.7</v>
      </c>
      <c r="GI41" s="160">
        <v>3273</v>
      </c>
      <c r="GJ41" s="160">
        <v>3345.3</v>
      </c>
      <c r="GK41" s="160">
        <v>3417.6</v>
      </c>
      <c r="GL41" s="160">
        <v>3489.9</v>
      </c>
      <c r="GM41" s="156">
        <v>0</v>
      </c>
    </row>
    <row r="42" spans="1:195" s="150" customFormat="1" ht="15.5" x14ac:dyDescent="0.3">
      <c r="A42" s="163" t="s">
        <v>90</v>
      </c>
      <c r="B42" s="156">
        <v>0</v>
      </c>
      <c r="C42" s="156">
        <v>0</v>
      </c>
      <c r="D42" s="156">
        <v>0</v>
      </c>
      <c r="E42" s="156">
        <v>0</v>
      </c>
      <c r="F42" s="156">
        <v>0</v>
      </c>
      <c r="G42" s="156">
        <v>0</v>
      </c>
      <c r="H42" s="156">
        <v>0</v>
      </c>
      <c r="I42" s="156">
        <v>0</v>
      </c>
      <c r="J42" s="156">
        <v>0</v>
      </c>
      <c r="K42" s="156">
        <v>0</v>
      </c>
      <c r="L42" s="156">
        <v>0</v>
      </c>
      <c r="M42" s="156">
        <v>0</v>
      </c>
      <c r="N42" s="156">
        <v>0</v>
      </c>
      <c r="O42" s="156">
        <v>0</v>
      </c>
      <c r="P42" s="156">
        <v>0</v>
      </c>
      <c r="Q42" s="156">
        <v>0</v>
      </c>
      <c r="R42" s="156">
        <v>0</v>
      </c>
      <c r="S42" s="156">
        <v>0</v>
      </c>
      <c r="T42" s="156">
        <v>0</v>
      </c>
      <c r="U42" s="156">
        <v>0</v>
      </c>
      <c r="V42" s="156">
        <v>0</v>
      </c>
      <c r="W42" s="156">
        <v>0</v>
      </c>
      <c r="X42" s="156">
        <v>0</v>
      </c>
      <c r="Y42" s="156">
        <v>0</v>
      </c>
      <c r="Z42" s="156">
        <v>0</v>
      </c>
      <c r="AA42" s="156">
        <v>0</v>
      </c>
      <c r="AB42" s="156">
        <v>0</v>
      </c>
      <c r="AC42" s="156">
        <v>0</v>
      </c>
      <c r="AD42" s="156">
        <v>0</v>
      </c>
      <c r="AE42" s="156">
        <v>0</v>
      </c>
      <c r="AF42" s="156">
        <v>0</v>
      </c>
      <c r="AG42" s="156">
        <v>0</v>
      </c>
      <c r="AH42" s="156">
        <v>0</v>
      </c>
      <c r="AI42" s="156">
        <v>0</v>
      </c>
      <c r="AJ42" s="156">
        <v>0</v>
      </c>
      <c r="AK42" s="156">
        <v>0</v>
      </c>
      <c r="AL42" s="161">
        <v>3377.7409267060498</v>
      </c>
      <c r="AN42" s="158"/>
      <c r="AO42" s="159" t="s">
        <v>90</v>
      </c>
      <c r="AP42" s="160">
        <v>241.3</v>
      </c>
      <c r="AQ42" s="160">
        <v>255.1</v>
      </c>
      <c r="AR42" s="160">
        <v>268.8</v>
      </c>
      <c r="AS42" s="160">
        <v>282.60000000000002</v>
      </c>
      <c r="AT42" s="160">
        <v>296.39999999999998</v>
      </c>
      <c r="AU42" s="160">
        <v>310.2</v>
      </c>
      <c r="AV42" s="160">
        <v>324</v>
      </c>
      <c r="AW42" s="160">
        <v>337.8</v>
      </c>
      <c r="AX42" s="160">
        <v>354.4</v>
      </c>
      <c r="AY42" s="160">
        <v>371.1</v>
      </c>
      <c r="AZ42" s="160">
        <v>387.8</v>
      </c>
      <c r="BA42" s="160">
        <v>404.4</v>
      </c>
      <c r="BB42" s="160">
        <v>421.1</v>
      </c>
      <c r="BC42" s="160">
        <v>437.7</v>
      </c>
      <c r="BD42" s="160">
        <v>454.4</v>
      </c>
      <c r="BE42" s="160">
        <v>471</v>
      </c>
      <c r="BF42" s="160">
        <v>487.7</v>
      </c>
      <c r="BG42" s="160">
        <v>504.4</v>
      </c>
      <c r="BH42" s="160">
        <v>521</v>
      </c>
      <c r="BI42" s="160">
        <v>537.70000000000005</v>
      </c>
      <c r="BJ42" s="160">
        <v>554.29999999999995</v>
      </c>
      <c r="BK42" s="160">
        <v>571</v>
      </c>
      <c r="BL42" s="160">
        <v>587.70000000000005</v>
      </c>
      <c r="BM42" s="160">
        <v>604.29999999999995</v>
      </c>
      <c r="BN42" s="160">
        <v>621</v>
      </c>
      <c r="BO42" s="160">
        <v>637.6</v>
      </c>
      <c r="BP42" s="160">
        <v>654.29999999999995</v>
      </c>
      <c r="BQ42" s="160">
        <v>671</v>
      </c>
      <c r="BR42" s="160">
        <v>687.6</v>
      </c>
      <c r="BS42" s="160">
        <v>704.3</v>
      </c>
      <c r="BT42" s="160">
        <v>720.9</v>
      </c>
      <c r="BU42" s="160">
        <v>737.6</v>
      </c>
      <c r="BV42" s="160">
        <v>754.2</v>
      </c>
      <c r="BW42" s="160">
        <v>770.9</v>
      </c>
      <c r="BX42" s="160">
        <v>787.6</v>
      </c>
      <c r="BY42" s="160">
        <v>804.2</v>
      </c>
      <c r="BZ42" s="161">
        <v>2533.3056950295399</v>
      </c>
      <c r="CB42" s="162" t="s">
        <v>90</v>
      </c>
      <c r="CC42" s="160">
        <v>482.5</v>
      </c>
      <c r="CD42" s="160">
        <v>510.1</v>
      </c>
      <c r="CE42" s="160">
        <v>537.70000000000005</v>
      </c>
      <c r="CF42" s="160">
        <v>565.29999999999995</v>
      </c>
      <c r="CG42" s="160">
        <v>592.79999999999995</v>
      </c>
      <c r="CH42" s="160">
        <v>620.4</v>
      </c>
      <c r="CI42" s="160">
        <v>648</v>
      </c>
      <c r="CJ42" s="160">
        <v>675.5</v>
      </c>
      <c r="CK42" s="160">
        <v>708.9</v>
      </c>
      <c r="CL42" s="160">
        <v>742.2</v>
      </c>
      <c r="CM42" s="160">
        <v>775.5</v>
      </c>
      <c r="CN42" s="160">
        <v>808.8</v>
      </c>
      <c r="CO42" s="160">
        <v>842.1</v>
      </c>
      <c r="CP42" s="160">
        <v>875.5</v>
      </c>
      <c r="CQ42" s="160">
        <v>908.8</v>
      </c>
      <c r="CR42" s="160">
        <v>942.1</v>
      </c>
      <c r="CS42" s="160">
        <v>975.4</v>
      </c>
      <c r="CT42" s="160">
        <v>1008.7</v>
      </c>
      <c r="CU42" s="160">
        <v>1042</v>
      </c>
      <c r="CV42" s="160">
        <v>1075.4000000000001</v>
      </c>
      <c r="CW42" s="160">
        <v>1108.7</v>
      </c>
      <c r="CX42" s="160">
        <v>1142</v>
      </c>
      <c r="CY42" s="160">
        <v>1175.3</v>
      </c>
      <c r="CZ42" s="160">
        <v>1208.5999999999999</v>
      </c>
      <c r="DA42" s="160">
        <v>1242</v>
      </c>
      <c r="DB42" s="160">
        <v>1275.3</v>
      </c>
      <c r="DC42" s="160">
        <v>1308.5999999999999</v>
      </c>
      <c r="DD42" s="160">
        <v>1341.9</v>
      </c>
      <c r="DE42" s="160">
        <v>1375.2</v>
      </c>
      <c r="DF42" s="160">
        <v>1408.5</v>
      </c>
      <c r="DG42" s="160">
        <v>1441.9</v>
      </c>
      <c r="DH42" s="160">
        <v>1475.2</v>
      </c>
      <c r="DI42" s="160">
        <v>1508.5</v>
      </c>
      <c r="DJ42" s="160">
        <v>1541.8</v>
      </c>
      <c r="DK42" s="160">
        <v>1575.1</v>
      </c>
      <c r="DL42" s="160">
        <v>1608.4</v>
      </c>
      <c r="DM42" s="161">
        <v>1688.8704633530299</v>
      </c>
      <c r="DO42" s="159" t="s">
        <v>90</v>
      </c>
      <c r="DP42" s="160">
        <v>723.8</v>
      </c>
      <c r="DQ42" s="160">
        <v>765.2</v>
      </c>
      <c r="DR42" s="160">
        <v>806.5</v>
      </c>
      <c r="DS42" s="160">
        <v>847.9</v>
      </c>
      <c r="DT42" s="160">
        <v>889.2</v>
      </c>
      <c r="DU42" s="160">
        <v>930.6</v>
      </c>
      <c r="DV42" s="160">
        <v>972</v>
      </c>
      <c r="DW42" s="160">
        <v>1013.3</v>
      </c>
      <c r="DX42" s="160">
        <v>1063.3</v>
      </c>
      <c r="DY42" s="160">
        <v>1113.3</v>
      </c>
      <c r="DZ42" s="160">
        <v>1163.3</v>
      </c>
      <c r="EA42" s="160">
        <v>1213.2</v>
      </c>
      <c r="EB42" s="160">
        <v>1263.2</v>
      </c>
      <c r="EC42" s="160">
        <v>1313.2</v>
      </c>
      <c r="ED42" s="160">
        <v>1363.2</v>
      </c>
      <c r="EE42" s="160">
        <v>1413.1</v>
      </c>
      <c r="EF42" s="160">
        <v>1463.1</v>
      </c>
      <c r="EG42" s="160">
        <v>1513.1</v>
      </c>
      <c r="EH42" s="160">
        <v>1563.1</v>
      </c>
      <c r="EI42" s="160">
        <v>1613</v>
      </c>
      <c r="EJ42" s="160">
        <v>1663</v>
      </c>
      <c r="EK42" s="160">
        <v>1713</v>
      </c>
      <c r="EL42" s="160">
        <v>1763</v>
      </c>
      <c r="EM42" s="160">
        <v>1813</v>
      </c>
      <c r="EN42" s="160">
        <v>1862.9</v>
      </c>
      <c r="EO42" s="160">
        <v>1912.9</v>
      </c>
      <c r="EP42" s="160">
        <v>1962.9</v>
      </c>
      <c r="EQ42" s="160">
        <v>2012.9</v>
      </c>
      <c r="ER42" s="160">
        <v>2062.8000000000002</v>
      </c>
      <c r="ES42" s="160">
        <v>2112.8000000000002</v>
      </c>
      <c r="ET42" s="160">
        <v>2162.8000000000002</v>
      </c>
      <c r="EU42" s="160">
        <v>2212.8000000000002</v>
      </c>
      <c r="EV42" s="160">
        <v>2262.6999999999998</v>
      </c>
      <c r="EW42" s="160">
        <v>2312.6999999999998</v>
      </c>
      <c r="EX42" s="160">
        <v>2362.6999999999998</v>
      </c>
      <c r="EY42" s="160">
        <v>2412.6999999999998</v>
      </c>
      <c r="EZ42" s="161">
        <v>844.43523167651404</v>
      </c>
      <c r="FB42" s="159" t="s">
        <v>90</v>
      </c>
      <c r="FC42" s="160">
        <v>965.1</v>
      </c>
      <c r="FD42" s="160">
        <v>1020.2</v>
      </c>
      <c r="FE42" s="160">
        <v>1075.4000000000001</v>
      </c>
      <c r="FF42" s="160">
        <v>1130.5</v>
      </c>
      <c r="FG42" s="160">
        <v>1185.7</v>
      </c>
      <c r="FH42" s="160">
        <v>1240.8</v>
      </c>
      <c r="FI42" s="160">
        <v>1295.9000000000001</v>
      </c>
      <c r="FJ42" s="160">
        <v>1351.1</v>
      </c>
      <c r="FK42" s="160">
        <v>1417.7</v>
      </c>
      <c r="FL42" s="160">
        <v>1484.4</v>
      </c>
      <c r="FM42" s="160">
        <v>1551</v>
      </c>
      <c r="FN42" s="160">
        <v>1617.6</v>
      </c>
      <c r="FO42" s="160">
        <v>1684.3</v>
      </c>
      <c r="FP42" s="160">
        <v>1750.9</v>
      </c>
      <c r="FQ42" s="160">
        <v>1817.5</v>
      </c>
      <c r="FR42" s="160">
        <v>1884.2</v>
      </c>
      <c r="FS42" s="160">
        <v>1950.8</v>
      </c>
      <c r="FT42" s="160">
        <v>2017.5</v>
      </c>
      <c r="FU42" s="160">
        <v>2084.1</v>
      </c>
      <c r="FV42" s="160">
        <v>2150.6999999999998</v>
      </c>
      <c r="FW42" s="160">
        <v>2217.4</v>
      </c>
      <c r="FX42" s="160">
        <v>2284</v>
      </c>
      <c r="FY42" s="160">
        <v>2350.6</v>
      </c>
      <c r="FZ42" s="160">
        <v>2417.3000000000002</v>
      </c>
      <c r="GA42" s="160">
        <v>2483.9</v>
      </c>
      <c r="GB42" s="160">
        <v>2550.5</v>
      </c>
      <c r="GC42" s="160">
        <v>2617.1999999999998</v>
      </c>
      <c r="GD42" s="160">
        <v>2683.8</v>
      </c>
      <c r="GE42" s="160">
        <v>2750.4</v>
      </c>
      <c r="GF42" s="160">
        <v>2817.1</v>
      </c>
      <c r="GG42" s="160">
        <v>2883.7</v>
      </c>
      <c r="GH42" s="160">
        <v>2950.4</v>
      </c>
      <c r="GI42" s="160">
        <v>3017</v>
      </c>
      <c r="GJ42" s="160">
        <v>3083.6</v>
      </c>
      <c r="GK42" s="160">
        <v>3150.3</v>
      </c>
      <c r="GL42" s="160">
        <v>3216.9</v>
      </c>
      <c r="GM42" s="156">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2:CS120"/>
  <sheetViews>
    <sheetView workbookViewId="0">
      <selection activeCell="C110" sqref="C110:CJ118"/>
    </sheetView>
  </sheetViews>
  <sheetFormatPr baseColWidth="10" defaultColWidth="11.54296875" defaultRowHeight="14.5" x14ac:dyDescent="0.35"/>
  <cols>
    <col min="2" max="2" width="37.54296875" bestFit="1" customWidth="1"/>
    <col min="3" max="3" width="12.1796875" bestFit="1" customWidth="1"/>
    <col min="4" max="4" width="19.1796875" bestFit="1" customWidth="1"/>
    <col min="5" max="5" width="16.1796875" bestFit="1" customWidth="1"/>
    <col min="9" max="9" width="12.1796875" bestFit="1" customWidth="1"/>
    <col min="13" max="13" width="11.81640625" customWidth="1"/>
    <col min="14" max="14" width="12.1796875" bestFit="1" customWidth="1"/>
    <col min="24" max="24" width="12" bestFit="1" customWidth="1"/>
    <col min="29" max="29" width="12" bestFit="1" customWidth="1"/>
    <col min="34" max="34" width="12" bestFit="1" customWidth="1"/>
    <col min="38" max="38" width="12" bestFit="1" customWidth="1"/>
    <col min="90" max="90" width="15.81640625" bestFit="1" customWidth="1"/>
    <col min="91" max="91" width="12" bestFit="1" customWidth="1"/>
  </cols>
  <sheetData>
    <row r="22" spans="2:7" x14ac:dyDescent="0.35">
      <c r="B22" s="219" t="s">
        <v>1315</v>
      </c>
    </row>
    <row r="23" spans="2:7" x14ac:dyDescent="0.35">
      <c r="B23" s="220">
        <v>0</v>
      </c>
    </row>
    <row r="25" spans="2:7" x14ac:dyDescent="0.35">
      <c r="G25" s="221"/>
    </row>
    <row r="26" spans="2:7" x14ac:dyDescent="0.35">
      <c r="G26" s="221"/>
    </row>
    <row r="27" spans="2:7" x14ac:dyDescent="0.35">
      <c r="G27" s="222"/>
    </row>
    <row r="32" spans="2:7" ht="18.5" x14ac:dyDescent="0.45">
      <c r="B32" s="223" t="s">
        <v>1316</v>
      </c>
    </row>
    <row r="33" spans="2:97" x14ac:dyDescent="0.35">
      <c r="B33" s="224" t="s">
        <v>1317</v>
      </c>
      <c r="C33">
        <v>2015</v>
      </c>
      <c r="D33">
        <v>2016</v>
      </c>
      <c r="E33">
        <v>2017</v>
      </c>
      <c r="F33">
        <v>2018</v>
      </c>
      <c r="G33">
        <v>2019</v>
      </c>
      <c r="H33">
        <v>2020</v>
      </c>
      <c r="I33">
        <v>2021</v>
      </c>
      <c r="J33">
        <v>2022</v>
      </c>
      <c r="K33">
        <v>2023</v>
      </c>
      <c r="L33">
        <v>2024</v>
      </c>
      <c r="M33">
        <v>2025</v>
      </c>
      <c r="N33">
        <v>2026</v>
      </c>
      <c r="O33">
        <v>2027</v>
      </c>
      <c r="P33">
        <v>2028</v>
      </c>
      <c r="Q33">
        <v>2029</v>
      </c>
      <c r="R33">
        <v>2030</v>
      </c>
      <c r="S33">
        <v>2031</v>
      </c>
      <c r="T33">
        <v>2032</v>
      </c>
      <c r="U33">
        <v>2033</v>
      </c>
      <c r="V33">
        <v>2034</v>
      </c>
      <c r="W33">
        <v>2035</v>
      </c>
      <c r="X33">
        <v>2036</v>
      </c>
      <c r="Y33">
        <v>2037</v>
      </c>
      <c r="Z33">
        <v>2038</v>
      </c>
      <c r="AA33">
        <v>2039</v>
      </c>
      <c r="AB33">
        <v>2040</v>
      </c>
      <c r="AC33">
        <v>2041</v>
      </c>
      <c r="AD33">
        <v>2042</v>
      </c>
      <c r="AE33">
        <v>2043</v>
      </c>
      <c r="AF33">
        <v>2044</v>
      </c>
      <c r="AG33">
        <v>2045</v>
      </c>
      <c r="AH33">
        <v>2046</v>
      </c>
      <c r="AI33">
        <v>2047</v>
      </c>
      <c r="AJ33">
        <v>2048</v>
      </c>
      <c r="AK33">
        <v>2049</v>
      </c>
      <c r="AL33">
        <v>2050</v>
      </c>
      <c r="AM33">
        <v>2051</v>
      </c>
      <c r="AN33">
        <v>2052</v>
      </c>
      <c r="AO33">
        <v>2053</v>
      </c>
      <c r="AP33">
        <v>2054</v>
      </c>
      <c r="AQ33">
        <v>2055</v>
      </c>
      <c r="AR33">
        <v>2056</v>
      </c>
      <c r="AS33">
        <v>2057</v>
      </c>
      <c r="AT33">
        <v>2058</v>
      </c>
      <c r="AU33">
        <v>2059</v>
      </c>
      <c r="AV33">
        <v>2060</v>
      </c>
      <c r="AW33">
        <v>2061</v>
      </c>
      <c r="AX33">
        <v>2062</v>
      </c>
      <c r="AY33">
        <v>2063</v>
      </c>
      <c r="AZ33">
        <v>2064</v>
      </c>
      <c r="BA33">
        <v>2065</v>
      </c>
      <c r="BB33">
        <v>2066</v>
      </c>
      <c r="BC33">
        <v>2067</v>
      </c>
      <c r="BD33">
        <v>2068</v>
      </c>
      <c r="BE33">
        <v>2069</v>
      </c>
      <c r="BF33">
        <v>2070</v>
      </c>
      <c r="BG33">
        <v>2071</v>
      </c>
      <c r="BH33">
        <v>2072</v>
      </c>
      <c r="BI33">
        <v>2073</v>
      </c>
      <c r="BJ33">
        <v>2074</v>
      </c>
      <c r="BK33">
        <v>2075</v>
      </c>
      <c r="BL33">
        <v>2076</v>
      </c>
      <c r="BM33">
        <v>2077</v>
      </c>
      <c r="BN33">
        <v>2078</v>
      </c>
      <c r="BO33">
        <v>2079</v>
      </c>
      <c r="BP33">
        <v>2080</v>
      </c>
      <c r="BQ33">
        <v>2081</v>
      </c>
      <c r="BR33">
        <v>2082</v>
      </c>
      <c r="BS33">
        <v>2083</v>
      </c>
      <c r="BT33">
        <v>2084</v>
      </c>
      <c r="BU33">
        <v>2085</v>
      </c>
      <c r="BV33">
        <v>2086</v>
      </c>
      <c r="BW33">
        <v>2087</v>
      </c>
      <c r="BX33">
        <v>2088</v>
      </c>
      <c r="BY33">
        <v>2089</v>
      </c>
      <c r="BZ33">
        <v>2090</v>
      </c>
      <c r="CA33">
        <v>2091</v>
      </c>
      <c r="CB33">
        <v>2092</v>
      </c>
      <c r="CC33">
        <v>2093</v>
      </c>
      <c r="CD33">
        <v>2094</v>
      </c>
      <c r="CE33">
        <v>2095</v>
      </c>
      <c r="CF33">
        <v>2096</v>
      </c>
      <c r="CG33">
        <v>2097</v>
      </c>
      <c r="CH33">
        <v>2098</v>
      </c>
      <c r="CI33">
        <v>2099</v>
      </c>
      <c r="CJ33">
        <v>2100</v>
      </c>
      <c r="CL33" t="s">
        <v>1318</v>
      </c>
      <c r="CM33" s="225" t="s">
        <v>1319</v>
      </c>
      <c r="CN33" s="225" t="s">
        <v>1320</v>
      </c>
      <c r="CO33" s="225" t="s">
        <v>1321</v>
      </c>
      <c r="CP33" s="225" t="s">
        <v>1322</v>
      </c>
      <c r="CQ33" s="225" t="s">
        <v>1323</v>
      </c>
      <c r="CR33" s="225" t="s">
        <v>1324</v>
      </c>
      <c r="CS33" s="225" t="s">
        <v>1325</v>
      </c>
    </row>
    <row r="34" spans="2:97" x14ac:dyDescent="0.35">
      <c r="B34" s="41" t="s">
        <v>1326</v>
      </c>
      <c r="C34" s="221">
        <f>$CM34</f>
        <v>8.3243753322204176E-6</v>
      </c>
      <c r="D34" s="221">
        <f t="shared" ref="D34:G34" si="0">$CM34</f>
        <v>8.3243753322204176E-6</v>
      </c>
      <c r="E34" s="221">
        <f t="shared" si="0"/>
        <v>8.3243753322204176E-6</v>
      </c>
      <c r="F34" s="221">
        <f t="shared" si="0"/>
        <v>8.3243753322204176E-6</v>
      </c>
      <c r="G34" s="221">
        <f t="shared" si="0"/>
        <v>8.3243753322204176E-6</v>
      </c>
      <c r="H34" s="221">
        <f>$CM34</f>
        <v>8.3243753322204176E-6</v>
      </c>
      <c r="I34" s="221">
        <f>$CN34</f>
        <v>3.0153955009870108E-6</v>
      </c>
      <c r="J34" s="221">
        <f t="shared" ref="J34:M42" si="1">$CN34</f>
        <v>3.0153955009870108E-6</v>
      </c>
      <c r="K34" s="221">
        <f t="shared" si="1"/>
        <v>3.0153955009870108E-6</v>
      </c>
      <c r="L34" s="221">
        <f t="shared" si="1"/>
        <v>3.0153955009870108E-6</v>
      </c>
      <c r="M34" s="221">
        <f t="shared" si="1"/>
        <v>3.0153955009870108E-6</v>
      </c>
      <c r="N34" s="221">
        <f>$CO34</f>
        <v>8.0123207974813734E-6</v>
      </c>
      <c r="O34" s="221">
        <f t="shared" ref="O34:R42" si="2">$CO34</f>
        <v>8.0123207974813734E-6</v>
      </c>
      <c r="P34" s="221">
        <f t="shared" si="2"/>
        <v>8.0123207974813734E-6</v>
      </c>
      <c r="Q34" s="221">
        <f t="shared" si="2"/>
        <v>8.0123207974813734E-6</v>
      </c>
      <c r="R34" s="221">
        <f t="shared" si="2"/>
        <v>8.0123207974813734E-6</v>
      </c>
      <c r="S34" s="221">
        <f>$CP34</f>
        <v>5.4585690218767591E-5</v>
      </c>
      <c r="T34" s="221">
        <f t="shared" ref="T34:W42" si="3">$CP34</f>
        <v>5.4585690218767591E-5</v>
      </c>
      <c r="U34" s="221">
        <f t="shared" si="3"/>
        <v>5.4585690218767591E-5</v>
      </c>
      <c r="V34" s="221">
        <f t="shared" si="3"/>
        <v>5.4585690218767591E-5</v>
      </c>
      <c r="W34" s="221">
        <f t="shared" si="3"/>
        <v>5.4585690218767591E-5</v>
      </c>
      <c r="X34" s="221">
        <f>$CQ34</f>
        <v>2.4150583461443571E-4</v>
      </c>
      <c r="Y34" s="221">
        <f t="shared" ref="Y34:AB42" si="4">$CQ34</f>
        <v>2.4150583461443571E-4</v>
      </c>
      <c r="Z34" s="221">
        <f t="shared" si="4"/>
        <v>2.4150583461443571E-4</v>
      </c>
      <c r="AA34" s="221">
        <f t="shared" si="4"/>
        <v>2.4150583461443571E-4</v>
      </c>
      <c r="AB34" s="221">
        <f t="shared" si="4"/>
        <v>2.4150583461443571E-4</v>
      </c>
      <c r="AC34" s="221">
        <f>$CR34</f>
        <v>4.8725426157478148E-4</v>
      </c>
      <c r="AD34" s="221">
        <f t="shared" ref="AD34:AG42" si="5">$CR34</f>
        <v>4.8725426157478148E-4</v>
      </c>
      <c r="AE34" s="221">
        <f t="shared" si="5"/>
        <v>4.8725426157478148E-4</v>
      </c>
      <c r="AF34" s="221">
        <f t="shared" si="5"/>
        <v>4.8725426157478148E-4</v>
      </c>
      <c r="AG34" s="221">
        <f t="shared" si="5"/>
        <v>4.8725426157478148E-4</v>
      </c>
      <c r="AH34" s="221">
        <f>$CS34</f>
        <v>8.492978058203094E-4</v>
      </c>
      <c r="AI34" s="221">
        <f t="shared" ref="AI34:AL42" si="6">$CS34</f>
        <v>8.492978058203094E-4</v>
      </c>
      <c r="AJ34" s="221">
        <f t="shared" si="6"/>
        <v>8.492978058203094E-4</v>
      </c>
      <c r="AK34" s="221">
        <f t="shared" si="6"/>
        <v>8.492978058203094E-4</v>
      </c>
      <c r="AL34" s="221">
        <f t="shared" si="6"/>
        <v>8.492978058203094E-4</v>
      </c>
      <c r="AM34" s="221">
        <v>0</v>
      </c>
      <c r="AN34" s="221">
        <v>0</v>
      </c>
      <c r="AO34" s="221">
        <v>0</v>
      </c>
      <c r="AP34" s="221">
        <v>0</v>
      </c>
      <c r="AQ34" s="221">
        <v>0</v>
      </c>
      <c r="AR34" s="221">
        <v>0</v>
      </c>
      <c r="AS34" s="221">
        <v>0</v>
      </c>
      <c r="AT34" s="221">
        <v>0</v>
      </c>
      <c r="AU34" s="221">
        <v>0</v>
      </c>
      <c r="AV34" s="221">
        <v>0</v>
      </c>
      <c r="AW34" s="221">
        <v>0</v>
      </c>
      <c r="AX34" s="221">
        <v>0</v>
      </c>
      <c r="AY34" s="221">
        <v>0</v>
      </c>
      <c r="AZ34" s="221">
        <v>0</v>
      </c>
      <c r="BA34" s="221">
        <v>0</v>
      </c>
      <c r="BB34" s="221">
        <v>0</v>
      </c>
      <c r="BC34" s="221">
        <v>0</v>
      </c>
      <c r="BD34" s="221">
        <v>0</v>
      </c>
      <c r="BE34" s="221">
        <v>0</v>
      </c>
      <c r="BF34" s="221">
        <v>0</v>
      </c>
      <c r="BG34" s="221">
        <v>0</v>
      </c>
      <c r="BH34" s="221">
        <v>0</v>
      </c>
      <c r="BI34" s="221">
        <v>0</v>
      </c>
      <c r="BJ34" s="221">
        <v>0</v>
      </c>
      <c r="BK34" s="221">
        <v>0</v>
      </c>
      <c r="BL34" s="221">
        <v>0</v>
      </c>
      <c r="BM34" s="221">
        <v>0</v>
      </c>
      <c r="BN34" s="221">
        <v>0</v>
      </c>
      <c r="BO34" s="221">
        <v>0</v>
      </c>
      <c r="BP34" s="221">
        <v>0</v>
      </c>
      <c r="BQ34" s="221">
        <v>0</v>
      </c>
      <c r="BR34" s="221">
        <v>0</v>
      </c>
      <c r="BS34" s="221">
        <v>0</v>
      </c>
      <c r="BT34" s="221">
        <v>0</v>
      </c>
      <c r="BU34" s="221">
        <v>0</v>
      </c>
      <c r="BV34" s="221">
        <v>0</v>
      </c>
      <c r="BW34" s="221">
        <v>0</v>
      </c>
      <c r="BX34" s="221">
        <v>0</v>
      </c>
      <c r="BY34" s="221">
        <v>0</v>
      </c>
      <c r="BZ34" s="221">
        <v>0</v>
      </c>
      <c r="CA34" s="221">
        <v>0</v>
      </c>
      <c r="CB34" s="221">
        <v>0</v>
      </c>
      <c r="CC34" s="221">
        <v>0</v>
      </c>
      <c r="CD34" s="221">
        <v>0</v>
      </c>
      <c r="CE34" s="221">
        <v>0</v>
      </c>
      <c r="CF34" s="221">
        <v>0</v>
      </c>
      <c r="CG34" s="221">
        <v>0</v>
      </c>
      <c r="CH34" s="221">
        <v>0</v>
      </c>
      <c r="CI34" s="221">
        <v>0</v>
      </c>
      <c r="CJ34" s="221">
        <v>0</v>
      </c>
      <c r="CL34" s="225" t="s">
        <v>143</v>
      </c>
      <c r="CM34">
        <v>8.3243753322204176E-6</v>
      </c>
      <c r="CN34">
        <v>3.0153955009870108E-6</v>
      </c>
      <c r="CO34">
        <v>8.0123207974813734E-6</v>
      </c>
      <c r="CP34">
        <v>5.4585690218767591E-5</v>
      </c>
      <c r="CQ34">
        <v>2.4150583461443571E-4</v>
      </c>
      <c r="CR34">
        <v>4.8725426157478148E-4</v>
      </c>
      <c r="CS34">
        <v>8.492978058203094E-4</v>
      </c>
    </row>
    <row r="35" spans="2:97" x14ac:dyDescent="0.35">
      <c r="B35" s="42" t="s">
        <v>1327</v>
      </c>
      <c r="C35" s="221">
        <f t="shared" ref="C35:H42" si="7">$CM35</f>
        <v>0</v>
      </c>
      <c r="D35" s="221">
        <f t="shared" si="7"/>
        <v>0</v>
      </c>
      <c r="E35" s="221">
        <f t="shared" si="7"/>
        <v>0</v>
      </c>
      <c r="F35" s="221">
        <f t="shared" si="7"/>
        <v>0</v>
      </c>
      <c r="G35" s="221">
        <f t="shared" si="7"/>
        <v>0</v>
      </c>
      <c r="H35" s="221">
        <f t="shared" si="7"/>
        <v>0</v>
      </c>
      <c r="I35" s="221">
        <f t="shared" ref="I35:I42" si="8">$CN35</f>
        <v>0</v>
      </c>
      <c r="J35" s="221">
        <f t="shared" si="1"/>
        <v>0</v>
      </c>
      <c r="K35" s="221">
        <f t="shared" si="1"/>
        <v>0</v>
      </c>
      <c r="L35" s="221">
        <f t="shared" si="1"/>
        <v>0</v>
      </c>
      <c r="M35" s="221">
        <f t="shared" si="1"/>
        <v>0</v>
      </c>
      <c r="N35" s="221">
        <f t="shared" ref="N35:N42" si="9">$CO35</f>
        <v>0</v>
      </c>
      <c r="O35" s="221">
        <f t="shared" si="2"/>
        <v>0</v>
      </c>
      <c r="P35" s="221">
        <f t="shared" si="2"/>
        <v>0</v>
      </c>
      <c r="Q35" s="221">
        <f t="shared" si="2"/>
        <v>0</v>
      </c>
      <c r="R35" s="221">
        <f t="shared" si="2"/>
        <v>0</v>
      </c>
      <c r="S35" s="221">
        <f t="shared" ref="S35:S42" si="10">$CP35</f>
        <v>0</v>
      </c>
      <c r="T35" s="221">
        <f t="shared" si="3"/>
        <v>0</v>
      </c>
      <c r="U35" s="221">
        <f t="shared" si="3"/>
        <v>0</v>
      </c>
      <c r="V35" s="221">
        <f t="shared" si="3"/>
        <v>0</v>
      </c>
      <c r="W35" s="221">
        <f t="shared" si="3"/>
        <v>0</v>
      </c>
      <c r="X35" s="221">
        <f t="shared" ref="X35:X42" si="11">$CQ35</f>
        <v>0</v>
      </c>
      <c r="Y35" s="221">
        <f t="shared" si="4"/>
        <v>0</v>
      </c>
      <c r="Z35" s="221">
        <f t="shared" si="4"/>
        <v>0</v>
      </c>
      <c r="AA35" s="221">
        <f t="shared" si="4"/>
        <v>0</v>
      </c>
      <c r="AB35" s="221">
        <f t="shared" si="4"/>
        <v>0</v>
      </c>
      <c r="AC35" s="221">
        <f t="shared" ref="AC35:AC42" si="12">$CR35</f>
        <v>0</v>
      </c>
      <c r="AD35" s="221">
        <f t="shared" si="5"/>
        <v>0</v>
      </c>
      <c r="AE35" s="221">
        <f t="shared" si="5"/>
        <v>0</v>
      </c>
      <c r="AF35" s="221">
        <f t="shared" si="5"/>
        <v>0</v>
      </c>
      <c r="AG35" s="221">
        <f t="shared" si="5"/>
        <v>0</v>
      </c>
      <c r="AH35" s="221">
        <f t="shared" ref="AH35:AH42" si="13">$CS35</f>
        <v>0</v>
      </c>
      <c r="AI35" s="221">
        <f t="shared" si="6"/>
        <v>0</v>
      </c>
      <c r="AJ35" s="221">
        <f t="shared" si="6"/>
        <v>0</v>
      </c>
      <c r="AK35" s="221">
        <f t="shared" si="6"/>
        <v>0</v>
      </c>
      <c r="AL35" s="221">
        <f t="shared" si="6"/>
        <v>0</v>
      </c>
      <c r="AM35" s="221">
        <v>0</v>
      </c>
      <c r="AN35" s="221">
        <v>0</v>
      </c>
      <c r="AO35" s="221">
        <v>0</v>
      </c>
      <c r="AP35" s="221">
        <v>0</v>
      </c>
      <c r="AQ35" s="221">
        <v>0</v>
      </c>
      <c r="AR35" s="221">
        <v>0</v>
      </c>
      <c r="AS35" s="221">
        <v>0</v>
      </c>
      <c r="AT35" s="221">
        <v>0</v>
      </c>
      <c r="AU35" s="221">
        <v>0</v>
      </c>
      <c r="AV35" s="221">
        <v>0</v>
      </c>
      <c r="AW35" s="221">
        <v>0</v>
      </c>
      <c r="AX35" s="221">
        <v>0</v>
      </c>
      <c r="AY35" s="221">
        <v>0</v>
      </c>
      <c r="AZ35" s="221">
        <v>0</v>
      </c>
      <c r="BA35" s="221">
        <v>0</v>
      </c>
      <c r="BB35" s="221">
        <v>0</v>
      </c>
      <c r="BC35" s="221">
        <v>0</v>
      </c>
      <c r="BD35" s="221">
        <v>0</v>
      </c>
      <c r="BE35" s="221">
        <v>0</v>
      </c>
      <c r="BF35" s="221">
        <v>0</v>
      </c>
      <c r="BG35" s="221">
        <v>0</v>
      </c>
      <c r="BH35" s="221">
        <v>0</v>
      </c>
      <c r="BI35" s="221">
        <v>0</v>
      </c>
      <c r="BJ35" s="221">
        <v>0</v>
      </c>
      <c r="BK35" s="221">
        <v>0</v>
      </c>
      <c r="BL35" s="221">
        <v>0</v>
      </c>
      <c r="BM35" s="221">
        <v>0</v>
      </c>
      <c r="BN35" s="221">
        <v>0</v>
      </c>
      <c r="BO35" s="221">
        <v>0</v>
      </c>
      <c r="BP35" s="221">
        <v>0</v>
      </c>
      <c r="BQ35" s="221">
        <v>0</v>
      </c>
      <c r="BR35" s="221">
        <v>0</v>
      </c>
      <c r="BS35" s="221">
        <v>0</v>
      </c>
      <c r="BT35" s="221">
        <v>0</v>
      </c>
      <c r="BU35" s="221">
        <v>0</v>
      </c>
      <c r="BV35" s="221">
        <v>0</v>
      </c>
      <c r="BW35" s="221">
        <v>0</v>
      </c>
      <c r="BX35" s="221">
        <v>0</v>
      </c>
      <c r="BY35" s="221">
        <v>0</v>
      </c>
      <c r="BZ35" s="221">
        <v>0</v>
      </c>
      <c r="CA35" s="221">
        <v>0</v>
      </c>
      <c r="CB35" s="221">
        <v>0</v>
      </c>
      <c r="CC35" s="221">
        <v>0</v>
      </c>
      <c r="CD35" s="221">
        <v>0</v>
      </c>
      <c r="CE35" s="221">
        <v>0</v>
      </c>
      <c r="CF35" s="221">
        <v>0</v>
      </c>
      <c r="CG35" s="221">
        <v>0</v>
      </c>
      <c r="CH35" s="221">
        <v>0</v>
      </c>
      <c r="CI35" s="221">
        <v>0</v>
      </c>
      <c r="CJ35" s="221">
        <v>0</v>
      </c>
      <c r="CL35" s="225" t="s">
        <v>83</v>
      </c>
      <c r="CM35">
        <v>0</v>
      </c>
      <c r="CN35">
        <v>0</v>
      </c>
      <c r="CO35">
        <v>0</v>
      </c>
      <c r="CP35">
        <v>0</v>
      </c>
      <c r="CQ35">
        <v>0</v>
      </c>
      <c r="CR35">
        <v>0</v>
      </c>
      <c r="CS35">
        <v>0</v>
      </c>
    </row>
    <row r="36" spans="2:97" x14ac:dyDescent="0.35">
      <c r="B36" s="42" t="s">
        <v>758</v>
      </c>
      <c r="C36" s="221">
        <f t="shared" si="7"/>
        <v>7.3438816832338603E-7</v>
      </c>
      <c r="D36" s="221">
        <f t="shared" si="7"/>
        <v>7.3438816832338603E-7</v>
      </c>
      <c r="E36" s="221">
        <f t="shared" si="7"/>
        <v>7.3438816832338603E-7</v>
      </c>
      <c r="F36" s="221">
        <f t="shared" si="7"/>
        <v>7.3438816832338603E-7</v>
      </c>
      <c r="G36" s="221">
        <f t="shared" si="7"/>
        <v>7.3438816832338603E-7</v>
      </c>
      <c r="H36" s="221">
        <f t="shared" si="7"/>
        <v>7.3438816832338603E-7</v>
      </c>
      <c r="I36" s="221">
        <f t="shared" si="8"/>
        <v>1.186782280553181E-6</v>
      </c>
      <c r="J36" s="221">
        <f t="shared" si="1"/>
        <v>1.186782280553181E-6</v>
      </c>
      <c r="K36" s="221">
        <f t="shared" si="1"/>
        <v>1.186782280553181E-6</v>
      </c>
      <c r="L36" s="221">
        <f t="shared" si="1"/>
        <v>1.186782280553181E-6</v>
      </c>
      <c r="M36" s="221">
        <f t="shared" si="1"/>
        <v>1.186782280553181E-6</v>
      </c>
      <c r="N36" s="221">
        <f t="shared" si="9"/>
        <v>2.5926901896424191E-6</v>
      </c>
      <c r="O36" s="221">
        <f t="shared" si="2"/>
        <v>2.5926901896424191E-6</v>
      </c>
      <c r="P36" s="221">
        <f t="shared" si="2"/>
        <v>2.5926901896424191E-6</v>
      </c>
      <c r="Q36" s="221">
        <f t="shared" si="2"/>
        <v>2.5926901896424191E-6</v>
      </c>
      <c r="R36" s="221">
        <f t="shared" si="2"/>
        <v>2.5926901896424191E-6</v>
      </c>
      <c r="S36" s="221">
        <f t="shared" si="10"/>
        <v>4.7620303576938688E-5</v>
      </c>
      <c r="T36" s="221">
        <f t="shared" si="3"/>
        <v>4.7620303576938688E-5</v>
      </c>
      <c r="U36" s="221">
        <f t="shared" si="3"/>
        <v>4.7620303576938688E-5</v>
      </c>
      <c r="V36" s="221">
        <f t="shared" si="3"/>
        <v>4.7620303576938688E-5</v>
      </c>
      <c r="W36" s="221">
        <f t="shared" si="3"/>
        <v>4.7620303576938688E-5</v>
      </c>
      <c r="X36" s="221">
        <f t="shared" si="11"/>
        <v>2.0570023449823809E-4</v>
      </c>
      <c r="Y36" s="221">
        <f t="shared" si="4"/>
        <v>2.0570023449823809E-4</v>
      </c>
      <c r="Z36" s="221">
        <f t="shared" si="4"/>
        <v>2.0570023449823809E-4</v>
      </c>
      <c r="AA36" s="221">
        <f t="shared" si="4"/>
        <v>2.0570023449823809E-4</v>
      </c>
      <c r="AB36" s="221">
        <f t="shared" si="4"/>
        <v>2.0570023449823809E-4</v>
      </c>
      <c r="AC36" s="221">
        <f t="shared" si="12"/>
        <v>4.473390166912752E-4</v>
      </c>
      <c r="AD36" s="221">
        <f t="shared" si="5"/>
        <v>4.473390166912752E-4</v>
      </c>
      <c r="AE36" s="221">
        <f t="shared" si="5"/>
        <v>4.473390166912752E-4</v>
      </c>
      <c r="AF36" s="221">
        <f t="shared" si="5"/>
        <v>4.473390166912752E-4</v>
      </c>
      <c r="AG36" s="221">
        <f t="shared" si="5"/>
        <v>4.473390166912752E-4</v>
      </c>
      <c r="AH36" s="221">
        <f t="shared" si="13"/>
        <v>6.1404515740103613E-4</v>
      </c>
      <c r="AI36" s="221">
        <f t="shared" si="6"/>
        <v>6.1404515740103613E-4</v>
      </c>
      <c r="AJ36" s="221">
        <f t="shared" si="6"/>
        <v>6.1404515740103613E-4</v>
      </c>
      <c r="AK36" s="221">
        <f t="shared" si="6"/>
        <v>6.1404515740103613E-4</v>
      </c>
      <c r="AL36" s="221">
        <f t="shared" si="6"/>
        <v>6.1404515740103613E-4</v>
      </c>
      <c r="AM36" s="221">
        <v>0</v>
      </c>
      <c r="AN36" s="221">
        <v>0</v>
      </c>
      <c r="AO36" s="221">
        <v>0</v>
      </c>
      <c r="AP36" s="221">
        <v>0</v>
      </c>
      <c r="AQ36" s="221">
        <v>0</v>
      </c>
      <c r="AR36" s="221">
        <v>0</v>
      </c>
      <c r="AS36" s="221">
        <v>0</v>
      </c>
      <c r="AT36" s="221">
        <v>0</v>
      </c>
      <c r="AU36" s="221">
        <v>0</v>
      </c>
      <c r="AV36" s="221">
        <v>0</v>
      </c>
      <c r="AW36" s="221">
        <v>0</v>
      </c>
      <c r="AX36" s="221">
        <v>0</v>
      </c>
      <c r="AY36" s="221">
        <v>0</v>
      </c>
      <c r="AZ36" s="221">
        <v>0</v>
      </c>
      <c r="BA36" s="221">
        <v>0</v>
      </c>
      <c r="BB36" s="221">
        <v>0</v>
      </c>
      <c r="BC36" s="221">
        <v>0</v>
      </c>
      <c r="BD36" s="221">
        <v>0</v>
      </c>
      <c r="BE36" s="221">
        <v>0</v>
      </c>
      <c r="BF36" s="221">
        <v>0</v>
      </c>
      <c r="BG36" s="221">
        <v>0</v>
      </c>
      <c r="BH36" s="221">
        <v>0</v>
      </c>
      <c r="BI36" s="221">
        <v>0</v>
      </c>
      <c r="BJ36" s="221">
        <v>0</v>
      </c>
      <c r="BK36" s="221">
        <v>0</v>
      </c>
      <c r="BL36" s="221">
        <v>0</v>
      </c>
      <c r="BM36" s="221">
        <v>0</v>
      </c>
      <c r="BN36" s="221">
        <v>0</v>
      </c>
      <c r="BO36" s="221">
        <v>0</v>
      </c>
      <c r="BP36" s="221">
        <v>0</v>
      </c>
      <c r="BQ36" s="221">
        <v>0</v>
      </c>
      <c r="BR36" s="221">
        <v>0</v>
      </c>
      <c r="BS36" s="221">
        <v>0</v>
      </c>
      <c r="BT36" s="221">
        <v>0</v>
      </c>
      <c r="BU36" s="221">
        <v>0</v>
      </c>
      <c r="BV36" s="221">
        <v>0</v>
      </c>
      <c r="BW36" s="221">
        <v>0</v>
      </c>
      <c r="BX36" s="221">
        <v>0</v>
      </c>
      <c r="BY36" s="221">
        <v>0</v>
      </c>
      <c r="BZ36" s="221">
        <v>0</v>
      </c>
      <c r="CA36" s="221">
        <v>0</v>
      </c>
      <c r="CB36" s="221">
        <v>0</v>
      </c>
      <c r="CC36" s="221">
        <v>0</v>
      </c>
      <c r="CD36" s="221">
        <v>0</v>
      </c>
      <c r="CE36" s="221">
        <v>0</v>
      </c>
      <c r="CF36" s="221">
        <v>0</v>
      </c>
      <c r="CG36" s="221">
        <v>0</v>
      </c>
      <c r="CH36" s="221">
        <v>0</v>
      </c>
      <c r="CI36" s="221">
        <v>0</v>
      </c>
      <c r="CJ36" s="221">
        <v>0</v>
      </c>
      <c r="CL36" s="225" t="s">
        <v>144</v>
      </c>
      <c r="CM36">
        <v>7.3438816832338603E-7</v>
      </c>
      <c r="CN36">
        <v>1.186782280553181E-6</v>
      </c>
      <c r="CO36">
        <v>2.5926901896424191E-6</v>
      </c>
      <c r="CP36">
        <v>4.7620303576938688E-5</v>
      </c>
      <c r="CQ36">
        <v>2.0570023449823809E-4</v>
      </c>
      <c r="CR36">
        <v>4.473390166912752E-4</v>
      </c>
      <c r="CS36">
        <v>6.1404515740103613E-4</v>
      </c>
    </row>
    <row r="37" spans="2:97" x14ac:dyDescent="0.35">
      <c r="B37" s="42" t="s">
        <v>1328</v>
      </c>
      <c r="C37" s="221">
        <f t="shared" si="7"/>
        <v>0</v>
      </c>
      <c r="D37" s="221">
        <f t="shared" si="7"/>
        <v>0</v>
      </c>
      <c r="E37" s="221">
        <f t="shared" si="7"/>
        <v>0</v>
      </c>
      <c r="F37" s="221">
        <f t="shared" si="7"/>
        <v>0</v>
      </c>
      <c r="G37" s="221">
        <f t="shared" si="7"/>
        <v>0</v>
      </c>
      <c r="H37" s="221">
        <f t="shared" si="7"/>
        <v>0</v>
      </c>
      <c r="I37" s="221">
        <f t="shared" si="8"/>
        <v>0</v>
      </c>
      <c r="J37" s="221">
        <f t="shared" si="1"/>
        <v>0</v>
      </c>
      <c r="K37" s="221">
        <f t="shared" si="1"/>
        <v>0</v>
      </c>
      <c r="L37" s="221">
        <f t="shared" si="1"/>
        <v>0</v>
      </c>
      <c r="M37" s="221">
        <f t="shared" si="1"/>
        <v>0</v>
      </c>
      <c r="N37" s="221">
        <f t="shared" si="9"/>
        <v>0</v>
      </c>
      <c r="O37" s="221">
        <f t="shared" si="2"/>
        <v>0</v>
      </c>
      <c r="P37" s="221">
        <f t="shared" si="2"/>
        <v>0</v>
      </c>
      <c r="Q37" s="221">
        <f t="shared" si="2"/>
        <v>0</v>
      </c>
      <c r="R37" s="221">
        <f t="shared" si="2"/>
        <v>0</v>
      </c>
      <c r="S37" s="221">
        <f t="shared" si="10"/>
        <v>0</v>
      </c>
      <c r="T37" s="221">
        <f t="shared" si="3"/>
        <v>0</v>
      </c>
      <c r="U37" s="221">
        <f t="shared" si="3"/>
        <v>0</v>
      </c>
      <c r="V37" s="221">
        <f t="shared" si="3"/>
        <v>0</v>
      </c>
      <c r="W37" s="221">
        <f t="shared" si="3"/>
        <v>0</v>
      </c>
      <c r="X37" s="221">
        <f t="shared" si="11"/>
        <v>0</v>
      </c>
      <c r="Y37" s="221">
        <f t="shared" si="4"/>
        <v>0</v>
      </c>
      <c r="Z37" s="221">
        <f t="shared" si="4"/>
        <v>0</v>
      </c>
      <c r="AA37" s="221">
        <f t="shared" si="4"/>
        <v>0</v>
      </c>
      <c r="AB37" s="221">
        <f t="shared" si="4"/>
        <v>0</v>
      </c>
      <c r="AC37" s="221">
        <f t="shared" si="12"/>
        <v>0</v>
      </c>
      <c r="AD37" s="221">
        <f t="shared" si="5"/>
        <v>0</v>
      </c>
      <c r="AE37" s="221">
        <f t="shared" si="5"/>
        <v>0</v>
      </c>
      <c r="AF37" s="221">
        <f t="shared" si="5"/>
        <v>0</v>
      </c>
      <c r="AG37" s="221">
        <f t="shared" si="5"/>
        <v>0</v>
      </c>
      <c r="AH37" s="221">
        <f t="shared" si="13"/>
        <v>0</v>
      </c>
      <c r="AI37" s="221">
        <f t="shared" si="6"/>
        <v>0</v>
      </c>
      <c r="AJ37" s="221">
        <f t="shared" si="6"/>
        <v>0</v>
      </c>
      <c r="AK37" s="221">
        <f t="shared" si="6"/>
        <v>0</v>
      </c>
      <c r="AL37" s="221">
        <f t="shared" si="6"/>
        <v>0</v>
      </c>
      <c r="AM37" s="221">
        <v>0</v>
      </c>
      <c r="AN37" s="221">
        <v>0</v>
      </c>
      <c r="AO37" s="221">
        <v>0</v>
      </c>
      <c r="AP37" s="221">
        <v>0</v>
      </c>
      <c r="AQ37" s="221">
        <v>0</v>
      </c>
      <c r="AR37" s="221">
        <v>0</v>
      </c>
      <c r="AS37" s="221">
        <v>0</v>
      </c>
      <c r="AT37" s="221">
        <v>0</v>
      </c>
      <c r="AU37" s="221">
        <v>0</v>
      </c>
      <c r="AV37" s="221">
        <v>0</v>
      </c>
      <c r="AW37" s="221">
        <v>0</v>
      </c>
      <c r="AX37" s="221">
        <v>0</v>
      </c>
      <c r="AY37" s="221">
        <v>0</v>
      </c>
      <c r="AZ37" s="221">
        <v>0</v>
      </c>
      <c r="BA37" s="221">
        <v>0</v>
      </c>
      <c r="BB37" s="221">
        <v>0</v>
      </c>
      <c r="BC37" s="221">
        <v>0</v>
      </c>
      <c r="BD37" s="221">
        <v>0</v>
      </c>
      <c r="BE37" s="221">
        <v>0</v>
      </c>
      <c r="BF37" s="221">
        <v>0</v>
      </c>
      <c r="BG37" s="221">
        <v>0</v>
      </c>
      <c r="BH37" s="221">
        <v>0</v>
      </c>
      <c r="BI37" s="221">
        <v>0</v>
      </c>
      <c r="BJ37" s="221">
        <v>0</v>
      </c>
      <c r="BK37" s="221">
        <v>0</v>
      </c>
      <c r="BL37" s="221">
        <v>0</v>
      </c>
      <c r="BM37" s="221">
        <v>0</v>
      </c>
      <c r="BN37" s="221">
        <v>0</v>
      </c>
      <c r="BO37" s="221">
        <v>0</v>
      </c>
      <c r="BP37" s="221">
        <v>0</v>
      </c>
      <c r="BQ37" s="221">
        <v>0</v>
      </c>
      <c r="BR37" s="221">
        <v>0</v>
      </c>
      <c r="BS37" s="221">
        <v>0</v>
      </c>
      <c r="BT37" s="221">
        <v>0</v>
      </c>
      <c r="BU37" s="221">
        <v>0</v>
      </c>
      <c r="BV37" s="221">
        <v>0</v>
      </c>
      <c r="BW37" s="221">
        <v>0</v>
      </c>
      <c r="BX37" s="221">
        <v>0</v>
      </c>
      <c r="BY37" s="221">
        <v>0</v>
      </c>
      <c r="BZ37" s="221">
        <v>0</v>
      </c>
      <c r="CA37" s="221">
        <v>0</v>
      </c>
      <c r="CB37" s="221">
        <v>0</v>
      </c>
      <c r="CC37" s="221">
        <v>0</v>
      </c>
      <c r="CD37" s="221">
        <v>0</v>
      </c>
      <c r="CE37" s="221">
        <v>0</v>
      </c>
      <c r="CF37" s="221">
        <v>0</v>
      </c>
      <c r="CG37" s="221">
        <v>0</v>
      </c>
      <c r="CH37" s="221">
        <v>0</v>
      </c>
      <c r="CI37" s="221">
        <v>0</v>
      </c>
      <c r="CJ37" s="221">
        <v>0</v>
      </c>
      <c r="CL37" s="225" t="s">
        <v>164</v>
      </c>
      <c r="CM37">
        <v>0</v>
      </c>
      <c r="CN37">
        <v>0</v>
      </c>
      <c r="CO37">
        <v>0</v>
      </c>
      <c r="CP37">
        <v>0</v>
      </c>
      <c r="CQ37">
        <v>0</v>
      </c>
      <c r="CR37">
        <v>0</v>
      </c>
      <c r="CS37">
        <v>0</v>
      </c>
    </row>
    <row r="38" spans="2:97" x14ac:dyDescent="0.35">
      <c r="B38" s="42" t="s">
        <v>759</v>
      </c>
      <c r="C38" s="221">
        <f t="shared" si="7"/>
        <v>1.4241336955335181E-7</v>
      </c>
      <c r="D38" s="221">
        <f t="shared" si="7"/>
        <v>1.4241336955335181E-7</v>
      </c>
      <c r="E38" s="221">
        <f t="shared" si="7"/>
        <v>1.4241336955335181E-7</v>
      </c>
      <c r="F38" s="221">
        <f t="shared" si="7"/>
        <v>1.4241336955335181E-7</v>
      </c>
      <c r="G38" s="221">
        <f t="shared" si="7"/>
        <v>1.4241336955335181E-7</v>
      </c>
      <c r="H38" s="221">
        <f t="shared" si="7"/>
        <v>1.4241336955335181E-7</v>
      </c>
      <c r="I38" s="221">
        <f t="shared" si="8"/>
        <v>1.244094496008179E-6</v>
      </c>
      <c r="J38" s="221">
        <f t="shared" si="1"/>
        <v>1.244094496008179E-6</v>
      </c>
      <c r="K38" s="221">
        <f t="shared" si="1"/>
        <v>1.244094496008179E-6</v>
      </c>
      <c r="L38" s="221">
        <f t="shared" si="1"/>
        <v>1.244094496008179E-6</v>
      </c>
      <c r="M38" s="221">
        <f t="shared" si="1"/>
        <v>1.244094496008179E-6</v>
      </c>
      <c r="N38" s="221">
        <f t="shared" si="9"/>
        <v>9.0207423224396337E-6</v>
      </c>
      <c r="O38" s="221">
        <f t="shared" si="2"/>
        <v>9.0207423224396337E-6</v>
      </c>
      <c r="P38" s="221">
        <f t="shared" si="2"/>
        <v>9.0207423224396337E-6</v>
      </c>
      <c r="Q38" s="221">
        <f t="shared" si="2"/>
        <v>9.0207423224396337E-6</v>
      </c>
      <c r="R38" s="221">
        <f t="shared" si="2"/>
        <v>9.0207423224396337E-6</v>
      </c>
      <c r="S38" s="221">
        <f t="shared" si="10"/>
        <v>7.2917152166257059E-5</v>
      </c>
      <c r="T38" s="221">
        <f t="shared" si="3"/>
        <v>7.2917152166257059E-5</v>
      </c>
      <c r="U38" s="221">
        <f t="shared" si="3"/>
        <v>7.2917152166257059E-5</v>
      </c>
      <c r="V38" s="221">
        <f t="shared" si="3"/>
        <v>7.2917152166257059E-5</v>
      </c>
      <c r="W38" s="221">
        <f t="shared" si="3"/>
        <v>7.2917152166257059E-5</v>
      </c>
      <c r="X38" s="221">
        <f t="shared" si="11"/>
        <v>4.8743073526934672E-4</v>
      </c>
      <c r="Y38" s="221">
        <f t="shared" si="4"/>
        <v>4.8743073526934672E-4</v>
      </c>
      <c r="Z38" s="221">
        <f t="shared" si="4"/>
        <v>4.8743073526934672E-4</v>
      </c>
      <c r="AA38" s="221">
        <f t="shared" si="4"/>
        <v>4.8743073526934672E-4</v>
      </c>
      <c r="AB38" s="221">
        <f t="shared" si="4"/>
        <v>4.8743073526934672E-4</v>
      </c>
      <c r="AC38" s="221">
        <f t="shared" si="12"/>
        <v>9.3502747694737206E-4</v>
      </c>
      <c r="AD38" s="221">
        <f t="shared" si="5"/>
        <v>9.3502747694737206E-4</v>
      </c>
      <c r="AE38" s="221">
        <f t="shared" si="5"/>
        <v>9.3502747694737206E-4</v>
      </c>
      <c r="AF38" s="221">
        <f t="shared" si="5"/>
        <v>9.3502747694737206E-4</v>
      </c>
      <c r="AG38" s="221">
        <f t="shared" si="5"/>
        <v>9.3502747694737206E-4</v>
      </c>
      <c r="AH38" s="221">
        <f t="shared" si="13"/>
        <v>1.404419348367404E-3</v>
      </c>
      <c r="AI38" s="221">
        <f t="shared" si="6"/>
        <v>1.404419348367404E-3</v>
      </c>
      <c r="AJ38" s="221">
        <f t="shared" si="6"/>
        <v>1.404419348367404E-3</v>
      </c>
      <c r="AK38" s="221">
        <f t="shared" si="6"/>
        <v>1.404419348367404E-3</v>
      </c>
      <c r="AL38" s="221">
        <f t="shared" si="6"/>
        <v>1.404419348367404E-3</v>
      </c>
      <c r="AM38" s="221">
        <v>0</v>
      </c>
      <c r="AN38" s="221">
        <v>0</v>
      </c>
      <c r="AO38" s="221">
        <v>0</v>
      </c>
      <c r="AP38" s="221">
        <v>0</v>
      </c>
      <c r="AQ38" s="221">
        <v>0</v>
      </c>
      <c r="AR38" s="221">
        <v>0</v>
      </c>
      <c r="AS38" s="221">
        <v>0</v>
      </c>
      <c r="AT38" s="221">
        <v>0</v>
      </c>
      <c r="AU38" s="221">
        <v>0</v>
      </c>
      <c r="AV38" s="221">
        <v>0</v>
      </c>
      <c r="AW38" s="221">
        <v>0</v>
      </c>
      <c r="AX38" s="221">
        <v>0</v>
      </c>
      <c r="AY38" s="221">
        <v>0</v>
      </c>
      <c r="AZ38" s="221">
        <v>0</v>
      </c>
      <c r="BA38" s="221">
        <v>0</v>
      </c>
      <c r="BB38" s="221">
        <v>0</v>
      </c>
      <c r="BC38" s="221">
        <v>0</v>
      </c>
      <c r="BD38" s="221">
        <v>0</v>
      </c>
      <c r="BE38" s="221">
        <v>0</v>
      </c>
      <c r="BF38" s="221">
        <v>0</v>
      </c>
      <c r="BG38" s="221">
        <v>0</v>
      </c>
      <c r="BH38" s="221">
        <v>0</v>
      </c>
      <c r="BI38" s="221">
        <v>0</v>
      </c>
      <c r="BJ38" s="221">
        <v>0</v>
      </c>
      <c r="BK38" s="221">
        <v>0</v>
      </c>
      <c r="BL38" s="221">
        <v>0</v>
      </c>
      <c r="BM38" s="221">
        <v>0</v>
      </c>
      <c r="BN38" s="221">
        <v>0</v>
      </c>
      <c r="BO38" s="221">
        <v>0</v>
      </c>
      <c r="BP38" s="221">
        <v>0</v>
      </c>
      <c r="BQ38" s="221">
        <v>0</v>
      </c>
      <c r="BR38" s="221">
        <v>0</v>
      </c>
      <c r="BS38" s="221">
        <v>0</v>
      </c>
      <c r="BT38" s="221">
        <v>0</v>
      </c>
      <c r="BU38" s="221">
        <v>0</v>
      </c>
      <c r="BV38" s="221">
        <v>0</v>
      </c>
      <c r="BW38" s="221">
        <v>0</v>
      </c>
      <c r="BX38" s="221">
        <v>0</v>
      </c>
      <c r="BY38" s="221">
        <v>0</v>
      </c>
      <c r="BZ38" s="221">
        <v>0</v>
      </c>
      <c r="CA38" s="221">
        <v>0</v>
      </c>
      <c r="CB38" s="221">
        <v>0</v>
      </c>
      <c r="CC38" s="221">
        <v>0</v>
      </c>
      <c r="CD38" s="221">
        <v>0</v>
      </c>
      <c r="CE38" s="221">
        <v>0</v>
      </c>
      <c r="CF38" s="221">
        <v>0</v>
      </c>
      <c r="CG38" s="221">
        <v>0</v>
      </c>
      <c r="CH38" s="221">
        <v>0</v>
      </c>
      <c r="CI38" s="221">
        <v>0</v>
      </c>
      <c r="CJ38" s="221">
        <v>0</v>
      </c>
      <c r="CL38" s="225" t="s">
        <v>145</v>
      </c>
      <c r="CM38">
        <v>1.4241336955335181E-7</v>
      </c>
      <c r="CN38">
        <v>1.244094496008179E-6</v>
      </c>
      <c r="CO38">
        <v>9.0207423224396337E-6</v>
      </c>
      <c r="CP38">
        <v>7.2917152166257059E-5</v>
      </c>
      <c r="CQ38">
        <v>4.8743073526934672E-4</v>
      </c>
      <c r="CR38">
        <v>9.3502747694737206E-4</v>
      </c>
      <c r="CS38">
        <v>1.404419348367404E-3</v>
      </c>
    </row>
    <row r="39" spans="2:97" x14ac:dyDescent="0.35">
      <c r="B39" s="42" t="s">
        <v>1329</v>
      </c>
      <c r="C39" s="221">
        <f t="shared" si="7"/>
        <v>0</v>
      </c>
      <c r="D39" s="221">
        <f t="shared" si="7"/>
        <v>0</v>
      </c>
      <c r="E39" s="221">
        <f t="shared" si="7"/>
        <v>0</v>
      </c>
      <c r="F39" s="221">
        <f t="shared" si="7"/>
        <v>0</v>
      </c>
      <c r="G39" s="221">
        <f t="shared" si="7"/>
        <v>0</v>
      </c>
      <c r="H39" s="221">
        <f t="shared" si="7"/>
        <v>0</v>
      </c>
      <c r="I39" s="221">
        <f t="shared" si="8"/>
        <v>0</v>
      </c>
      <c r="J39" s="221">
        <f t="shared" si="1"/>
        <v>0</v>
      </c>
      <c r="K39" s="221">
        <f t="shared" si="1"/>
        <v>0</v>
      </c>
      <c r="L39" s="221">
        <f t="shared" si="1"/>
        <v>0</v>
      </c>
      <c r="M39" s="221">
        <f t="shared" si="1"/>
        <v>0</v>
      </c>
      <c r="N39" s="221">
        <f t="shared" si="9"/>
        <v>0</v>
      </c>
      <c r="O39" s="221">
        <f t="shared" si="2"/>
        <v>0</v>
      </c>
      <c r="P39" s="221">
        <f t="shared" si="2"/>
        <v>0</v>
      </c>
      <c r="Q39" s="221">
        <f t="shared" si="2"/>
        <v>0</v>
      </c>
      <c r="R39" s="221">
        <f t="shared" si="2"/>
        <v>0</v>
      </c>
      <c r="S39" s="221">
        <f t="shared" si="10"/>
        <v>0</v>
      </c>
      <c r="T39" s="221">
        <f t="shared" si="3"/>
        <v>0</v>
      </c>
      <c r="U39" s="221">
        <f t="shared" si="3"/>
        <v>0</v>
      </c>
      <c r="V39" s="221">
        <f t="shared" si="3"/>
        <v>0</v>
      </c>
      <c r="W39" s="221">
        <f t="shared" si="3"/>
        <v>0</v>
      </c>
      <c r="X39" s="221">
        <f t="shared" si="11"/>
        <v>0</v>
      </c>
      <c r="Y39" s="221">
        <f t="shared" si="4"/>
        <v>0</v>
      </c>
      <c r="Z39" s="221">
        <f t="shared" si="4"/>
        <v>0</v>
      </c>
      <c r="AA39" s="221">
        <f t="shared" si="4"/>
        <v>0</v>
      </c>
      <c r="AB39" s="221">
        <f t="shared" si="4"/>
        <v>0</v>
      </c>
      <c r="AC39" s="221">
        <f t="shared" si="12"/>
        <v>0</v>
      </c>
      <c r="AD39" s="221">
        <f t="shared" si="5"/>
        <v>0</v>
      </c>
      <c r="AE39" s="221">
        <f t="shared" si="5"/>
        <v>0</v>
      </c>
      <c r="AF39" s="221">
        <f t="shared" si="5"/>
        <v>0</v>
      </c>
      <c r="AG39" s="221">
        <f t="shared" si="5"/>
        <v>0</v>
      </c>
      <c r="AH39" s="221">
        <f t="shared" si="13"/>
        <v>0</v>
      </c>
      <c r="AI39" s="221">
        <f t="shared" si="6"/>
        <v>0</v>
      </c>
      <c r="AJ39" s="221">
        <f t="shared" si="6"/>
        <v>0</v>
      </c>
      <c r="AK39" s="221">
        <f t="shared" si="6"/>
        <v>0</v>
      </c>
      <c r="AL39" s="221">
        <f t="shared" si="6"/>
        <v>0</v>
      </c>
      <c r="AM39" s="221">
        <v>0</v>
      </c>
      <c r="AN39" s="221">
        <v>0</v>
      </c>
      <c r="AO39" s="221">
        <v>0</v>
      </c>
      <c r="AP39" s="221">
        <v>0</v>
      </c>
      <c r="AQ39" s="221">
        <v>0</v>
      </c>
      <c r="AR39" s="221">
        <v>0</v>
      </c>
      <c r="AS39" s="221">
        <v>0</v>
      </c>
      <c r="AT39" s="221">
        <v>0</v>
      </c>
      <c r="AU39" s="221">
        <v>0</v>
      </c>
      <c r="AV39" s="221">
        <v>0</v>
      </c>
      <c r="AW39" s="221">
        <v>0</v>
      </c>
      <c r="AX39" s="221">
        <v>0</v>
      </c>
      <c r="AY39" s="221">
        <v>0</v>
      </c>
      <c r="AZ39" s="221">
        <v>0</v>
      </c>
      <c r="BA39" s="221">
        <v>0</v>
      </c>
      <c r="BB39" s="221">
        <v>0</v>
      </c>
      <c r="BC39" s="221">
        <v>0</v>
      </c>
      <c r="BD39" s="221">
        <v>0</v>
      </c>
      <c r="BE39" s="221">
        <v>0</v>
      </c>
      <c r="BF39" s="221">
        <v>0</v>
      </c>
      <c r="BG39" s="221">
        <v>0</v>
      </c>
      <c r="BH39" s="221">
        <v>0</v>
      </c>
      <c r="BI39" s="221">
        <v>0</v>
      </c>
      <c r="BJ39" s="221">
        <v>0</v>
      </c>
      <c r="BK39" s="221">
        <v>0</v>
      </c>
      <c r="BL39" s="221">
        <v>0</v>
      </c>
      <c r="BM39" s="221">
        <v>0</v>
      </c>
      <c r="BN39" s="221">
        <v>0</v>
      </c>
      <c r="BO39" s="221">
        <v>0</v>
      </c>
      <c r="BP39" s="221">
        <v>0</v>
      </c>
      <c r="BQ39" s="221">
        <v>0</v>
      </c>
      <c r="BR39" s="221">
        <v>0</v>
      </c>
      <c r="BS39" s="221">
        <v>0</v>
      </c>
      <c r="BT39" s="221">
        <v>0</v>
      </c>
      <c r="BU39" s="221">
        <v>0</v>
      </c>
      <c r="BV39" s="221">
        <v>0</v>
      </c>
      <c r="BW39" s="221">
        <v>0</v>
      </c>
      <c r="BX39" s="221">
        <v>0</v>
      </c>
      <c r="BY39" s="221">
        <v>0</v>
      </c>
      <c r="BZ39" s="221">
        <v>0</v>
      </c>
      <c r="CA39" s="221">
        <v>0</v>
      </c>
      <c r="CB39" s="221">
        <v>0</v>
      </c>
      <c r="CC39" s="221">
        <v>0</v>
      </c>
      <c r="CD39" s="221">
        <v>0</v>
      </c>
      <c r="CE39" s="221">
        <v>0</v>
      </c>
      <c r="CF39" s="221">
        <v>0</v>
      </c>
      <c r="CG39" s="221">
        <v>0</v>
      </c>
      <c r="CH39" s="221">
        <v>0</v>
      </c>
      <c r="CI39" s="221">
        <v>0</v>
      </c>
      <c r="CJ39" s="221">
        <v>0</v>
      </c>
      <c r="CL39" s="225" t="s">
        <v>87</v>
      </c>
      <c r="CM39">
        <v>0</v>
      </c>
      <c r="CN39">
        <v>0</v>
      </c>
      <c r="CO39">
        <v>0</v>
      </c>
      <c r="CP39">
        <v>0</v>
      </c>
      <c r="CQ39">
        <v>0</v>
      </c>
      <c r="CR39">
        <v>0</v>
      </c>
      <c r="CS39">
        <v>0</v>
      </c>
    </row>
    <row r="40" spans="2:97" x14ac:dyDescent="0.35">
      <c r="B40" s="42" t="s">
        <v>760</v>
      </c>
      <c r="C40" s="221">
        <f t="shared" si="7"/>
        <v>3.4859699023635748E-5</v>
      </c>
      <c r="D40" s="221">
        <f t="shared" si="7"/>
        <v>3.4859699023635748E-5</v>
      </c>
      <c r="E40" s="221">
        <f t="shared" si="7"/>
        <v>3.4859699023635748E-5</v>
      </c>
      <c r="F40" s="221">
        <f t="shared" si="7"/>
        <v>3.4859699023635748E-5</v>
      </c>
      <c r="G40" s="221">
        <f t="shared" si="7"/>
        <v>3.4859699023635748E-5</v>
      </c>
      <c r="H40" s="221">
        <f t="shared" si="7"/>
        <v>3.4859699023635748E-5</v>
      </c>
      <c r="I40" s="221">
        <f t="shared" si="8"/>
        <v>2.442204183234939E-5</v>
      </c>
      <c r="J40" s="221">
        <f t="shared" si="1"/>
        <v>2.442204183234939E-5</v>
      </c>
      <c r="K40" s="221">
        <f t="shared" si="1"/>
        <v>2.442204183234939E-5</v>
      </c>
      <c r="L40" s="221">
        <f t="shared" si="1"/>
        <v>2.442204183234939E-5</v>
      </c>
      <c r="M40" s="221">
        <f t="shared" si="1"/>
        <v>2.442204183234939E-5</v>
      </c>
      <c r="N40" s="221">
        <f t="shared" si="9"/>
        <v>4.5020187733220123E-5</v>
      </c>
      <c r="O40" s="221">
        <f t="shared" si="2"/>
        <v>4.5020187733220123E-5</v>
      </c>
      <c r="P40" s="221">
        <f t="shared" si="2"/>
        <v>4.5020187733220123E-5</v>
      </c>
      <c r="Q40" s="221">
        <f t="shared" si="2"/>
        <v>4.5020187733220123E-5</v>
      </c>
      <c r="R40" s="221">
        <f t="shared" si="2"/>
        <v>4.5020187733220123E-5</v>
      </c>
      <c r="S40" s="221">
        <f t="shared" si="10"/>
        <v>1.3999206273022669E-4</v>
      </c>
      <c r="T40" s="221">
        <f t="shared" si="3"/>
        <v>1.3999206273022669E-4</v>
      </c>
      <c r="U40" s="221">
        <f t="shared" si="3"/>
        <v>1.3999206273022669E-4</v>
      </c>
      <c r="V40" s="221">
        <f t="shared" si="3"/>
        <v>1.3999206273022669E-4</v>
      </c>
      <c r="W40" s="221">
        <f t="shared" si="3"/>
        <v>1.3999206273022669E-4</v>
      </c>
      <c r="X40" s="221">
        <f t="shared" si="11"/>
        <v>3.728576730856703E-4</v>
      </c>
      <c r="Y40" s="221">
        <f t="shared" si="4"/>
        <v>3.728576730856703E-4</v>
      </c>
      <c r="Z40" s="221">
        <f t="shared" si="4"/>
        <v>3.728576730856703E-4</v>
      </c>
      <c r="AA40" s="221">
        <f t="shared" si="4"/>
        <v>3.728576730856703E-4</v>
      </c>
      <c r="AB40" s="221">
        <f t="shared" si="4"/>
        <v>3.728576730856703E-4</v>
      </c>
      <c r="AC40" s="221">
        <f t="shared" si="12"/>
        <v>4.7947438917005629E-4</v>
      </c>
      <c r="AD40" s="221">
        <f t="shared" si="5"/>
        <v>4.7947438917005629E-4</v>
      </c>
      <c r="AE40" s="221">
        <f t="shared" si="5"/>
        <v>4.7947438917005629E-4</v>
      </c>
      <c r="AF40" s="221">
        <f t="shared" si="5"/>
        <v>4.7947438917005629E-4</v>
      </c>
      <c r="AG40" s="221">
        <f t="shared" si="5"/>
        <v>4.7947438917005629E-4</v>
      </c>
      <c r="AH40" s="221">
        <f t="shared" si="13"/>
        <v>3.5630511927305011E-4</v>
      </c>
      <c r="AI40" s="221">
        <f t="shared" si="6"/>
        <v>3.5630511927305011E-4</v>
      </c>
      <c r="AJ40" s="221">
        <f t="shared" si="6"/>
        <v>3.5630511927305011E-4</v>
      </c>
      <c r="AK40" s="221">
        <f t="shared" si="6"/>
        <v>3.5630511927305011E-4</v>
      </c>
      <c r="AL40" s="221">
        <f t="shared" si="6"/>
        <v>3.5630511927305011E-4</v>
      </c>
      <c r="AM40" s="221">
        <v>0</v>
      </c>
      <c r="AN40" s="221">
        <v>0</v>
      </c>
      <c r="AO40" s="221">
        <v>0</v>
      </c>
      <c r="AP40" s="221">
        <v>0</v>
      </c>
      <c r="AQ40" s="221">
        <v>0</v>
      </c>
      <c r="AR40" s="221">
        <v>0</v>
      </c>
      <c r="AS40" s="221">
        <v>0</v>
      </c>
      <c r="AT40" s="221">
        <v>0</v>
      </c>
      <c r="AU40" s="221">
        <v>0</v>
      </c>
      <c r="AV40" s="221">
        <v>0</v>
      </c>
      <c r="AW40" s="221">
        <v>0</v>
      </c>
      <c r="AX40" s="221">
        <v>0</v>
      </c>
      <c r="AY40" s="221">
        <v>0</v>
      </c>
      <c r="AZ40" s="221">
        <v>0</v>
      </c>
      <c r="BA40" s="221">
        <v>0</v>
      </c>
      <c r="BB40" s="221">
        <v>0</v>
      </c>
      <c r="BC40" s="221">
        <v>0</v>
      </c>
      <c r="BD40" s="221">
        <v>0</v>
      </c>
      <c r="BE40" s="221">
        <v>0</v>
      </c>
      <c r="BF40" s="221">
        <v>0</v>
      </c>
      <c r="BG40" s="221">
        <v>0</v>
      </c>
      <c r="BH40" s="221">
        <v>0</v>
      </c>
      <c r="BI40" s="221">
        <v>0</v>
      </c>
      <c r="BJ40" s="221">
        <v>0</v>
      </c>
      <c r="BK40" s="221">
        <v>0</v>
      </c>
      <c r="BL40" s="221">
        <v>0</v>
      </c>
      <c r="BM40" s="221">
        <v>0</v>
      </c>
      <c r="BN40" s="221">
        <v>0</v>
      </c>
      <c r="BO40" s="221">
        <v>0</v>
      </c>
      <c r="BP40" s="221">
        <v>0</v>
      </c>
      <c r="BQ40" s="221">
        <v>0</v>
      </c>
      <c r="BR40" s="221">
        <v>0</v>
      </c>
      <c r="BS40" s="221">
        <v>0</v>
      </c>
      <c r="BT40" s="221">
        <v>0</v>
      </c>
      <c r="BU40" s="221">
        <v>0</v>
      </c>
      <c r="BV40" s="221">
        <v>0</v>
      </c>
      <c r="BW40" s="221">
        <v>0</v>
      </c>
      <c r="BX40" s="221">
        <v>0</v>
      </c>
      <c r="BY40" s="221">
        <v>0</v>
      </c>
      <c r="BZ40" s="221">
        <v>0</v>
      </c>
      <c r="CA40" s="221">
        <v>0</v>
      </c>
      <c r="CB40" s="221">
        <v>0</v>
      </c>
      <c r="CC40" s="221">
        <v>0</v>
      </c>
      <c r="CD40" s="221">
        <v>0</v>
      </c>
      <c r="CE40" s="221">
        <v>0</v>
      </c>
      <c r="CF40" s="221">
        <v>0</v>
      </c>
      <c r="CG40" s="221">
        <v>0</v>
      </c>
      <c r="CH40" s="221">
        <v>0</v>
      </c>
      <c r="CI40" s="221">
        <v>0</v>
      </c>
      <c r="CJ40" s="221">
        <v>0</v>
      </c>
      <c r="CL40" s="225" t="s">
        <v>146</v>
      </c>
      <c r="CM40">
        <v>3.4859699023635748E-5</v>
      </c>
      <c r="CN40">
        <v>2.442204183234939E-5</v>
      </c>
      <c r="CO40">
        <v>4.5020187733220123E-5</v>
      </c>
      <c r="CP40">
        <v>1.3999206273022669E-4</v>
      </c>
      <c r="CQ40">
        <v>3.728576730856703E-4</v>
      </c>
      <c r="CR40">
        <v>4.7947438917005629E-4</v>
      </c>
      <c r="CS40">
        <v>3.5630511927305011E-4</v>
      </c>
    </row>
    <row r="41" spans="2:97" x14ac:dyDescent="0.35">
      <c r="B41" s="42" t="s">
        <v>1330</v>
      </c>
      <c r="C41" s="221">
        <f t="shared" si="7"/>
        <v>1.106617598554677E-5</v>
      </c>
      <c r="D41" s="221">
        <f t="shared" si="7"/>
        <v>1.106617598554677E-5</v>
      </c>
      <c r="E41" s="221">
        <f t="shared" si="7"/>
        <v>1.106617598554677E-5</v>
      </c>
      <c r="F41" s="221">
        <f t="shared" si="7"/>
        <v>1.106617598554677E-5</v>
      </c>
      <c r="G41" s="221">
        <f t="shared" si="7"/>
        <v>1.106617598554677E-5</v>
      </c>
      <c r="H41" s="221">
        <f t="shared" si="7"/>
        <v>1.106617598554677E-5</v>
      </c>
      <c r="I41" s="221">
        <f t="shared" si="8"/>
        <v>5.3970220465890742E-5</v>
      </c>
      <c r="J41" s="221">
        <f t="shared" si="1"/>
        <v>5.3970220465890742E-5</v>
      </c>
      <c r="K41" s="221">
        <f t="shared" si="1"/>
        <v>5.3970220465890742E-5</v>
      </c>
      <c r="L41" s="221">
        <f t="shared" si="1"/>
        <v>5.3970220465890742E-5</v>
      </c>
      <c r="M41" s="221">
        <f t="shared" si="1"/>
        <v>5.3970220465890742E-5</v>
      </c>
      <c r="N41" s="221">
        <f t="shared" si="9"/>
        <v>1.112315834364225E-4</v>
      </c>
      <c r="O41" s="221">
        <f t="shared" si="2"/>
        <v>1.112315834364225E-4</v>
      </c>
      <c r="P41" s="221">
        <f t="shared" si="2"/>
        <v>1.112315834364225E-4</v>
      </c>
      <c r="Q41" s="221">
        <f t="shared" si="2"/>
        <v>1.112315834364225E-4</v>
      </c>
      <c r="R41" s="221">
        <f t="shared" si="2"/>
        <v>1.112315834364225E-4</v>
      </c>
      <c r="S41" s="221">
        <f t="shared" si="10"/>
        <v>2.5609418320825261E-4</v>
      </c>
      <c r="T41" s="221">
        <f t="shared" si="3"/>
        <v>2.5609418320825261E-4</v>
      </c>
      <c r="U41" s="221">
        <f t="shared" si="3"/>
        <v>2.5609418320825261E-4</v>
      </c>
      <c r="V41" s="221">
        <f t="shared" si="3"/>
        <v>2.5609418320825261E-4</v>
      </c>
      <c r="W41" s="221">
        <f t="shared" si="3"/>
        <v>2.5609418320825261E-4</v>
      </c>
      <c r="X41" s="221">
        <f t="shared" si="11"/>
        <v>5.0649980348258785E-4</v>
      </c>
      <c r="Y41" s="221">
        <f t="shared" si="4"/>
        <v>5.0649980348258785E-4</v>
      </c>
      <c r="Z41" s="221">
        <f t="shared" si="4"/>
        <v>5.0649980348258785E-4</v>
      </c>
      <c r="AA41" s="221">
        <f t="shared" si="4"/>
        <v>5.0649980348258785E-4</v>
      </c>
      <c r="AB41" s="221">
        <f t="shared" si="4"/>
        <v>5.0649980348258785E-4</v>
      </c>
      <c r="AC41" s="221">
        <f t="shared" si="12"/>
        <v>1.0841757177897E-3</v>
      </c>
      <c r="AD41" s="221">
        <f t="shared" si="5"/>
        <v>1.0841757177897E-3</v>
      </c>
      <c r="AE41" s="221">
        <f t="shared" si="5"/>
        <v>1.0841757177897E-3</v>
      </c>
      <c r="AF41" s="221">
        <f t="shared" si="5"/>
        <v>1.0841757177897E-3</v>
      </c>
      <c r="AG41" s="221">
        <f t="shared" si="5"/>
        <v>1.0841757177897E-3</v>
      </c>
      <c r="AH41" s="221">
        <f t="shared" si="13"/>
        <v>2.1805304724716152E-3</v>
      </c>
      <c r="AI41" s="221">
        <f t="shared" si="6"/>
        <v>2.1805304724716152E-3</v>
      </c>
      <c r="AJ41" s="221">
        <f t="shared" si="6"/>
        <v>2.1805304724716152E-3</v>
      </c>
      <c r="AK41" s="221">
        <f t="shared" si="6"/>
        <v>2.1805304724716152E-3</v>
      </c>
      <c r="AL41" s="221">
        <f t="shared" si="6"/>
        <v>2.1805304724716152E-3</v>
      </c>
      <c r="AM41" s="221">
        <v>0</v>
      </c>
      <c r="AN41" s="221">
        <v>0</v>
      </c>
      <c r="AO41" s="221">
        <v>0</v>
      </c>
      <c r="AP41" s="221">
        <v>0</v>
      </c>
      <c r="AQ41" s="221">
        <v>0</v>
      </c>
      <c r="AR41" s="221">
        <v>0</v>
      </c>
      <c r="AS41" s="221">
        <v>0</v>
      </c>
      <c r="AT41" s="221">
        <v>0</v>
      </c>
      <c r="AU41" s="221">
        <v>0</v>
      </c>
      <c r="AV41" s="221">
        <v>0</v>
      </c>
      <c r="AW41" s="221">
        <v>0</v>
      </c>
      <c r="AX41" s="221">
        <v>0</v>
      </c>
      <c r="AY41" s="221">
        <v>0</v>
      </c>
      <c r="AZ41" s="221">
        <v>0</v>
      </c>
      <c r="BA41" s="221">
        <v>0</v>
      </c>
      <c r="BB41" s="221">
        <v>0</v>
      </c>
      <c r="BC41" s="221">
        <v>0</v>
      </c>
      <c r="BD41" s="221">
        <v>0</v>
      </c>
      <c r="BE41" s="221">
        <v>0</v>
      </c>
      <c r="BF41" s="221">
        <v>0</v>
      </c>
      <c r="BG41" s="221">
        <v>0</v>
      </c>
      <c r="BH41" s="221">
        <v>0</v>
      </c>
      <c r="BI41" s="221">
        <v>0</v>
      </c>
      <c r="BJ41" s="221">
        <v>0</v>
      </c>
      <c r="BK41" s="221">
        <v>0</v>
      </c>
      <c r="BL41" s="221">
        <v>0</v>
      </c>
      <c r="BM41" s="221">
        <v>0</v>
      </c>
      <c r="BN41" s="221">
        <v>0</v>
      </c>
      <c r="BO41" s="221">
        <v>0</v>
      </c>
      <c r="BP41" s="221">
        <v>0</v>
      </c>
      <c r="BQ41" s="221">
        <v>0</v>
      </c>
      <c r="BR41" s="221">
        <v>0</v>
      </c>
      <c r="BS41" s="221">
        <v>0</v>
      </c>
      <c r="BT41" s="221">
        <v>0</v>
      </c>
      <c r="BU41" s="221">
        <v>0</v>
      </c>
      <c r="BV41" s="221">
        <v>0</v>
      </c>
      <c r="BW41" s="221">
        <v>0</v>
      </c>
      <c r="BX41" s="221">
        <v>0</v>
      </c>
      <c r="BY41" s="221">
        <v>0</v>
      </c>
      <c r="BZ41" s="221">
        <v>0</v>
      </c>
      <c r="CA41" s="221">
        <v>0</v>
      </c>
      <c r="CB41" s="221">
        <v>0</v>
      </c>
      <c r="CC41" s="221">
        <v>0</v>
      </c>
      <c r="CD41" s="221">
        <v>0</v>
      </c>
      <c r="CE41" s="221">
        <v>0</v>
      </c>
      <c r="CF41" s="221">
        <v>0</v>
      </c>
      <c r="CG41" s="221">
        <v>0</v>
      </c>
      <c r="CH41" s="221">
        <v>0</v>
      </c>
      <c r="CI41" s="221">
        <v>0</v>
      </c>
      <c r="CJ41" s="221">
        <v>0</v>
      </c>
      <c r="CL41" s="225" t="s">
        <v>89</v>
      </c>
      <c r="CM41">
        <v>1.106617598554677E-5</v>
      </c>
      <c r="CN41">
        <v>5.3970220465890742E-5</v>
      </c>
      <c r="CO41">
        <v>1.112315834364225E-4</v>
      </c>
      <c r="CP41">
        <v>2.5609418320825261E-4</v>
      </c>
      <c r="CQ41">
        <v>5.0649980348258785E-4</v>
      </c>
      <c r="CR41">
        <v>1.0841757177897E-3</v>
      </c>
      <c r="CS41">
        <v>2.1805304724716152E-3</v>
      </c>
    </row>
    <row r="42" spans="2:97" x14ac:dyDescent="0.35">
      <c r="B42" s="42" t="s">
        <v>1331</v>
      </c>
      <c r="C42" s="221">
        <f t="shared" si="7"/>
        <v>0</v>
      </c>
      <c r="D42" s="221">
        <f t="shared" si="7"/>
        <v>0</v>
      </c>
      <c r="E42" s="221">
        <f t="shared" si="7"/>
        <v>0</v>
      </c>
      <c r="F42" s="221">
        <f t="shared" si="7"/>
        <v>0</v>
      </c>
      <c r="G42" s="221">
        <f t="shared" si="7"/>
        <v>0</v>
      </c>
      <c r="H42" s="221">
        <f t="shared" si="7"/>
        <v>0</v>
      </c>
      <c r="I42" s="221">
        <f t="shared" si="8"/>
        <v>0</v>
      </c>
      <c r="J42" s="221">
        <f t="shared" si="1"/>
        <v>0</v>
      </c>
      <c r="K42" s="221">
        <f t="shared" si="1"/>
        <v>0</v>
      </c>
      <c r="L42" s="221">
        <f t="shared" si="1"/>
        <v>0</v>
      </c>
      <c r="M42" s="221">
        <f t="shared" si="1"/>
        <v>0</v>
      </c>
      <c r="N42" s="221">
        <f t="shared" si="9"/>
        <v>0</v>
      </c>
      <c r="O42" s="221">
        <f t="shared" si="2"/>
        <v>0</v>
      </c>
      <c r="P42" s="221">
        <f t="shared" si="2"/>
        <v>0</v>
      </c>
      <c r="Q42" s="221">
        <f t="shared" si="2"/>
        <v>0</v>
      </c>
      <c r="R42" s="221">
        <f t="shared" si="2"/>
        <v>0</v>
      </c>
      <c r="S42" s="221">
        <f t="shared" si="10"/>
        <v>0</v>
      </c>
      <c r="T42" s="221">
        <f t="shared" si="3"/>
        <v>0</v>
      </c>
      <c r="U42" s="221">
        <f t="shared" si="3"/>
        <v>0</v>
      </c>
      <c r="V42" s="221">
        <f t="shared" si="3"/>
        <v>0</v>
      </c>
      <c r="W42" s="221">
        <f t="shared" si="3"/>
        <v>0</v>
      </c>
      <c r="X42" s="221">
        <f t="shared" si="11"/>
        <v>0</v>
      </c>
      <c r="Y42" s="221">
        <f t="shared" si="4"/>
        <v>0</v>
      </c>
      <c r="Z42" s="221">
        <f t="shared" si="4"/>
        <v>0</v>
      </c>
      <c r="AA42" s="221">
        <f t="shared" si="4"/>
        <v>0</v>
      </c>
      <c r="AB42" s="221">
        <f t="shared" si="4"/>
        <v>0</v>
      </c>
      <c r="AC42" s="221">
        <f t="shared" si="12"/>
        <v>0</v>
      </c>
      <c r="AD42" s="221">
        <f t="shared" si="5"/>
        <v>0</v>
      </c>
      <c r="AE42" s="221">
        <f t="shared" si="5"/>
        <v>0</v>
      </c>
      <c r="AF42" s="221">
        <f t="shared" si="5"/>
        <v>0</v>
      </c>
      <c r="AG42" s="221">
        <f t="shared" si="5"/>
        <v>0</v>
      </c>
      <c r="AH42" s="221">
        <f t="shared" si="13"/>
        <v>0</v>
      </c>
      <c r="AI42" s="221">
        <f t="shared" si="6"/>
        <v>0</v>
      </c>
      <c r="AJ42" s="221">
        <f t="shared" si="6"/>
        <v>0</v>
      </c>
      <c r="AK42" s="221">
        <f t="shared" si="6"/>
        <v>0</v>
      </c>
      <c r="AL42" s="221">
        <f t="shared" si="6"/>
        <v>0</v>
      </c>
      <c r="AM42" s="221">
        <v>0</v>
      </c>
      <c r="AN42" s="221">
        <v>0</v>
      </c>
      <c r="AO42" s="221">
        <v>0</v>
      </c>
      <c r="AP42" s="221">
        <v>0</v>
      </c>
      <c r="AQ42" s="221">
        <v>0</v>
      </c>
      <c r="AR42" s="221">
        <v>0</v>
      </c>
      <c r="AS42" s="221">
        <v>0</v>
      </c>
      <c r="AT42" s="221">
        <v>0</v>
      </c>
      <c r="AU42" s="221">
        <v>0</v>
      </c>
      <c r="AV42" s="221">
        <v>0</v>
      </c>
      <c r="AW42" s="221">
        <v>0</v>
      </c>
      <c r="AX42" s="221">
        <v>0</v>
      </c>
      <c r="AY42" s="221">
        <v>0</v>
      </c>
      <c r="AZ42" s="221">
        <v>0</v>
      </c>
      <c r="BA42" s="221">
        <v>0</v>
      </c>
      <c r="BB42" s="221">
        <v>0</v>
      </c>
      <c r="BC42" s="221">
        <v>0</v>
      </c>
      <c r="BD42" s="221">
        <v>0</v>
      </c>
      <c r="BE42" s="221">
        <v>0</v>
      </c>
      <c r="BF42" s="221">
        <v>0</v>
      </c>
      <c r="BG42" s="221">
        <v>0</v>
      </c>
      <c r="BH42" s="221">
        <v>0</v>
      </c>
      <c r="BI42" s="221">
        <v>0</v>
      </c>
      <c r="BJ42" s="221">
        <v>0</v>
      </c>
      <c r="BK42" s="221">
        <v>0</v>
      </c>
      <c r="BL42" s="221">
        <v>0</v>
      </c>
      <c r="BM42" s="221">
        <v>0</v>
      </c>
      <c r="BN42" s="221">
        <v>0</v>
      </c>
      <c r="BO42" s="221">
        <v>0</v>
      </c>
      <c r="BP42" s="221">
        <v>0</v>
      </c>
      <c r="BQ42" s="221">
        <v>0</v>
      </c>
      <c r="BR42" s="221">
        <v>0</v>
      </c>
      <c r="BS42" s="221">
        <v>0</v>
      </c>
      <c r="BT42" s="221">
        <v>0</v>
      </c>
      <c r="BU42" s="221">
        <v>0</v>
      </c>
      <c r="BV42" s="221">
        <v>0</v>
      </c>
      <c r="BW42" s="221">
        <v>0</v>
      </c>
      <c r="BX42" s="221">
        <v>0</v>
      </c>
      <c r="BY42" s="221">
        <v>0</v>
      </c>
      <c r="BZ42" s="221">
        <v>0</v>
      </c>
      <c r="CA42" s="221">
        <v>0</v>
      </c>
      <c r="CB42" s="221">
        <v>0</v>
      </c>
      <c r="CC42" s="221">
        <v>0</v>
      </c>
      <c r="CD42" s="221">
        <v>0</v>
      </c>
      <c r="CE42" s="221">
        <v>0</v>
      </c>
      <c r="CF42" s="221">
        <v>0</v>
      </c>
      <c r="CG42" s="221">
        <v>0</v>
      </c>
      <c r="CH42" s="221">
        <v>0</v>
      </c>
      <c r="CI42" s="221">
        <v>0</v>
      </c>
      <c r="CJ42" s="221">
        <v>0</v>
      </c>
      <c r="CL42" s="225" t="s">
        <v>90</v>
      </c>
      <c r="CM42">
        <v>0</v>
      </c>
      <c r="CN42">
        <v>0</v>
      </c>
      <c r="CO42">
        <v>0</v>
      </c>
      <c r="CP42">
        <v>0</v>
      </c>
      <c r="CQ42">
        <v>0</v>
      </c>
      <c r="CR42">
        <v>0</v>
      </c>
      <c r="CS42">
        <v>0</v>
      </c>
    </row>
    <row r="44" spans="2:97" ht="18.5" x14ac:dyDescent="0.45">
      <c r="B44" s="223" t="s">
        <v>1332</v>
      </c>
    </row>
    <row r="45" spans="2:97" x14ac:dyDescent="0.35">
      <c r="B45" s="224" t="s">
        <v>1317</v>
      </c>
      <c r="C45">
        <v>2015</v>
      </c>
      <c r="D45">
        <v>2016</v>
      </c>
      <c r="E45">
        <v>2017</v>
      </c>
      <c r="F45">
        <v>2018</v>
      </c>
      <c r="G45">
        <v>2019</v>
      </c>
      <c r="H45">
        <v>2020</v>
      </c>
      <c r="I45">
        <v>2021</v>
      </c>
      <c r="J45">
        <v>2022</v>
      </c>
      <c r="K45">
        <v>2023</v>
      </c>
      <c r="L45">
        <v>2024</v>
      </c>
      <c r="M45">
        <v>2025</v>
      </c>
      <c r="N45">
        <v>2026</v>
      </c>
      <c r="O45">
        <v>2027</v>
      </c>
      <c r="P45">
        <v>2028</v>
      </c>
      <c r="Q45">
        <v>2029</v>
      </c>
      <c r="R45">
        <v>2030</v>
      </c>
      <c r="S45">
        <v>2031</v>
      </c>
      <c r="T45">
        <v>2032</v>
      </c>
      <c r="U45">
        <v>2033</v>
      </c>
      <c r="V45">
        <v>2034</v>
      </c>
      <c r="W45">
        <v>2035</v>
      </c>
      <c r="X45">
        <v>2036</v>
      </c>
      <c r="Y45">
        <v>2037</v>
      </c>
      <c r="Z45">
        <v>2038</v>
      </c>
      <c r="AA45">
        <v>2039</v>
      </c>
      <c r="AB45">
        <v>2040</v>
      </c>
      <c r="AC45">
        <v>2041</v>
      </c>
      <c r="AD45">
        <v>2042</v>
      </c>
      <c r="AE45">
        <v>2043</v>
      </c>
      <c r="AF45">
        <v>2044</v>
      </c>
      <c r="AG45">
        <v>2045</v>
      </c>
      <c r="AH45">
        <v>2046</v>
      </c>
      <c r="AI45">
        <v>2047</v>
      </c>
      <c r="AJ45">
        <v>2048</v>
      </c>
      <c r="AK45">
        <v>2049</v>
      </c>
      <c r="AL45">
        <v>2050</v>
      </c>
      <c r="AM45">
        <v>2051</v>
      </c>
      <c r="AN45">
        <v>2052</v>
      </c>
      <c r="AO45">
        <v>2053</v>
      </c>
      <c r="AP45">
        <v>2054</v>
      </c>
      <c r="AQ45">
        <v>2055</v>
      </c>
      <c r="AR45">
        <v>2056</v>
      </c>
      <c r="AS45">
        <v>2057</v>
      </c>
      <c r="AT45">
        <v>2058</v>
      </c>
      <c r="AU45">
        <v>2059</v>
      </c>
      <c r="AV45">
        <v>2060</v>
      </c>
      <c r="AW45">
        <v>2061</v>
      </c>
      <c r="AX45">
        <v>2062</v>
      </c>
      <c r="AY45">
        <v>2063</v>
      </c>
      <c r="AZ45">
        <v>2064</v>
      </c>
      <c r="BA45">
        <v>2065</v>
      </c>
      <c r="BB45">
        <v>2066</v>
      </c>
      <c r="BC45">
        <v>2067</v>
      </c>
      <c r="BD45">
        <v>2068</v>
      </c>
      <c r="BE45">
        <v>2069</v>
      </c>
      <c r="BF45">
        <v>2070</v>
      </c>
      <c r="BG45">
        <v>2071</v>
      </c>
      <c r="BH45">
        <v>2072</v>
      </c>
      <c r="BI45">
        <v>2073</v>
      </c>
      <c r="BJ45">
        <v>2074</v>
      </c>
      <c r="BK45">
        <v>2075</v>
      </c>
      <c r="BL45">
        <v>2076</v>
      </c>
      <c r="BM45">
        <v>2077</v>
      </c>
      <c r="BN45">
        <v>2078</v>
      </c>
      <c r="BO45">
        <v>2079</v>
      </c>
      <c r="BP45">
        <v>2080</v>
      </c>
      <c r="BQ45">
        <v>2081</v>
      </c>
      <c r="BR45">
        <v>2082</v>
      </c>
      <c r="BS45">
        <v>2083</v>
      </c>
      <c r="BT45">
        <v>2084</v>
      </c>
      <c r="BU45">
        <v>2085</v>
      </c>
      <c r="BV45">
        <v>2086</v>
      </c>
      <c r="BW45">
        <v>2087</v>
      </c>
      <c r="BX45">
        <v>2088</v>
      </c>
      <c r="BY45">
        <v>2089</v>
      </c>
      <c r="BZ45">
        <v>2090</v>
      </c>
      <c r="CA45">
        <v>2091</v>
      </c>
      <c r="CB45">
        <v>2092</v>
      </c>
      <c r="CC45">
        <v>2093</v>
      </c>
      <c r="CD45">
        <v>2094</v>
      </c>
      <c r="CE45">
        <v>2095</v>
      </c>
      <c r="CF45">
        <v>2096</v>
      </c>
      <c r="CG45">
        <v>2097</v>
      </c>
      <c r="CH45">
        <v>2098</v>
      </c>
      <c r="CI45">
        <v>2099</v>
      </c>
      <c r="CJ45">
        <v>2100</v>
      </c>
      <c r="CL45" t="s">
        <v>1333</v>
      </c>
      <c r="CM45" s="225" t="s">
        <v>1319</v>
      </c>
      <c r="CN45" s="225" t="s">
        <v>1320</v>
      </c>
      <c r="CO45" s="225" t="s">
        <v>1321</v>
      </c>
      <c r="CP45" s="225" t="s">
        <v>1322</v>
      </c>
      <c r="CQ45" s="225" t="s">
        <v>1323</v>
      </c>
      <c r="CR45" s="225" t="s">
        <v>1324</v>
      </c>
      <c r="CS45" s="225" t="s">
        <v>1325</v>
      </c>
    </row>
    <row r="46" spans="2:97" x14ac:dyDescent="0.35">
      <c r="B46" s="41" t="s">
        <v>1326</v>
      </c>
      <c r="C46" s="221">
        <f>$CM46</f>
        <v>7.0080900450783098E-3</v>
      </c>
      <c r="D46" s="221">
        <f t="shared" ref="D46:G46" si="14">$CM46</f>
        <v>7.0080900450783098E-3</v>
      </c>
      <c r="E46" s="221">
        <f t="shared" si="14"/>
        <v>7.0080900450783098E-3</v>
      </c>
      <c r="F46" s="221">
        <f t="shared" si="14"/>
        <v>7.0080900450783098E-3</v>
      </c>
      <c r="G46" s="221">
        <f t="shared" si="14"/>
        <v>7.0080900450783098E-3</v>
      </c>
      <c r="H46" s="221">
        <f>$CM46</f>
        <v>7.0080900450783098E-3</v>
      </c>
      <c r="I46" s="221">
        <f>$CN46</f>
        <v>4.2499398837872418E-2</v>
      </c>
      <c r="J46" s="221">
        <f t="shared" ref="J46:M54" si="15">$CN46</f>
        <v>4.2499398837872418E-2</v>
      </c>
      <c r="K46" s="221">
        <f t="shared" si="15"/>
        <v>4.2499398837872418E-2</v>
      </c>
      <c r="L46" s="221">
        <f t="shared" si="15"/>
        <v>4.2499398837872418E-2</v>
      </c>
      <c r="M46" s="221">
        <f t="shared" si="15"/>
        <v>4.2499398837872418E-2</v>
      </c>
      <c r="N46" s="221">
        <f>$CO46</f>
        <v>6.9872570926465732E-2</v>
      </c>
      <c r="O46" s="221">
        <f t="shared" ref="O46:R54" si="16">$CO46</f>
        <v>6.9872570926465732E-2</v>
      </c>
      <c r="P46" s="221">
        <f t="shared" si="16"/>
        <v>6.9872570926465732E-2</v>
      </c>
      <c r="Q46" s="221">
        <f t="shared" si="16"/>
        <v>6.9872570926465732E-2</v>
      </c>
      <c r="R46" s="221">
        <f t="shared" si="16"/>
        <v>6.9872570926465732E-2</v>
      </c>
      <c r="S46" s="221">
        <f>$CP46</f>
        <v>3.6925434677588499E-2</v>
      </c>
      <c r="T46" s="221">
        <f t="shared" ref="T46:W54" si="17">$CP46</f>
        <v>3.6925434677588499E-2</v>
      </c>
      <c r="U46" s="221">
        <f t="shared" si="17"/>
        <v>3.6925434677588499E-2</v>
      </c>
      <c r="V46" s="221">
        <f t="shared" si="17"/>
        <v>3.6925434677588499E-2</v>
      </c>
      <c r="W46" s="221">
        <f t="shared" si="17"/>
        <v>3.6925434677588499E-2</v>
      </c>
      <c r="X46" s="221">
        <f>$CQ46</f>
        <v>2.3543442258952489E-2</v>
      </c>
      <c r="Y46" s="221">
        <f t="shared" ref="Y46:AB54" si="18">$CQ46</f>
        <v>2.3543442258952489E-2</v>
      </c>
      <c r="Z46" s="221">
        <f t="shared" si="18"/>
        <v>2.3543442258952489E-2</v>
      </c>
      <c r="AA46" s="221">
        <f t="shared" si="18"/>
        <v>2.3543442258952489E-2</v>
      </c>
      <c r="AB46" s="221">
        <f t="shared" si="18"/>
        <v>2.3543442258952489E-2</v>
      </c>
      <c r="AC46" s="221">
        <f>$CR46</f>
        <v>2.4492728466370101E-2</v>
      </c>
      <c r="AD46" s="221">
        <f t="shared" ref="AD46:AG54" si="19">$CR46</f>
        <v>2.4492728466370101E-2</v>
      </c>
      <c r="AE46" s="221">
        <f t="shared" si="19"/>
        <v>2.4492728466370101E-2</v>
      </c>
      <c r="AF46" s="221">
        <f t="shared" si="19"/>
        <v>2.4492728466370101E-2</v>
      </c>
      <c r="AG46" s="221">
        <f t="shared" si="19"/>
        <v>2.4492728466370101E-2</v>
      </c>
      <c r="AH46" s="221">
        <f>$CS46</f>
        <v>1.6634857741806008E-2</v>
      </c>
      <c r="AI46" s="221">
        <f t="shared" ref="AI46:AL54" si="20">$CS46</f>
        <v>1.6634857741806008E-2</v>
      </c>
      <c r="AJ46" s="221">
        <f t="shared" si="20"/>
        <v>1.6634857741806008E-2</v>
      </c>
      <c r="AK46" s="221">
        <f t="shared" si="20"/>
        <v>1.6634857741806008E-2</v>
      </c>
      <c r="AL46" s="221">
        <f>$CS46</f>
        <v>1.6634857741806008E-2</v>
      </c>
      <c r="AM46" s="221">
        <v>0</v>
      </c>
      <c r="AN46" s="221">
        <v>0</v>
      </c>
      <c r="AO46" s="221">
        <v>0</v>
      </c>
      <c r="AP46" s="221">
        <v>0</v>
      </c>
      <c r="AQ46" s="221">
        <v>0</v>
      </c>
      <c r="AR46" s="221">
        <v>0</v>
      </c>
      <c r="AS46" s="221">
        <v>0</v>
      </c>
      <c r="AT46" s="221">
        <v>0</v>
      </c>
      <c r="AU46" s="221">
        <v>0</v>
      </c>
      <c r="AV46" s="221">
        <v>0</v>
      </c>
      <c r="AW46" s="221">
        <v>0</v>
      </c>
      <c r="AX46" s="221">
        <v>0</v>
      </c>
      <c r="AY46" s="221">
        <v>0</v>
      </c>
      <c r="AZ46" s="221">
        <v>0</v>
      </c>
      <c r="BA46" s="221">
        <v>0</v>
      </c>
      <c r="BB46" s="221">
        <v>0</v>
      </c>
      <c r="BC46" s="221">
        <v>0</v>
      </c>
      <c r="BD46" s="221">
        <v>0</v>
      </c>
      <c r="BE46" s="221">
        <v>0</v>
      </c>
      <c r="BF46" s="221">
        <v>0</v>
      </c>
      <c r="BG46" s="221">
        <v>0</v>
      </c>
      <c r="BH46" s="221">
        <v>0</v>
      </c>
      <c r="BI46" s="221">
        <v>0</v>
      </c>
      <c r="BJ46" s="221">
        <v>0</v>
      </c>
      <c r="BK46" s="221">
        <v>0</v>
      </c>
      <c r="BL46" s="221">
        <v>0</v>
      </c>
      <c r="BM46" s="221">
        <v>0</v>
      </c>
      <c r="BN46" s="221">
        <v>0</v>
      </c>
      <c r="BO46" s="221">
        <v>0</v>
      </c>
      <c r="BP46" s="221">
        <v>0</v>
      </c>
      <c r="BQ46" s="221">
        <v>0</v>
      </c>
      <c r="BR46" s="221">
        <v>0</v>
      </c>
      <c r="BS46" s="221">
        <v>0</v>
      </c>
      <c r="BT46" s="221">
        <v>0</v>
      </c>
      <c r="BU46" s="221">
        <v>0</v>
      </c>
      <c r="BV46" s="221">
        <v>0</v>
      </c>
      <c r="BW46" s="221">
        <v>0</v>
      </c>
      <c r="BX46" s="221">
        <v>0</v>
      </c>
      <c r="BY46" s="221">
        <v>0</v>
      </c>
      <c r="BZ46" s="221">
        <v>0</v>
      </c>
      <c r="CA46" s="221">
        <v>0</v>
      </c>
      <c r="CB46" s="221">
        <v>0</v>
      </c>
      <c r="CC46" s="221">
        <v>0</v>
      </c>
      <c r="CD46" s="221">
        <v>0</v>
      </c>
      <c r="CE46" s="221">
        <v>0</v>
      </c>
      <c r="CF46" s="221">
        <v>0</v>
      </c>
      <c r="CG46" s="221">
        <v>0</v>
      </c>
      <c r="CH46" s="221">
        <v>0</v>
      </c>
      <c r="CI46" s="221">
        <v>0</v>
      </c>
      <c r="CJ46" s="221">
        <v>0</v>
      </c>
      <c r="CL46" s="225" t="s">
        <v>143</v>
      </c>
      <c r="CM46">
        <v>7.0080900450783098E-3</v>
      </c>
      <c r="CN46">
        <v>4.2499398837872418E-2</v>
      </c>
      <c r="CO46">
        <v>6.9872570926465732E-2</v>
      </c>
      <c r="CP46">
        <v>3.6925434677588499E-2</v>
      </c>
      <c r="CQ46">
        <v>2.3543442258952489E-2</v>
      </c>
      <c r="CR46">
        <v>2.4492728466370101E-2</v>
      </c>
      <c r="CS46">
        <v>1.6634857741806008E-2</v>
      </c>
    </row>
    <row r="47" spans="2:97" x14ac:dyDescent="0.35">
      <c r="B47" s="42" t="s">
        <v>1327</v>
      </c>
      <c r="C47" s="221">
        <f t="shared" ref="C47:H54" si="21">$CM47</f>
        <v>0</v>
      </c>
      <c r="D47" s="221">
        <f t="shared" si="21"/>
        <v>0</v>
      </c>
      <c r="E47" s="221">
        <f t="shared" si="21"/>
        <v>0</v>
      </c>
      <c r="F47" s="221">
        <f t="shared" si="21"/>
        <v>0</v>
      </c>
      <c r="G47" s="221">
        <f t="shared" si="21"/>
        <v>0</v>
      </c>
      <c r="H47" s="221">
        <f t="shared" si="21"/>
        <v>0</v>
      </c>
      <c r="I47" s="221">
        <f t="shared" ref="I47:I54" si="22">$CN47</f>
        <v>0</v>
      </c>
      <c r="J47" s="221">
        <f t="shared" si="15"/>
        <v>0</v>
      </c>
      <c r="K47" s="221">
        <f t="shared" si="15"/>
        <v>0</v>
      </c>
      <c r="L47" s="221">
        <f t="shared" si="15"/>
        <v>0</v>
      </c>
      <c r="M47" s="221">
        <f t="shared" si="15"/>
        <v>0</v>
      </c>
      <c r="N47" s="221">
        <f t="shared" ref="N47:N54" si="23">$CO47</f>
        <v>0</v>
      </c>
      <c r="O47" s="221">
        <f t="shared" si="16"/>
        <v>0</v>
      </c>
      <c r="P47" s="221">
        <f t="shared" si="16"/>
        <v>0</v>
      </c>
      <c r="Q47" s="221">
        <f t="shared" si="16"/>
        <v>0</v>
      </c>
      <c r="R47" s="221">
        <f t="shared" si="16"/>
        <v>0</v>
      </c>
      <c r="S47" s="221">
        <f t="shared" ref="S47:S54" si="24">$CP47</f>
        <v>0</v>
      </c>
      <c r="T47" s="221">
        <f t="shared" si="17"/>
        <v>0</v>
      </c>
      <c r="U47" s="221">
        <f t="shared" si="17"/>
        <v>0</v>
      </c>
      <c r="V47" s="221">
        <f t="shared" si="17"/>
        <v>0</v>
      </c>
      <c r="W47" s="221">
        <f t="shared" si="17"/>
        <v>0</v>
      </c>
      <c r="X47" s="221">
        <f t="shared" ref="X47:X54" si="25">$CQ47</f>
        <v>0</v>
      </c>
      <c r="Y47" s="221">
        <f t="shared" si="18"/>
        <v>0</v>
      </c>
      <c r="Z47" s="221">
        <f t="shared" si="18"/>
        <v>0</v>
      </c>
      <c r="AA47" s="221">
        <f t="shared" si="18"/>
        <v>0</v>
      </c>
      <c r="AB47" s="221">
        <f t="shared" si="18"/>
        <v>0</v>
      </c>
      <c r="AC47" s="221">
        <f t="shared" ref="AC47:AC54" si="26">$CR47</f>
        <v>0</v>
      </c>
      <c r="AD47" s="221">
        <f t="shared" si="19"/>
        <v>0</v>
      </c>
      <c r="AE47" s="221">
        <f t="shared" si="19"/>
        <v>0</v>
      </c>
      <c r="AF47" s="221">
        <f t="shared" si="19"/>
        <v>0</v>
      </c>
      <c r="AG47" s="221">
        <f t="shared" si="19"/>
        <v>0</v>
      </c>
      <c r="AH47" s="221">
        <f t="shared" ref="AH47:AH54" si="27">$CS47</f>
        <v>0</v>
      </c>
      <c r="AI47" s="221">
        <f t="shared" si="20"/>
        <v>0</v>
      </c>
      <c r="AJ47" s="221">
        <f t="shared" si="20"/>
        <v>0</v>
      </c>
      <c r="AK47" s="221">
        <f t="shared" si="20"/>
        <v>0</v>
      </c>
      <c r="AL47" s="221">
        <f t="shared" si="20"/>
        <v>0</v>
      </c>
      <c r="AM47" s="221">
        <v>0</v>
      </c>
      <c r="AN47" s="221">
        <v>0</v>
      </c>
      <c r="AO47" s="221">
        <v>0</v>
      </c>
      <c r="AP47" s="221">
        <v>0</v>
      </c>
      <c r="AQ47" s="221">
        <v>0</v>
      </c>
      <c r="AR47" s="221">
        <v>0</v>
      </c>
      <c r="AS47" s="221">
        <v>0</v>
      </c>
      <c r="AT47" s="221">
        <v>0</v>
      </c>
      <c r="AU47" s="221">
        <v>0</v>
      </c>
      <c r="AV47" s="221">
        <v>0</v>
      </c>
      <c r="AW47" s="221">
        <v>0</v>
      </c>
      <c r="AX47" s="221">
        <v>0</v>
      </c>
      <c r="AY47" s="221">
        <v>0</v>
      </c>
      <c r="AZ47" s="221">
        <v>0</v>
      </c>
      <c r="BA47" s="221">
        <v>0</v>
      </c>
      <c r="BB47" s="221">
        <v>0</v>
      </c>
      <c r="BC47" s="221">
        <v>0</v>
      </c>
      <c r="BD47" s="221">
        <v>0</v>
      </c>
      <c r="BE47" s="221">
        <v>0</v>
      </c>
      <c r="BF47" s="221">
        <v>0</v>
      </c>
      <c r="BG47" s="221">
        <v>0</v>
      </c>
      <c r="BH47" s="221">
        <v>0</v>
      </c>
      <c r="BI47" s="221">
        <v>0</v>
      </c>
      <c r="BJ47" s="221">
        <v>0</v>
      </c>
      <c r="BK47" s="221">
        <v>0</v>
      </c>
      <c r="BL47" s="221">
        <v>0</v>
      </c>
      <c r="BM47" s="221">
        <v>0</v>
      </c>
      <c r="BN47" s="221">
        <v>0</v>
      </c>
      <c r="BO47" s="221">
        <v>0</v>
      </c>
      <c r="BP47" s="221">
        <v>0</v>
      </c>
      <c r="BQ47" s="221">
        <v>0</v>
      </c>
      <c r="BR47" s="221">
        <v>0</v>
      </c>
      <c r="BS47" s="221">
        <v>0</v>
      </c>
      <c r="BT47" s="221">
        <v>0</v>
      </c>
      <c r="BU47" s="221">
        <v>0</v>
      </c>
      <c r="BV47" s="221">
        <v>0</v>
      </c>
      <c r="BW47" s="221">
        <v>0</v>
      </c>
      <c r="BX47" s="221">
        <v>0</v>
      </c>
      <c r="BY47" s="221">
        <v>0</v>
      </c>
      <c r="BZ47" s="221">
        <v>0</v>
      </c>
      <c r="CA47" s="221">
        <v>0</v>
      </c>
      <c r="CB47" s="221">
        <v>0</v>
      </c>
      <c r="CC47" s="221">
        <v>0</v>
      </c>
      <c r="CD47" s="221">
        <v>0</v>
      </c>
      <c r="CE47" s="221">
        <v>0</v>
      </c>
      <c r="CF47" s="221">
        <v>0</v>
      </c>
      <c r="CG47" s="221">
        <v>0</v>
      </c>
      <c r="CH47" s="221">
        <v>0</v>
      </c>
      <c r="CI47" s="221">
        <v>0</v>
      </c>
      <c r="CJ47" s="221">
        <v>0</v>
      </c>
      <c r="CL47" s="225" t="s">
        <v>83</v>
      </c>
      <c r="CM47">
        <v>0</v>
      </c>
      <c r="CN47">
        <v>0</v>
      </c>
      <c r="CO47">
        <v>0</v>
      </c>
      <c r="CP47">
        <v>0</v>
      </c>
      <c r="CQ47">
        <v>0</v>
      </c>
      <c r="CR47">
        <v>0</v>
      </c>
      <c r="CS47">
        <v>0</v>
      </c>
    </row>
    <row r="48" spans="2:97" x14ac:dyDescent="0.35">
      <c r="B48" s="42" t="s">
        <v>758</v>
      </c>
      <c r="C48" s="221">
        <f t="shared" si="21"/>
        <v>2.4075632872210189E-2</v>
      </c>
      <c r="D48" s="221">
        <f t="shared" si="21"/>
        <v>2.4075632872210189E-2</v>
      </c>
      <c r="E48" s="221">
        <f t="shared" si="21"/>
        <v>2.4075632872210189E-2</v>
      </c>
      <c r="F48" s="221">
        <f t="shared" si="21"/>
        <v>2.4075632872210189E-2</v>
      </c>
      <c r="G48" s="221">
        <f t="shared" si="21"/>
        <v>2.4075632872210189E-2</v>
      </c>
      <c r="H48" s="221">
        <f t="shared" si="21"/>
        <v>2.4075632872210189E-2</v>
      </c>
      <c r="I48" s="221">
        <f t="shared" si="22"/>
        <v>4.386532871750267E-2</v>
      </c>
      <c r="J48" s="221">
        <f t="shared" si="15"/>
        <v>4.386532871750267E-2</v>
      </c>
      <c r="K48" s="221">
        <f t="shared" si="15"/>
        <v>4.386532871750267E-2</v>
      </c>
      <c r="L48" s="221">
        <f t="shared" si="15"/>
        <v>4.386532871750267E-2</v>
      </c>
      <c r="M48" s="221">
        <f t="shared" si="15"/>
        <v>4.386532871750267E-2</v>
      </c>
      <c r="N48" s="221">
        <f t="shared" si="23"/>
        <v>3.1065678822153719E-2</v>
      </c>
      <c r="O48" s="221">
        <f t="shared" si="16"/>
        <v>3.1065678822153719E-2</v>
      </c>
      <c r="P48" s="221">
        <f t="shared" si="16"/>
        <v>3.1065678822153719E-2</v>
      </c>
      <c r="Q48" s="221">
        <f t="shared" si="16"/>
        <v>3.1065678822153719E-2</v>
      </c>
      <c r="R48" s="221">
        <f t="shared" si="16"/>
        <v>3.1065678822153719E-2</v>
      </c>
      <c r="S48" s="221">
        <f t="shared" si="24"/>
        <v>5.0529180123303388E-2</v>
      </c>
      <c r="T48" s="221">
        <f t="shared" si="17"/>
        <v>5.0529180123303388E-2</v>
      </c>
      <c r="U48" s="221">
        <f t="shared" si="17"/>
        <v>5.0529180123303388E-2</v>
      </c>
      <c r="V48" s="221">
        <f t="shared" si="17"/>
        <v>5.0529180123303388E-2</v>
      </c>
      <c r="W48" s="221">
        <f t="shared" si="17"/>
        <v>5.0529180123303388E-2</v>
      </c>
      <c r="X48" s="221">
        <f t="shared" si="25"/>
        <v>4.7528495650201813E-2</v>
      </c>
      <c r="Y48" s="221">
        <f t="shared" si="18"/>
        <v>4.7528495650201813E-2</v>
      </c>
      <c r="Z48" s="221">
        <f t="shared" si="18"/>
        <v>4.7528495650201813E-2</v>
      </c>
      <c r="AA48" s="221">
        <f t="shared" si="18"/>
        <v>4.7528495650201813E-2</v>
      </c>
      <c r="AB48" s="221">
        <f t="shared" si="18"/>
        <v>4.7528495650201813E-2</v>
      </c>
      <c r="AC48" s="221">
        <f t="shared" si="26"/>
        <v>4.1265653306164191E-2</v>
      </c>
      <c r="AD48" s="221">
        <f t="shared" si="19"/>
        <v>4.1265653306164191E-2</v>
      </c>
      <c r="AE48" s="221">
        <f t="shared" si="19"/>
        <v>4.1265653306164191E-2</v>
      </c>
      <c r="AF48" s="221">
        <f t="shared" si="19"/>
        <v>4.1265653306164191E-2</v>
      </c>
      <c r="AG48" s="221">
        <f t="shared" si="19"/>
        <v>4.1265653306164191E-2</v>
      </c>
      <c r="AH48" s="221">
        <f t="shared" si="27"/>
        <v>4.0128133738534119E-2</v>
      </c>
      <c r="AI48" s="221">
        <f t="shared" si="20"/>
        <v>4.0128133738534119E-2</v>
      </c>
      <c r="AJ48" s="221">
        <f t="shared" si="20"/>
        <v>4.0128133738534119E-2</v>
      </c>
      <c r="AK48" s="221">
        <f t="shared" si="20"/>
        <v>4.0128133738534119E-2</v>
      </c>
      <c r="AL48" s="221">
        <f t="shared" si="20"/>
        <v>4.0128133738534119E-2</v>
      </c>
      <c r="AM48" s="221">
        <v>0</v>
      </c>
      <c r="AN48" s="221">
        <v>0</v>
      </c>
      <c r="AO48" s="221">
        <v>0</v>
      </c>
      <c r="AP48" s="221">
        <v>0</v>
      </c>
      <c r="AQ48" s="221">
        <v>0</v>
      </c>
      <c r="AR48" s="221">
        <v>0</v>
      </c>
      <c r="AS48" s="221">
        <v>0</v>
      </c>
      <c r="AT48" s="221">
        <v>0</v>
      </c>
      <c r="AU48" s="221">
        <v>0</v>
      </c>
      <c r="AV48" s="221">
        <v>0</v>
      </c>
      <c r="AW48" s="221">
        <v>0</v>
      </c>
      <c r="AX48" s="221">
        <v>0</v>
      </c>
      <c r="AY48" s="221">
        <v>0</v>
      </c>
      <c r="AZ48" s="221">
        <v>0</v>
      </c>
      <c r="BA48" s="221">
        <v>0</v>
      </c>
      <c r="BB48" s="221">
        <v>0</v>
      </c>
      <c r="BC48" s="221">
        <v>0</v>
      </c>
      <c r="BD48" s="221">
        <v>0</v>
      </c>
      <c r="BE48" s="221">
        <v>0</v>
      </c>
      <c r="BF48" s="221">
        <v>0</v>
      </c>
      <c r="BG48" s="221">
        <v>0</v>
      </c>
      <c r="BH48" s="221">
        <v>0</v>
      </c>
      <c r="BI48" s="221">
        <v>0</v>
      </c>
      <c r="BJ48" s="221">
        <v>0</v>
      </c>
      <c r="BK48" s="221">
        <v>0</v>
      </c>
      <c r="BL48" s="221">
        <v>0</v>
      </c>
      <c r="BM48" s="221">
        <v>0</v>
      </c>
      <c r="BN48" s="221">
        <v>0</v>
      </c>
      <c r="BO48" s="221">
        <v>0</v>
      </c>
      <c r="BP48" s="221">
        <v>0</v>
      </c>
      <c r="BQ48" s="221">
        <v>0</v>
      </c>
      <c r="BR48" s="221">
        <v>0</v>
      </c>
      <c r="BS48" s="221">
        <v>0</v>
      </c>
      <c r="BT48" s="221">
        <v>0</v>
      </c>
      <c r="BU48" s="221">
        <v>0</v>
      </c>
      <c r="BV48" s="221">
        <v>0</v>
      </c>
      <c r="BW48" s="221">
        <v>0</v>
      </c>
      <c r="BX48" s="221">
        <v>0</v>
      </c>
      <c r="BY48" s="221">
        <v>0</v>
      </c>
      <c r="BZ48" s="221">
        <v>0</v>
      </c>
      <c r="CA48" s="221">
        <v>0</v>
      </c>
      <c r="CB48" s="221">
        <v>0</v>
      </c>
      <c r="CC48" s="221">
        <v>0</v>
      </c>
      <c r="CD48" s="221">
        <v>0</v>
      </c>
      <c r="CE48" s="221">
        <v>0</v>
      </c>
      <c r="CF48" s="221">
        <v>0</v>
      </c>
      <c r="CG48" s="221">
        <v>0</v>
      </c>
      <c r="CH48" s="221">
        <v>0</v>
      </c>
      <c r="CI48" s="221">
        <v>0</v>
      </c>
      <c r="CJ48" s="221">
        <v>0</v>
      </c>
      <c r="CL48" s="225" t="s">
        <v>144</v>
      </c>
      <c r="CM48">
        <v>2.4075632872210189E-2</v>
      </c>
      <c r="CN48">
        <v>4.386532871750267E-2</v>
      </c>
      <c r="CO48">
        <v>3.1065678822153719E-2</v>
      </c>
      <c r="CP48">
        <v>5.0529180123303388E-2</v>
      </c>
      <c r="CQ48">
        <v>4.7528495650201813E-2</v>
      </c>
      <c r="CR48">
        <v>4.1265653306164191E-2</v>
      </c>
      <c r="CS48">
        <v>4.0128133738534119E-2</v>
      </c>
    </row>
    <row r="49" spans="2:97" x14ac:dyDescent="0.35">
      <c r="B49" s="42" t="s">
        <v>1328</v>
      </c>
      <c r="C49" s="221">
        <f t="shared" si="21"/>
        <v>0</v>
      </c>
      <c r="D49" s="221">
        <f t="shared" si="21"/>
        <v>0</v>
      </c>
      <c r="E49" s="221">
        <f t="shared" si="21"/>
        <v>0</v>
      </c>
      <c r="F49" s="221">
        <f t="shared" si="21"/>
        <v>0</v>
      </c>
      <c r="G49" s="221">
        <f t="shared" si="21"/>
        <v>0</v>
      </c>
      <c r="H49" s="221">
        <f t="shared" si="21"/>
        <v>0</v>
      </c>
      <c r="I49" s="221">
        <f t="shared" si="22"/>
        <v>0</v>
      </c>
      <c r="J49" s="221">
        <f t="shared" si="15"/>
        <v>0</v>
      </c>
      <c r="K49" s="221">
        <f t="shared" si="15"/>
        <v>0</v>
      </c>
      <c r="L49" s="221">
        <f t="shared" si="15"/>
        <v>0</v>
      </c>
      <c r="M49" s="221">
        <f t="shared" si="15"/>
        <v>0</v>
      </c>
      <c r="N49" s="221">
        <f t="shared" si="23"/>
        <v>0</v>
      </c>
      <c r="O49" s="221">
        <f t="shared" si="16"/>
        <v>0</v>
      </c>
      <c r="P49" s="221">
        <f t="shared" si="16"/>
        <v>0</v>
      </c>
      <c r="Q49" s="221">
        <f t="shared" si="16"/>
        <v>0</v>
      </c>
      <c r="R49" s="221">
        <f t="shared" si="16"/>
        <v>0</v>
      </c>
      <c r="S49" s="221">
        <f t="shared" si="24"/>
        <v>0</v>
      </c>
      <c r="T49" s="221">
        <f t="shared" si="17"/>
        <v>0</v>
      </c>
      <c r="U49" s="221">
        <f t="shared" si="17"/>
        <v>0</v>
      </c>
      <c r="V49" s="221">
        <f t="shared" si="17"/>
        <v>0</v>
      </c>
      <c r="W49" s="221">
        <f t="shared" si="17"/>
        <v>0</v>
      </c>
      <c r="X49" s="221">
        <f t="shared" si="25"/>
        <v>0</v>
      </c>
      <c r="Y49" s="221">
        <f t="shared" si="18"/>
        <v>0</v>
      </c>
      <c r="Z49" s="221">
        <f t="shared" si="18"/>
        <v>0</v>
      </c>
      <c r="AA49" s="221">
        <f t="shared" si="18"/>
        <v>0</v>
      </c>
      <c r="AB49" s="221">
        <f t="shared" si="18"/>
        <v>0</v>
      </c>
      <c r="AC49" s="221">
        <f t="shared" si="26"/>
        <v>0</v>
      </c>
      <c r="AD49" s="221">
        <f t="shared" si="19"/>
        <v>0</v>
      </c>
      <c r="AE49" s="221">
        <f t="shared" si="19"/>
        <v>0</v>
      </c>
      <c r="AF49" s="221">
        <f t="shared" si="19"/>
        <v>0</v>
      </c>
      <c r="AG49" s="221">
        <f t="shared" si="19"/>
        <v>0</v>
      </c>
      <c r="AH49" s="221">
        <f t="shared" si="27"/>
        <v>0</v>
      </c>
      <c r="AI49" s="221">
        <f t="shared" si="20"/>
        <v>0</v>
      </c>
      <c r="AJ49" s="221">
        <f t="shared" si="20"/>
        <v>0</v>
      </c>
      <c r="AK49" s="221">
        <f t="shared" si="20"/>
        <v>0</v>
      </c>
      <c r="AL49" s="221">
        <f t="shared" si="20"/>
        <v>0</v>
      </c>
      <c r="AM49" s="221">
        <v>0</v>
      </c>
      <c r="AN49" s="221">
        <v>0</v>
      </c>
      <c r="AO49" s="221">
        <v>0</v>
      </c>
      <c r="AP49" s="221">
        <v>0</v>
      </c>
      <c r="AQ49" s="221">
        <v>0</v>
      </c>
      <c r="AR49" s="221">
        <v>0</v>
      </c>
      <c r="AS49" s="221">
        <v>0</v>
      </c>
      <c r="AT49" s="221">
        <v>0</v>
      </c>
      <c r="AU49" s="221">
        <v>0</v>
      </c>
      <c r="AV49" s="221">
        <v>0</v>
      </c>
      <c r="AW49" s="221">
        <v>0</v>
      </c>
      <c r="AX49" s="221">
        <v>0</v>
      </c>
      <c r="AY49" s="221">
        <v>0</v>
      </c>
      <c r="AZ49" s="221">
        <v>0</v>
      </c>
      <c r="BA49" s="221">
        <v>0</v>
      </c>
      <c r="BB49" s="221">
        <v>0</v>
      </c>
      <c r="BC49" s="221">
        <v>0</v>
      </c>
      <c r="BD49" s="221">
        <v>0</v>
      </c>
      <c r="BE49" s="221">
        <v>0</v>
      </c>
      <c r="BF49" s="221">
        <v>0</v>
      </c>
      <c r="BG49" s="221">
        <v>0</v>
      </c>
      <c r="BH49" s="221">
        <v>0</v>
      </c>
      <c r="BI49" s="221">
        <v>0</v>
      </c>
      <c r="BJ49" s="221">
        <v>0</v>
      </c>
      <c r="BK49" s="221">
        <v>0</v>
      </c>
      <c r="BL49" s="221">
        <v>0</v>
      </c>
      <c r="BM49" s="221">
        <v>0</v>
      </c>
      <c r="BN49" s="221">
        <v>0</v>
      </c>
      <c r="BO49" s="221">
        <v>0</v>
      </c>
      <c r="BP49" s="221">
        <v>0</v>
      </c>
      <c r="BQ49" s="221">
        <v>0</v>
      </c>
      <c r="BR49" s="221">
        <v>0</v>
      </c>
      <c r="BS49" s="221">
        <v>0</v>
      </c>
      <c r="BT49" s="221">
        <v>0</v>
      </c>
      <c r="BU49" s="221">
        <v>0</v>
      </c>
      <c r="BV49" s="221">
        <v>0</v>
      </c>
      <c r="BW49" s="221">
        <v>0</v>
      </c>
      <c r="BX49" s="221">
        <v>0</v>
      </c>
      <c r="BY49" s="221">
        <v>0</v>
      </c>
      <c r="BZ49" s="221">
        <v>0</v>
      </c>
      <c r="CA49" s="221">
        <v>0</v>
      </c>
      <c r="CB49" s="221">
        <v>0</v>
      </c>
      <c r="CC49" s="221">
        <v>0</v>
      </c>
      <c r="CD49" s="221">
        <v>0</v>
      </c>
      <c r="CE49" s="221">
        <v>0</v>
      </c>
      <c r="CF49" s="221">
        <v>0</v>
      </c>
      <c r="CG49" s="221">
        <v>0</v>
      </c>
      <c r="CH49" s="221">
        <v>0</v>
      </c>
      <c r="CI49" s="221">
        <v>0</v>
      </c>
      <c r="CJ49" s="221">
        <v>0</v>
      </c>
      <c r="CL49" s="225" t="s">
        <v>164</v>
      </c>
      <c r="CM49">
        <v>0</v>
      </c>
      <c r="CN49">
        <v>0</v>
      </c>
      <c r="CO49">
        <v>0</v>
      </c>
      <c r="CP49">
        <v>0</v>
      </c>
      <c r="CQ49">
        <v>0</v>
      </c>
      <c r="CR49">
        <v>0</v>
      </c>
      <c r="CS49">
        <v>0</v>
      </c>
    </row>
    <row r="50" spans="2:97" x14ac:dyDescent="0.35">
      <c r="B50" s="42" t="s">
        <v>759</v>
      </c>
      <c r="C50" s="221">
        <f t="shared" si="21"/>
        <v>1.3132781959542371E-2</v>
      </c>
      <c r="D50" s="221">
        <f t="shared" si="21"/>
        <v>1.3132781959542371E-2</v>
      </c>
      <c r="E50" s="221">
        <f t="shared" si="21"/>
        <v>1.3132781959542371E-2</v>
      </c>
      <c r="F50" s="221">
        <f t="shared" si="21"/>
        <v>1.3132781959542371E-2</v>
      </c>
      <c r="G50" s="221">
        <f t="shared" si="21"/>
        <v>1.3132781959542371E-2</v>
      </c>
      <c r="H50" s="221">
        <f t="shared" si="21"/>
        <v>1.3132781959542371E-2</v>
      </c>
      <c r="I50" s="221">
        <f t="shared" si="22"/>
        <v>2.470268921658627E-2</v>
      </c>
      <c r="J50" s="221">
        <f t="shared" si="15"/>
        <v>2.470268921658627E-2</v>
      </c>
      <c r="K50" s="221">
        <f t="shared" si="15"/>
        <v>2.470268921658627E-2</v>
      </c>
      <c r="L50" s="221">
        <f t="shared" si="15"/>
        <v>2.470268921658627E-2</v>
      </c>
      <c r="M50" s="221">
        <f t="shared" si="15"/>
        <v>2.470268921658627E-2</v>
      </c>
      <c r="N50" s="221">
        <f t="shared" si="23"/>
        <v>3.8481977237501012E-2</v>
      </c>
      <c r="O50" s="221">
        <f t="shared" si="16"/>
        <v>3.8481977237501012E-2</v>
      </c>
      <c r="P50" s="221">
        <f t="shared" si="16"/>
        <v>3.8481977237501012E-2</v>
      </c>
      <c r="Q50" s="221">
        <f t="shared" si="16"/>
        <v>3.8481977237501012E-2</v>
      </c>
      <c r="R50" s="221">
        <f t="shared" si="16"/>
        <v>3.8481977237501012E-2</v>
      </c>
      <c r="S50" s="221">
        <f t="shared" si="24"/>
        <v>3.0855127401086108E-2</v>
      </c>
      <c r="T50" s="221">
        <f t="shared" si="17"/>
        <v>3.0855127401086108E-2</v>
      </c>
      <c r="U50" s="221">
        <f t="shared" si="17"/>
        <v>3.0855127401086108E-2</v>
      </c>
      <c r="V50" s="221">
        <f t="shared" si="17"/>
        <v>3.0855127401086108E-2</v>
      </c>
      <c r="W50" s="221">
        <f t="shared" si="17"/>
        <v>3.0855127401086108E-2</v>
      </c>
      <c r="X50" s="221">
        <f t="shared" si="25"/>
        <v>5.4991504046153647E-2</v>
      </c>
      <c r="Y50" s="221">
        <f t="shared" si="18"/>
        <v>5.4991504046153647E-2</v>
      </c>
      <c r="Z50" s="221">
        <f t="shared" si="18"/>
        <v>5.4991504046153647E-2</v>
      </c>
      <c r="AA50" s="221">
        <f t="shared" si="18"/>
        <v>5.4991504046153647E-2</v>
      </c>
      <c r="AB50" s="221">
        <f t="shared" si="18"/>
        <v>5.4991504046153647E-2</v>
      </c>
      <c r="AC50" s="221">
        <f t="shared" si="26"/>
        <v>7.6168368363214653E-2</v>
      </c>
      <c r="AD50" s="221">
        <f t="shared" si="19"/>
        <v>7.6168368363214653E-2</v>
      </c>
      <c r="AE50" s="221">
        <f t="shared" si="19"/>
        <v>7.6168368363214653E-2</v>
      </c>
      <c r="AF50" s="221">
        <f t="shared" si="19"/>
        <v>7.6168368363214653E-2</v>
      </c>
      <c r="AG50" s="221">
        <f t="shared" si="19"/>
        <v>7.6168368363214653E-2</v>
      </c>
      <c r="AH50" s="221">
        <f t="shared" si="27"/>
        <v>0.101308183695796</v>
      </c>
      <c r="AI50" s="221">
        <f t="shared" si="20"/>
        <v>0.101308183695796</v>
      </c>
      <c r="AJ50" s="221">
        <f t="shared" si="20"/>
        <v>0.101308183695796</v>
      </c>
      <c r="AK50" s="221">
        <f t="shared" si="20"/>
        <v>0.101308183695796</v>
      </c>
      <c r="AL50" s="221">
        <f t="shared" si="20"/>
        <v>0.101308183695796</v>
      </c>
      <c r="AM50" s="221">
        <v>0</v>
      </c>
      <c r="AN50" s="221">
        <v>0</v>
      </c>
      <c r="AO50" s="221">
        <v>0</v>
      </c>
      <c r="AP50" s="221">
        <v>0</v>
      </c>
      <c r="AQ50" s="221">
        <v>0</v>
      </c>
      <c r="AR50" s="221">
        <v>0</v>
      </c>
      <c r="AS50" s="221">
        <v>0</v>
      </c>
      <c r="AT50" s="221">
        <v>0</v>
      </c>
      <c r="AU50" s="221">
        <v>0</v>
      </c>
      <c r="AV50" s="221">
        <v>0</v>
      </c>
      <c r="AW50" s="221">
        <v>0</v>
      </c>
      <c r="AX50" s="221">
        <v>0</v>
      </c>
      <c r="AY50" s="221">
        <v>0</v>
      </c>
      <c r="AZ50" s="221">
        <v>0</v>
      </c>
      <c r="BA50" s="221">
        <v>0</v>
      </c>
      <c r="BB50" s="221">
        <v>0</v>
      </c>
      <c r="BC50" s="221">
        <v>0</v>
      </c>
      <c r="BD50" s="221">
        <v>0</v>
      </c>
      <c r="BE50" s="221">
        <v>0</v>
      </c>
      <c r="BF50" s="221">
        <v>0</v>
      </c>
      <c r="BG50" s="221">
        <v>0</v>
      </c>
      <c r="BH50" s="221">
        <v>0</v>
      </c>
      <c r="BI50" s="221">
        <v>0</v>
      </c>
      <c r="BJ50" s="221">
        <v>0</v>
      </c>
      <c r="BK50" s="221">
        <v>0</v>
      </c>
      <c r="BL50" s="221">
        <v>0</v>
      </c>
      <c r="BM50" s="221">
        <v>0</v>
      </c>
      <c r="BN50" s="221">
        <v>0</v>
      </c>
      <c r="BO50" s="221">
        <v>0</v>
      </c>
      <c r="BP50" s="221">
        <v>0</v>
      </c>
      <c r="BQ50" s="221">
        <v>0</v>
      </c>
      <c r="BR50" s="221">
        <v>0</v>
      </c>
      <c r="BS50" s="221">
        <v>0</v>
      </c>
      <c r="BT50" s="221">
        <v>0</v>
      </c>
      <c r="BU50" s="221">
        <v>0</v>
      </c>
      <c r="BV50" s="221">
        <v>0</v>
      </c>
      <c r="BW50" s="221">
        <v>0</v>
      </c>
      <c r="BX50" s="221">
        <v>0</v>
      </c>
      <c r="BY50" s="221">
        <v>0</v>
      </c>
      <c r="BZ50" s="221">
        <v>0</v>
      </c>
      <c r="CA50" s="221">
        <v>0</v>
      </c>
      <c r="CB50" s="221">
        <v>0</v>
      </c>
      <c r="CC50" s="221">
        <v>0</v>
      </c>
      <c r="CD50" s="221">
        <v>0</v>
      </c>
      <c r="CE50" s="221">
        <v>0</v>
      </c>
      <c r="CF50" s="221">
        <v>0</v>
      </c>
      <c r="CG50" s="221">
        <v>0</v>
      </c>
      <c r="CH50" s="221">
        <v>0</v>
      </c>
      <c r="CI50" s="221">
        <v>0</v>
      </c>
      <c r="CJ50" s="221">
        <v>0</v>
      </c>
      <c r="CL50" s="225" t="s">
        <v>145</v>
      </c>
      <c r="CM50">
        <v>1.3132781959542371E-2</v>
      </c>
      <c r="CN50">
        <v>2.470268921658627E-2</v>
      </c>
      <c r="CO50">
        <v>3.8481977237501012E-2</v>
      </c>
      <c r="CP50">
        <v>3.0855127401086108E-2</v>
      </c>
      <c r="CQ50">
        <v>5.4991504046153647E-2</v>
      </c>
      <c r="CR50">
        <v>7.6168368363214653E-2</v>
      </c>
      <c r="CS50">
        <v>0.101308183695796</v>
      </c>
    </row>
    <row r="51" spans="2:97" x14ac:dyDescent="0.35">
      <c r="B51" s="42" t="s">
        <v>1329</v>
      </c>
      <c r="C51" s="221">
        <f t="shared" si="21"/>
        <v>0</v>
      </c>
      <c r="D51" s="221">
        <f t="shared" si="21"/>
        <v>0</v>
      </c>
      <c r="E51" s="221">
        <f t="shared" si="21"/>
        <v>0</v>
      </c>
      <c r="F51" s="221">
        <f t="shared" si="21"/>
        <v>0</v>
      </c>
      <c r="G51" s="221">
        <f t="shared" si="21"/>
        <v>0</v>
      </c>
      <c r="H51" s="221">
        <f t="shared" si="21"/>
        <v>0</v>
      </c>
      <c r="I51" s="221">
        <f t="shared" si="22"/>
        <v>0</v>
      </c>
      <c r="J51" s="221">
        <f t="shared" si="15"/>
        <v>0</v>
      </c>
      <c r="K51" s="221">
        <f t="shared" si="15"/>
        <v>0</v>
      </c>
      <c r="L51" s="221">
        <f t="shared" si="15"/>
        <v>0</v>
      </c>
      <c r="M51" s="221">
        <f t="shared" si="15"/>
        <v>0</v>
      </c>
      <c r="N51" s="221">
        <f t="shared" si="23"/>
        <v>0</v>
      </c>
      <c r="O51" s="221">
        <f t="shared" si="16"/>
        <v>0</v>
      </c>
      <c r="P51" s="221">
        <f t="shared" si="16"/>
        <v>0</v>
      </c>
      <c r="Q51" s="221">
        <f t="shared" si="16"/>
        <v>0</v>
      </c>
      <c r="R51" s="221">
        <f t="shared" si="16"/>
        <v>0</v>
      </c>
      <c r="S51" s="221">
        <f t="shared" si="24"/>
        <v>0</v>
      </c>
      <c r="T51" s="221">
        <f t="shared" si="17"/>
        <v>0</v>
      </c>
      <c r="U51" s="221">
        <f t="shared" si="17"/>
        <v>0</v>
      </c>
      <c r="V51" s="221">
        <f t="shared" si="17"/>
        <v>0</v>
      </c>
      <c r="W51" s="221">
        <f t="shared" si="17"/>
        <v>0</v>
      </c>
      <c r="X51" s="221">
        <f t="shared" si="25"/>
        <v>0</v>
      </c>
      <c r="Y51" s="221">
        <f t="shared" si="18"/>
        <v>0</v>
      </c>
      <c r="Z51" s="221">
        <f t="shared" si="18"/>
        <v>0</v>
      </c>
      <c r="AA51" s="221">
        <f t="shared" si="18"/>
        <v>0</v>
      </c>
      <c r="AB51" s="221">
        <f t="shared" si="18"/>
        <v>0</v>
      </c>
      <c r="AC51" s="221">
        <f t="shared" si="26"/>
        <v>0</v>
      </c>
      <c r="AD51" s="221">
        <f t="shared" si="19"/>
        <v>0</v>
      </c>
      <c r="AE51" s="221">
        <f t="shared" si="19"/>
        <v>0</v>
      </c>
      <c r="AF51" s="221">
        <f t="shared" si="19"/>
        <v>0</v>
      </c>
      <c r="AG51" s="221">
        <f t="shared" si="19"/>
        <v>0</v>
      </c>
      <c r="AH51" s="221">
        <f t="shared" si="27"/>
        <v>0</v>
      </c>
      <c r="AI51" s="221">
        <f t="shared" si="20"/>
        <v>0</v>
      </c>
      <c r="AJ51" s="221">
        <f t="shared" si="20"/>
        <v>0</v>
      </c>
      <c r="AK51" s="221">
        <f t="shared" si="20"/>
        <v>0</v>
      </c>
      <c r="AL51" s="221">
        <f t="shared" si="20"/>
        <v>0</v>
      </c>
      <c r="AM51" s="221">
        <v>0</v>
      </c>
      <c r="AN51" s="221">
        <v>0</v>
      </c>
      <c r="AO51" s="221">
        <v>0</v>
      </c>
      <c r="AP51" s="221">
        <v>0</v>
      </c>
      <c r="AQ51" s="221">
        <v>0</v>
      </c>
      <c r="AR51" s="221">
        <v>0</v>
      </c>
      <c r="AS51" s="221">
        <v>0</v>
      </c>
      <c r="AT51" s="221">
        <v>0</v>
      </c>
      <c r="AU51" s="221">
        <v>0</v>
      </c>
      <c r="AV51" s="221">
        <v>0</v>
      </c>
      <c r="AW51" s="221">
        <v>0</v>
      </c>
      <c r="AX51" s="221">
        <v>0</v>
      </c>
      <c r="AY51" s="221">
        <v>0</v>
      </c>
      <c r="AZ51" s="221">
        <v>0</v>
      </c>
      <c r="BA51" s="221">
        <v>0</v>
      </c>
      <c r="BB51" s="221">
        <v>0</v>
      </c>
      <c r="BC51" s="221">
        <v>0</v>
      </c>
      <c r="BD51" s="221">
        <v>0</v>
      </c>
      <c r="BE51" s="221">
        <v>0</v>
      </c>
      <c r="BF51" s="221">
        <v>0</v>
      </c>
      <c r="BG51" s="221">
        <v>0</v>
      </c>
      <c r="BH51" s="221">
        <v>0</v>
      </c>
      <c r="BI51" s="221">
        <v>0</v>
      </c>
      <c r="BJ51" s="221">
        <v>0</v>
      </c>
      <c r="BK51" s="221">
        <v>0</v>
      </c>
      <c r="BL51" s="221">
        <v>0</v>
      </c>
      <c r="BM51" s="221">
        <v>0</v>
      </c>
      <c r="BN51" s="221">
        <v>0</v>
      </c>
      <c r="BO51" s="221">
        <v>0</v>
      </c>
      <c r="BP51" s="221">
        <v>0</v>
      </c>
      <c r="BQ51" s="221">
        <v>0</v>
      </c>
      <c r="BR51" s="221">
        <v>0</v>
      </c>
      <c r="BS51" s="221">
        <v>0</v>
      </c>
      <c r="BT51" s="221">
        <v>0</v>
      </c>
      <c r="BU51" s="221">
        <v>0</v>
      </c>
      <c r="BV51" s="221">
        <v>0</v>
      </c>
      <c r="BW51" s="221">
        <v>0</v>
      </c>
      <c r="BX51" s="221">
        <v>0</v>
      </c>
      <c r="BY51" s="221">
        <v>0</v>
      </c>
      <c r="BZ51" s="221">
        <v>0</v>
      </c>
      <c r="CA51" s="221">
        <v>0</v>
      </c>
      <c r="CB51" s="221">
        <v>0</v>
      </c>
      <c r="CC51" s="221">
        <v>0</v>
      </c>
      <c r="CD51" s="221">
        <v>0</v>
      </c>
      <c r="CE51" s="221">
        <v>0</v>
      </c>
      <c r="CF51" s="221">
        <v>0</v>
      </c>
      <c r="CG51" s="221">
        <v>0</v>
      </c>
      <c r="CH51" s="221">
        <v>0</v>
      </c>
      <c r="CI51" s="221">
        <v>0</v>
      </c>
      <c r="CJ51" s="221">
        <v>0</v>
      </c>
      <c r="CL51" s="225" t="s">
        <v>87</v>
      </c>
      <c r="CM51">
        <v>0</v>
      </c>
      <c r="CN51">
        <v>0</v>
      </c>
      <c r="CO51">
        <v>0</v>
      </c>
      <c r="CP51">
        <v>0</v>
      </c>
      <c r="CQ51">
        <v>0</v>
      </c>
      <c r="CR51">
        <v>0</v>
      </c>
      <c r="CS51">
        <v>0</v>
      </c>
    </row>
    <row r="52" spans="2:97" x14ac:dyDescent="0.35">
      <c r="B52" s="42" t="s">
        <v>760</v>
      </c>
      <c r="C52" s="221">
        <f t="shared" si="21"/>
        <v>1.2186414708554821E-4</v>
      </c>
      <c r="D52" s="221">
        <f t="shared" si="21"/>
        <v>1.2186414708554821E-4</v>
      </c>
      <c r="E52" s="221">
        <f t="shared" si="21"/>
        <v>1.2186414708554821E-4</v>
      </c>
      <c r="F52" s="221">
        <f t="shared" si="21"/>
        <v>1.2186414708554821E-4</v>
      </c>
      <c r="G52" s="221">
        <f t="shared" si="21"/>
        <v>1.2186414708554821E-4</v>
      </c>
      <c r="H52" s="221">
        <f t="shared" si="21"/>
        <v>1.2186414708554821E-4</v>
      </c>
      <c r="I52" s="221">
        <f t="shared" si="22"/>
        <v>1.50892337651034E-4</v>
      </c>
      <c r="J52" s="221">
        <f t="shared" si="15"/>
        <v>1.50892337651034E-4</v>
      </c>
      <c r="K52" s="221">
        <f t="shared" si="15"/>
        <v>1.50892337651034E-4</v>
      </c>
      <c r="L52" s="221">
        <f t="shared" si="15"/>
        <v>1.50892337651034E-4</v>
      </c>
      <c r="M52" s="221">
        <f t="shared" si="15"/>
        <v>1.50892337651034E-4</v>
      </c>
      <c r="N52" s="221">
        <f t="shared" si="23"/>
        <v>4.5193670058798178E-4</v>
      </c>
      <c r="O52" s="221">
        <f t="shared" si="16"/>
        <v>4.5193670058798178E-4</v>
      </c>
      <c r="P52" s="221">
        <f t="shared" si="16"/>
        <v>4.5193670058798178E-4</v>
      </c>
      <c r="Q52" s="221">
        <f t="shared" si="16"/>
        <v>4.5193670058798178E-4</v>
      </c>
      <c r="R52" s="221">
        <f t="shared" si="16"/>
        <v>4.5193670058798178E-4</v>
      </c>
      <c r="S52" s="221">
        <f t="shared" si="24"/>
        <v>1.132327119967053E-3</v>
      </c>
      <c r="T52" s="221">
        <f t="shared" si="17"/>
        <v>1.132327119967053E-3</v>
      </c>
      <c r="U52" s="221">
        <f t="shared" si="17"/>
        <v>1.132327119967053E-3</v>
      </c>
      <c r="V52" s="221">
        <f t="shared" si="17"/>
        <v>1.132327119967053E-3</v>
      </c>
      <c r="W52" s="221">
        <f t="shared" si="17"/>
        <v>1.132327119967053E-3</v>
      </c>
      <c r="X52" s="221">
        <f t="shared" si="25"/>
        <v>2.8523319446006491E-3</v>
      </c>
      <c r="Y52" s="221">
        <f t="shared" si="18"/>
        <v>2.8523319446006491E-3</v>
      </c>
      <c r="Z52" s="221">
        <f t="shared" si="18"/>
        <v>2.8523319446006491E-3</v>
      </c>
      <c r="AA52" s="221">
        <f t="shared" si="18"/>
        <v>2.8523319446006491E-3</v>
      </c>
      <c r="AB52" s="221">
        <f t="shared" si="18"/>
        <v>2.8523319446006491E-3</v>
      </c>
      <c r="AC52" s="221">
        <f t="shared" si="26"/>
        <v>4.3554668940932028E-3</v>
      </c>
      <c r="AD52" s="221">
        <f t="shared" si="19"/>
        <v>4.3554668940932028E-3</v>
      </c>
      <c r="AE52" s="221">
        <f t="shared" si="19"/>
        <v>4.3554668940932028E-3</v>
      </c>
      <c r="AF52" s="221">
        <f t="shared" si="19"/>
        <v>4.3554668940932028E-3</v>
      </c>
      <c r="AG52" s="221">
        <f t="shared" si="19"/>
        <v>4.3554668940932028E-3</v>
      </c>
      <c r="AH52" s="221">
        <f t="shared" si="27"/>
        <v>4.9826484077510813E-3</v>
      </c>
      <c r="AI52" s="221">
        <f t="shared" si="20"/>
        <v>4.9826484077510813E-3</v>
      </c>
      <c r="AJ52" s="221">
        <f t="shared" si="20"/>
        <v>4.9826484077510813E-3</v>
      </c>
      <c r="AK52" s="221">
        <f t="shared" si="20"/>
        <v>4.9826484077510813E-3</v>
      </c>
      <c r="AL52" s="221">
        <f t="shared" si="20"/>
        <v>4.9826484077510813E-3</v>
      </c>
      <c r="AM52" s="221">
        <v>0</v>
      </c>
      <c r="AN52" s="221">
        <v>0</v>
      </c>
      <c r="AO52" s="221">
        <v>0</v>
      </c>
      <c r="AP52" s="221">
        <v>0</v>
      </c>
      <c r="AQ52" s="221">
        <v>0</v>
      </c>
      <c r="AR52" s="221">
        <v>0</v>
      </c>
      <c r="AS52" s="221">
        <v>0</v>
      </c>
      <c r="AT52" s="221">
        <v>0</v>
      </c>
      <c r="AU52" s="221">
        <v>0</v>
      </c>
      <c r="AV52" s="221">
        <v>0</v>
      </c>
      <c r="AW52" s="221">
        <v>0</v>
      </c>
      <c r="AX52" s="221">
        <v>0</v>
      </c>
      <c r="AY52" s="221">
        <v>0</v>
      </c>
      <c r="AZ52" s="221">
        <v>0</v>
      </c>
      <c r="BA52" s="221">
        <v>0</v>
      </c>
      <c r="BB52" s="221">
        <v>0</v>
      </c>
      <c r="BC52" s="221">
        <v>0</v>
      </c>
      <c r="BD52" s="221">
        <v>0</v>
      </c>
      <c r="BE52" s="221">
        <v>0</v>
      </c>
      <c r="BF52" s="221">
        <v>0</v>
      </c>
      <c r="BG52" s="221">
        <v>0</v>
      </c>
      <c r="BH52" s="221">
        <v>0</v>
      </c>
      <c r="BI52" s="221">
        <v>0</v>
      </c>
      <c r="BJ52" s="221">
        <v>0</v>
      </c>
      <c r="BK52" s="221">
        <v>0</v>
      </c>
      <c r="BL52" s="221">
        <v>0</v>
      </c>
      <c r="BM52" s="221">
        <v>0</v>
      </c>
      <c r="BN52" s="221">
        <v>0</v>
      </c>
      <c r="BO52" s="221">
        <v>0</v>
      </c>
      <c r="BP52" s="221">
        <v>0</v>
      </c>
      <c r="BQ52" s="221">
        <v>0</v>
      </c>
      <c r="BR52" s="221">
        <v>0</v>
      </c>
      <c r="BS52" s="221">
        <v>0</v>
      </c>
      <c r="BT52" s="221">
        <v>0</v>
      </c>
      <c r="BU52" s="221">
        <v>0</v>
      </c>
      <c r="BV52" s="221">
        <v>0</v>
      </c>
      <c r="BW52" s="221">
        <v>0</v>
      </c>
      <c r="BX52" s="221">
        <v>0</v>
      </c>
      <c r="BY52" s="221">
        <v>0</v>
      </c>
      <c r="BZ52" s="221">
        <v>0</v>
      </c>
      <c r="CA52" s="221">
        <v>0</v>
      </c>
      <c r="CB52" s="221">
        <v>0</v>
      </c>
      <c r="CC52" s="221">
        <v>0</v>
      </c>
      <c r="CD52" s="221">
        <v>0</v>
      </c>
      <c r="CE52" s="221">
        <v>0</v>
      </c>
      <c r="CF52" s="221">
        <v>0</v>
      </c>
      <c r="CG52" s="221">
        <v>0</v>
      </c>
      <c r="CH52" s="221">
        <v>0</v>
      </c>
      <c r="CI52" s="221">
        <v>0</v>
      </c>
      <c r="CJ52" s="221">
        <v>0</v>
      </c>
      <c r="CL52" s="225" t="s">
        <v>146</v>
      </c>
      <c r="CM52">
        <v>1.2186414708554821E-4</v>
      </c>
      <c r="CN52">
        <v>1.50892337651034E-4</v>
      </c>
      <c r="CO52">
        <v>4.5193670058798178E-4</v>
      </c>
      <c r="CP52">
        <v>1.132327119967053E-3</v>
      </c>
      <c r="CQ52">
        <v>2.8523319446006491E-3</v>
      </c>
      <c r="CR52">
        <v>4.3554668940932028E-3</v>
      </c>
      <c r="CS52">
        <v>4.9826484077510813E-3</v>
      </c>
    </row>
    <row r="53" spans="2:97" x14ac:dyDescent="0.35">
      <c r="B53" s="42" t="s">
        <v>1330</v>
      </c>
      <c r="C53" s="221">
        <f t="shared" si="21"/>
        <v>3.3087443381160868E-2</v>
      </c>
      <c r="D53" s="221">
        <f t="shared" si="21"/>
        <v>3.3087443381160868E-2</v>
      </c>
      <c r="E53" s="221">
        <f t="shared" si="21"/>
        <v>3.3087443381160868E-2</v>
      </c>
      <c r="F53" s="221">
        <f t="shared" si="21"/>
        <v>3.3087443381160868E-2</v>
      </c>
      <c r="G53" s="221">
        <f t="shared" si="21"/>
        <v>3.3087443381160868E-2</v>
      </c>
      <c r="H53" s="221">
        <f t="shared" si="21"/>
        <v>3.3087443381160868E-2</v>
      </c>
      <c r="I53" s="221">
        <f t="shared" si="22"/>
        <v>5.6892307607188913E-2</v>
      </c>
      <c r="J53" s="221">
        <f t="shared" si="15"/>
        <v>5.6892307607188913E-2</v>
      </c>
      <c r="K53" s="221">
        <f t="shared" si="15"/>
        <v>5.6892307607188913E-2</v>
      </c>
      <c r="L53" s="221">
        <f t="shared" si="15"/>
        <v>5.6892307607188913E-2</v>
      </c>
      <c r="M53" s="221">
        <f t="shared" si="15"/>
        <v>5.6892307607188913E-2</v>
      </c>
      <c r="N53" s="221">
        <f t="shared" si="23"/>
        <v>4.4564793552862067E-2</v>
      </c>
      <c r="O53" s="221">
        <f t="shared" si="16"/>
        <v>4.4564793552862067E-2</v>
      </c>
      <c r="P53" s="221">
        <f t="shared" si="16"/>
        <v>4.4564793552862067E-2</v>
      </c>
      <c r="Q53" s="221">
        <f t="shared" si="16"/>
        <v>4.4564793552862067E-2</v>
      </c>
      <c r="R53" s="221">
        <f t="shared" si="16"/>
        <v>4.4564793552862067E-2</v>
      </c>
      <c r="S53" s="221">
        <f t="shared" si="24"/>
        <v>3.6938268394112718E-2</v>
      </c>
      <c r="T53" s="221">
        <f t="shared" si="17"/>
        <v>3.6938268394112718E-2</v>
      </c>
      <c r="U53" s="221">
        <f t="shared" si="17"/>
        <v>3.6938268394112718E-2</v>
      </c>
      <c r="V53" s="221">
        <f t="shared" si="17"/>
        <v>3.6938268394112718E-2</v>
      </c>
      <c r="W53" s="221">
        <f t="shared" si="17"/>
        <v>3.6938268394112718E-2</v>
      </c>
      <c r="X53" s="221">
        <f t="shared" si="25"/>
        <v>3.7288272965728439E-2</v>
      </c>
      <c r="Y53" s="221">
        <f t="shared" si="18"/>
        <v>3.7288272965728439E-2</v>
      </c>
      <c r="Z53" s="221">
        <f t="shared" si="18"/>
        <v>3.7288272965728439E-2</v>
      </c>
      <c r="AA53" s="221">
        <f t="shared" si="18"/>
        <v>3.7288272965728439E-2</v>
      </c>
      <c r="AB53" s="221">
        <f t="shared" si="18"/>
        <v>3.7288272965728439E-2</v>
      </c>
      <c r="AC53" s="221">
        <f t="shared" si="26"/>
        <v>4.3399187853704051E-2</v>
      </c>
      <c r="AD53" s="221">
        <f t="shared" si="19"/>
        <v>4.3399187853704051E-2</v>
      </c>
      <c r="AE53" s="221">
        <f t="shared" si="19"/>
        <v>4.3399187853704051E-2</v>
      </c>
      <c r="AF53" s="221">
        <f t="shared" si="19"/>
        <v>4.3399187853704051E-2</v>
      </c>
      <c r="AG53" s="221">
        <f t="shared" si="19"/>
        <v>4.3399187853704051E-2</v>
      </c>
      <c r="AH53" s="221">
        <f t="shared" si="27"/>
        <v>6.5439631078982013E-2</v>
      </c>
      <c r="AI53" s="221">
        <f t="shared" si="20"/>
        <v>6.5439631078982013E-2</v>
      </c>
      <c r="AJ53" s="221">
        <f t="shared" si="20"/>
        <v>6.5439631078982013E-2</v>
      </c>
      <c r="AK53" s="221">
        <f t="shared" si="20"/>
        <v>6.5439631078982013E-2</v>
      </c>
      <c r="AL53" s="221">
        <f t="shared" si="20"/>
        <v>6.5439631078982013E-2</v>
      </c>
      <c r="AM53" s="221">
        <v>0</v>
      </c>
      <c r="AN53" s="221">
        <v>0</v>
      </c>
      <c r="AO53" s="221">
        <v>0</v>
      </c>
      <c r="AP53" s="221">
        <v>0</v>
      </c>
      <c r="AQ53" s="221">
        <v>0</v>
      </c>
      <c r="AR53" s="221">
        <v>0</v>
      </c>
      <c r="AS53" s="221">
        <v>0</v>
      </c>
      <c r="AT53" s="221">
        <v>0</v>
      </c>
      <c r="AU53" s="221">
        <v>0</v>
      </c>
      <c r="AV53" s="221">
        <v>0</v>
      </c>
      <c r="AW53" s="221">
        <v>0</v>
      </c>
      <c r="AX53" s="221">
        <v>0</v>
      </c>
      <c r="AY53" s="221">
        <v>0</v>
      </c>
      <c r="AZ53" s="221">
        <v>0</v>
      </c>
      <c r="BA53" s="221">
        <v>0</v>
      </c>
      <c r="BB53" s="221">
        <v>0</v>
      </c>
      <c r="BC53" s="221">
        <v>0</v>
      </c>
      <c r="BD53" s="221">
        <v>0</v>
      </c>
      <c r="BE53" s="221">
        <v>0</v>
      </c>
      <c r="BF53" s="221">
        <v>0</v>
      </c>
      <c r="BG53" s="221">
        <v>0</v>
      </c>
      <c r="BH53" s="221">
        <v>0</v>
      </c>
      <c r="BI53" s="221">
        <v>0</v>
      </c>
      <c r="BJ53" s="221">
        <v>0</v>
      </c>
      <c r="BK53" s="221">
        <v>0</v>
      </c>
      <c r="BL53" s="221">
        <v>0</v>
      </c>
      <c r="BM53" s="221">
        <v>0</v>
      </c>
      <c r="BN53" s="221">
        <v>0</v>
      </c>
      <c r="BO53" s="221">
        <v>0</v>
      </c>
      <c r="BP53" s="221">
        <v>0</v>
      </c>
      <c r="BQ53" s="221">
        <v>0</v>
      </c>
      <c r="BR53" s="221">
        <v>0</v>
      </c>
      <c r="BS53" s="221">
        <v>0</v>
      </c>
      <c r="BT53" s="221">
        <v>0</v>
      </c>
      <c r="BU53" s="221">
        <v>0</v>
      </c>
      <c r="BV53" s="221">
        <v>0</v>
      </c>
      <c r="BW53" s="221">
        <v>0</v>
      </c>
      <c r="BX53" s="221">
        <v>0</v>
      </c>
      <c r="BY53" s="221">
        <v>0</v>
      </c>
      <c r="BZ53" s="221">
        <v>0</v>
      </c>
      <c r="CA53" s="221">
        <v>0</v>
      </c>
      <c r="CB53" s="221">
        <v>0</v>
      </c>
      <c r="CC53" s="221">
        <v>0</v>
      </c>
      <c r="CD53" s="221">
        <v>0</v>
      </c>
      <c r="CE53" s="221">
        <v>0</v>
      </c>
      <c r="CF53" s="221">
        <v>0</v>
      </c>
      <c r="CG53" s="221">
        <v>0</v>
      </c>
      <c r="CH53" s="221">
        <v>0</v>
      </c>
      <c r="CI53" s="221">
        <v>0</v>
      </c>
      <c r="CJ53" s="221">
        <v>0</v>
      </c>
      <c r="CL53" s="225" t="s">
        <v>89</v>
      </c>
      <c r="CM53">
        <v>3.3087443381160868E-2</v>
      </c>
      <c r="CN53">
        <v>5.6892307607188913E-2</v>
      </c>
      <c r="CO53">
        <v>4.4564793552862067E-2</v>
      </c>
      <c r="CP53">
        <v>3.6938268394112718E-2</v>
      </c>
      <c r="CQ53">
        <v>3.7288272965728439E-2</v>
      </c>
      <c r="CR53">
        <v>4.3399187853704051E-2</v>
      </c>
      <c r="CS53">
        <v>6.5439631078982013E-2</v>
      </c>
    </row>
    <row r="54" spans="2:97" x14ac:dyDescent="0.35">
      <c r="B54" s="42" t="s">
        <v>1331</v>
      </c>
      <c r="C54" s="221">
        <f t="shared" si="21"/>
        <v>0</v>
      </c>
      <c r="D54" s="221">
        <f t="shared" si="21"/>
        <v>0</v>
      </c>
      <c r="E54" s="221">
        <f t="shared" si="21"/>
        <v>0</v>
      </c>
      <c r="F54" s="221">
        <f t="shared" si="21"/>
        <v>0</v>
      </c>
      <c r="G54" s="221">
        <f t="shared" si="21"/>
        <v>0</v>
      </c>
      <c r="H54" s="221">
        <f t="shared" si="21"/>
        <v>0</v>
      </c>
      <c r="I54" s="221">
        <f t="shared" si="22"/>
        <v>0</v>
      </c>
      <c r="J54" s="221">
        <f t="shared" si="15"/>
        <v>0</v>
      </c>
      <c r="K54" s="221">
        <f t="shared" si="15"/>
        <v>0</v>
      </c>
      <c r="L54" s="221">
        <f t="shared" si="15"/>
        <v>0</v>
      </c>
      <c r="M54" s="221">
        <f t="shared" si="15"/>
        <v>0</v>
      </c>
      <c r="N54" s="221">
        <f t="shared" si="23"/>
        <v>0</v>
      </c>
      <c r="O54" s="221">
        <f t="shared" si="16"/>
        <v>0</v>
      </c>
      <c r="P54" s="221">
        <f t="shared" si="16"/>
        <v>0</v>
      </c>
      <c r="Q54" s="221">
        <f t="shared" si="16"/>
        <v>0</v>
      </c>
      <c r="R54" s="221">
        <f t="shared" si="16"/>
        <v>0</v>
      </c>
      <c r="S54" s="221">
        <f t="shared" si="24"/>
        <v>0</v>
      </c>
      <c r="T54" s="221">
        <f t="shared" si="17"/>
        <v>0</v>
      </c>
      <c r="U54" s="221">
        <f t="shared" si="17"/>
        <v>0</v>
      </c>
      <c r="V54" s="221">
        <f t="shared" si="17"/>
        <v>0</v>
      </c>
      <c r="W54" s="221">
        <f t="shared" si="17"/>
        <v>0</v>
      </c>
      <c r="X54" s="221">
        <f t="shared" si="25"/>
        <v>0</v>
      </c>
      <c r="Y54" s="221">
        <f t="shared" si="18"/>
        <v>0</v>
      </c>
      <c r="Z54" s="221">
        <f t="shared" si="18"/>
        <v>0</v>
      </c>
      <c r="AA54" s="221">
        <f t="shared" si="18"/>
        <v>0</v>
      </c>
      <c r="AB54" s="221">
        <f t="shared" si="18"/>
        <v>0</v>
      </c>
      <c r="AC54" s="221">
        <f t="shared" si="26"/>
        <v>0</v>
      </c>
      <c r="AD54" s="221">
        <f t="shared" si="19"/>
        <v>0</v>
      </c>
      <c r="AE54" s="221">
        <f t="shared" si="19"/>
        <v>0</v>
      </c>
      <c r="AF54" s="221">
        <f t="shared" si="19"/>
        <v>0</v>
      </c>
      <c r="AG54" s="221">
        <f t="shared" si="19"/>
        <v>0</v>
      </c>
      <c r="AH54" s="221">
        <f t="shared" si="27"/>
        <v>0</v>
      </c>
      <c r="AI54" s="221">
        <f t="shared" si="20"/>
        <v>0</v>
      </c>
      <c r="AJ54" s="221">
        <f t="shared" si="20"/>
        <v>0</v>
      </c>
      <c r="AK54" s="221">
        <f t="shared" si="20"/>
        <v>0</v>
      </c>
      <c r="AL54" s="221">
        <f t="shared" si="20"/>
        <v>0</v>
      </c>
      <c r="AM54" s="221">
        <v>0</v>
      </c>
      <c r="AN54" s="221">
        <v>0</v>
      </c>
      <c r="AO54" s="221">
        <v>0</v>
      </c>
      <c r="AP54" s="221">
        <v>0</v>
      </c>
      <c r="AQ54" s="221">
        <v>0</v>
      </c>
      <c r="AR54" s="221">
        <v>0</v>
      </c>
      <c r="AS54" s="221">
        <v>0</v>
      </c>
      <c r="AT54" s="221">
        <v>0</v>
      </c>
      <c r="AU54" s="221">
        <v>0</v>
      </c>
      <c r="AV54" s="221">
        <v>0</v>
      </c>
      <c r="AW54" s="221">
        <v>0</v>
      </c>
      <c r="AX54" s="221">
        <v>0</v>
      </c>
      <c r="AY54" s="221">
        <v>0</v>
      </c>
      <c r="AZ54" s="221">
        <v>0</v>
      </c>
      <c r="BA54" s="221">
        <v>0</v>
      </c>
      <c r="BB54" s="221">
        <v>0</v>
      </c>
      <c r="BC54" s="221">
        <v>0</v>
      </c>
      <c r="BD54" s="221">
        <v>0</v>
      </c>
      <c r="BE54" s="221">
        <v>0</v>
      </c>
      <c r="BF54" s="221">
        <v>0</v>
      </c>
      <c r="BG54" s="221">
        <v>0</v>
      </c>
      <c r="BH54" s="221">
        <v>0</v>
      </c>
      <c r="BI54" s="221">
        <v>0</v>
      </c>
      <c r="BJ54" s="221">
        <v>0</v>
      </c>
      <c r="BK54" s="221">
        <v>0</v>
      </c>
      <c r="BL54" s="221">
        <v>0</v>
      </c>
      <c r="BM54" s="221">
        <v>0</v>
      </c>
      <c r="BN54" s="221">
        <v>0</v>
      </c>
      <c r="BO54" s="221">
        <v>0</v>
      </c>
      <c r="BP54" s="221">
        <v>0</v>
      </c>
      <c r="BQ54" s="221">
        <v>0</v>
      </c>
      <c r="BR54" s="221">
        <v>0</v>
      </c>
      <c r="BS54" s="221">
        <v>0</v>
      </c>
      <c r="BT54" s="221">
        <v>0</v>
      </c>
      <c r="BU54" s="221">
        <v>0</v>
      </c>
      <c r="BV54" s="221">
        <v>0</v>
      </c>
      <c r="BW54" s="221">
        <v>0</v>
      </c>
      <c r="BX54" s="221">
        <v>0</v>
      </c>
      <c r="BY54" s="221">
        <v>0</v>
      </c>
      <c r="BZ54" s="221">
        <v>0</v>
      </c>
      <c r="CA54" s="221">
        <v>0</v>
      </c>
      <c r="CB54" s="221">
        <v>0</v>
      </c>
      <c r="CC54" s="221">
        <v>0</v>
      </c>
      <c r="CD54" s="221">
        <v>0</v>
      </c>
      <c r="CE54" s="221">
        <v>0</v>
      </c>
      <c r="CF54" s="221">
        <v>0</v>
      </c>
      <c r="CG54" s="221">
        <v>0</v>
      </c>
      <c r="CH54" s="221">
        <v>0</v>
      </c>
      <c r="CI54" s="221">
        <v>0</v>
      </c>
      <c r="CJ54" s="221">
        <v>0</v>
      </c>
      <c r="CL54" s="225" t="s">
        <v>90</v>
      </c>
      <c r="CM54">
        <v>0</v>
      </c>
      <c r="CN54">
        <v>0</v>
      </c>
      <c r="CO54">
        <v>0</v>
      </c>
      <c r="CP54">
        <v>0</v>
      </c>
      <c r="CQ54">
        <v>0</v>
      </c>
      <c r="CR54">
        <v>0</v>
      </c>
      <c r="CS54">
        <v>0</v>
      </c>
    </row>
    <row r="56" spans="2:97" ht="18.5" x14ac:dyDescent="0.45">
      <c r="B56" s="223" t="s">
        <v>1334</v>
      </c>
    </row>
    <row r="57" spans="2:97" x14ac:dyDescent="0.35">
      <c r="B57" s="224" t="s">
        <v>1317</v>
      </c>
      <c r="C57">
        <v>2015</v>
      </c>
      <c r="D57">
        <v>2016</v>
      </c>
      <c r="E57">
        <v>2017</v>
      </c>
      <c r="F57">
        <v>2018</v>
      </c>
      <c r="G57">
        <v>2019</v>
      </c>
      <c r="H57">
        <v>2020</v>
      </c>
      <c r="I57">
        <v>2021</v>
      </c>
      <c r="J57">
        <v>2022</v>
      </c>
      <c r="K57">
        <v>2023</v>
      </c>
      <c r="L57">
        <v>2024</v>
      </c>
      <c r="M57">
        <v>2025</v>
      </c>
      <c r="N57">
        <v>2026</v>
      </c>
      <c r="O57">
        <v>2027</v>
      </c>
      <c r="P57">
        <v>2028</v>
      </c>
      <c r="Q57">
        <v>2029</v>
      </c>
      <c r="R57">
        <v>2030</v>
      </c>
      <c r="S57">
        <v>2031</v>
      </c>
      <c r="T57">
        <v>2032</v>
      </c>
      <c r="U57">
        <v>2033</v>
      </c>
      <c r="V57">
        <v>2034</v>
      </c>
      <c r="W57">
        <v>2035</v>
      </c>
      <c r="X57">
        <v>2036</v>
      </c>
      <c r="Y57">
        <v>2037</v>
      </c>
      <c r="Z57">
        <v>2038</v>
      </c>
      <c r="AA57">
        <v>2039</v>
      </c>
      <c r="AB57">
        <v>2040</v>
      </c>
      <c r="AC57">
        <v>2041</v>
      </c>
      <c r="AD57">
        <v>2042</v>
      </c>
      <c r="AE57">
        <v>2043</v>
      </c>
      <c r="AF57">
        <v>2044</v>
      </c>
      <c r="AG57">
        <v>2045</v>
      </c>
      <c r="AH57">
        <v>2046</v>
      </c>
      <c r="AI57">
        <v>2047</v>
      </c>
      <c r="AJ57">
        <v>2048</v>
      </c>
      <c r="AK57">
        <v>2049</v>
      </c>
      <c r="AL57">
        <v>2050</v>
      </c>
      <c r="AM57">
        <v>2051</v>
      </c>
      <c r="AN57">
        <v>2052</v>
      </c>
      <c r="AO57">
        <v>2053</v>
      </c>
      <c r="AP57">
        <v>2054</v>
      </c>
      <c r="AQ57">
        <v>2055</v>
      </c>
      <c r="AR57">
        <v>2056</v>
      </c>
      <c r="AS57">
        <v>2057</v>
      </c>
      <c r="AT57">
        <v>2058</v>
      </c>
      <c r="AU57">
        <v>2059</v>
      </c>
      <c r="AV57">
        <v>2060</v>
      </c>
      <c r="AW57">
        <v>2061</v>
      </c>
      <c r="AX57">
        <v>2062</v>
      </c>
      <c r="AY57">
        <v>2063</v>
      </c>
      <c r="AZ57">
        <v>2064</v>
      </c>
      <c r="BA57">
        <v>2065</v>
      </c>
      <c r="BB57">
        <v>2066</v>
      </c>
      <c r="BC57">
        <v>2067</v>
      </c>
      <c r="BD57">
        <v>2068</v>
      </c>
      <c r="BE57">
        <v>2069</v>
      </c>
      <c r="BF57">
        <v>2070</v>
      </c>
      <c r="BG57">
        <v>2071</v>
      </c>
      <c r="BH57">
        <v>2072</v>
      </c>
      <c r="BI57">
        <v>2073</v>
      </c>
      <c r="BJ57">
        <v>2074</v>
      </c>
      <c r="BK57">
        <v>2075</v>
      </c>
      <c r="BL57">
        <v>2076</v>
      </c>
      <c r="BM57">
        <v>2077</v>
      </c>
      <c r="BN57">
        <v>2078</v>
      </c>
      <c r="BO57">
        <v>2079</v>
      </c>
      <c r="BP57">
        <v>2080</v>
      </c>
      <c r="BQ57">
        <v>2081</v>
      </c>
      <c r="BR57">
        <v>2082</v>
      </c>
      <c r="BS57">
        <v>2083</v>
      </c>
      <c r="BT57">
        <v>2084</v>
      </c>
      <c r="BU57">
        <v>2085</v>
      </c>
      <c r="BV57">
        <v>2086</v>
      </c>
      <c r="BW57">
        <v>2087</v>
      </c>
      <c r="BX57">
        <v>2088</v>
      </c>
      <c r="BY57">
        <v>2089</v>
      </c>
      <c r="BZ57">
        <v>2090</v>
      </c>
      <c r="CA57">
        <v>2091</v>
      </c>
      <c r="CB57">
        <v>2092</v>
      </c>
      <c r="CC57">
        <v>2093</v>
      </c>
      <c r="CD57">
        <v>2094</v>
      </c>
      <c r="CE57">
        <v>2095</v>
      </c>
      <c r="CF57">
        <v>2096</v>
      </c>
      <c r="CG57">
        <v>2097</v>
      </c>
      <c r="CH57">
        <v>2098</v>
      </c>
      <c r="CI57">
        <v>2099</v>
      </c>
      <c r="CJ57">
        <v>2100</v>
      </c>
    </row>
    <row r="58" spans="2:97" x14ac:dyDescent="0.35">
      <c r="B58" s="41" t="s">
        <v>1326</v>
      </c>
      <c r="C58" s="221">
        <f>$CM58</f>
        <v>0</v>
      </c>
      <c r="D58" s="221">
        <f t="shared" ref="D58:G58" si="28">$CM58</f>
        <v>0</v>
      </c>
      <c r="E58" s="221">
        <f t="shared" si="28"/>
        <v>0</v>
      </c>
      <c r="F58" s="221">
        <f t="shared" si="28"/>
        <v>0</v>
      </c>
      <c r="G58" s="221">
        <f t="shared" si="28"/>
        <v>0</v>
      </c>
      <c r="H58" s="221">
        <f>$CM58</f>
        <v>0</v>
      </c>
      <c r="I58" s="221">
        <f>$CN58</f>
        <v>0</v>
      </c>
      <c r="J58" s="221">
        <f t="shared" ref="J58:M66" si="29">$CN58</f>
        <v>0</v>
      </c>
      <c r="K58" s="221">
        <f t="shared" si="29"/>
        <v>0</v>
      </c>
      <c r="L58" s="221">
        <f t="shared" si="29"/>
        <v>0</v>
      </c>
      <c r="M58" s="221">
        <f t="shared" si="29"/>
        <v>0</v>
      </c>
      <c r="N58" s="221">
        <f>$CO58</f>
        <v>0</v>
      </c>
      <c r="O58" s="221">
        <f t="shared" ref="O58:R66" si="30">$CO58</f>
        <v>0</v>
      </c>
      <c r="P58" s="221">
        <f t="shared" si="30"/>
        <v>0</v>
      </c>
      <c r="Q58" s="221">
        <f t="shared" si="30"/>
        <v>0</v>
      </c>
      <c r="R58" s="221">
        <f t="shared" si="30"/>
        <v>0</v>
      </c>
      <c r="S58" s="221">
        <f>$CP58</f>
        <v>0</v>
      </c>
      <c r="T58" s="221">
        <f t="shared" ref="T58:W66" si="31">$CP58</f>
        <v>0</v>
      </c>
      <c r="U58" s="221">
        <f t="shared" si="31"/>
        <v>0</v>
      </c>
      <c r="V58" s="221">
        <f t="shared" si="31"/>
        <v>0</v>
      </c>
      <c r="W58" s="221">
        <f t="shared" si="31"/>
        <v>0</v>
      </c>
      <c r="X58" s="221">
        <f>$CQ58</f>
        <v>0</v>
      </c>
      <c r="Y58" s="221">
        <f t="shared" ref="Y58:AB66" si="32">$CQ58</f>
        <v>0</v>
      </c>
      <c r="Z58" s="221">
        <f t="shared" si="32"/>
        <v>0</v>
      </c>
      <c r="AA58" s="221">
        <f t="shared" si="32"/>
        <v>0</v>
      </c>
      <c r="AB58" s="221">
        <f t="shared" si="32"/>
        <v>0</v>
      </c>
      <c r="AC58" s="221">
        <f>$CR58</f>
        <v>0</v>
      </c>
      <c r="AD58" s="221">
        <f t="shared" ref="AD58:AG66" si="33">$CR58</f>
        <v>0</v>
      </c>
      <c r="AE58" s="221">
        <f t="shared" si="33"/>
        <v>0</v>
      </c>
      <c r="AF58" s="221">
        <f t="shared" si="33"/>
        <v>0</v>
      </c>
      <c r="AG58" s="221">
        <f t="shared" si="33"/>
        <v>0</v>
      </c>
      <c r="AH58" s="221">
        <f>$CS58</f>
        <v>0</v>
      </c>
      <c r="AI58" s="221">
        <f t="shared" ref="AI58:AL66" si="34">$CS58</f>
        <v>0</v>
      </c>
      <c r="AJ58" s="221">
        <f t="shared" si="34"/>
        <v>0</v>
      </c>
      <c r="AK58" s="221">
        <f t="shared" si="34"/>
        <v>0</v>
      </c>
      <c r="AL58" s="221">
        <f t="shared" si="34"/>
        <v>0</v>
      </c>
      <c r="AM58" s="221">
        <v>0</v>
      </c>
      <c r="AN58" s="221">
        <v>0</v>
      </c>
      <c r="AO58" s="221">
        <v>0</v>
      </c>
      <c r="AP58" s="221">
        <v>0</v>
      </c>
      <c r="AQ58" s="221">
        <v>0</v>
      </c>
      <c r="AR58" s="221">
        <v>0</v>
      </c>
      <c r="AS58" s="221">
        <v>0</v>
      </c>
      <c r="AT58" s="221">
        <v>0</v>
      </c>
      <c r="AU58" s="221">
        <v>0</v>
      </c>
      <c r="AV58" s="221">
        <v>0</v>
      </c>
      <c r="AW58" s="221">
        <v>0</v>
      </c>
      <c r="AX58" s="221">
        <v>0</v>
      </c>
      <c r="AY58" s="221">
        <v>0</v>
      </c>
      <c r="AZ58" s="221">
        <v>0</v>
      </c>
      <c r="BA58" s="221">
        <v>0</v>
      </c>
      <c r="BB58" s="221">
        <v>0</v>
      </c>
      <c r="BC58" s="221">
        <v>0</v>
      </c>
      <c r="BD58" s="221">
        <v>0</v>
      </c>
      <c r="BE58" s="221">
        <v>0</v>
      </c>
      <c r="BF58" s="221">
        <v>0</v>
      </c>
      <c r="BG58" s="221">
        <v>0</v>
      </c>
      <c r="BH58" s="221">
        <v>0</v>
      </c>
      <c r="BI58" s="221">
        <v>0</v>
      </c>
      <c r="BJ58" s="221">
        <v>0</v>
      </c>
      <c r="BK58" s="221">
        <v>0</v>
      </c>
      <c r="BL58" s="221">
        <v>0</v>
      </c>
      <c r="BM58" s="221">
        <v>0</v>
      </c>
      <c r="BN58" s="221">
        <v>0</v>
      </c>
      <c r="BO58" s="221">
        <v>0</v>
      </c>
      <c r="BP58" s="221">
        <v>0</v>
      </c>
      <c r="BQ58" s="221">
        <v>0</v>
      </c>
      <c r="BR58" s="221">
        <v>0</v>
      </c>
      <c r="BS58" s="221">
        <v>0</v>
      </c>
      <c r="BT58" s="221">
        <v>0</v>
      </c>
      <c r="BU58" s="221">
        <v>0</v>
      </c>
      <c r="BV58" s="221">
        <v>0</v>
      </c>
      <c r="BW58" s="221">
        <v>0</v>
      </c>
      <c r="BX58" s="221">
        <v>0</v>
      </c>
      <c r="BY58" s="221">
        <v>0</v>
      </c>
      <c r="BZ58" s="221">
        <v>0</v>
      </c>
      <c r="CA58" s="221">
        <v>0</v>
      </c>
      <c r="CB58" s="221">
        <v>0</v>
      </c>
      <c r="CC58" s="221">
        <v>0</v>
      </c>
      <c r="CD58" s="221">
        <v>0</v>
      </c>
      <c r="CE58" s="221">
        <v>0</v>
      </c>
      <c r="CF58" s="221">
        <v>0</v>
      </c>
      <c r="CG58" s="221">
        <v>0</v>
      </c>
      <c r="CH58" s="221">
        <v>0</v>
      </c>
      <c r="CI58" s="221">
        <v>0</v>
      </c>
      <c r="CJ58" s="221">
        <v>0</v>
      </c>
    </row>
    <row r="59" spans="2:97" x14ac:dyDescent="0.35">
      <c r="B59" s="42" t="s">
        <v>1327</v>
      </c>
      <c r="C59" s="221">
        <f t="shared" ref="C59:H66" si="35">$CM59</f>
        <v>0</v>
      </c>
      <c r="D59" s="221">
        <f t="shared" si="35"/>
        <v>0</v>
      </c>
      <c r="E59" s="221">
        <f t="shared" si="35"/>
        <v>0</v>
      </c>
      <c r="F59" s="221">
        <f t="shared" si="35"/>
        <v>0</v>
      </c>
      <c r="G59" s="221">
        <f t="shared" si="35"/>
        <v>0</v>
      </c>
      <c r="H59" s="221">
        <f t="shared" si="35"/>
        <v>0</v>
      </c>
      <c r="I59" s="221">
        <f t="shared" ref="I59:I66" si="36">$CN59</f>
        <v>0</v>
      </c>
      <c r="J59" s="221">
        <f t="shared" si="29"/>
        <v>0</v>
      </c>
      <c r="K59" s="221">
        <f t="shared" si="29"/>
        <v>0</v>
      </c>
      <c r="L59" s="221">
        <f t="shared" si="29"/>
        <v>0</v>
      </c>
      <c r="M59" s="221">
        <f t="shared" si="29"/>
        <v>0</v>
      </c>
      <c r="N59" s="221">
        <f t="shared" ref="N59:N66" si="37">$CO59</f>
        <v>0</v>
      </c>
      <c r="O59" s="221">
        <f t="shared" si="30"/>
        <v>0</v>
      </c>
      <c r="P59" s="221">
        <f t="shared" si="30"/>
        <v>0</v>
      </c>
      <c r="Q59" s="221">
        <f t="shared" si="30"/>
        <v>0</v>
      </c>
      <c r="R59" s="221">
        <f t="shared" si="30"/>
        <v>0</v>
      </c>
      <c r="S59" s="221">
        <f t="shared" ref="S59:S66" si="38">$CP59</f>
        <v>0</v>
      </c>
      <c r="T59" s="221">
        <f t="shared" si="31"/>
        <v>0</v>
      </c>
      <c r="U59" s="221">
        <f t="shared" si="31"/>
        <v>0</v>
      </c>
      <c r="V59" s="221">
        <f t="shared" si="31"/>
        <v>0</v>
      </c>
      <c r="W59" s="221">
        <f t="shared" si="31"/>
        <v>0</v>
      </c>
      <c r="X59" s="221">
        <f t="shared" ref="X59:X66" si="39">$CQ59</f>
        <v>0</v>
      </c>
      <c r="Y59" s="221">
        <f t="shared" si="32"/>
        <v>0</v>
      </c>
      <c r="Z59" s="221">
        <f t="shared" si="32"/>
        <v>0</v>
      </c>
      <c r="AA59" s="221">
        <f t="shared" si="32"/>
        <v>0</v>
      </c>
      <c r="AB59" s="221">
        <f t="shared" si="32"/>
        <v>0</v>
      </c>
      <c r="AC59" s="221">
        <f t="shared" ref="AC59:AC66" si="40">$CR59</f>
        <v>0</v>
      </c>
      <c r="AD59" s="221">
        <f t="shared" si="33"/>
        <v>0</v>
      </c>
      <c r="AE59" s="221">
        <f t="shared" si="33"/>
        <v>0</v>
      </c>
      <c r="AF59" s="221">
        <f t="shared" si="33"/>
        <v>0</v>
      </c>
      <c r="AG59" s="221">
        <f t="shared" si="33"/>
        <v>0</v>
      </c>
      <c r="AH59" s="221">
        <f t="shared" ref="AH59:AH66" si="41">$CS59</f>
        <v>0</v>
      </c>
      <c r="AI59" s="221">
        <f t="shared" si="34"/>
        <v>0</v>
      </c>
      <c r="AJ59" s="221">
        <f t="shared" si="34"/>
        <v>0</v>
      </c>
      <c r="AK59" s="221">
        <f t="shared" si="34"/>
        <v>0</v>
      </c>
      <c r="AL59" s="221">
        <f t="shared" si="34"/>
        <v>0</v>
      </c>
      <c r="AM59" s="221">
        <v>0</v>
      </c>
      <c r="AN59" s="221">
        <v>0</v>
      </c>
      <c r="AO59" s="221">
        <v>0</v>
      </c>
      <c r="AP59" s="221">
        <v>0</v>
      </c>
      <c r="AQ59" s="221">
        <v>0</v>
      </c>
      <c r="AR59" s="221">
        <v>0</v>
      </c>
      <c r="AS59" s="221">
        <v>0</v>
      </c>
      <c r="AT59" s="221">
        <v>0</v>
      </c>
      <c r="AU59" s="221">
        <v>0</v>
      </c>
      <c r="AV59" s="221">
        <v>0</v>
      </c>
      <c r="AW59" s="221">
        <v>0</v>
      </c>
      <c r="AX59" s="221">
        <v>0</v>
      </c>
      <c r="AY59" s="221">
        <v>0</v>
      </c>
      <c r="AZ59" s="221">
        <v>0</v>
      </c>
      <c r="BA59" s="221">
        <v>0</v>
      </c>
      <c r="BB59" s="221">
        <v>0</v>
      </c>
      <c r="BC59" s="221">
        <v>0</v>
      </c>
      <c r="BD59" s="221">
        <v>0</v>
      </c>
      <c r="BE59" s="221">
        <v>0</v>
      </c>
      <c r="BF59" s="221">
        <v>0</v>
      </c>
      <c r="BG59" s="221">
        <v>0</v>
      </c>
      <c r="BH59" s="221">
        <v>0</v>
      </c>
      <c r="BI59" s="221">
        <v>0</v>
      </c>
      <c r="BJ59" s="221">
        <v>0</v>
      </c>
      <c r="BK59" s="221">
        <v>0</v>
      </c>
      <c r="BL59" s="221">
        <v>0</v>
      </c>
      <c r="BM59" s="221">
        <v>0</v>
      </c>
      <c r="BN59" s="221">
        <v>0</v>
      </c>
      <c r="BO59" s="221">
        <v>0</v>
      </c>
      <c r="BP59" s="221">
        <v>0</v>
      </c>
      <c r="BQ59" s="221">
        <v>0</v>
      </c>
      <c r="BR59" s="221">
        <v>0</v>
      </c>
      <c r="BS59" s="221">
        <v>0</v>
      </c>
      <c r="BT59" s="221">
        <v>0</v>
      </c>
      <c r="BU59" s="221">
        <v>0</v>
      </c>
      <c r="BV59" s="221">
        <v>0</v>
      </c>
      <c r="BW59" s="221">
        <v>0</v>
      </c>
      <c r="BX59" s="221">
        <v>0</v>
      </c>
      <c r="BY59" s="221">
        <v>0</v>
      </c>
      <c r="BZ59" s="221">
        <v>0</v>
      </c>
      <c r="CA59" s="221">
        <v>0</v>
      </c>
      <c r="CB59" s="221">
        <v>0</v>
      </c>
      <c r="CC59" s="221">
        <v>0</v>
      </c>
      <c r="CD59" s="221">
        <v>0</v>
      </c>
      <c r="CE59" s="221">
        <v>0</v>
      </c>
      <c r="CF59" s="221">
        <v>0</v>
      </c>
      <c r="CG59" s="221">
        <v>0</v>
      </c>
      <c r="CH59" s="221">
        <v>0</v>
      </c>
      <c r="CI59" s="221">
        <v>0</v>
      </c>
      <c r="CJ59" s="221">
        <v>0</v>
      </c>
    </row>
    <row r="60" spans="2:97" x14ac:dyDescent="0.35">
      <c r="B60" s="42" t="s">
        <v>758</v>
      </c>
      <c r="C60" s="221">
        <f t="shared" si="35"/>
        <v>0</v>
      </c>
      <c r="D60" s="221">
        <f t="shared" si="35"/>
        <v>0</v>
      </c>
      <c r="E60" s="221">
        <f t="shared" si="35"/>
        <v>0</v>
      </c>
      <c r="F60" s="221">
        <f t="shared" si="35"/>
        <v>0</v>
      </c>
      <c r="G60" s="221">
        <f t="shared" si="35"/>
        <v>0</v>
      </c>
      <c r="H60" s="221">
        <f t="shared" si="35"/>
        <v>0</v>
      </c>
      <c r="I60" s="221">
        <f t="shared" si="36"/>
        <v>0</v>
      </c>
      <c r="J60" s="221">
        <f t="shared" si="29"/>
        <v>0</v>
      </c>
      <c r="K60" s="221">
        <f t="shared" si="29"/>
        <v>0</v>
      </c>
      <c r="L60" s="221">
        <f t="shared" si="29"/>
        <v>0</v>
      </c>
      <c r="M60" s="221">
        <f t="shared" si="29"/>
        <v>0</v>
      </c>
      <c r="N60" s="221">
        <f t="shared" si="37"/>
        <v>0</v>
      </c>
      <c r="O60" s="221">
        <f t="shared" si="30"/>
        <v>0</v>
      </c>
      <c r="P60" s="221">
        <f t="shared" si="30"/>
        <v>0</v>
      </c>
      <c r="Q60" s="221">
        <f t="shared" si="30"/>
        <v>0</v>
      </c>
      <c r="R60" s="221">
        <f t="shared" si="30"/>
        <v>0</v>
      </c>
      <c r="S60" s="221">
        <f t="shared" si="38"/>
        <v>0</v>
      </c>
      <c r="T60" s="221">
        <f t="shared" si="31"/>
        <v>0</v>
      </c>
      <c r="U60" s="221">
        <f t="shared" si="31"/>
        <v>0</v>
      </c>
      <c r="V60" s="221">
        <f t="shared" si="31"/>
        <v>0</v>
      </c>
      <c r="W60" s="221">
        <f t="shared" si="31"/>
        <v>0</v>
      </c>
      <c r="X60" s="221">
        <f t="shared" si="39"/>
        <v>0</v>
      </c>
      <c r="Y60" s="221">
        <f t="shared" si="32"/>
        <v>0</v>
      </c>
      <c r="Z60" s="221">
        <f t="shared" si="32"/>
        <v>0</v>
      </c>
      <c r="AA60" s="221">
        <f t="shared" si="32"/>
        <v>0</v>
      </c>
      <c r="AB60" s="221">
        <f t="shared" si="32"/>
        <v>0</v>
      </c>
      <c r="AC60" s="221">
        <f t="shared" si="40"/>
        <v>0</v>
      </c>
      <c r="AD60" s="221">
        <f t="shared" si="33"/>
        <v>0</v>
      </c>
      <c r="AE60" s="221">
        <f t="shared" si="33"/>
        <v>0</v>
      </c>
      <c r="AF60" s="221">
        <f t="shared" si="33"/>
        <v>0</v>
      </c>
      <c r="AG60" s="221">
        <f t="shared" si="33"/>
        <v>0</v>
      </c>
      <c r="AH60" s="221">
        <f t="shared" si="41"/>
        <v>0</v>
      </c>
      <c r="AI60" s="221">
        <f t="shared" si="34"/>
        <v>0</v>
      </c>
      <c r="AJ60" s="221">
        <f t="shared" si="34"/>
        <v>0</v>
      </c>
      <c r="AK60" s="221">
        <f t="shared" si="34"/>
        <v>0</v>
      </c>
      <c r="AL60" s="221">
        <f t="shared" si="34"/>
        <v>0</v>
      </c>
      <c r="AM60" s="221">
        <v>0</v>
      </c>
      <c r="AN60" s="221">
        <v>0</v>
      </c>
      <c r="AO60" s="221">
        <v>0</v>
      </c>
      <c r="AP60" s="221">
        <v>0</v>
      </c>
      <c r="AQ60" s="221">
        <v>0</v>
      </c>
      <c r="AR60" s="221">
        <v>0</v>
      </c>
      <c r="AS60" s="221">
        <v>0</v>
      </c>
      <c r="AT60" s="221">
        <v>0</v>
      </c>
      <c r="AU60" s="221">
        <v>0</v>
      </c>
      <c r="AV60" s="221">
        <v>0</v>
      </c>
      <c r="AW60" s="221">
        <v>0</v>
      </c>
      <c r="AX60" s="221">
        <v>0</v>
      </c>
      <c r="AY60" s="221">
        <v>0</v>
      </c>
      <c r="AZ60" s="221">
        <v>0</v>
      </c>
      <c r="BA60" s="221">
        <v>0</v>
      </c>
      <c r="BB60" s="221">
        <v>0</v>
      </c>
      <c r="BC60" s="221">
        <v>0</v>
      </c>
      <c r="BD60" s="221">
        <v>0</v>
      </c>
      <c r="BE60" s="221">
        <v>0</v>
      </c>
      <c r="BF60" s="221">
        <v>0</v>
      </c>
      <c r="BG60" s="221">
        <v>0</v>
      </c>
      <c r="BH60" s="221">
        <v>0</v>
      </c>
      <c r="BI60" s="221">
        <v>0</v>
      </c>
      <c r="BJ60" s="221">
        <v>0</v>
      </c>
      <c r="BK60" s="221">
        <v>0</v>
      </c>
      <c r="BL60" s="221">
        <v>0</v>
      </c>
      <c r="BM60" s="221">
        <v>0</v>
      </c>
      <c r="BN60" s="221">
        <v>0</v>
      </c>
      <c r="BO60" s="221">
        <v>0</v>
      </c>
      <c r="BP60" s="221">
        <v>0</v>
      </c>
      <c r="BQ60" s="221">
        <v>0</v>
      </c>
      <c r="BR60" s="221">
        <v>0</v>
      </c>
      <c r="BS60" s="221">
        <v>0</v>
      </c>
      <c r="BT60" s="221">
        <v>0</v>
      </c>
      <c r="BU60" s="221">
        <v>0</v>
      </c>
      <c r="BV60" s="221">
        <v>0</v>
      </c>
      <c r="BW60" s="221">
        <v>0</v>
      </c>
      <c r="BX60" s="221">
        <v>0</v>
      </c>
      <c r="BY60" s="221">
        <v>0</v>
      </c>
      <c r="BZ60" s="221">
        <v>0</v>
      </c>
      <c r="CA60" s="221">
        <v>0</v>
      </c>
      <c r="CB60" s="221">
        <v>0</v>
      </c>
      <c r="CC60" s="221">
        <v>0</v>
      </c>
      <c r="CD60" s="221">
        <v>0</v>
      </c>
      <c r="CE60" s="221">
        <v>0</v>
      </c>
      <c r="CF60" s="221">
        <v>0</v>
      </c>
      <c r="CG60" s="221">
        <v>0</v>
      </c>
      <c r="CH60" s="221">
        <v>0</v>
      </c>
      <c r="CI60" s="221">
        <v>0</v>
      </c>
      <c r="CJ60" s="221">
        <v>0</v>
      </c>
    </row>
    <row r="61" spans="2:97" x14ac:dyDescent="0.35">
      <c r="B61" s="42" t="s">
        <v>1328</v>
      </c>
      <c r="C61" s="221">
        <f t="shared" si="35"/>
        <v>0</v>
      </c>
      <c r="D61" s="221">
        <f t="shared" si="35"/>
        <v>0</v>
      </c>
      <c r="E61" s="221">
        <f t="shared" si="35"/>
        <v>0</v>
      </c>
      <c r="F61" s="221">
        <f t="shared" si="35"/>
        <v>0</v>
      </c>
      <c r="G61" s="221">
        <f t="shared" si="35"/>
        <v>0</v>
      </c>
      <c r="H61" s="221">
        <f t="shared" si="35"/>
        <v>0</v>
      </c>
      <c r="I61" s="221">
        <f t="shared" si="36"/>
        <v>0</v>
      </c>
      <c r="J61" s="221">
        <f t="shared" si="29"/>
        <v>0</v>
      </c>
      <c r="K61" s="221">
        <f t="shared" si="29"/>
        <v>0</v>
      </c>
      <c r="L61" s="221">
        <f t="shared" si="29"/>
        <v>0</v>
      </c>
      <c r="M61" s="221">
        <f t="shared" si="29"/>
        <v>0</v>
      </c>
      <c r="N61" s="221">
        <f t="shared" si="37"/>
        <v>0</v>
      </c>
      <c r="O61" s="221">
        <f t="shared" si="30"/>
        <v>0</v>
      </c>
      <c r="P61" s="221">
        <f t="shared" si="30"/>
        <v>0</v>
      </c>
      <c r="Q61" s="221">
        <f t="shared" si="30"/>
        <v>0</v>
      </c>
      <c r="R61" s="221">
        <f t="shared" si="30"/>
        <v>0</v>
      </c>
      <c r="S61" s="221">
        <f t="shared" si="38"/>
        <v>0</v>
      </c>
      <c r="T61" s="221">
        <f t="shared" si="31"/>
        <v>0</v>
      </c>
      <c r="U61" s="221">
        <f t="shared" si="31"/>
        <v>0</v>
      </c>
      <c r="V61" s="221">
        <f t="shared" si="31"/>
        <v>0</v>
      </c>
      <c r="W61" s="221">
        <f t="shared" si="31"/>
        <v>0</v>
      </c>
      <c r="X61" s="221">
        <f t="shared" si="39"/>
        <v>0</v>
      </c>
      <c r="Y61" s="221">
        <f t="shared" si="32"/>
        <v>0</v>
      </c>
      <c r="Z61" s="221">
        <f t="shared" si="32"/>
        <v>0</v>
      </c>
      <c r="AA61" s="221">
        <f t="shared" si="32"/>
        <v>0</v>
      </c>
      <c r="AB61" s="221">
        <f t="shared" si="32"/>
        <v>0</v>
      </c>
      <c r="AC61" s="221">
        <f t="shared" si="40"/>
        <v>0</v>
      </c>
      <c r="AD61" s="221">
        <f t="shared" si="33"/>
        <v>0</v>
      </c>
      <c r="AE61" s="221">
        <f t="shared" si="33"/>
        <v>0</v>
      </c>
      <c r="AF61" s="221">
        <f t="shared" si="33"/>
        <v>0</v>
      </c>
      <c r="AG61" s="221">
        <f t="shared" si="33"/>
        <v>0</v>
      </c>
      <c r="AH61" s="221">
        <f t="shared" si="41"/>
        <v>0</v>
      </c>
      <c r="AI61" s="221">
        <f t="shared" si="34"/>
        <v>0</v>
      </c>
      <c r="AJ61" s="221">
        <f t="shared" si="34"/>
        <v>0</v>
      </c>
      <c r="AK61" s="221">
        <f t="shared" si="34"/>
        <v>0</v>
      </c>
      <c r="AL61" s="221">
        <f t="shared" si="34"/>
        <v>0</v>
      </c>
      <c r="AM61" s="221">
        <v>0</v>
      </c>
      <c r="AN61" s="221">
        <v>0</v>
      </c>
      <c r="AO61" s="221">
        <v>0</v>
      </c>
      <c r="AP61" s="221">
        <v>0</v>
      </c>
      <c r="AQ61" s="221">
        <v>0</v>
      </c>
      <c r="AR61" s="221">
        <v>0</v>
      </c>
      <c r="AS61" s="221">
        <v>0</v>
      </c>
      <c r="AT61" s="221">
        <v>0</v>
      </c>
      <c r="AU61" s="221">
        <v>0</v>
      </c>
      <c r="AV61" s="221">
        <v>0</v>
      </c>
      <c r="AW61" s="221">
        <v>0</v>
      </c>
      <c r="AX61" s="221">
        <v>0</v>
      </c>
      <c r="AY61" s="221">
        <v>0</v>
      </c>
      <c r="AZ61" s="221">
        <v>0</v>
      </c>
      <c r="BA61" s="221">
        <v>0</v>
      </c>
      <c r="BB61" s="221">
        <v>0</v>
      </c>
      <c r="BC61" s="221">
        <v>0</v>
      </c>
      <c r="BD61" s="221">
        <v>0</v>
      </c>
      <c r="BE61" s="221">
        <v>0</v>
      </c>
      <c r="BF61" s="221">
        <v>0</v>
      </c>
      <c r="BG61" s="221">
        <v>0</v>
      </c>
      <c r="BH61" s="221">
        <v>0</v>
      </c>
      <c r="BI61" s="221">
        <v>0</v>
      </c>
      <c r="BJ61" s="221">
        <v>0</v>
      </c>
      <c r="BK61" s="221">
        <v>0</v>
      </c>
      <c r="BL61" s="221">
        <v>0</v>
      </c>
      <c r="BM61" s="221">
        <v>0</v>
      </c>
      <c r="BN61" s="221">
        <v>0</v>
      </c>
      <c r="BO61" s="221">
        <v>0</v>
      </c>
      <c r="BP61" s="221">
        <v>0</v>
      </c>
      <c r="BQ61" s="221">
        <v>0</v>
      </c>
      <c r="BR61" s="221">
        <v>0</v>
      </c>
      <c r="BS61" s="221">
        <v>0</v>
      </c>
      <c r="BT61" s="221">
        <v>0</v>
      </c>
      <c r="BU61" s="221">
        <v>0</v>
      </c>
      <c r="BV61" s="221">
        <v>0</v>
      </c>
      <c r="BW61" s="221">
        <v>0</v>
      </c>
      <c r="BX61" s="221">
        <v>0</v>
      </c>
      <c r="BY61" s="221">
        <v>0</v>
      </c>
      <c r="BZ61" s="221">
        <v>0</v>
      </c>
      <c r="CA61" s="221">
        <v>0</v>
      </c>
      <c r="CB61" s="221">
        <v>0</v>
      </c>
      <c r="CC61" s="221">
        <v>0</v>
      </c>
      <c r="CD61" s="221">
        <v>0</v>
      </c>
      <c r="CE61" s="221">
        <v>0</v>
      </c>
      <c r="CF61" s="221">
        <v>0</v>
      </c>
      <c r="CG61" s="221">
        <v>0</v>
      </c>
      <c r="CH61" s="221">
        <v>0</v>
      </c>
      <c r="CI61" s="221">
        <v>0</v>
      </c>
      <c r="CJ61" s="221">
        <v>0</v>
      </c>
    </row>
    <row r="62" spans="2:97" x14ac:dyDescent="0.35">
      <c r="B62" s="42" t="s">
        <v>759</v>
      </c>
      <c r="C62" s="221">
        <f t="shared" si="35"/>
        <v>0</v>
      </c>
      <c r="D62" s="221">
        <f t="shared" si="35"/>
        <v>0</v>
      </c>
      <c r="E62" s="221">
        <f t="shared" si="35"/>
        <v>0</v>
      </c>
      <c r="F62" s="221">
        <f t="shared" si="35"/>
        <v>0</v>
      </c>
      <c r="G62" s="221">
        <f t="shared" si="35"/>
        <v>0</v>
      </c>
      <c r="H62" s="221">
        <f t="shared" si="35"/>
        <v>0</v>
      </c>
      <c r="I62" s="221">
        <f t="shared" si="36"/>
        <v>0</v>
      </c>
      <c r="J62" s="221">
        <f t="shared" si="29"/>
        <v>0</v>
      </c>
      <c r="K62" s="221">
        <f t="shared" si="29"/>
        <v>0</v>
      </c>
      <c r="L62" s="221">
        <f t="shared" si="29"/>
        <v>0</v>
      </c>
      <c r="M62" s="221">
        <f t="shared" si="29"/>
        <v>0</v>
      </c>
      <c r="N62" s="221">
        <f t="shared" si="37"/>
        <v>0</v>
      </c>
      <c r="O62" s="221">
        <f t="shared" si="30"/>
        <v>0</v>
      </c>
      <c r="P62" s="221">
        <f t="shared" si="30"/>
        <v>0</v>
      </c>
      <c r="Q62" s="221">
        <f t="shared" si="30"/>
        <v>0</v>
      </c>
      <c r="R62" s="221">
        <f t="shared" si="30"/>
        <v>0</v>
      </c>
      <c r="S62" s="221">
        <f t="shared" si="38"/>
        <v>0</v>
      </c>
      <c r="T62" s="221">
        <f t="shared" si="31"/>
        <v>0</v>
      </c>
      <c r="U62" s="221">
        <f t="shared" si="31"/>
        <v>0</v>
      </c>
      <c r="V62" s="221">
        <f t="shared" si="31"/>
        <v>0</v>
      </c>
      <c r="W62" s="221">
        <f t="shared" si="31"/>
        <v>0</v>
      </c>
      <c r="X62" s="221">
        <f t="shared" si="39"/>
        <v>0</v>
      </c>
      <c r="Y62" s="221">
        <f t="shared" si="32"/>
        <v>0</v>
      </c>
      <c r="Z62" s="221">
        <f t="shared" si="32"/>
        <v>0</v>
      </c>
      <c r="AA62" s="221">
        <f t="shared" si="32"/>
        <v>0</v>
      </c>
      <c r="AB62" s="221">
        <f t="shared" si="32"/>
        <v>0</v>
      </c>
      <c r="AC62" s="221">
        <f t="shared" si="40"/>
        <v>0</v>
      </c>
      <c r="AD62" s="221">
        <f t="shared" si="33"/>
        <v>0</v>
      </c>
      <c r="AE62" s="221">
        <f t="shared" si="33"/>
        <v>0</v>
      </c>
      <c r="AF62" s="221">
        <f t="shared" si="33"/>
        <v>0</v>
      </c>
      <c r="AG62" s="221">
        <f t="shared" si="33"/>
        <v>0</v>
      </c>
      <c r="AH62" s="221">
        <f t="shared" si="41"/>
        <v>0</v>
      </c>
      <c r="AI62" s="221">
        <f t="shared" si="34"/>
        <v>0</v>
      </c>
      <c r="AJ62" s="221">
        <f t="shared" si="34"/>
        <v>0</v>
      </c>
      <c r="AK62" s="221">
        <f t="shared" si="34"/>
        <v>0</v>
      </c>
      <c r="AL62" s="221">
        <f t="shared" si="34"/>
        <v>0</v>
      </c>
      <c r="AM62" s="221">
        <v>0</v>
      </c>
      <c r="AN62" s="221">
        <v>0</v>
      </c>
      <c r="AO62" s="221">
        <v>0</v>
      </c>
      <c r="AP62" s="221">
        <v>0</v>
      </c>
      <c r="AQ62" s="221">
        <v>0</v>
      </c>
      <c r="AR62" s="221">
        <v>0</v>
      </c>
      <c r="AS62" s="221">
        <v>0</v>
      </c>
      <c r="AT62" s="221">
        <v>0</v>
      </c>
      <c r="AU62" s="221">
        <v>0</v>
      </c>
      <c r="AV62" s="221">
        <v>0</v>
      </c>
      <c r="AW62" s="221">
        <v>0</v>
      </c>
      <c r="AX62" s="221">
        <v>0</v>
      </c>
      <c r="AY62" s="221">
        <v>0</v>
      </c>
      <c r="AZ62" s="221">
        <v>0</v>
      </c>
      <c r="BA62" s="221">
        <v>0</v>
      </c>
      <c r="BB62" s="221">
        <v>0</v>
      </c>
      <c r="BC62" s="221">
        <v>0</v>
      </c>
      <c r="BD62" s="221">
        <v>0</v>
      </c>
      <c r="BE62" s="221">
        <v>0</v>
      </c>
      <c r="BF62" s="221">
        <v>0</v>
      </c>
      <c r="BG62" s="221">
        <v>0</v>
      </c>
      <c r="BH62" s="221">
        <v>0</v>
      </c>
      <c r="BI62" s="221">
        <v>0</v>
      </c>
      <c r="BJ62" s="221">
        <v>0</v>
      </c>
      <c r="BK62" s="221">
        <v>0</v>
      </c>
      <c r="BL62" s="221">
        <v>0</v>
      </c>
      <c r="BM62" s="221">
        <v>0</v>
      </c>
      <c r="BN62" s="221">
        <v>0</v>
      </c>
      <c r="BO62" s="221">
        <v>0</v>
      </c>
      <c r="BP62" s="221">
        <v>0</v>
      </c>
      <c r="BQ62" s="221">
        <v>0</v>
      </c>
      <c r="BR62" s="221">
        <v>0</v>
      </c>
      <c r="BS62" s="221">
        <v>0</v>
      </c>
      <c r="BT62" s="221">
        <v>0</v>
      </c>
      <c r="BU62" s="221">
        <v>0</v>
      </c>
      <c r="BV62" s="221">
        <v>0</v>
      </c>
      <c r="BW62" s="221">
        <v>0</v>
      </c>
      <c r="BX62" s="221">
        <v>0</v>
      </c>
      <c r="BY62" s="221">
        <v>0</v>
      </c>
      <c r="BZ62" s="221">
        <v>0</v>
      </c>
      <c r="CA62" s="221">
        <v>0</v>
      </c>
      <c r="CB62" s="221">
        <v>0</v>
      </c>
      <c r="CC62" s="221">
        <v>0</v>
      </c>
      <c r="CD62" s="221">
        <v>0</v>
      </c>
      <c r="CE62" s="221">
        <v>0</v>
      </c>
      <c r="CF62" s="221">
        <v>0</v>
      </c>
      <c r="CG62" s="221">
        <v>0</v>
      </c>
      <c r="CH62" s="221">
        <v>0</v>
      </c>
      <c r="CI62" s="221">
        <v>0</v>
      </c>
      <c r="CJ62" s="221">
        <v>0</v>
      </c>
    </row>
    <row r="63" spans="2:97" x14ac:dyDescent="0.35">
      <c r="B63" s="42" t="s">
        <v>1329</v>
      </c>
      <c r="C63" s="221">
        <f t="shared" si="35"/>
        <v>0</v>
      </c>
      <c r="D63" s="221">
        <f t="shared" si="35"/>
        <v>0</v>
      </c>
      <c r="E63" s="221">
        <f t="shared" si="35"/>
        <v>0</v>
      </c>
      <c r="F63" s="221">
        <f t="shared" si="35"/>
        <v>0</v>
      </c>
      <c r="G63" s="221">
        <f t="shared" si="35"/>
        <v>0</v>
      </c>
      <c r="H63" s="221">
        <f t="shared" si="35"/>
        <v>0</v>
      </c>
      <c r="I63" s="221">
        <f t="shared" si="36"/>
        <v>0</v>
      </c>
      <c r="J63" s="221">
        <f t="shared" si="29"/>
        <v>0</v>
      </c>
      <c r="K63" s="221">
        <f t="shared" si="29"/>
        <v>0</v>
      </c>
      <c r="L63" s="221">
        <f t="shared" si="29"/>
        <v>0</v>
      </c>
      <c r="M63" s="221">
        <f t="shared" si="29"/>
        <v>0</v>
      </c>
      <c r="N63" s="221">
        <f t="shared" si="37"/>
        <v>0</v>
      </c>
      <c r="O63" s="221">
        <f t="shared" si="30"/>
        <v>0</v>
      </c>
      <c r="P63" s="221">
        <f t="shared" si="30"/>
        <v>0</v>
      </c>
      <c r="Q63" s="221">
        <f t="shared" si="30"/>
        <v>0</v>
      </c>
      <c r="R63" s="221">
        <f t="shared" si="30"/>
        <v>0</v>
      </c>
      <c r="S63" s="221">
        <f t="shared" si="38"/>
        <v>0</v>
      </c>
      <c r="T63" s="221">
        <f t="shared" si="31"/>
        <v>0</v>
      </c>
      <c r="U63" s="221">
        <f t="shared" si="31"/>
        <v>0</v>
      </c>
      <c r="V63" s="221">
        <f t="shared" si="31"/>
        <v>0</v>
      </c>
      <c r="W63" s="221">
        <f t="shared" si="31"/>
        <v>0</v>
      </c>
      <c r="X63" s="221">
        <f t="shared" si="39"/>
        <v>0</v>
      </c>
      <c r="Y63" s="221">
        <f t="shared" si="32"/>
        <v>0</v>
      </c>
      <c r="Z63" s="221">
        <f t="shared" si="32"/>
        <v>0</v>
      </c>
      <c r="AA63" s="221">
        <f t="shared" si="32"/>
        <v>0</v>
      </c>
      <c r="AB63" s="221">
        <f t="shared" si="32"/>
        <v>0</v>
      </c>
      <c r="AC63" s="221">
        <f t="shared" si="40"/>
        <v>0</v>
      </c>
      <c r="AD63" s="221">
        <f t="shared" si="33"/>
        <v>0</v>
      </c>
      <c r="AE63" s="221">
        <f t="shared" si="33"/>
        <v>0</v>
      </c>
      <c r="AF63" s="221">
        <f t="shared" si="33"/>
        <v>0</v>
      </c>
      <c r="AG63" s="221">
        <f t="shared" si="33"/>
        <v>0</v>
      </c>
      <c r="AH63" s="221">
        <f t="shared" si="41"/>
        <v>0</v>
      </c>
      <c r="AI63" s="221">
        <f t="shared" si="34"/>
        <v>0</v>
      </c>
      <c r="AJ63" s="221">
        <f t="shared" si="34"/>
        <v>0</v>
      </c>
      <c r="AK63" s="221">
        <f t="shared" si="34"/>
        <v>0</v>
      </c>
      <c r="AL63" s="221">
        <f t="shared" si="34"/>
        <v>0</v>
      </c>
      <c r="AM63" s="221">
        <v>0</v>
      </c>
      <c r="AN63" s="221">
        <v>0</v>
      </c>
      <c r="AO63" s="221">
        <v>0</v>
      </c>
      <c r="AP63" s="221">
        <v>0</v>
      </c>
      <c r="AQ63" s="221">
        <v>0</v>
      </c>
      <c r="AR63" s="221">
        <v>0</v>
      </c>
      <c r="AS63" s="221">
        <v>0</v>
      </c>
      <c r="AT63" s="221">
        <v>0</v>
      </c>
      <c r="AU63" s="221">
        <v>0</v>
      </c>
      <c r="AV63" s="221">
        <v>0</v>
      </c>
      <c r="AW63" s="221">
        <v>0</v>
      </c>
      <c r="AX63" s="221">
        <v>0</v>
      </c>
      <c r="AY63" s="221">
        <v>0</v>
      </c>
      <c r="AZ63" s="221">
        <v>0</v>
      </c>
      <c r="BA63" s="221">
        <v>0</v>
      </c>
      <c r="BB63" s="221">
        <v>0</v>
      </c>
      <c r="BC63" s="221">
        <v>0</v>
      </c>
      <c r="BD63" s="221">
        <v>0</v>
      </c>
      <c r="BE63" s="221">
        <v>0</v>
      </c>
      <c r="BF63" s="221">
        <v>0</v>
      </c>
      <c r="BG63" s="221">
        <v>0</v>
      </c>
      <c r="BH63" s="221">
        <v>0</v>
      </c>
      <c r="BI63" s="221">
        <v>0</v>
      </c>
      <c r="BJ63" s="221">
        <v>0</v>
      </c>
      <c r="BK63" s="221">
        <v>0</v>
      </c>
      <c r="BL63" s="221">
        <v>0</v>
      </c>
      <c r="BM63" s="221">
        <v>0</v>
      </c>
      <c r="BN63" s="221">
        <v>0</v>
      </c>
      <c r="BO63" s="221">
        <v>0</v>
      </c>
      <c r="BP63" s="221">
        <v>0</v>
      </c>
      <c r="BQ63" s="221">
        <v>0</v>
      </c>
      <c r="BR63" s="221">
        <v>0</v>
      </c>
      <c r="BS63" s="221">
        <v>0</v>
      </c>
      <c r="BT63" s="221">
        <v>0</v>
      </c>
      <c r="BU63" s="221">
        <v>0</v>
      </c>
      <c r="BV63" s="221">
        <v>0</v>
      </c>
      <c r="BW63" s="221">
        <v>0</v>
      </c>
      <c r="BX63" s="221">
        <v>0</v>
      </c>
      <c r="BY63" s="221">
        <v>0</v>
      </c>
      <c r="BZ63" s="221">
        <v>0</v>
      </c>
      <c r="CA63" s="221">
        <v>0</v>
      </c>
      <c r="CB63" s="221">
        <v>0</v>
      </c>
      <c r="CC63" s="221">
        <v>0</v>
      </c>
      <c r="CD63" s="221">
        <v>0</v>
      </c>
      <c r="CE63" s="221">
        <v>0</v>
      </c>
      <c r="CF63" s="221">
        <v>0</v>
      </c>
      <c r="CG63" s="221">
        <v>0</v>
      </c>
      <c r="CH63" s="221">
        <v>0</v>
      </c>
      <c r="CI63" s="221">
        <v>0</v>
      </c>
      <c r="CJ63" s="221">
        <v>0</v>
      </c>
    </row>
    <row r="64" spans="2:97" x14ac:dyDescent="0.35">
      <c r="B64" s="42" t="s">
        <v>760</v>
      </c>
      <c r="C64" s="221">
        <f t="shared" si="35"/>
        <v>0</v>
      </c>
      <c r="D64" s="221">
        <f t="shared" si="35"/>
        <v>0</v>
      </c>
      <c r="E64" s="221">
        <f t="shared" si="35"/>
        <v>0</v>
      </c>
      <c r="F64" s="221">
        <f t="shared" si="35"/>
        <v>0</v>
      </c>
      <c r="G64" s="221">
        <f t="shared" si="35"/>
        <v>0</v>
      </c>
      <c r="H64" s="221">
        <f t="shared" si="35"/>
        <v>0</v>
      </c>
      <c r="I64" s="221">
        <f t="shared" si="36"/>
        <v>0</v>
      </c>
      <c r="J64" s="221">
        <f t="shared" si="29"/>
        <v>0</v>
      </c>
      <c r="K64" s="221">
        <f t="shared" si="29"/>
        <v>0</v>
      </c>
      <c r="L64" s="221">
        <f t="shared" si="29"/>
        <v>0</v>
      </c>
      <c r="M64" s="221">
        <f t="shared" si="29"/>
        <v>0</v>
      </c>
      <c r="N64" s="221">
        <f t="shared" si="37"/>
        <v>0</v>
      </c>
      <c r="O64" s="221">
        <f t="shared" si="30"/>
        <v>0</v>
      </c>
      <c r="P64" s="221">
        <f t="shared" si="30"/>
        <v>0</v>
      </c>
      <c r="Q64" s="221">
        <f t="shared" si="30"/>
        <v>0</v>
      </c>
      <c r="R64" s="221">
        <f t="shared" si="30"/>
        <v>0</v>
      </c>
      <c r="S64" s="221">
        <f t="shared" si="38"/>
        <v>0</v>
      </c>
      <c r="T64" s="221">
        <f t="shared" si="31"/>
        <v>0</v>
      </c>
      <c r="U64" s="221">
        <f t="shared" si="31"/>
        <v>0</v>
      </c>
      <c r="V64" s="221">
        <f t="shared" si="31"/>
        <v>0</v>
      </c>
      <c r="W64" s="221">
        <f t="shared" si="31"/>
        <v>0</v>
      </c>
      <c r="X64" s="221">
        <f t="shared" si="39"/>
        <v>0</v>
      </c>
      <c r="Y64" s="221">
        <f t="shared" si="32"/>
        <v>0</v>
      </c>
      <c r="Z64" s="221">
        <f t="shared" si="32"/>
        <v>0</v>
      </c>
      <c r="AA64" s="221">
        <f t="shared" si="32"/>
        <v>0</v>
      </c>
      <c r="AB64" s="221">
        <f t="shared" si="32"/>
        <v>0</v>
      </c>
      <c r="AC64" s="221">
        <f t="shared" si="40"/>
        <v>0</v>
      </c>
      <c r="AD64" s="221">
        <f t="shared" si="33"/>
        <v>0</v>
      </c>
      <c r="AE64" s="221">
        <f t="shared" si="33"/>
        <v>0</v>
      </c>
      <c r="AF64" s="221">
        <f t="shared" si="33"/>
        <v>0</v>
      </c>
      <c r="AG64" s="221">
        <f t="shared" si="33"/>
        <v>0</v>
      </c>
      <c r="AH64" s="221">
        <f t="shared" si="41"/>
        <v>0</v>
      </c>
      <c r="AI64" s="221">
        <f t="shared" si="34"/>
        <v>0</v>
      </c>
      <c r="AJ64" s="221">
        <f t="shared" si="34"/>
        <v>0</v>
      </c>
      <c r="AK64" s="221">
        <f t="shared" si="34"/>
        <v>0</v>
      </c>
      <c r="AL64" s="221">
        <f t="shared" si="34"/>
        <v>0</v>
      </c>
      <c r="AM64" s="221">
        <v>0</v>
      </c>
      <c r="AN64" s="221">
        <v>0</v>
      </c>
      <c r="AO64" s="221">
        <v>0</v>
      </c>
      <c r="AP64" s="221">
        <v>0</v>
      </c>
      <c r="AQ64" s="221">
        <v>0</v>
      </c>
      <c r="AR64" s="221">
        <v>0</v>
      </c>
      <c r="AS64" s="221">
        <v>0</v>
      </c>
      <c r="AT64" s="221">
        <v>0</v>
      </c>
      <c r="AU64" s="221">
        <v>0</v>
      </c>
      <c r="AV64" s="221">
        <v>0</v>
      </c>
      <c r="AW64" s="221">
        <v>0</v>
      </c>
      <c r="AX64" s="221">
        <v>0</v>
      </c>
      <c r="AY64" s="221">
        <v>0</v>
      </c>
      <c r="AZ64" s="221">
        <v>0</v>
      </c>
      <c r="BA64" s="221">
        <v>0</v>
      </c>
      <c r="BB64" s="221">
        <v>0</v>
      </c>
      <c r="BC64" s="221">
        <v>0</v>
      </c>
      <c r="BD64" s="221">
        <v>0</v>
      </c>
      <c r="BE64" s="221">
        <v>0</v>
      </c>
      <c r="BF64" s="221">
        <v>0</v>
      </c>
      <c r="BG64" s="221">
        <v>0</v>
      </c>
      <c r="BH64" s="221">
        <v>0</v>
      </c>
      <c r="BI64" s="221">
        <v>0</v>
      </c>
      <c r="BJ64" s="221">
        <v>0</v>
      </c>
      <c r="BK64" s="221">
        <v>0</v>
      </c>
      <c r="BL64" s="221">
        <v>0</v>
      </c>
      <c r="BM64" s="221">
        <v>0</v>
      </c>
      <c r="BN64" s="221">
        <v>0</v>
      </c>
      <c r="BO64" s="221">
        <v>0</v>
      </c>
      <c r="BP64" s="221">
        <v>0</v>
      </c>
      <c r="BQ64" s="221">
        <v>0</v>
      </c>
      <c r="BR64" s="221">
        <v>0</v>
      </c>
      <c r="BS64" s="221">
        <v>0</v>
      </c>
      <c r="BT64" s="221">
        <v>0</v>
      </c>
      <c r="BU64" s="221">
        <v>0</v>
      </c>
      <c r="BV64" s="221">
        <v>0</v>
      </c>
      <c r="BW64" s="221">
        <v>0</v>
      </c>
      <c r="BX64" s="221">
        <v>0</v>
      </c>
      <c r="BY64" s="221">
        <v>0</v>
      </c>
      <c r="BZ64" s="221">
        <v>0</v>
      </c>
      <c r="CA64" s="221">
        <v>0</v>
      </c>
      <c r="CB64" s="221">
        <v>0</v>
      </c>
      <c r="CC64" s="221">
        <v>0</v>
      </c>
      <c r="CD64" s="221">
        <v>0</v>
      </c>
      <c r="CE64" s="221">
        <v>0</v>
      </c>
      <c r="CF64" s="221">
        <v>0</v>
      </c>
      <c r="CG64" s="221">
        <v>0</v>
      </c>
      <c r="CH64" s="221">
        <v>0</v>
      </c>
      <c r="CI64" s="221">
        <v>0</v>
      </c>
      <c r="CJ64" s="221">
        <v>0</v>
      </c>
    </row>
    <row r="65" spans="2:97" x14ac:dyDescent="0.35">
      <c r="B65" s="42" t="s">
        <v>1330</v>
      </c>
      <c r="C65" s="221">
        <f t="shared" si="35"/>
        <v>0</v>
      </c>
      <c r="D65" s="221">
        <f t="shared" si="35"/>
        <v>0</v>
      </c>
      <c r="E65" s="221">
        <f t="shared" si="35"/>
        <v>0</v>
      </c>
      <c r="F65" s="221">
        <f t="shared" si="35"/>
        <v>0</v>
      </c>
      <c r="G65" s="221">
        <f t="shared" si="35"/>
        <v>0</v>
      </c>
      <c r="H65" s="221">
        <f t="shared" si="35"/>
        <v>0</v>
      </c>
      <c r="I65" s="221">
        <f t="shared" si="36"/>
        <v>0</v>
      </c>
      <c r="J65" s="221">
        <f t="shared" si="29"/>
        <v>0</v>
      </c>
      <c r="K65" s="221">
        <f t="shared" si="29"/>
        <v>0</v>
      </c>
      <c r="L65" s="221">
        <f t="shared" si="29"/>
        <v>0</v>
      </c>
      <c r="M65" s="221">
        <f t="shared" si="29"/>
        <v>0</v>
      </c>
      <c r="N65" s="221">
        <f t="shared" si="37"/>
        <v>0</v>
      </c>
      <c r="O65" s="221">
        <f t="shared" si="30"/>
        <v>0</v>
      </c>
      <c r="P65" s="221">
        <f t="shared" si="30"/>
        <v>0</v>
      </c>
      <c r="Q65" s="221">
        <f t="shared" si="30"/>
        <v>0</v>
      </c>
      <c r="R65" s="221">
        <f t="shared" si="30"/>
        <v>0</v>
      </c>
      <c r="S65" s="221">
        <f t="shared" si="38"/>
        <v>0</v>
      </c>
      <c r="T65" s="221">
        <f t="shared" si="31"/>
        <v>0</v>
      </c>
      <c r="U65" s="221">
        <f t="shared" si="31"/>
        <v>0</v>
      </c>
      <c r="V65" s="221">
        <f t="shared" si="31"/>
        <v>0</v>
      </c>
      <c r="W65" s="221">
        <f t="shared" si="31"/>
        <v>0</v>
      </c>
      <c r="X65" s="221">
        <f t="shared" si="39"/>
        <v>0</v>
      </c>
      <c r="Y65" s="221">
        <f t="shared" si="32"/>
        <v>0</v>
      </c>
      <c r="Z65" s="221">
        <f t="shared" si="32"/>
        <v>0</v>
      </c>
      <c r="AA65" s="221">
        <f t="shared" si="32"/>
        <v>0</v>
      </c>
      <c r="AB65" s="221">
        <f t="shared" si="32"/>
        <v>0</v>
      </c>
      <c r="AC65" s="221">
        <f t="shared" si="40"/>
        <v>0</v>
      </c>
      <c r="AD65" s="221">
        <f t="shared" si="33"/>
        <v>0</v>
      </c>
      <c r="AE65" s="221">
        <f t="shared" si="33"/>
        <v>0</v>
      </c>
      <c r="AF65" s="221">
        <f t="shared" si="33"/>
        <v>0</v>
      </c>
      <c r="AG65" s="221">
        <f t="shared" si="33"/>
        <v>0</v>
      </c>
      <c r="AH65" s="221">
        <f t="shared" si="41"/>
        <v>0</v>
      </c>
      <c r="AI65" s="221">
        <f t="shared" si="34"/>
        <v>0</v>
      </c>
      <c r="AJ65" s="221">
        <f t="shared" si="34"/>
        <v>0</v>
      </c>
      <c r="AK65" s="221">
        <f t="shared" si="34"/>
        <v>0</v>
      </c>
      <c r="AL65" s="221">
        <f t="shared" si="34"/>
        <v>0</v>
      </c>
      <c r="AM65" s="221">
        <v>0</v>
      </c>
      <c r="AN65" s="221">
        <v>0</v>
      </c>
      <c r="AO65" s="221">
        <v>0</v>
      </c>
      <c r="AP65" s="221">
        <v>0</v>
      </c>
      <c r="AQ65" s="221">
        <v>0</v>
      </c>
      <c r="AR65" s="221">
        <v>0</v>
      </c>
      <c r="AS65" s="221">
        <v>0</v>
      </c>
      <c r="AT65" s="221">
        <v>0</v>
      </c>
      <c r="AU65" s="221">
        <v>0</v>
      </c>
      <c r="AV65" s="221">
        <v>0</v>
      </c>
      <c r="AW65" s="221">
        <v>0</v>
      </c>
      <c r="AX65" s="221">
        <v>0</v>
      </c>
      <c r="AY65" s="221">
        <v>0</v>
      </c>
      <c r="AZ65" s="221">
        <v>0</v>
      </c>
      <c r="BA65" s="221">
        <v>0</v>
      </c>
      <c r="BB65" s="221">
        <v>0</v>
      </c>
      <c r="BC65" s="221">
        <v>0</v>
      </c>
      <c r="BD65" s="221">
        <v>0</v>
      </c>
      <c r="BE65" s="221">
        <v>0</v>
      </c>
      <c r="BF65" s="221">
        <v>0</v>
      </c>
      <c r="BG65" s="221">
        <v>0</v>
      </c>
      <c r="BH65" s="221">
        <v>0</v>
      </c>
      <c r="BI65" s="221">
        <v>0</v>
      </c>
      <c r="BJ65" s="221">
        <v>0</v>
      </c>
      <c r="BK65" s="221">
        <v>0</v>
      </c>
      <c r="BL65" s="221">
        <v>0</v>
      </c>
      <c r="BM65" s="221">
        <v>0</v>
      </c>
      <c r="BN65" s="221">
        <v>0</v>
      </c>
      <c r="BO65" s="221">
        <v>0</v>
      </c>
      <c r="BP65" s="221">
        <v>0</v>
      </c>
      <c r="BQ65" s="221">
        <v>0</v>
      </c>
      <c r="BR65" s="221">
        <v>0</v>
      </c>
      <c r="BS65" s="221">
        <v>0</v>
      </c>
      <c r="BT65" s="221">
        <v>0</v>
      </c>
      <c r="BU65" s="221">
        <v>0</v>
      </c>
      <c r="BV65" s="221">
        <v>0</v>
      </c>
      <c r="BW65" s="221">
        <v>0</v>
      </c>
      <c r="BX65" s="221">
        <v>0</v>
      </c>
      <c r="BY65" s="221">
        <v>0</v>
      </c>
      <c r="BZ65" s="221">
        <v>0</v>
      </c>
      <c r="CA65" s="221">
        <v>0</v>
      </c>
      <c r="CB65" s="221">
        <v>0</v>
      </c>
      <c r="CC65" s="221">
        <v>0</v>
      </c>
      <c r="CD65" s="221">
        <v>0</v>
      </c>
      <c r="CE65" s="221">
        <v>0</v>
      </c>
      <c r="CF65" s="221">
        <v>0</v>
      </c>
      <c r="CG65" s="221">
        <v>0</v>
      </c>
      <c r="CH65" s="221">
        <v>0</v>
      </c>
      <c r="CI65" s="221">
        <v>0</v>
      </c>
      <c r="CJ65" s="221">
        <v>0</v>
      </c>
    </row>
    <row r="66" spans="2:97" x14ac:dyDescent="0.35">
      <c r="B66" s="42" t="s">
        <v>1331</v>
      </c>
      <c r="C66" s="221">
        <f t="shared" si="35"/>
        <v>0</v>
      </c>
      <c r="D66" s="221">
        <f t="shared" si="35"/>
        <v>0</v>
      </c>
      <c r="E66" s="221">
        <f t="shared" si="35"/>
        <v>0</v>
      </c>
      <c r="F66" s="221">
        <f t="shared" si="35"/>
        <v>0</v>
      </c>
      <c r="G66" s="221">
        <f t="shared" si="35"/>
        <v>0</v>
      </c>
      <c r="H66" s="221">
        <f t="shared" si="35"/>
        <v>0</v>
      </c>
      <c r="I66" s="221">
        <f t="shared" si="36"/>
        <v>0</v>
      </c>
      <c r="J66" s="221">
        <f t="shared" si="29"/>
        <v>0</v>
      </c>
      <c r="K66" s="221">
        <f t="shared" si="29"/>
        <v>0</v>
      </c>
      <c r="L66" s="221">
        <f t="shared" si="29"/>
        <v>0</v>
      </c>
      <c r="M66" s="221">
        <f t="shared" si="29"/>
        <v>0</v>
      </c>
      <c r="N66" s="221">
        <f t="shared" si="37"/>
        <v>0</v>
      </c>
      <c r="O66" s="221">
        <f t="shared" si="30"/>
        <v>0</v>
      </c>
      <c r="P66" s="221">
        <f t="shared" si="30"/>
        <v>0</v>
      </c>
      <c r="Q66" s="221">
        <f t="shared" si="30"/>
        <v>0</v>
      </c>
      <c r="R66" s="221">
        <f t="shared" si="30"/>
        <v>0</v>
      </c>
      <c r="S66" s="221">
        <f t="shared" si="38"/>
        <v>0</v>
      </c>
      <c r="T66" s="221">
        <f t="shared" si="31"/>
        <v>0</v>
      </c>
      <c r="U66" s="221">
        <f t="shared" si="31"/>
        <v>0</v>
      </c>
      <c r="V66" s="221">
        <f t="shared" si="31"/>
        <v>0</v>
      </c>
      <c r="W66" s="221">
        <f t="shared" si="31"/>
        <v>0</v>
      </c>
      <c r="X66" s="221">
        <f t="shared" si="39"/>
        <v>0</v>
      </c>
      <c r="Y66" s="221">
        <f t="shared" si="32"/>
        <v>0</v>
      </c>
      <c r="Z66" s="221">
        <f t="shared" si="32"/>
        <v>0</v>
      </c>
      <c r="AA66" s="221">
        <f t="shared" si="32"/>
        <v>0</v>
      </c>
      <c r="AB66" s="221">
        <f t="shared" si="32"/>
        <v>0</v>
      </c>
      <c r="AC66" s="221">
        <f t="shared" si="40"/>
        <v>0</v>
      </c>
      <c r="AD66" s="221">
        <f t="shared" si="33"/>
        <v>0</v>
      </c>
      <c r="AE66" s="221">
        <f t="shared" si="33"/>
        <v>0</v>
      </c>
      <c r="AF66" s="221">
        <f t="shared" si="33"/>
        <v>0</v>
      </c>
      <c r="AG66" s="221">
        <f t="shared" si="33"/>
        <v>0</v>
      </c>
      <c r="AH66" s="221">
        <f t="shared" si="41"/>
        <v>0</v>
      </c>
      <c r="AI66" s="221">
        <f t="shared" si="34"/>
        <v>0</v>
      </c>
      <c r="AJ66" s="221">
        <f t="shared" si="34"/>
        <v>0</v>
      </c>
      <c r="AK66" s="221">
        <f t="shared" si="34"/>
        <v>0</v>
      </c>
      <c r="AL66" s="221">
        <f t="shared" si="34"/>
        <v>0</v>
      </c>
      <c r="AM66" s="221">
        <v>0</v>
      </c>
      <c r="AN66" s="221">
        <v>0</v>
      </c>
      <c r="AO66" s="221">
        <v>0</v>
      </c>
      <c r="AP66" s="221">
        <v>0</v>
      </c>
      <c r="AQ66" s="221">
        <v>0</v>
      </c>
      <c r="AR66" s="221">
        <v>0</v>
      </c>
      <c r="AS66" s="221">
        <v>0</v>
      </c>
      <c r="AT66" s="221">
        <v>0</v>
      </c>
      <c r="AU66" s="221">
        <v>0</v>
      </c>
      <c r="AV66" s="221">
        <v>0</v>
      </c>
      <c r="AW66" s="221">
        <v>0</v>
      </c>
      <c r="AX66" s="221">
        <v>0</v>
      </c>
      <c r="AY66" s="221">
        <v>0</v>
      </c>
      <c r="AZ66" s="221">
        <v>0</v>
      </c>
      <c r="BA66" s="221">
        <v>0</v>
      </c>
      <c r="BB66" s="221">
        <v>0</v>
      </c>
      <c r="BC66" s="221">
        <v>0</v>
      </c>
      <c r="BD66" s="221">
        <v>0</v>
      </c>
      <c r="BE66" s="221">
        <v>0</v>
      </c>
      <c r="BF66" s="221">
        <v>0</v>
      </c>
      <c r="BG66" s="221">
        <v>0</v>
      </c>
      <c r="BH66" s="221">
        <v>0</v>
      </c>
      <c r="BI66" s="221">
        <v>0</v>
      </c>
      <c r="BJ66" s="221">
        <v>0</v>
      </c>
      <c r="BK66" s="221">
        <v>0</v>
      </c>
      <c r="BL66" s="221">
        <v>0</v>
      </c>
      <c r="BM66" s="221">
        <v>0</v>
      </c>
      <c r="BN66" s="221">
        <v>0</v>
      </c>
      <c r="BO66" s="221">
        <v>0</v>
      </c>
      <c r="BP66" s="221">
        <v>0</v>
      </c>
      <c r="BQ66" s="221">
        <v>0</v>
      </c>
      <c r="BR66" s="221">
        <v>0</v>
      </c>
      <c r="BS66" s="221">
        <v>0</v>
      </c>
      <c r="BT66" s="221">
        <v>0</v>
      </c>
      <c r="BU66" s="221">
        <v>0</v>
      </c>
      <c r="BV66" s="221">
        <v>0</v>
      </c>
      <c r="BW66" s="221">
        <v>0</v>
      </c>
      <c r="BX66" s="221">
        <v>0</v>
      </c>
      <c r="BY66" s="221">
        <v>0</v>
      </c>
      <c r="BZ66" s="221">
        <v>0</v>
      </c>
      <c r="CA66" s="221">
        <v>0</v>
      </c>
      <c r="CB66" s="221">
        <v>0</v>
      </c>
      <c r="CC66" s="221">
        <v>0</v>
      </c>
      <c r="CD66" s="221">
        <v>0</v>
      </c>
      <c r="CE66" s="221">
        <v>0</v>
      </c>
      <c r="CF66" s="221">
        <v>0</v>
      </c>
      <c r="CG66" s="221">
        <v>0</v>
      </c>
      <c r="CH66" s="221">
        <v>0</v>
      </c>
      <c r="CI66" s="221">
        <v>0</v>
      </c>
      <c r="CJ66" s="221">
        <v>0</v>
      </c>
    </row>
    <row r="68" spans="2:97" ht="18.5" x14ac:dyDescent="0.45">
      <c r="B68" s="223" t="s">
        <v>1335</v>
      </c>
    </row>
    <row r="69" spans="2:97" x14ac:dyDescent="0.35">
      <c r="B69" s="224" t="s">
        <v>1317</v>
      </c>
      <c r="C69">
        <v>2015</v>
      </c>
      <c r="D69">
        <v>2016</v>
      </c>
      <c r="E69">
        <v>2017</v>
      </c>
      <c r="F69">
        <v>2018</v>
      </c>
      <c r="G69">
        <v>2019</v>
      </c>
      <c r="H69">
        <v>2020</v>
      </c>
      <c r="I69">
        <v>2021</v>
      </c>
      <c r="J69">
        <v>2022</v>
      </c>
      <c r="K69">
        <v>2023</v>
      </c>
      <c r="L69">
        <v>2024</v>
      </c>
      <c r="M69">
        <v>2025</v>
      </c>
      <c r="N69">
        <v>2026</v>
      </c>
      <c r="O69">
        <v>2027</v>
      </c>
      <c r="P69">
        <v>2028</v>
      </c>
      <c r="Q69">
        <v>2029</v>
      </c>
      <c r="R69">
        <v>2030</v>
      </c>
      <c r="S69">
        <v>2031</v>
      </c>
      <c r="T69">
        <v>2032</v>
      </c>
      <c r="U69">
        <v>2033</v>
      </c>
      <c r="V69">
        <v>2034</v>
      </c>
      <c r="W69">
        <v>2035</v>
      </c>
      <c r="X69">
        <v>2036</v>
      </c>
      <c r="Y69">
        <v>2037</v>
      </c>
      <c r="Z69">
        <v>2038</v>
      </c>
      <c r="AA69">
        <v>2039</v>
      </c>
      <c r="AB69">
        <v>2040</v>
      </c>
      <c r="AC69">
        <v>2041</v>
      </c>
      <c r="AD69">
        <v>2042</v>
      </c>
      <c r="AE69">
        <v>2043</v>
      </c>
      <c r="AF69">
        <v>2044</v>
      </c>
      <c r="AG69">
        <v>2045</v>
      </c>
      <c r="AH69">
        <v>2046</v>
      </c>
      <c r="AI69">
        <v>2047</v>
      </c>
      <c r="AJ69">
        <v>2048</v>
      </c>
      <c r="AK69">
        <v>2049</v>
      </c>
      <c r="AL69">
        <v>2050</v>
      </c>
      <c r="AM69">
        <v>2051</v>
      </c>
      <c r="AN69">
        <v>2052</v>
      </c>
      <c r="AO69">
        <v>2053</v>
      </c>
      <c r="AP69">
        <v>2054</v>
      </c>
      <c r="AQ69">
        <v>2055</v>
      </c>
      <c r="AR69">
        <v>2056</v>
      </c>
      <c r="AS69">
        <v>2057</v>
      </c>
      <c r="AT69">
        <v>2058</v>
      </c>
      <c r="AU69">
        <v>2059</v>
      </c>
      <c r="AV69">
        <v>2060</v>
      </c>
      <c r="AW69">
        <v>2061</v>
      </c>
      <c r="AX69">
        <v>2062</v>
      </c>
      <c r="AY69">
        <v>2063</v>
      </c>
      <c r="AZ69">
        <v>2064</v>
      </c>
      <c r="BA69">
        <v>2065</v>
      </c>
      <c r="BB69">
        <v>2066</v>
      </c>
      <c r="BC69">
        <v>2067</v>
      </c>
      <c r="BD69">
        <v>2068</v>
      </c>
      <c r="BE69">
        <v>2069</v>
      </c>
      <c r="BF69">
        <v>2070</v>
      </c>
      <c r="BG69">
        <v>2071</v>
      </c>
      <c r="BH69">
        <v>2072</v>
      </c>
      <c r="BI69">
        <v>2073</v>
      </c>
      <c r="BJ69">
        <v>2074</v>
      </c>
      <c r="BK69">
        <v>2075</v>
      </c>
      <c r="BL69">
        <v>2076</v>
      </c>
      <c r="BM69">
        <v>2077</v>
      </c>
      <c r="BN69">
        <v>2078</v>
      </c>
      <c r="BO69">
        <v>2079</v>
      </c>
      <c r="BP69">
        <v>2080</v>
      </c>
      <c r="BQ69">
        <v>2081</v>
      </c>
      <c r="BR69">
        <v>2082</v>
      </c>
      <c r="BS69">
        <v>2083</v>
      </c>
      <c r="BT69">
        <v>2084</v>
      </c>
      <c r="BU69">
        <v>2085</v>
      </c>
      <c r="BV69">
        <v>2086</v>
      </c>
      <c r="BW69">
        <v>2087</v>
      </c>
      <c r="BX69">
        <v>2088</v>
      </c>
      <c r="BY69">
        <v>2089</v>
      </c>
      <c r="BZ69">
        <v>2090</v>
      </c>
      <c r="CA69">
        <v>2091</v>
      </c>
      <c r="CB69">
        <v>2092</v>
      </c>
      <c r="CC69">
        <v>2093</v>
      </c>
      <c r="CD69">
        <v>2094</v>
      </c>
      <c r="CE69">
        <v>2095</v>
      </c>
      <c r="CF69">
        <v>2096</v>
      </c>
      <c r="CG69">
        <v>2097</v>
      </c>
      <c r="CH69">
        <v>2098</v>
      </c>
      <c r="CI69">
        <v>2099</v>
      </c>
      <c r="CJ69">
        <v>2100</v>
      </c>
      <c r="CL69" t="s">
        <v>1336</v>
      </c>
      <c r="CM69" s="225" t="s">
        <v>1319</v>
      </c>
      <c r="CN69" s="225" t="s">
        <v>1320</v>
      </c>
      <c r="CO69" s="225" t="s">
        <v>1321</v>
      </c>
      <c r="CP69" s="225" t="s">
        <v>1322</v>
      </c>
      <c r="CQ69" s="225" t="s">
        <v>1323</v>
      </c>
      <c r="CR69" s="225" t="s">
        <v>1324</v>
      </c>
      <c r="CS69" s="225" t="s">
        <v>1325</v>
      </c>
    </row>
    <row r="70" spans="2:97" x14ac:dyDescent="0.35">
      <c r="B70" s="41" t="s">
        <v>1326</v>
      </c>
      <c r="C70" s="221">
        <f>$CM70</f>
        <v>4.4803438199402627E-3</v>
      </c>
      <c r="D70" s="221">
        <f t="shared" ref="D70:G70" si="42">$CM70</f>
        <v>4.4803438199402627E-3</v>
      </c>
      <c r="E70" s="221">
        <f t="shared" si="42"/>
        <v>4.4803438199402627E-3</v>
      </c>
      <c r="F70" s="221">
        <f t="shared" si="42"/>
        <v>4.4803438199402627E-3</v>
      </c>
      <c r="G70" s="221">
        <f t="shared" si="42"/>
        <v>4.4803438199402627E-3</v>
      </c>
      <c r="H70" s="221">
        <f>$CM70</f>
        <v>4.4803438199402627E-3</v>
      </c>
      <c r="I70" s="221">
        <f>$CN70</f>
        <v>4.8537093829861501E-3</v>
      </c>
      <c r="J70" s="221">
        <f t="shared" ref="J70:M78" si="43">$CN70</f>
        <v>4.8537093829861501E-3</v>
      </c>
      <c r="K70" s="221">
        <f t="shared" si="43"/>
        <v>4.8537093829861501E-3</v>
      </c>
      <c r="L70" s="221">
        <f t="shared" si="43"/>
        <v>4.8537093829861501E-3</v>
      </c>
      <c r="M70" s="221">
        <f t="shared" si="43"/>
        <v>4.8537093829861501E-3</v>
      </c>
      <c r="N70" s="221">
        <f>$CO70</f>
        <v>4.8537037825587079E-3</v>
      </c>
      <c r="O70" s="221">
        <f t="shared" ref="O70:R78" si="44">$CO70</f>
        <v>4.8537037825587079E-3</v>
      </c>
      <c r="P70" s="221">
        <f t="shared" si="44"/>
        <v>4.8537037825587079E-3</v>
      </c>
      <c r="Q70" s="221">
        <f t="shared" si="44"/>
        <v>4.8537037825587079E-3</v>
      </c>
      <c r="R70" s="221">
        <f t="shared" si="44"/>
        <v>4.8537037825587079E-3</v>
      </c>
      <c r="S70" s="221">
        <f>$CP70</f>
        <v>1.4094409060891639E-2</v>
      </c>
      <c r="T70" s="221">
        <f t="shared" ref="T70:W78" si="45">$CP70</f>
        <v>1.4094409060891639E-2</v>
      </c>
      <c r="U70" s="221">
        <f t="shared" si="45"/>
        <v>1.4094409060891639E-2</v>
      </c>
      <c r="V70" s="221">
        <f t="shared" si="45"/>
        <v>1.4094409060891639E-2</v>
      </c>
      <c r="W70" s="221">
        <f t="shared" si="45"/>
        <v>1.4094409060891639E-2</v>
      </c>
      <c r="X70" s="221">
        <f>$CQ70</f>
        <v>1.409648121904496E-2</v>
      </c>
      <c r="Y70" s="221">
        <f t="shared" ref="Y70:AB78" si="46">$CQ70</f>
        <v>1.409648121904496E-2</v>
      </c>
      <c r="Z70" s="221">
        <f t="shared" si="46"/>
        <v>1.409648121904496E-2</v>
      </c>
      <c r="AA70" s="221">
        <f t="shared" si="46"/>
        <v>1.409648121904496E-2</v>
      </c>
      <c r="AB70" s="221">
        <f t="shared" si="46"/>
        <v>1.409648121904496E-2</v>
      </c>
      <c r="AC70" s="221">
        <f>$CR70</f>
        <v>1.409233130231087E-2</v>
      </c>
      <c r="AD70" s="221">
        <f t="shared" ref="AD70:AG78" si="47">$CR70</f>
        <v>1.409233130231087E-2</v>
      </c>
      <c r="AE70" s="221">
        <f t="shared" si="47"/>
        <v>1.409233130231087E-2</v>
      </c>
      <c r="AF70" s="221">
        <f t="shared" si="47"/>
        <v>1.409233130231087E-2</v>
      </c>
      <c r="AG70" s="221">
        <f t="shared" si="47"/>
        <v>1.409233130231087E-2</v>
      </c>
      <c r="AH70" s="221">
        <f>$CS70</f>
        <v>1.8574751014022749E-2</v>
      </c>
      <c r="AI70" s="221">
        <f t="shared" ref="AI70:AL78" si="48">$CS70</f>
        <v>1.8574751014022749E-2</v>
      </c>
      <c r="AJ70" s="221">
        <f t="shared" si="48"/>
        <v>1.8574751014022749E-2</v>
      </c>
      <c r="AK70" s="221">
        <f t="shared" si="48"/>
        <v>1.8574751014022749E-2</v>
      </c>
      <c r="AL70" s="221">
        <f t="shared" si="48"/>
        <v>1.8574751014022749E-2</v>
      </c>
      <c r="AM70" s="221">
        <v>0</v>
      </c>
      <c r="AN70" s="221">
        <v>0</v>
      </c>
      <c r="AO70" s="221">
        <v>0</v>
      </c>
      <c r="AP70" s="221">
        <v>0</v>
      </c>
      <c r="AQ70" s="221">
        <v>0</v>
      </c>
      <c r="AR70" s="221">
        <v>0</v>
      </c>
      <c r="AS70" s="221">
        <v>0</v>
      </c>
      <c r="AT70" s="221">
        <v>0</v>
      </c>
      <c r="AU70" s="221">
        <v>0</v>
      </c>
      <c r="AV70" s="221">
        <v>0</v>
      </c>
      <c r="AW70" s="221">
        <v>0</v>
      </c>
      <c r="AX70" s="221">
        <v>0</v>
      </c>
      <c r="AY70" s="221">
        <v>0</v>
      </c>
      <c r="AZ70" s="221">
        <v>0</v>
      </c>
      <c r="BA70" s="221">
        <v>0</v>
      </c>
      <c r="BB70" s="221">
        <v>0</v>
      </c>
      <c r="BC70" s="221">
        <v>0</v>
      </c>
      <c r="BD70" s="221">
        <v>0</v>
      </c>
      <c r="BE70" s="221">
        <v>0</v>
      </c>
      <c r="BF70" s="221">
        <v>0</v>
      </c>
      <c r="BG70" s="221">
        <v>0</v>
      </c>
      <c r="BH70" s="221">
        <v>0</v>
      </c>
      <c r="BI70" s="221">
        <v>0</v>
      </c>
      <c r="BJ70" s="221">
        <v>0</v>
      </c>
      <c r="BK70" s="221">
        <v>0</v>
      </c>
      <c r="BL70" s="221">
        <v>0</v>
      </c>
      <c r="BM70" s="221">
        <v>0</v>
      </c>
      <c r="BN70" s="221">
        <v>0</v>
      </c>
      <c r="BO70" s="221">
        <v>0</v>
      </c>
      <c r="BP70" s="221">
        <v>0</v>
      </c>
      <c r="BQ70" s="221">
        <v>0</v>
      </c>
      <c r="BR70" s="221">
        <v>0</v>
      </c>
      <c r="BS70" s="221">
        <v>0</v>
      </c>
      <c r="BT70" s="221">
        <v>0</v>
      </c>
      <c r="BU70" s="221">
        <v>0</v>
      </c>
      <c r="BV70" s="221">
        <v>0</v>
      </c>
      <c r="BW70" s="221">
        <v>0</v>
      </c>
      <c r="BX70" s="221">
        <v>0</v>
      </c>
      <c r="BY70" s="221">
        <v>0</v>
      </c>
      <c r="BZ70" s="221">
        <v>0</v>
      </c>
      <c r="CA70" s="221">
        <v>0</v>
      </c>
      <c r="CB70" s="221">
        <v>0</v>
      </c>
      <c r="CC70" s="221">
        <v>0</v>
      </c>
      <c r="CD70" s="221">
        <v>0</v>
      </c>
      <c r="CE70" s="221">
        <v>0</v>
      </c>
      <c r="CF70" s="221">
        <v>0</v>
      </c>
      <c r="CG70" s="221">
        <v>0</v>
      </c>
      <c r="CH70" s="221">
        <v>0</v>
      </c>
      <c r="CI70" s="221">
        <v>0</v>
      </c>
      <c r="CJ70" s="221">
        <v>0</v>
      </c>
      <c r="CL70" s="225" t="s">
        <v>143</v>
      </c>
      <c r="CM70">
        <v>4.4803438199402627E-3</v>
      </c>
      <c r="CN70">
        <v>4.8537093829861501E-3</v>
      </c>
      <c r="CO70">
        <v>4.8537037825587079E-3</v>
      </c>
      <c r="CP70">
        <v>1.4094409060891639E-2</v>
      </c>
      <c r="CQ70">
        <v>1.409648121904496E-2</v>
      </c>
      <c r="CR70">
        <v>1.409233130231087E-2</v>
      </c>
      <c r="CS70">
        <v>1.8574751014022749E-2</v>
      </c>
    </row>
    <row r="71" spans="2:97" x14ac:dyDescent="0.35">
      <c r="B71" s="42" t="s">
        <v>1327</v>
      </c>
      <c r="C71" s="221">
        <f t="shared" ref="C71:H78" si="49">$CM71</f>
        <v>0</v>
      </c>
      <c r="D71" s="221">
        <f t="shared" si="49"/>
        <v>0</v>
      </c>
      <c r="E71" s="221">
        <f t="shared" si="49"/>
        <v>0</v>
      </c>
      <c r="F71" s="221">
        <f t="shared" si="49"/>
        <v>0</v>
      </c>
      <c r="G71" s="221">
        <f t="shared" si="49"/>
        <v>0</v>
      </c>
      <c r="H71" s="221">
        <f t="shared" si="49"/>
        <v>0</v>
      </c>
      <c r="I71" s="221">
        <f t="shared" ref="I71:I78" si="50">$CN71</f>
        <v>0</v>
      </c>
      <c r="J71" s="221">
        <f t="shared" si="43"/>
        <v>0</v>
      </c>
      <c r="K71" s="221">
        <f t="shared" si="43"/>
        <v>0</v>
      </c>
      <c r="L71" s="221">
        <f t="shared" si="43"/>
        <v>0</v>
      </c>
      <c r="M71" s="221">
        <f t="shared" si="43"/>
        <v>0</v>
      </c>
      <c r="N71" s="221">
        <f t="shared" ref="N71:N78" si="51">$CO71</f>
        <v>0</v>
      </c>
      <c r="O71" s="221">
        <f t="shared" si="44"/>
        <v>0</v>
      </c>
      <c r="P71" s="221">
        <f t="shared" si="44"/>
        <v>0</v>
      </c>
      <c r="Q71" s="221">
        <f t="shared" si="44"/>
        <v>0</v>
      </c>
      <c r="R71" s="221">
        <f t="shared" si="44"/>
        <v>0</v>
      </c>
      <c r="S71" s="221">
        <f t="shared" ref="S71:S78" si="52">$CP71</f>
        <v>0</v>
      </c>
      <c r="T71" s="221">
        <f t="shared" si="45"/>
        <v>0</v>
      </c>
      <c r="U71" s="221">
        <f t="shared" si="45"/>
        <v>0</v>
      </c>
      <c r="V71" s="221">
        <f t="shared" si="45"/>
        <v>0</v>
      </c>
      <c r="W71" s="221">
        <f t="shared" si="45"/>
        <v>0</v>
      </c>
      <c r="X71" s="221">
        <f t="shared" ref="X71:X78" si="53">$CQ71</f>
        <v>0</v>
      </c>
      <c r="Y71" s="221">
        <f t="shared" si="46"/>
        <v>0</v>
      </c>
      <c r="Z71" s="221">
        <f t="shared" si="46"/>
        <v>0</v>
      </c>
      <c r="AA71" s="221">
        <f t="shared" si="46"/>
        <v>0</v>
      </c>
      <c r="AB71" s="221">
        <f t="shared" si="46"/>
        <v>0</v>
      </c>
      <c r="AC71" s="221">
        <f t="shared" ref="AC71:AC78" si="54">$CR71</f>
        <v>0</v>
      </c>
      <c r="AD71" s="221">
        <f t="shared" si="47"/>
        <v>0</v>
      </c>
      <c r="AE71" s="221">
        <f t="shared" si="47"/>
        <v>0</v>
      </c>
      <c r="AF71" s="221">
        <f t="shared" si="47"/>
        <v>0</v>
      </c>
      <c r="AG71" s="221">
        <f t="shared" si="47"/>
        <v>0</v>
      </c>
      <c r="AH71" s="221">
        <f t="shared" ref="AH71:AH78" si="55">$CS71</f>
        <v>0</v>
      </c>
      <c r="AI71" s="221">
        <f t="shared" si="48"/>
        <v>0</v>
      </c>
      <c r="AJ71" s="221">
        <f t="shared" si="48"/>
        <v>0</v>
      </c>
      <c r="AK71" s="221">
        <f t="shared" si="48"/>
        <v>0</v>
      </c>
      <c r="AL71" s="221">
        <f t="shared" si="48"/>
        <v>0</v>
      </c>
      <c r="AM71" s="221">
        <v>0</v>
      </c>
      <c r="AN71" s="221">
        <v>0</v>
      </c>
      <c r="AO71" s="221">
        <v>0</v>
      </c>
      <c r="AP71" s="221">
        <v>0</v>
      </c>
      <c r="AQ71" s="221">
        <v>0</v>
      </c>
      <c r="AR71" s="221">
        <v>0</v>
      </c>
      <c r="AS71" s="221">
        <v>0</v>
      </c>
      <c r="AT71" s="221">
        <v>0</v>
      </c>
      <c r="AU71" s="221">
        <v>0</v>
      </c>
      <c r="AV71" s="221">
        <v>0</v>
      </c>
      <c r="AW71" s="221">
        <v>0</v>
      </c>
      <c r="AX71" s="221">
        <v>0</v>
      </c>
      <c r="AY71" s="221">
        <v>0</v>
      </c>
      <c r="AZ71" s="221">
        <v>0</v>
      </c>
      <c r="BA71" s="221">
        <v>0</v>
      </c>
      <c r="BB71" s="221">
        <v>0</v>
      </c>
      <c r="BC71" s="221">
        <v>0</v>
      </c>
      <c r="BD71" s="221">
        <v>0</v>
      </c>
      <c r="BE71" s="221">
        <v>0</v>
      </c>
      <c r="BF71" s="221">
        <v>0</v>
      </c>
      <c r="BG71" s="221">
        <v>0</v>
      </c>
      <c r="BH71" s="221">
        <v>0</v>
      </c>
      <c r="BI71" s="221">
        <v>0</v>
      </c>
      <c r="BJ71" s="221">
        <v>0</v>
      </c>
      <c r="BK71" s="221">
        <v>0</v>
      </c>
      <c r="BL71" s="221">
        <v>0</v>
      </c>
      <c r="BM71" s="221">
        <v>0</v>
      </c>
      <c r="BN71" s="221">
        <v>0</v>
      </c>
      <c r="BO71" s="221">
        <v>0</v>
      </c>
      <c r="BP71" s="221">
        <v>0</v>
      </c>
      <c r="BQ71" s="221">
        <v>0</v>
      </c>
      <c r="BR71" s="221">
        <v>0</v>
      </c>
      <c r="BS71" s="221">
        <v>0</v>
      </c>
      <c r="BT71" s="221">
        <v>0</v>
      </c>
      <c r="BU71" s="221">
        <v>0</v>
      </c>
      <c r="BV71" s="221">
        <v>0</v>
      </c>
      <c r="BW71" s="221">
        <v>0</v>
      </c>
      <c r="BX71" s="221">
        <v>0</v>
      </c>
      <c r="BY71" s="221">
        <v>0</v>
      </c>
      <c r="BZ71" s="221">
        <v>0</v>
      </c>
      <c r="CA71" s="221">
        <v>0</v>
      </c>
      <c r="CB71" s="221">
        <v>0</v>
      </c>
      <c r="CC71" s="221">
        <v>0</v>
      </c>
      <c r="CD71" s="221">
        <v>0</v>
      </c>
      <c r="CE71" s="221">
        <v>0</v>
      </c>
      <c r="CF71" s="221">
        <v>0</v>
      </c>
      <c r="CG71" s="221">
        <v>0</v>
      </c>
      <c r="CH71" s="221">
        <v>0</v>
      </c>
      <c r="CI71" s="221">
        <v>0</v>
      </c>
      <c r="CJ71" s="221">
        <v>0</v>
      </c>
      <c r="CL71" s="225" t="s">
        <v>83</v>
      </c>
      <c r="CM71">
        <v>0</v>
      </c>
      <c r="CN71">
        <v>0</v>
      </c>
      <c r="CO71">
        <v>0</v>
      </c>
      <c r="CP71">
        <v>0</v>
      </c>
      <c r="CQ71">
        <v>0</v>
      </c>
      <c r="CR71">
        <v>0</v>
      </c>
      <c r="CS71">
        <v>0</v>
      </c>
    </row>
    <row r="72" spans="2:97" x14ac:dyDescent="0.35">
      <c r="B72" s="42" t="s">
        <v>758</v>
      </c>
      <c r="C72" s="221">
        <f t="shared" si="49"/>
        <v>9.6336312676225247E-6</v>
      </c>
      <c r="D72" s="221">
        <f t="shared" si="49"/>
        <v>9.6336312676225247E-6</v>
      </c>
      <c r="E72" s="221">
        <f t="shared" si="49"/>
        <v>9.6336312676225247E-6</v>
      </c>
      <c r="F72" s="221">
        <f t="shared" si="49"/>
        <v>9.6336312676225247E-6</v>
      </c>
      <c r="G72" s="221">
        <f t="shared" si="49"/>
        <v>9.6336312676225247E-6</v>
      </c>
      <c r="H72" s="221">
        <f t="shared" si="49"/>
        <v>9.6336312676225247E-6</v>
      </c>
      <c r="I72" s="221">
        <f t="shared" si="50"/>
        <v>6.7475069899642877E-5</v>
      </c>
      <c r="J72" s="221">
        <f t="shared" si="43"/>
        <v>6.7475069899642877E-5</v>
      </c>
      <c r="K72" s="221">
        <f t="shared" si="43"/>
        <v>6.7475069899642877E-5</v>
      </c>
      <c r="L72" s="221">
        <f t="shared" si="43"/>
        <v>6.7475069899642877E-5</v>
      </c>
      <c r="M72" s="221">
        <f t="shared" si="43"/>
        <v>6.7475069899642877E-5</v>
      </c>
      <c r="N72" s="221">
        <f t="shared" si="51"/>
        <v>2.504455147525879E-4</v>
      </c>
      <c r="O72" s="221">
        <f t="shared" si="44"/>
        <v>2.504455147525879E-4</v>
      </c>
      <c r="P72" s="221">
        <f t="shared" si="44"/>
        <v>2.504455147525879E-4</v>
      </c>
      <c r="Q72" s="221">
        <f t="shared" si="44"/>
        <v>2.504455147525879E-4</v>
      </c>
      <c r="R72" s="221">
        <f t="shared" si="44"/>
        <v>2.504455147525879E-4</v>
      </c>
      <c r="S72" s="221">
        <f t="shared" si="52"/>
        <v>1.7009356871781681E-3</v>
      </c>
      <c r="T72" s="221">
        <f t="shared" si="45"/>
        <v>1.7009356871781681E-3</v>
      </c>
      <c r="U72" s="221">
        <f t="shared" si="45"/>
        <v>1.7009356871781681E-3</v>
      </c>
      <c r="V72" s="221">
        <f t="shared" si="45"/>
        <v>1.7009356871781681E-3</v>
      </c>
      <c r="W72" s="221">
        <f t="shared" si="45"/>
        <v>1.7009356871781681E-3</v>
      </c>
      <c r="X72" s="221">
        <f t="shared" si="53"/>
        <v>3.806442519105782E-3</v>
      </c>
      <c r="Y72" s="221">
        <f t="shared" si="46"/>
        <v>3.806442519105782E-3</v>
      </c>
      <c r="Z72" s="221">
        <f t="shared" si="46"/>
        <v>3.806442519105782E-3</v>
      </c>
      <c r="AA72" s="221">
        <f t="shared" si="46"/>
        <v>3.806442519105782E-3</v>
      </c>
      <c r="AB72" s="221">
        <f t="shared" si="46"/>
        <v>3.806442519105782E-3</v>
      </c>
      <c r="AC72" s="221">
        <f t="shared" si="54"/>
        <v>5.8916123321844736E-3</v>
      </c>
      <c r="AD72" s="221">
        <f t="shared" si="47"/>
        <v>5.8916123321844736E-3</v>
      </c>
      <c r="AE72" s="221">
        <f t="shared" si="47"/>
        <v>5.8916123321844736E-3</v>
      </c>
      <c r="AF72" s="221">
        <f t="shared" si="47"/>
        <v>5.8916123321844736E-3</v>
      </c>
      <c r="AG72" s="221">
        <f t="shared" si="47"/>
        <v>5.8916123321844736E-3</v>
      </c>
      <c r="AH72" s="221">
        <f t="shared" si="55"/>
        <v>7.5955797174175957E-3</v>
      </c>
      <c r="AI72" s="221">
        <f t="shared" si="48"/>
        <v>7.5955797174175957E-3</v>
      </c>
      <c r="AJ72" s="221">
        <f t="shared" si="48"/>
        <v>7.5955797174175957E-3</v>
      </c>
      <c r="AK72" s="221">
        <f t="shared" si="48"/>
        <v>7.5955797174175957E-3</v>
      </c>
      <c r="AL72" s="221">
        <f t="shared" si="48"/>
        <v>7.5955797174175957E-3</v>
      </c>
      <c r="AM72" s="221">
        <v>0</v>
      </c>
      <c r="AN72" s="221">
        <v>0</v>
      </c>
      <c r="AO72" s="221">
        <v>0</v>
      </c>
      <c r="AP72" s="221">
        <v>0</v>
      </c>
      <c r="AQ72" s="221">
        <v>0</v>
      </c>
      <c r="AR72" s="221">
        <v>0</v>
      </c>
      <c r="AS72" s="221">
        <v>0</v>
      </c>
      <c r="AT72" s="221">
        <v>0</v>
      </c>
      <c r="AU72" s="221">
        <v>0</v>
      </c>
      <c r="AV72" s="221">
        <v>0</v>
      </c>
      <c r="AW72" s="221">
        <v>0</v>
      </c>
      <c r="AX72" s="221">
        <v>0</v>
      </c>
      <c r="AY72" s="221">
        <v>0</v>
      </c>
      <c r="AZ72" s="221">
        <v>0</v>
      </c>
      <c r="BA72" s="221">
        <v>0</v>
      </c>
      <c r="BB72" s="221">
        <v>0</v>
      </c>
      <c r="BC72" s="221">
        <v>0</v>
      </c>
      <c r="BD72" s="221">
        <v>0</v>
      </c>
      <c r="BE72" s="221">
        <v>0</v>
      </c>
      <c r="BF72" s="221">
        <v>0</v>
      </c>
      <c r="BG72" s="221">
        <v>0</v>
      </c>
      <c r="BH72" s="221">
        <v>0</v>
      </c>
      <c r="BI72" s="221">
        <v>0</v>
      </c>
      <c r="BJ72" s="221">
        <v>0</v>
      </c>
      <c r="BK72" s="221">
        <v>0</v>
      </c>
      <c r="BL72" s="221">
        <v>0</v>
      </c>
      <c r="BM72" s="221">
        <v>0</v>
      </c>
      <c r="BN72" s="221">
        <v>0</v>
      </c>
      <c r="BO72" s="221">
        <v>0</v>
      </c>
      <c r="BP72" s="221">
        <v>0</v>
      </c>
      <c r="BQ72" s="221">
        <v>0</v>
      </c>
      <c r="BR72" s="221">
        <v>0</v>
      </c>
      <c r="BS72" s="221">
        <v>0</v>
      </c>
      <c r="BT72" s="221">
        <v>0</v>
      </c>
      <c r="BU72" s="221">
        <v>0</v>
      </c>
      <c r="BV72" s="221">
        <v>0</v>
      </c>
      <c r="BW72" s="221">
        <v>0</v>
      </c>
      <c r="BX72" s="221">
        <v>0</v>
      </c>
      <c r="BY72" s="221">
        <v>0</v>
      </c>
      <c r="BZ72" s="221">
        <v>0</v>
      </c>
      <c r="CA72" s="221">
        <v>0</v>
      </c>
      <c r="CB72" s="221">
        <v>0</v>
      </c>
      <c r="CC72" s="221">
        <v>0</v>
      </c>
      <c r="CD72" s="221">
        <v>0</v>
      </c>
      <c r="CE72" s="221">
        <v>0</v>
      </c>
      <c r="CF72" s="221">
        <v>0</v>
      </c>
      <c r="CG72" s="221">
        <v>0</v>
      </c>
      <c r="CH72" s="221">
        <v>0</v>
      </c>
      <c r="CI72" s="221">
        <v>0</v>
      </c>
      <c r="CJ72" s="221">
        <v>0</v>
      </c>
      <c r="CL72" s="225" t="s">
        <v>144</v>
      </c>
      <c r="CM72">
        <v>9.6336312676225247E-6</v>
      </c>
      <c r="CN72">
        <v>6.7475069899642877E-5</v>
      </c>
      <c r="CO72">
        <v>2.504455147525879E-4</v>
      </c>
      <c r="CP72">
        <v>1.7009356871781681E-3</v>
      </c>
      <c r="CQ72">
        <v>3.806442519105782E-3</v>
      </c>
      <c r="CR72">
        <v>5.8916123321844736E-3</v>
      </c>
      <c r="CS72">
        <v>7.5955797174175957E-3</v>
      </c>
    </row>
    <row r="73" spans="2:97" x14ac:dyDescent="0.35">
      <c r="B73" s="42" t="s">
        <v>1328</v>
      </c>
      <c r="C73" s="221">
        <f t="shared" si="49"/>
        <v>0</v>
      </c>
      <c r="D73" s="221">
        <f t="shared" si="49"/>
        <v>0</v>
      </c>
      <c r="E73" s="221">
        <f t="shared" si="49"/>
        <v>0</v>
      </c>
      <c r="F73" s="221">
        <f t="shared" si="49"/>
        <v>0</v>
      </c>
      <c r="G73" s="221">
        <f t="shared" si="49"/>
        <v>0</v>
      </c>
      <c r="H73" s="221">
        <f t="shared" si="49"/>
        <v>0</v>
      </c>
      <c r="I73" s="221">
        <f t="shared" si="50"/>
        <v>0</v>
      </c>
      <c r="J73" s="221">
        <f t="shared" si="43"/>
        <v>0</v>
      </c>
      <c r="K73" s="221">
        <f t="shared" si="43"/>
        <v>0</v>
      </c>
      <c r="L73" s="221">
        <f t="shared" si="43"/>
        <v>0</v>
      </c>
      <c r="M73" s="221">
        <f t="shared" si="43"/>
        <v>0</v>
      </c>
      <c r="N73" s="221">
        <f t="shared" si="51"/>
        <v>0</v>
      </c>
      <c r="O73" s="221">
        <f t="shared" si="44"/>
        <v>0</v>
      </c>
      <c r="P73" s="221">
        <f t="shared" si="44"/>
        <v>0</v>
      </c>
      <c r="Q73" s="221">
        <f t="shared" si="44"/>
        <v>0</v>
      </c>
      <c r="R73" s="221">
        <f t="shared" si="44"/>
        <v>0</v>
      </c>
      <c r="S73" s="221">
        <f t="shared" si="52"/>
        <v>0</v>
      </c>
      <c r="T73" s="221">
        <f t="shared" si="45"/>
        <v>0</v>
      </c>
      <c r="U73" s="221">
        <f t="shared" si="45"/>
        <v>0</v>
      </c>
      <c r="V73" s="221">
        <f t="shared" si="45"/>
        <v>0</v>
      </c>
      <c r="W73" s="221">
        <f t="shared" si="45"/>
        <v>0</v>
      </c>
      <c r="X73" s="221">
        <f t="shared" si="53"/>
        <v>0</v>
      </c>
      <c r="Y73" s="221">
        <f t="shared" si="46"/>
        <v>0</v>
      </c>
      <c r="Z73" s="221">
        <f t="shared" si="46"/>
        <v>0</v>
      </c>
      <c r="AA73" s="221">
        <f t="shared" si="46"/>
        <v>0</v>
      </c>
      <c r="AB73" s="221">
        <f t="shared" si="46"/>
        <v>0</v>
      </c>
      <c r="AC73" s="221">
        <f t="shared" si="54"/>
        <v>0</v>
      </c>
      <c r="AD73" s="221">
        <f t="shared" si="47"/>
        <v>0</v>
      </c>
      <c r="AE73" s="221">
        <f t="shared" si="47"/>
        <v>0</v>
      </c>
      <c r="AF73" s="221">
        <f t="shared" si="47"/>
        <v>0</v>
      </c>
      <c r="AG73" s="221">
        <f t="shared" si="47"/>
        <v>0</v>
      </c>
      <c r="AH73" s="221">
        <f t="shared" si="55"/>
        <v>0</v>
      </c>
      <c r="AI73" s="221">
        <f t="shared" si="48"/>
        <v>0</v>
      </c>
      <c r="AJ73" s="221">
        <f t="shared" si="48"/>
        <v>0</v>
      </c>
      <c r="AK73" s="221">
        <f t="shared" si="48"/>
        <v>0</v>
      </c>
      <c r="AL73" s="221">
        <f t="shared" si="48"/>
        <v>0</v>
      </c>
      <c r="AM73" s="221">
        <v>0</v>
      </c>
      <c r="AN73" s="221">
        <v>0</v>
      </c>
      <c r="AO73" s="221">
        <v>0</v>
      </c>
      <c r="AP73" s="221">
        <v>0</v>
      </c>
      <c r="AQ73" s="221">
        <v>0</v>
      </c>
      <c r="AR73" s="221">
        <v>0</v>
      </c>
      <c r="AS73" s="221">
        <v>0</v>
      </c>
      <c r="AT73" s="221">
        <v>0</v>
      </c>
      <c r="AU73" s="221">
        <v>0</v>
      </c>
      <c r="AV73" s="221">
        <v>0</v>
      </c>
      <c r="AW73" s="221">
        <v>0</v>
      </c>
      <c r="AX73" s="221">
        <v>0</v>
      </c>
      <c r="AY73" s="221">
        <v>0</v>
      </c>
      <c r="AZ73" s="221">
        <v>0</v>
      </c>
      <c r="BA73" s="221">
        <v>0</v>
      </c>
      <c r="BB73" s="221">
        <v>0</v>
      </c>
      <c r="BC73" s="221">
        <v>0</v>
      </c>
      <c r="BD73" s="221">
        <v>0</v>
      </c>
      <c r="BE73" s="221">
        <v>0</v>
      </c>
      <c r="BF73" s="221">
        <v>0</v>
      </c>
      <c r="BG73" s="221">
        <v>0</v>
      </c>
      <c r="BH73" s="221">
        <v>0</v>
      </c>
      <c r="BI73" s="221">
        <v>0</v>
      </c>
      <c r="BJ73" s="221">
        <v>0</v>
      </c>
      <c r="BK73" s="221">
        <v>0</v>
      </c>
      <c r="BL73" s="221">
        <v>0</v>
      </c>
      <c r="BM73" s="221">
        <v>0</v>
      </c>
      <c r="BN73" s="221">
        <v>0</v>
      </c>
      <c r="BO73" s="221">
        <v>0</v>
      </c>
      <c r="BP73" s="221">
        <v>0</v>
      </c>
      <c r="BQ73" s="221">
        <v>0</v>
      </c>
      <c r="BR73" s="221">
        <v>0</v>
      </c>
      <c r="BS73" s="221">
        <v>0</v>
      </c>
      <c r="BT73" s="221">
        <v>0</v>
      </c>
      <c r="BU73" s="221">
        <v>0</v>
      </c>
      <c r="BV73" s="221">
        <v>0</v>
      </c>
      <c r="BW73" s="221">
        <v>0</v>
      </c>
      <c r="BX73" s="221">
        <v>0</v>
      </c>
      <c r="BY73" s="221">
        <v>0</v>
      </c>
      <c r="BZ73" s="221">
        <v>0</v>
      </c>
      <c r="CA73" s="221">
        <v>0</v>
      </c>
      <c r="CB73" s="221">
        <v>0</v>
      </c>
      <c r="CC73" s="221">
        <v>0</v>
      </c>
      <c r="CD73" s="221">
        <v>0</v>
      </c>
      <c r="CE73" s="221">
        <v>0</v>
      </c>
      <c r="CF73" s="221">
        <v>0</v>
      </c>
      <c r="CG73" s="221">
        <v>0</v>
      </c>
      <c r="CH73" s="221">
        <v>0</v>
      </c>
      <c r="CI73" s="221">
        <v>0</v>
      </c>
      <c r="CJ73" s="221">
        <v>0</v>
      </c>
      <c r="CL73" s="225" t="s">
        <v>164</v>
      </c>
      <c r="CM73">
        <v>0</v>
      </c>
      <c r="CN73">
        <v>0</v>
      </c>
      <c r="CO73">
        <v>0</v>
      </c>
      <c r="CP73">
        <v>0</v>
      </c>
      <c r="CQ73">
        <v>0</v>
      </c>
      <c r="CR73">
        <v>0</v>
      </c>
      <c r="CS73">
        <v>0</v>
      </c>
    </row>
    <row r="74" spans="2:97" x14ac:dyDescent="0.35">
      <c r="B74" s="42" t="s">
        <v>759</v>
      </c>
      <c r="C74" s="221">
        <f t="shared" si="49"/>
        <v>1.781912267553572E-6</v>
      </c>
      <c r="D74" s="221">
        <f t="shared" si="49"/>
        <v>1.781912267553572E-6</v>
      </c>
      <c r="E74" s="221">
        <f t="shared" si="49"/>
        <v>1.781912267553572E-6</v>
      </c>
      <c r="F74" s="221">
        <f t="shared" si="49"/>
        <v>1.781912267553572E-6</v>
      </c>
      <c r="G74" s="221">
        <f t="shared" si="49"/>
        <v>1.781912267553572E-6</v>
      </c>
      <c r="H74" s="221">
        <f t="shared" si="49"/>
        <v>1.781912267553572E-6</v>
      </c>
      <c r="I74" s="221">
        <f t="shared" si="50"/>
        <v>3.0613429842086058E-5</v>
      </c>
      <c r="J74" s="221">
        <f t="shared" si="43"/>
        <v>3.0613429842086058E-5</v>
      </c>
      <c r="K74" s="221">
        <f t="shared" si="43"/>
        <v>3.0613429842086058E-5</v>
      </c>
      <c r="L74" s="221">
        <f t="shared" si="43"/>
        <v>3.0613429842086058E-5</v>
      </c>
      <c r="M74" s="221">
        <f t="shared" si="43"/>
        <v>3.0613429842086058E-5</v>
      </c>
      <c r="N74" s="221">
        <f t="shared" si="51"/>
        <v>2.0419531813224489E-4</v>
      </c>
      <c r="O74" s="221">
        <f t="shared" si="44"/>
        <v>2.0419531813224489E-4</v>
      </c>
      <c r="P74" s="221">
        <f t="shared" si="44"/>
        <v>2.0419531813224489E-4</v>
      </c>
      <c r="Q74" s="221">
        <f t="shared" si="44"/>
        <v>2.0419531813224489E-4</v>
      </c>
      <c r="R74" s="221">
        <f t="shared" si="44"/>
        <v>2.0419531813224489E-4</v>
      </c>
      <c r="S74" s="221">
        <f t="shared" si="52"/>
        <v>6.5368375777097689E-4</v>
      </c>
      <c r="T74" s="221">
        <f t="shared" si="45"/>
        <v>6.5368375777097689E-4</v>
      </c>
      <c r="U74" s="221">
        <f t="shared" si="45"/>
        <v>6.5368375777097689E-4</v>
      </c>
      <c r="V74" s="221">
        <f t="shared" si="45"/>
        <v>6.5368375777097689E-4</v>
      </c>
      <c r="W74" s="221">
        <f t="shared" si="45"/>
        <v>6.5368375777097689E-4</v>
      </c>
      <c r="X74" s="221">
        <f t="shared" si="53"/>
        <v>2.0679578327420802E-3</v>
      </c>
      <c r="Y74" s="221">
        <f t="shared" si="46"/>
        <v>2.0679578327420802E-3</v>
      </c>
      <c r="Z74" s="221">
        <f t="shared" si="46"/>
        <v>2.0679578327420802E-3</v>
      </c>
      <c r="AA74" s="221">
        <f t="shared" si="46"/>
        <v>2.0679578327420802E-3</v>
      </c>
      <c r="AB74" s="221">
        <f t="shared" si="46"/>
        <v>2.0679578327420802E-3</v>
      </c>
      <c r="AC74" s="221">
        <f t="shared" si="54"/>
        <v>2.8005310782619609E-3</v>
      </c>
      <c r="AD74" s="221">
        <f t="shared" si="47"/>
        <v>2.8005310782619609E-3</v>
      </c>
      <c r="AE74" s="221">
        <f t="shared" si="47"/>
        <v>2.8005310782619609E-3</v>
      </c>
      <c r="AF74" s="221">
        <f t="shared" si="47"/>
        <v>2.8005310782619609E-3</v>
      </c>
      <c r="AG74" s="221">
        <f t="shared" si="47"/>
        <v>2.8005310782619609E-3</v>
      </c>
      <c r="AH74" s="221">
        <f t="shared" si="55"/>
        <v>3.4521408110704671E-3</v>
      </c>
      <c r="AI74" s="221">
        <f t="shared" si="48"/>
        <v>3.4521408110704671E-3</v>
      </c>
      <c r="AJ74" s="221">
        <f t="shared" si="48"/>
        <v>3.4521408110704671E-3</v>
      </c>
      <c r="AK74" s="221">
        <f t="shared" si="48"/>
        <v>3.4521408110704671E-3</v>
      </c>
      <c r="AL74" s="221">
        <f t="shared" si="48"/>
        <v>3.4521408110704671E-3</v>
      </c>
      <c r="AM74" s="221">
        <v>0</v>
      </c>
      <c r="AN74" s="221">
        <v>0</v>
      </c>
      <c r="AO74" s="221">
        <v>0</v>
      </c>
      <c r="AP74" s="221">
        <v>0</v>
      </c>
      <c r="AQ74" s="221">
        <v>0</v>
      </c>
      <c r="AR74" s="221">
        <v>0</v>
      </c>
      <c r="AS74" s="221">
        <v>0</v>
      </c>
      <c r="AT74" s="221">
        <v>0</v>
      </c>
      <c r="AU74" s="221">
        <v>0</v>
      </c>
      <c r="AV74" s="221">
        <v>0</v>
      </c>
      <c r="AW74" s="221">
        <v>0</v>
      </c>
      <c r="AX74" s="221">
        <v>0</v>
      </c>
      <c r="AY74" s="221">
        <v>0</v>
      </c>
      <c r="AZ74" s="221">
        <v>0</v>
      </c>
      <c r="BA74" s="221">
        <v>0</v>
      </c>
      <c r="BB74" s="221">
        <v>0</v>
      </c>
      <c r="BC74" s="221">
        <v>0</v>
      </c>
      <c r="BD74" s="221">
        <v>0</v>
      </c>
      <c r="BE74" s="221">
        <v>0</v>
      </c>
      <c r="BF74" s="221">
        <v>0</v>
      </c>
      <c r="BG74" s="221">
        <v>0</v>
      </c>
      <c r="BH74" s="221">
        <v>0</v>
      </c>
      <c r="BI74" s="221">
        <v>0</v>
      </c>
      <c r="BJ74" s="221">
        <v>0</v>
      </c>
      <c r="BK74" s="221">
        <v>0</v>
      </c>
      <c r="BL74" s="221">
        <v>0</v>
      </c>
      <c r="BM74" s="221">
        <v>0</v>
      </c>
      <c r="BN74" s="221">
        <v>0</v>
      </c>
      <c r="BO74" s="221">
        <v>0</v>
      </c>
      <c r="BP74" s="221">
        <v>0</v>
      </c>
      <c r="BQ74" s="221">
        <v>0</v>
      </c>
      <c r="BR74" s="221">
        <v>0</v>
      </c>
      <c r="BS74" s="221">
        <v>0</v>
      </c>
      <c r="BT74" s="221">
        <v>0</v>
      </c>
      <c r="BU74" s="221">
        <v>0</v>
      </c>
      <c r="BV74" s="221">
        <v>0</v>
      </c>
      <c r="BW74" s="221">
        <v>0</v>
      </c>
      <c r="BX74" s="221">
        <v>0</v>
      </c>
      <c r="BY74" s="221">
        <v>0</v>
      </c>
      <c r="BZ74" s="221">
        <v>0</v>
      </c>
      <c r="CA74" s="221">
        <v>0</v>
      </c>
      <c r="CB74" s="221">
        <v>0</v>
      </c>
      <c r="CC74" s="221">
        <v>0</v>
      </c>
      <c r="CD74" s="221">
        <v>0</v>
      </c>
      <c r="CE74" s="221">
        <v>0</v>
      </c>
      <c r="CF74" s="221">
        <v>0</v>
      </c>
      <c r="CG74" s="221">
        <v>0</v>
      </c>
      <c r="CH74" s="221">
        <v>0</v>
      </c>
      <c r="CI74" s="221">
        <v>0</v>
      </c>
      <c r="CJ74" s="221">
        <v>0</v>
      </c>
      <c r="CL74" s="225" t="s">
        <v>145</v>
      </c>
      <c r="CM74">
        <v>1.781912267553572E-6</v>
      </c>
      <c r="CN74">
        <v>3.0613429842086058E-5</v>
      </c>
      <c r="CO74">
        <v>2.0419531813224489E-4</v>
      </c>
      <c r="CP74">
        <v>6.5368375777097689E-4</v>
      </c>
      <c r="CQ74">
        <v>2.0679578327420802E-3</v>
      </c>
      <c r="CR74">
        <v>2.8005310782619609E-3</v>
      </c>
      <c r="CS74">
        <v>3.4521408110704671E-3</v>
      </c>
    </row>
    <row r="75" spans="2:97" x14ac:dyDescent="0.35">
      <c r="B75" s="42" t="s">
        <v>1329</v>
      </c>
      <c r="C75" s="221">
        <f t="shared" si="49"/>
        <v>0</v>
      </c>
      <c r="D75" s="221">
        <f t="shared" si="49"/>
        <v>0</v>
      </c>
      <c r="E75" s="221">
        <f t="shared" si="49"/>
        <v>0</v>
      </c>
      <c r="F75" s="221">
        <f t="shared" si="49"/>
        <v>0</v>
      </c>
      <c r="G75" s="221">
        <f t="shared" si="49"/>
        <v>0</v>
      </c>
      <c r="H75" s="221">
        <f t="shared" si="49"/>
        <v>0</v>
      </c>
      <c r="I75" s="221">
        <f t="shared" si="50"/>
        <v>0</v>
      </c>
      <c r="J75" s="221">
        <f t="shared" si="43"/>
        <v>0</v>
      </c>
      <c r="K75" s="221">
        <f t="shared" si="43"/>
        <v>0</v>
      </c>
      <c r="L75" s="221">
        <f t="shared" si="43"/>
        <v>0</v>
      </c>
      <c r="M75" s="221">
        <f t="shared" si="43"/>
        <v>0</v>
      </c>
      <c r="N75" s="221">
        <f t="shared" si="51"/>
        <v>0</v>
      </c>
      <c r="O75" s="221">
        <f t="shared" si="44"/>
        <v>0</v>
      </c>
      <c r="P75" s="221">
        <f t="shared" si="44"/>
        <v>0</v>
      </c>
      <c r="Q75" s="221">
        <f t="shared" si="44"/>
        <v>0</v>
      </c>
      <c r="R75" s="221">
        <f t="shared" si="44"/>
        <v>0</v>
      </c>
      <c r="S75" s="221">
        <f t="shared" si="52"/>
        <v>0</v>
      </c>
      <c r="T75" s="221">
        <f t="shared" si="45"/>
        <v>0</v>
      </c>
      <c r="U75" s="221">
        <f t="shared" si="45"/>
        <v>0</v>
      </c>
      <c r="V75" s="221">
        <f t="shared" si="45"/>
        <v>0</v>
      </c>
      <c r="W75" s="221">
        <f t="shared" si="45"/>
        <v>0</v>
      </c>
      <c r="X75" s="221">
        <f t="shared" si="53"/>
        <v>0</v>
      </c>
      <c r="Y75" s="221">
        <f t="shared" si="46"/>
        <v>0</v>
      </c>
      <c r="Z75" s="221">
        <f t="shared" si="46"/>
        <v>0</v>
      </c>
      <c r="AA75" s="221">
        <f t="shared" si="46"/>
        <v>0</v>
      </c>
      <c r="AB75" s="221">
        <f t="shared" si="46"/>
        <v>0</v>
      </c>
      <c r="AC75" s="221">
        <f t="shared" si="54"/>
        <v>0</v>
      </c>
      <c r="AD75" s="221">
        <f t="shared" si="47"/>
        <v>0</v>
      </c>
      <c r="AE75" s="221">
        <f t="shared" si="47"/>
        <v>0</v>
      </c>
      <c r="AF75" s="221">
        <f t="shared" si="47"/>
        <v>0</v>
      </c>
      <c r="AG75" s="221">
        <f t="shared" si="47"/>
        <v>0</v>
      </c>
      <c r="AH75" s="221">
        <f t="shared" si="55"/>
        <v>0</v>
      </c>
      <c r="AI75" s="221">
        <f t="shared" si="48"/>
        <v>0</v>
      </c>
      <c r="AJ75" s="221">
        <f t="shared" si="48"/>
        <v>0</v>
      </c>
      <c r="AK75" s="221">
        <f t="shared" si="48"/>
        <v>0</v>
      </c>
      <c r="AL75" s="221">
        <f t="shared" si="48"/>
        <v>0</v>
      </c>
      <c r="AM75" s="221">
        <v>0</v>
      </c>
      <c r="AN75" s="221">
        <v>0</v>
      </c>
      <c r="AO75" s="221">
        <v>0</v>
      </c>
      <c r="AP75" s="221">
        <v>0</v>
      </c>
      <c r="AQ75" s="221">
        <v>0</v>
      </c>
      <c r="AR75" s="221">
        <v>0</v>
      </c>
      <c r="AS75" s="221">
        <v>0</v>
      </c>
      <c r="AT75" s="221">
        <v>0</v>
      </c>
      <c r="AU75" s="221">
        <v>0</v>
      </c>
      <c r="AV75" s="221">
        <v>0</v>
      </c>
      <c r="AW75" s="221">
        <v>0</v>
      </c>
      <c r="AX75" s="221">
        <v>0</v>
      </c>
      <c r="AY75" s="221">
        <v>0</v>
      </c>
      <c r="AZ75" s="221">
        <v>0</v>
      </c>
      <c r="BA75" s="221">
        <v>0</v>
      </c>
      <c r="BB75" s="221">
        <v>0</v>
      </c>
      <c r="BC75" s="221">
        <v>0</v>
      </c>
      <c r="BD75" s="221">
        <v>0</v>
      </c>
      <c r="BE75" s="221">
        <v>0</v>
      </c>
      <c r="BF75" s="221">
        <v>0</v>
      </c>
      <c r="BG75" s="221">
        <v>0</v>
      </c>
      <c r="BH75" s="221">
        <v>0</v>
      </c>
      <c r="BI75" s="221">
        <v>0</v>
      </c>
      <c r="BJ75" s="221">
        <v>0</v>
      </c>
      <c r="BK75" s="221">
        <v>0</v>
      </c>
      <c r="BL75" s="221">
        <v>0</v>
      </c>
      <c r="BM75" s="221">
        <v>0</v>
      </c>
      <c r="BN75" s="221">
        <v>0</v>
      </c>
      <c r="BO75" s="221">
        <v>0</v>
      </c>
      <c r="BP75" s="221">
        <v>0</v>
      </c>
      <c r="BQ75" s="221">
        <v>0</v>
      </c>
      <c r="BR75" s="221">
        <v>0</v>
      </c>
      <c r="BS75" s="221">
        <v>0</v>
      </c>
      <c r="BT75" s="221">
        <v>0</v>
      </c>
      <c r="BU75" s="221">
        <v>0</v>
      </c>
      <c r="BV75" s="221">
        <v>0</v>
      </c>
      <c r="BW75" s="221">
        <v>0</v>
      </c>
      <c r="BX75" s="221">
        <v>0</v>
      </c>
      <c r="BY75" s="221">
        <v>0</v>
      </c>
      <c r="BZ75" s="221">
        <v>0</v>
      </c>
      <c r="CA75" s="221">
        <v>0</v>
      </c>
      <c r="CB75" s="221">
        <v>0</v>
      </c>
      <c r="CC75" s="221">
        <v>0</v>
      </c>
      <c r="CD75" s="221">
        <v>0</v>
      </c>
      <c r="CE75" s="221">
        <v>0</v>
      </c>
      <c r="CF75" s="221">
        <v>0</v>
      </c>
      <c r="CG75" s="221">
        <v>0</v>
      </c>
      <c r="CH75" s="221">
        <v>0</v>
      </c>
      <c r="CI75" s="221">
        <v>0</v>
      </c>
      <c r="CJ75" s="221">
        <v>0</v>
      </c>
      <c r="CL75" s="225" t="s">
        <v>87</v>
      </c>
      <c r="CM75">
        <v>0</v>
      </c>
      <c r="CN75">
        <v>0</v>
      </c>
      <c r="CO75">
        <v>0</v>
      </c>
      <c r="CP75">
        <v>0</v>
      </c>
      <c r="CQ75">
        <v>0</v>
      </c>
      <c r="CR75">
        <v>0</v>
      </c>
      <c r="CS75">
        <v>0</v>
      </c>
    </row>
    <row r="76" spans="2:97" x14ac:dyDescent="0.35">
      <c r="B76" s="42" t="s">
        <v>760</v>
      </c>
      <c r="C76" s="221">
        <f t="shared" si="49"/>
        <v>4.7205816222763011E-7</v>
      </c>
      <c r="D76" s="221">
        <f t="shared" si="49"/>
        <v>4.7205816222763011E-7</v>
      </c>
      <c r="E76" s="221">
        <f t="shared" si="49"/>
        <v>4.7205816222763011E-7</v>
      </c>
      <c r="F76" s="221">
        <f t="shared" si="49"/>
        <v>4.7205816222763011E-7</v>
      </c>
      <c r="G76" s="221">
        <f t="shared" si="49"/>
        <v>4.7205816222763011E-7</v>
      </c>
      <c r="H76" s="221">
        <f t="shared" si="49"/>
        <v>4.7205816222763011E-7</v>
      </c>
      <c r="I76" s="221">
        <f t="shared" si="50"/>
        <v>1.8889121674400781E-6</v>
      </c>
      <c r="J76" s="221">
        <f t="shared" si="43"/>
        <v>1.8889121674400781E-6</v>
      </c>
      <c r="K76" s="221">
        <f t="shared" si="43"/>
        <v>1.8889121674400781E-6</v>
      </c>
      <c r="L76" s="221">
        <f t="shared" si="43"/>
        <v>1.8889121674400781E-6</v>
      </c>
      <c r="M76" s="221">
        <f t="shared" si="43"/>
        <v>1.8889121674400781E-6</v>
      </c>
      <c r="N76" s="221">
        <f t="shared" si="51"/>
        <v>1.556369986823804E-5</v>
      </c>
      <c r="O76" s="221">
        <f t="shared" si="44"/>
        <v>1.556369986823804E-5</v>
      </c>
      <c r="P76" s="221">
        <f t="shared" si="44"/>
        <v>1.556369986823804E-5</v>
      </c>
      <c r="Q76" s="221">
        <f t="shared" si="44"/>
        <v>1.556369986823804E-5</v>
      </c>
      <c r="R76" s="221">
        <f t="shared" si="44"/>
        <v>1.556369986823804E-5</v>
      </c>
      <c r="S76" s="221">
        <f t="shared" si="52"/>
        <v>5.4932725963681749E-5</v>
      </c>
      <c r="T76" s="221">
        <f t="shared" si="45"/>
        <v>5.4932725963681749E-5</v>
      </c>
      <c r="U76" s="221">
        <f t="shared" si="45"/>
        <v>5.4932725963681749E-5</v>
      </c>
      <c r="V76" s="221">
        <f t="shared" si="45"/>
        <v>5.4932725963681749E-5</v>
      </c>
      <c r="W76" s="221">
        <f t="shared" si="45"/>
        <v>5.4932725963681749E-5</v>
      </c>
      <c r="X76" s="221">
        <f t="shared" si="53"/>
        <v>1.8060893128181549E-4</v>
      </c>
      <c r="Y76" s="221">
        <f t="shared" si="46"/>
        <v>1.8060893128181549E-4</v>
      </c>
      <c r="Z76" s="221">
        <f t="shared" si="46"/>
        <v>1.8060893128181549E-4</v>
      </c>
      <c r="AA76" s="221">
        <f t="shared" si="46"/>
        <v>1.8060893128181549E-4</v>
      </c>
      <c r="AB76" s="221">
        <f t="shared" si="46"/>
        <v>1.8060893128181549E-4</v>
      </c>
      <c r="AC76" s="221">
        <f t="shared" si="54"/>
        <v>3.0687728846142152E-4</v>
      </c>
      <c r="AD76" s="221">
        <f t="shared" si="47"/>
        <v>3.0687728846142152E-4</v>
      </c>
      <c r="AE76" s="221">
        <f t="shared" si="47"/>
        <v>3.0687728846142152E-4</v>
      </c>
      <c r="AF76" s="221">
        <f t="shared" si="47"/>
        <v>3.0687728846142152E-4</v>
      </c>
      <c r="AG76" s="221">
        <f t="shared" si="47"/>
        <v>3.0687728846142152E-4</v>
      </c>
      <c r="AH76" s="221">
        <f t="shared" si="55"/>
        <v>3.2744765845373481E-4</v>
      </c>
      <c r="AI76" s="221">
        <f t="shared" si="48"/>
        <v>3.2744765845373481E-4</v>
      </c>
      <c r="AJ76" s="221">
        <f t="shared" si="48"/>
        <v>3.2744765845373481E-4</v>
      </c>
      <c r="AK76" s="221">
        <f t="shared" si="48"/>
        <v>3.2744765845373481E-4</v>
      </c>
      <c r="AL76" s="221">
        <f t="shared" si="48"/>
        <v>3.2744765845373481E-4</v>
      </c>
      <c r="AM76" s="221">
        <v>0</v>
      </c>
      <c r="AN76" s="221">
        <v>0</v>
      </c>
      <c r="AO76" s="221">
        <v>0</v>
      </c>
      <c r="AP76" s="221">
        <v>0</v>
      </c>
      <c r="AQ76" s="221">
        <v>0</v>
      </c>
      <c r="AR76" s="221">
        <v>0</v>
      </c>
      <c r="AS76" s="221">
        <v>0</v>
      </c>
      <c r="AT76" s="221">
        <v>0</v>
      </c>
      <c r="AU76" s="221">
        <v>0</v>
      </c>
      <c r="AV76" s="221">
        <v>0</v>
      </c>
      <c r="AW76" s="221">
        <v>0</v>
      </c>
      <c r="AX76" s="221">
        <v>0</v>
      </c>
      <c r="AY76" s="221">
        <v>0</v>
      </c>
      <c r="AZ76" s="221">
        <v>0</v>
      </c>
      <c r="BA76" s="221">
        <v>0</v>
      </c>
      <c r="BB76" s="221">
        <v>0</v>
      </c>
      <c r="BC76" s="221">
        <v>0</v>
      </c>
      <c r="BD76" s="221">
        <v>0</v>
      </c>
      <c r="BE76" s="221">
        <v>0</v>
      </c>
      <c r="BF76" s="221">
        <v>0</v>
      </c>
      <c r="BG76" s="221">
        <v>0</v>
      </c>
      <c r="BH76" s="221">
        <v>0</v>
      </c>
      <c r="BI76" s="221">
        <v>0</v>
      </c>
      <c r="BJ76" s="221">
        <v>0</v>
      </c>
      <c r="BK76" s="221">
        <v>0</v>
      </c>
      <c r="BL76" s="221">
        <v>0</v>
      </c>
      <c r="BM76" s="221">
        <v>0</v>
      </c>
      <c r="BN76" s="221">
        <v>0</v>
      </c>
      <c r="BO76" s="221">
        <v>0</v>
      </c>
      <c r="BP76" s="221">
        <v>0</v>
      </c>
      <c r="BQ76" s="221">
        <v>0</v>
      </c>
      <c r="BR76" s="221">
        <v>0</v>
      </c>
      <c r="BS76" s="221">
        <v>0</v>
      </c>
      <c r="BT76" s="221">
        <v>0</v>
      </c>
      <c r="BU76" s="221">
        <v>0</v>
      </c>
      <c r="BV76" s="221">
        <v>0</v>
      </c>
      <c r="BW76" s="221">
        <v>0</v>
      </c>
      <c r="BX76" s="221">
        <v>0</v>
      </c>
      <c r="BY76" s="221">
        <v>0</v>
      </c>
      <c r="BZ76" s="221">
        <v>0</v>
      </c>
      <c r="CA76" s="221">
        <v>0</v>
      </c>
      <c r="CB76" s="221">
        <v>0</v>
      </c>
      <c r="CC76" s="221">
        <v>0</v>
      </c>
      <c r="CD76" s="221">
        <v>0</v>
      </c>
      <c r="CE76" s="221">
        <v>0</v>
      </c>
      <c r="CF76" s="221">
        <v>0</v>
      </c>
      <c r="CG76" s="221">
        <v>0</v>
      </c>
      <c r="CH76" s="221">
        <v>0</v>
      </c>
      <c r="CI76" s="221">
        <v>0</v>
      </c>
      <c r="CJ76" s="221">
        <v>0</v>
      </c>
      <c r="CL76" s="225" t="s">
        <v>146</v>
      </c>
      <c r="CM76">
        <v>4.7205816222763011E-7</v>
      </c>
      <c r="CN76">
        <v>1.8889121674400781E-6</v>
      </c>
      <c r="CO76">
        <v>1.556369986823804E-5</v>
      </c>
      <c r="CP76">
        <v>5.4932725963681749E-5</v>
      </c>
      <c r="CQ76">
        <v>1.8060893128181549E-4</v>
      </c>
      <c r="CR76">
        <v>3.0687728846142152E-4</v>
      </c>
      <c r="CS76">
        <v>3.2744765845373481E-4</v>
      </c>
    </row>
    <row r="77" spans="2:97" x14ac:dyDescent="0.35">
      <c r="B77" s="42" t="s">
        <v>1330</v>
      </c>
      <c r="C77" s="221">
        <f t="shared" si="49"/>
        <v>2.7703235300646459E-5</v>
      </c>
      <c r="D77" s="221">
        <f t="shared" si="49"/>
        <v>2.7703235300646459E-5</v>
      </c>
      <c r="E77" s="221">
        <f t="shared" si="49"/>
        <v>2.7703235300646459E-5</v>
      </c>
      <c r="F77" s="221">
        <f t="shared" si="49"/>
        <v>2.7703235300646459E-5</v>
      </c>
      <c r="G77" s="221">
        <f t="shared" si="49"/>
        <v>2.7703235300646459E-5</v>
      </c>
      <c r="H77" s="221">
        <f t="shared" si="49"/>
        <v>2.7703235300646459E-5</v>
      </c>
      <c r="I77" s="221">
        <f t="shared" si="50"/>
        <v>2.9312219063111359E-4</v>
      </c>
      <c r="J77" s="221">
        <f t="shared" si="43"/>
        <v>2.9312219063111359E-4</v>
      </c>
      <c r="K77" s="221">
        <f t="shared" si="43"/>
        <v>2.9312219063111359E-4</v>
      </c>
      <c r="L77" s="221">
        <f t="shared" si="43"/>
        <v>2.9312219063111359E-4</v>
      </c>
      <c r="M77" s="221">
        <f t="shared" si="43"/>
        <v>2.9312219063111359E-4</v>
      </c>
      <c r="N77" s="221">
        <f t="shared" si="51"/>
        <v>1.0745119353059069E-3</v>
      </c>
      <c r="O77" s="221">
        <f t="shared" si="44"/>
        <v>1.0745119353059069E-3</v>
      </c>
      <c r="P77" s="221">
        <f t="shared" si="44"/>
        <v>1.0745119353059069E-3</v>
      </c>
      <c r="Q77" s="221">
        <f t="shared" si="44"/>
        <v>1.0745119353059069E-3</v>
      </c>
      <c r="R77" s="221">
        <f t="shared" si="44"/>
        <v>1.0745119353059069E-3</v>
      </c>
      <c r="S77" s="221">
        <f t="shared" si="52"/>
        <v>1.6403146070622431E-3</v>
      </c>
      <c r="T77" s="221">
        <f t="shared" si="45"/>
        <v>1.6403146070622431E-3</v>
      </c>
      <c r="U77" s="221">
        <f t="shared" si="45"/>
        <v>1.6403146070622431E-3</v>
      </c>
      <c r="V77" s="221">
        <f t="shared" si="45"/>
        <v>1.6403146070622431E-3</v>
      </c>
      <c r="W77" s="221">
        <f t="shared" si="45"/>
        <v>1.6403146070622431E-3</v>
      </c>
      <c r="X77" s="221">
        <f t="shared" si="53"/>
        <v>1.4494199307415259E-3</v>
      </c>
      <c r="Y77" s="221">
        <f t="shared" si="46"/>
        <v>1.4494199307415259E-3</v>
      </c>
      <c r="Z77" s="221">
        <f t="shared" si="46"/>
        <v>1.4494199307415259E-3</v>
      </c>
      <c r="AA77" s="221">
        <f t="shared" si="46"/>
        <v>1.4494199307415259E-3</v>
      </c>
      <c r="AB77" s="221">
        <f t="shared" si="46"/>
        <v>1.4494199307415259E-3</v>
      </c>
      <c r="AC77" s="221">
        <f t="shared" si="54"/>
        <v>2.809678443082937E-3</v>
      </c>
      <c r="AD77" s="221">
        <f t="shared" si="47"/>
        <v>2.809678443082937E-3</v>
      </c>
      <c r="AE77" s="221">
        <f t="shared" si="47"/>
        <v>2.809678443082937E-3</v>
      </c>
      <c r="AF77" s="221">
        <f t="shared" si="47"/>
        <v>2.809678443082937E-3</v>
      </c>
      <c r="AG77" s="221">
        <f t="shared" si="47"/>
        <v>2.809678443082937E-3</v>
      </c>
      <c r="AH77" s="221">
        <f t="shared" si="55"/>
        <v>5.6048779144206714E-3</v>
      </c>
      <c r="AI77" s="221">
        <f t="shared" si="48"/>
        <v>5.6048779144206714E-3</v>
      </c>
      <c r="AJ77" s="221">
        <f t="shared" si="48"/>
        <v>5.6048779144206714E-3</v>
      </c>
      <c r="AK77" s="221">
        <f t="shared" si="48"/>
        <v>5.6048779144206714E-3</v>
      </c>
      <c r="AL77" s="221">
        <f t="shared" si="48"/>
        <v>5.6048779144206714E-3</v>
      </c>
      <c r="AM77" s="221">
        <v>0</v>
      </c>
      <c r="AN77" s="221">
        <v>0</v>
      </c>
      <c r="AO77" s="221">
        <v>0</v>
      </c>
      <c r="AP77" s="221">
        <v>0</v>
      </c>
      <c r="AQ77" s="221">
        <v>0</v>
      </c>
      <c r="AR77" s="221">
        <v>0</v>
      </c>
      <c r="AS77" s="221">
        <v>0</v>
      </c>
      <c r="AT77" s="221">
        <v>0</v>
      </c>
      <c r="AU77" s="221">
        <v>0</v>
      </c>
      <c r="AV77" s="221">
        <v>0</v>
      </c>
      <c r="AW77" s="221">
        <v>0</v>
      </c>
      <c r="AX77" s="221">
        <v>0</v>
      </c>
      <c r="AY77" s="221">
        <v>0</v>
      </c>
      <c r="AZ77" s="221">
        <v>0</v>
      </c>
      <c r="BA77" s="221">
        <v>0</v>
      </c>
      <c r="BB77" s="221">
        <v>0</v>
      </c>
      <c r="BC77" s="221">
        <v>0</v>
      </c>
      <c r="BD77" s="221">
        <v>0</v>
      </c>
      <c r="BE77" s="221">
        <v>0</v>
      </c>
      <c r="BF77" s="221">
        <v>0</v>
      </c>
      <c r="BG77" s="221">
        <v>0</v>
      </c>
      <c r="BH77" s="221">
        <v>0</v>
      </c>
      <c r="BI77" s="221">
        <v>0</v>
      </c>
      <c r="BJ77" s="221">
        <v>0</v>
      </c>
      <c r="BK77" s="221">
        <v>0</v>
      </c>
      <c r="BL77" s="221">
        <v>0</v>
      </c>
      <c r="BM77" s="221">
        <v>0</v>
      </c>
      <c r="BN77" s="221">
        <v>0</v>
      </c>
      <c r="BO77" s="221">
        <v>0</v>
      </c>
      <c r="BP77" s="221">
        <v>0</v>
      </c>
      <c r="BQ77" s="221">
        <v>0</v>
      </c>
      <c r="BR77" s="221">
        <v>0</v>
      </c>
      <c r="BS77" s="221">
        <v>0</v>
      </c>
      <c r="BT77" s="221">
        <v>0</v>
      </c>
      <c r="BU77" s="221">
        <v>0</v>
      </c>
      <c r="BV77" s="221">
        <v>0</v>
      </c>
      <c r="BW77" s="221">
        <v>0</v>
      </c>
      <c r="BX77" s="221">
        <v>0</v>
      </c>
      <c r="BY77" s="221">
        <v>0</v>
      </c>
      <c r="BZ77" s="221">
        <v>0</v>
      </c>
      <c r="CA77" s="221">
        <v>0</v>
      </c>
      <c r="CB77" s="221">
        <v>0</v>
      </c>
      <c r="CC77" s="221">
        <v>0</v>
      </c>
      <c r="CD77" s="221">
        <v>0</v>
      </c>
      <c r="CE77" s="221">
        <v>0</v>
      </c>
      <c r="CF77" s="221">
        <v>0</v>
      </c>
      <c r="CG77" s="221">
        <v>0</v>
      </c>
      <c r="CH77" s="221">
        <v>0</v>
      </c>
      <c r="CI77" s="221">
        <v>0</v>
      </c>
      <c r="CJ77" s="221">
        <v>0</v>
      </c>
      <c r="CL77" s="225" t="s">
        <v>89</v>
      </c>
      <c r="CM77">
        <v>2.7703235300646459E-5</v>
      </c>
      <c r="CN77">
        <v>2.9312219063111359E-4</v>
      </c>
      <c r="CO77">
        <v>1.0745119353059069E-3</v>
      </c>
      <c r="CP77">
        <v>1.6403146070622431E-3</v>
      </c>
      <c r="CQ77">
        <v>1.4494199307415259E-3</v>
      </c>
      <c r="CR77">
        <v>2.809678443082937E-3</v>
      </c>
      <c r="CS77">
        <v>5.6048779144206714E-3</v>
      </c>
    </row>
    <row r="78" spans="2:97" x14ac:dyDescent="0.35">
      <c r="B78" s="42" t="s">
        <v>1331</v>
      </c>
      <c r="C78" s="221">
        <f t="shared" si="49"/>
        <v>0</v>
      </c>
      <c r="D78" s="221">
        <f t="shared" si="49"/>
        <v>0</v>
      </c>
      <c r="E78" s="221">
        <f t="shared" si="49"/>
        <v>0</v>
      </c>
      <c r="F78" s="221">
        <f t="shared" si="49"/>
        <v>0</v>
      </c>
      <c r="G78" s="221">
        <f t="shared" si="49"/>
        <v>0</v>
      </c>
      <c r="H78" s="221">
        <f t="shared" si="49"/>
        <v>0</v>
      </c>
      <c r="I78" s="221">
        <f t="shared" si="50"/>
        <v>0</v>
      </c>
      <c r="J78" s="221">
        <f t="shared" si="43"/>
        <v>0</v>
      </c>
      <c r="K78" s="221">
        <f t="shared" si="43"/>
        <v>0</v>
      </c>
      <c r="L78" s="221">
        <f t="shared" si="43"/>
        <v>0</v>
      </c>
      <c r="M78" s="221">
        <f t="shared" si="43"/>
        <v>0</v>
      </c>
      <c r="N78" s="221">
        <f t="shared" si="51"/>
        <v>0</v>
      </c>
      <c r="O78" s="221">
        <f t="shared" si="44"/>
        <v>0</v>
      </c>
      <c r="P78" s="221">
        <f t="shared" si="44"/>
        <v>0</v>
      </c>
      <c r="Q78" s="221">
        <f t="shared" si="44"/>
        <v>0</v>
      </c>
      <c r="R78" s="221">
        <f t="shared" si="44"/>
        <v>0</v>
      </c>
      <c r="S78" s="221">
        <f t="shared" si="52"/>
        <v>0</v>
      </c>
      <c r="T78" s="221">
        <f t="shared" si="45"/>
        <v>0</v>
      </c>
      <c r="U78" s="221">
        <f t="shared" si="45"/>
        <v>0</v>
      </c>
      <c r="V78" s="221">
        <f t="shared" si="45"/>
        <v>0</v>
      </c>
      <c r="W78" s="221">
        <f t="shared" si="45"/>
        <v>0</v>
      </c>
      <c r="X78" s="221">
        <f t="shared" si="53"/>
        <v>0</v>
      </c>
      <c r="Y78" s="221">
        <f t="shared" si="46"/>
        <v>0</v>
      </c>
      <c r="Z78" s="221">
        <f t="shared" si="46"/>
        <v>0</v>
      </c>
      <c r="AA78" s="221">
        <f t="shared" si="46"/>
        <v>0</v>
      </c>
      <c r="AB78" s="221">
        <f t="shared" si="46"/>
        <v>0</v>
      </c>
      <c r="AC78" s="221">
        <f t="shared" si="54"/>
        <v>0</v>
      </c>
      <c r="AD78" s="221">
        <f t="shared" si="47"/>
        <v>0</v>
      </c>
      <c r="AE78" s="221">
        <f t="shared" si="47"/>
        <v>0</v>
      </c>
      <c r="AF78" s="221">
        <f t="shared" si="47"/>
        <v>0</v>
      </c>
      <c r="AG78" s="221">
        <f t="shared" si="47"/>
        <v>0</v>
      </c>
      <c r="AH78" s="221">
        <f t="shared" si="55"/>
        <v>0</v>
      </c>
      <c r="AI78" s="221">
        <f t="shared" si="48"/>
        <v>0</v>
      </c>
      <c r="AJ78" s="221">
        <f t="shared" si="48"/>
        <v>0</v>
      </c>
      <c r="AK78" s="221">
        <f t="shared" si="48"/>
        <v>0</v>
      </c>
      <c r="AL78" s="221">
        <f t="shared" si="48"/>
        <v>0</v>
      </c>
      <c r="AM78" s="221">
        <v>0</v>
      </c>
      <c r="AN78" s="221">
        <v>0</v>
      </c>
      <c r="AO78" s="221">
        <v>0</v>
      </c>
      <c r="AP78" s="221">
        <v>0</v>
      </c>
      <c r="AQ78" s="221">
        <v>0</v>
      </c>
      <c r="AR78" s="221">
        <v>0</v>
      </c>
      <c r="AS78" s="221">
        <v>0</v>
      </c>
      <c r="AT78" s="221">
        <v>0</v>
      </c>
      <c r="AU78" s="221">
        <v>0</v>
      </c>
      <c r="AV78" s="221">
        <v>0</v>
      </c>
      <c r="AW78" s="221">
        <v>0</v>
      </c>
      <c r="AX78" s="221">
        <v>0</v>
      </c>
      <c r="AY78" s="221">
        <v>0</v>
      </c>
      <c r="AZ78" s="221">
        <v>0</v>
      </c>
      <c r="BA78" s="221">
        <v>0</v>
      </c>
      <c r="BB78" s="221">
        <v>0</v>
      </c>
      <c r="BC78" s="221">
        <v>0</v>
      </c>
      <c r="BD78" s="221">
        <v>0</v>
      </c>
      <c r="BE78" s="221">
        <v>0</v>
      </c>
      <c r="BF78" s="221">
        <v>0</v>
      </c>
      <c r="BG78" s="221">
        <v>0</v>
      </c>
      <c r="BH78" s="221">
        <v>0</v>
      </c>
      <c r="BI78" s="221">
        <v>0</v>
      </c>
      <c r="BJ78" s="221">
        <v>0</v>
      </c>
      <c r="BK78" s="221">
        <v>0</v>
      </c>
      <c r="BL78" s="221">
        <v>0</v>
      </c>
      <c r="BM78" s="221">
        <v>0</v>
      </c>
      <c r="BN78" s="221">
        <v>0</v>
      </c>
      <c r="BO78" s="221">
        <v>0</v>
      </c>
      <c r="BP78" s="221">
        <v>0</v>
      </c>
      <c r="BQ78" s="221">
        <v>0</v>
      </c>
      <c r="BR78" s="221">
        <v>0</v>
      </c>
      <c r="BS78" s="221">
        <v>0</v>
      </c>
      <c r="BT78" s="221">
        <v>0</v>
      </c>
      <c r="BU78" s="221">
        <v>0</v>
      </c>
      <c r="BV78" s="221">
        <v>0</v>
      </c>
      <c r="BW78" s="221">
        <v>0</v>
      </c>
      <c r="BX78" s="221">
        <v>0</v>
      </c>
      <c r="BY78" s="221">
        <v>0</v>
      </c>
      <c r="BZ78" s="221">
        <v>0</v>
      </c>
      <c r="CA78" s="221">
        <v>0</v>
      </c>
      <c r="CB78" s="221">
        <v>0</v>
      </c>
      <c r="CC78" s="221">
        <v>0</v>
      </c>
      <c r="CD78" s="221">
        <v>0</v>
      </c>
      <c r="CE78" s="221">
        <v>0</v>
      </c>
      <c r="CF78" s="221">
        <v>0</v>
      </c>
      <c r="CG78" s="221">
        <v>0</v>
      </c>
      <c r="CH78" s="221">
        <v>0</v>
      </c>
      <c r="CI78" s="221">
        <v>0</v>
      </c>
      <c r="CJ78" s="221">
        <v>0</v>
      </c>
      <c r="CL78" s="225" t="s">
        <v>90</v>
      </c>
      <c r="CM78">
        <v>0</v>
      </c>
      <c r="CN78">
        <v>0</v>
      </c>
      <c r="CO78">
        <v>0</v>
      </c>
      <c r="CP78">
        <v>0</v>
      </c>
      <c r="CQ78">
        <v>0</v>
      </c>
      <c r="CR78">
        <v>0</v>
      </c>
      <c r="CS78">
        <v>0</v>
      </c>
    </row>
    <row r="80" spans="2:97" ht="18.5" x14ac:dyDescent="0.45">
      <c r="B80" s="223" t="s">
        <v>1337</v>
      </c>
    </row>
    <row r="81" spans="2:97" x14ac:dyDescent="0.35">
      <c r="B81" s="224" t="s">
        <v>1317</v>
      </c>
      <c r="C81">
        <v>2015</v>
      </c>
      <c r="D81">
        <v>2016</v>
      </c>
      <c r="E81">
        <v>2017</v>
      </c>
      <c r="F81">
        <v>2018</v>
      </c>
      <c r="G81">
        <v>2019</v>
      </c>
      <c r="H81">
        <v>2020</v>
      </c>
      <c r="I81">
        <v>2021</v>
      </c>
      <c r="J81">
        <v>2022</v>
      </c>
      <c r="K81">
        <v>2023</v>
      </c>
      <c r="L81">
        <v>2024</v>
      </c>
      <c r="M81">
        <v>2025</v>
      </c>
      <c r="N81">
        <v>2026</v>
      </c>
      <c r="O81">
        <v>2027</v>
      </c>
      <c r="P81">
        <v>2028</v>
      </c>
      <c r="Q81">
        <v>2029</v>
      </c>
      <c r="R81">
        <v>2030</v>
      </c>
      <c r="S81">
        <v>2031</v>
      </c>
      <c r="T81">
        <v>2032</v>
      </c>
      <c r="U81">
        <v>2033</v>
      </c>
      <c r="V81">
        <v>2034</v>
      </c>
      <c r="W81">
        <v>2035</v>
      </c>
      <c r="X81">
        <v>2036</v>
      </c>
      <c r="Y81">
        <v>2037</v>
      </c>
      <c r="Z81">
        <v>2038</v>
      </c>
      <c r="AA81">
        <v>2039</v>
      </c>
      <c r="AB81">
        <v>2040</v>
      </c>
      <c r="AC81">
        <v>2041</v>
      </c>
      <c r="AD81">
        <v>2042</v>
      </c>
      <c r="AE81">
        <v>2043</v>
      </c>
      <c r="AF81">
        <v>2044</v>
      </c>
      <c r="AG81">
        <v>2045</v>
      </c>
      <c r="AH81">
        <v>2046</v>
      </c>
      <c r="AI81">
        <v>2047</v>
      </c>
      <c r="AJ81">
        <v>2048</v>
      </c>
      <c r="AK81">
        <v>2049</v>
      </c>
      <c r="AL81">
        <v>2050</v>
      </c>
      <c r="AM81">
        <v>2051</v>
      </c>
      <c r="AN81">
        <v>2052</v>
      </c>
      <c r="AO81">
        <v>2053</v>
      </c>
      <c r="AP81">
        <v>2054</v>
      </c>
      <c r="AQ81">
        <v>2055</v>
      </c>
      <c r="AR81">
        <v>2056</v>
      </c>
      <c r="AS81">
        <v>2057</v>
      </c>
      <c r="AT81">
        <v>2058</v>
      </c>
      <c r="AU81">
        <v>2059</v>
      </c>
      <c r="AV81">
        <v>2060</v>
      </c>
      <c r="AW81">
        <v>2061</v>
      </c>
      <c r="AX81">
        <v>2062</v>
      </c>
      <c r="AY81">
        <v>2063</v>
      </c>
      <c r="AZ81">
        <v>2064</v>
      </c>
      <c r="BA81">
        <v>2065</v>
      </c>
      <c r="BB81">
        <v>2066</v>
      </c>
      <c r="BC81">
        <v>2067</v>
      </c>
      <c r="BD81">
        <v>2068</v>
      </c>
      <c r="BE81">
        <v>2069</v>
      </c>
      <c r="BF81">
        <v>2070</v>
      </c>
      <c r="BG81">
        <v>2071</v>
      </c>
      <c r="BH81">
        <v>2072</v>
      </c>
      <c r="BI81">
        <v>2073</v>
      </c>
      <c r="BJ81">
        <v>2074</v>
      </c>
      <c r="BK81">
        <v>2075</v>
      </c>
      <c r="BL81">
        <v>2076</v>
      </c>
      <c r="BM81">
        <v>2077</v>
      </c>
      <c r="BN81">
        <v>2078</v>
      </c>
      <c r="BO81">
        <v>2079</v>
      </c>
      <c r="BP81">
        <v>2080</v>
      </c>
      <c r="BQ81">
        <v>2081</v>
      </c>
      <c r="BR81">
        <v>2082</v>
      </c>
      <c r="BS81">
        <v>2083</v>
      </c>
      <c r="BT81">
        <v>2084</v>
      </c>
      <c r="BU81">
        <v>2085</v>
      </c>
      <c r="BV81">
        <v>2086</v>
      </c>
      <c r="BW81">
        <v>2087</v>
      </c>
      <c r="BX81">
        <v>2088</v>
      </c>
      <c r="BY81">
        <v>2089</v>
      </c>
      <c r="BZ81">
        <v>2090</v>
      </c>
      <c r="CA81">
        <v>2091</v>
      </c>
      <c r="CB81">
        <v>2092</v>
      </c>
      <c r="CC81">
        <v>2093</v>
      </c>
      <c r="CD81">
        <v>2094</v>
      </c>
      <c r="CE81">
        <v>2095</v>
      </c>
      <c r="CF81">
        <v>2096</v>
      </c>
      <c r="CG81">
        <v>2097</v>
      </c>
      <c r="CH81">
        <v>2098</v>
      </c>
      <c r="CI81">
        <v>2099</v>
      </c>
      <c r="CJ81">
        <v>2100</v>
      </c>
      <c r="CL81" t="s">
        <v>1338</v>
      </c>
      <c r="CM81" s="225" t="s">
        <v>1319</v>
      </c>
      <c r="CN81" s="225" t="s">
        <v>1320</v>
      </c>
      <c r="CO81" s="225" t="s">
        <v>1321</v>
      </c>
      <c r="CP81" s="225" t="s">
        <v>1322</v>
      </c>
      <c r="CQ81" s="225" t="s">
        <v>1323</v>
      </c>
      <c r="CR81" s="225" t="s">
        <v>1324</v>
      </c>
      <c r="CS81" s="225" t="s">
        <v>1325</v>
      </c>
    </row>
    <row r="82" spans="2:97" x14ac:dyDescent="0.35">
      <c r="B82" s="41" t="s">
        <v>1326</v>
      </c>
      <c r="C82" s="221">
        <f>$CM82</f>
        <v>2.3306969820483841E-2</v>
      </c>
      <c r="D82" s="221">
        <f t="shared" ref="D82:G82" si="56">$CM82</f>
        <v>2.3306969820483841E-2</v>
      </c>
      <c r="E82" s="221">
        <f t="shared" si="56"/>
        <v>2.3306969820483841E-2</v>
      </c>
      <c r="F82" s="221">
        <f t="shared" si="56"/>
        <v>2.3306969820483841E-2</v>
      </c>
      <c r="G82" s="221">
        <f t="shared" si="56"/>
        <v>2.3306969820483841E-2</v>
      </c>
      <c r="H82" s="221">
        <f>$CM82</f>
        <v>2.3306969820483841E-2</v>
      </c>
      <c r="I82" s="221">
        <f>$CN82</f>
        <v>1.559723208902271E-2</v>
      </c>
      <c r="J82" s="221">
        <f t="shared" ref="J82:M90" si="57">$CN82</f>
        <v>1.559723208902271E-2</v>
      </c>
      <c r="K82" s="221">
        <f t="shared" si="57"/>
        <v>1.559723208902271E-2</v>
      </c>
      <c r="L82" s="221">
        <f t="shared" si="57"/>
        <v>1.559723208902271E-2</v>
      </c>
      <c r="M82" s="221">
        <f t="shared" si="57"/>
        <v>1.559723208902271E-2</v>
      </c>
      <c r="N82" s="221">
        <f>$CO82</f>
        <v>1.6435828051431751E-2</v>
      </c>
      <c r="O82" s="221">
        <f t="shared" ref="O82:R90" si="58">$CO82</f>
        <v>1.6435828051431751E-2</v>
      </c>
      <c r="P82" s="221">
        <f t="shared" si="58"/>
        <v>1.6435828051431751E-2</v>
      </c>
      <c r="Q82" s="221">
        <f t="shared" si="58"/>
        <v>1.6435828051431751E-2</v>
      </c>
      <c r="R82" s="221">
        <f t="shared" si="58"/>
        <v>1.6435828051431751E-2</v>
      </c>
      <c r="S82" s="221">
        <f>$CP82</f>
        <v>7.7285514660647015E-4</v>
      </c>
      <c r="T82" s="221">
        <f t="shared" ref="T82:W90" si="59">$CP82</f>
        <v>7.7285514660647015E-4</v>
      </c>
      <c r="U82" s="221">
        <f t="shared" si="59"/>
        <v>7.7285514660647015E-4</v>
      </c>
      <c r="V82" s="221">
        <f t="shared" si="59"/>
        <v>7.7285514660647015E-4</v>
      </c>
      <c r="W82" s="221">
        <f t="shared" si="59"/>
        <v>7.7285514660647015E-4</v>
      </c>
      <c r="X82" s="221">
        <f>$CQ82</f>
        <v>1.6866611764302191E-3</v>
      </c>
      <c r="Y82" s="221">
        <f t="shared" ref="Y82:AB90" si="60">$CQ82</f>
        <v>1.6866611764302191E-3</v>
      </c>
      <c r="Z82" s="221">
        <f t="shared" si="60"/>
        <v>1.6866611764302191E-3</v>
      </c>
      <c r="AA82" s="221">
        <f t="shared" si="60"/>
        <v>1.6866611764302191E-3</v>
      </c>
      <c r="AB82" s="221">
        <f t="shared" si="60"/>
        <v>1.6866611764302191E-3</v>
      </c>
      <c r="AC82" s="221">
        <f>$CR82</f>
        <v>1.0785323789145511E-2</v>
      </c>
      <c r="AD82" s="221">
        <f t="shared" ref="AD82:AG90" si="61">$CR82</f>
        <v>1.0785323789145511E-2</v>
      </c>
      <c r="AE82" s="221">
        <f t="shared" si="61"/>
        <v>1.0785323789145511E-2</v>
      </c>
      <c r="AF82" s="221">
        <f t="shared" si="61"/>
        <v>1.0785323789145511E-2</v>
      </c>
      <c r="AG82" s="221">
        <f t="shared" si="61"/>
        <v>1.0785323789145511E-2</v>
      </c>
      <c r="AH82" s="221">
        <f>$CS82</f>
        <v>1.7559245993230339E-2</v>
      </c>
      <c r="AI82" s="221">
        <f t="shared" ref="AI82:AL90" si="62">$CS82</f>
        <v>1.7559245993230339E-2</v>
      </c>
      <c r="AJ82" s="221">
        <f t="shared" si="62"/>
        <v>1.7559245993230339E-2</v>
      </c>
      <c r="AK82" s="221">
        <f t="shared" si="62"/>
        <v>1.7559245993230339E-2</v>
      </c>
      <c r="AL82" s="221">
        <f t="shared" si="62"/>
        <v>1.7559245993230339E-2</v>
      </c>
      <c r="AM82" s="221">
        <v>0</v>
      </c>
      <c r="AN82" s="221">
        <v>0</v>
      </c>
      <c r="AO82" s="221">
        <v>0</v>
      </c>
      <c r="AP82" s="221">
        <v>0</v>
      </c>
      <c r="AQ82" s="221">
        <v>0</v>
      </c>
      <c r="AR82" s="221">
        <v>0</v>
      </c>
      <c r="AS82" s="221">
        <v>0</v>
      </c>
      <c r="AT82" s="221">
        <v>0</v>
      </c>
      <c r="AU82" s="221">
        <v>0</v>
      </c>
      <c r="AV82" s="221">
        <v>0</v>
      </c>
      <c r="AW82" s="221">
        <v>0</v>
      </c>
      <c r="AX82" s="221">
        <v>0</v>
      </c>
      <c r="AY82" s="221">
        <v>0</v>
      </c>
      <c r="AZ82" s="221">
        <v>0</v>
      </c>
      <c r="BA82" s="221">
        <v>0</v>
      </c>
      <c r="BB82" s="221">
        <v>0</v>
      </c>
      <c r="BC82" s="221">
        <v>0</v>
      </c>
      <c r="BD82" s="221">
        <v>0</v>
      </c>
      <c r="BE82" s="221">
        <v>0</v>
      </c>
      <c r="BF82" s="221">
        <v>0</v>
      </c>
      <c r="BG82" s="221">
        <v>0</v>
      </c>
      <c r="BH82" s="221">
        <v>0</v>
      </c>
      <c r="BI82" s="221">
        <v>0</v>
      </c>
      <c r="BJ82" s="221">
        <v>0</v>
      </c>
      <c r="BK82" s="221">
        <v>0</v>
      </c>
      <c r="BL82" s="221">
        <v>0</v>
      </c>
      <c r="BM82" s="221">
        <v>0</v>
      </c>
      <c r="BN82" s="221">
        <v>0</v>
      </c>
      <c r="BO82" s="221">
        <v>0</v>
      </c>
      <c r="BP82" s="221">
        <v>0</v>
      </c>
      <c r="BQ82" s="221">
        <v>0</v>
      </c>
      <c r="BR82" s="221">
        <v>0</v>
      </c>
      <c r="BS82" s="221">
        <v>0</v>
      </c>
      <c r="BT82" s="221">
        <v>0</v>
      </c>
      <c r="BU82" s="221">
        <v>0</v>
      </c>
      <c r="BV82" s="221">
        <v>0</v>
      </c>
      <c r="BW82" s="221">
        <v>0</v>
      </c>
      <c r="BX82" s="221">
        <v>0</v>
      </c>
      <c r="BY82" s="221">
        <v>0</v>
      </c>
      <c r="BZ82" s="221">
        <v>0</v>
      </c>
      <c r="CA82" s="221">
        <v>0</v>
      </c>
      <c r="CB82" s="221">
        <v>0</v>
      </c>
      <c r="CC82" s="221">
        <v>0</v>
      </c>
      <c r="CD82" s="221">
        <v>0</v>
      </c>
      <c r="CE82" s="221">
        <v>0</v>
      </c>
      <c r="CF82" s="221">
        <v>0</v>
      </c>
      <c r="CG82" s="221">
        <v>0</v>
      </c>
      <c r="CH82" s="221">
        <v>0</v>
      </c>
      <c r="CI82" s="221">
        <v>0</v>
      </c>
      <c r="CJ82" s="221">
        <v>0</v>
      </c>
      <c r="CL82" s="225" t="s">
        <v>143</v>
      </c>
      <c r="CM82">
        <v>2.3306969820483841E-2</v>
      </c>
      <c r="CN82">
        <v>1.559723208902271E-2</v>
      </c>
      <c r="CO82">
        <v>1.6435828051431751E-2</v>
      </c>
      <c r="CP82">
        <v>7.7285514660647015E-4</v>
      </c>
      <c r="CQ82">
        <v>1.6866611764302191E-3</v>
      </c>
      <c r="CR82">
        <v>1.0785323789145511E-2</v>
      </c>
      <c r="CS82">
        <v>1.7559245993230339E-2</v>
      </c>
    </row>
    <row r="83" spans="2:97" x14ac:dyDescent="0.35">
      <c r="B83" s="42" t="s">
        <v>1327</v>
      </c>
      <c r="C83" s="221">
        <f t="shared" ref="C83:H90" si="63">$CM83</f>
        <v>0</v>
      </c>
      <c r="D83" s="221">
        <f t="shared" si="63"/>
        <v>0</v>
      </c>
      <c r="E83" s="221">
        <f t="shared" si="63"/>
        <v>0</v>
      </c>
      <c r="F83" s="221">
        <f t="shared" si="63"/>
        <v>0</v>
      </c>
      <c r="G83" s="221">
        <f t="shared" si="63"/>
        <v>0</v>
      </c>
      <c r="H83" s="221">
        <f t="shared" si="63"/>
        <v>0</v>
      </c>
      <c r="I83" s="221">
        <f t="shared" ref="I83:I90" si="64">$CN83</f>
        <v>0</v>
      </c>
      <c r="J83" s="221">
        <f t="shared" si="57"/>
        <v>0</v>
      </c>
      <c r="K83" s="221">
        <f t="shared" si="57"/>
        <v>0</v>
      </c>
      <c r="L83" s="221">
        <f t="shared" si="57"/>
        <v>0</v>
      </c>
      <c r="M83" s="221">
        <f t="shared" si="57"/>
        <v>0</v>
      </c>
      <c r="N83" s="221">
        <f t="shared" ref="N83:N90" si="65">$CO83</f>
        <v>0</v>
      </c>
      <c r="O83" s="221">
        <f t="shared" si="58"/>
        <v>0</v>
      </c>
      <c r="P83" s="221">
        <f t="shared" si="58"/>
        <v>0</v>
      </c>
      <c r="Q83" s="221">
        <f t="shared" si="58"/>
        <v>0</v>
      </c>
      <c r="R83" s="221">
        <f t="shared" si="58"/>
        <v>0</v>
      </c>
      <c r="S83" s="221">
        <f t="shared" ref="S83:S90" si="66">$CP83</f>
        <v>0</v>
      </c>
      <c r="T83" s="221">
        <f t="shared" si="59"/>
        <v>0</v>
      </c>
      <c r="U83" s="221">
        <f t="shared" si="59"/>
        <v>0</v>
      </c>
      <c r="V83" s="221">
        <f t="shared" si="59"/>
        <v>0</v>
      </c>
      <c r="W83" s="221">
        <f t="shared" si="59"/>
        <v>0</v>
      </c>
      <c r="X83" s="221">
        <f t="shared" ref="X83:X90" si="67">$CQ83</f>
        <v>0</v>
      </c>
      <c r="Y83" s="221">
        <f t="shared" si="60"/>
        <v>0</v>
      </c>
      <c r="Z83" s="221">
        <f t="shared" si="60"/>
        <v>0</v>
      </c>
      <c r="AA83" s="221">
        <f t="shared" si="60"/>
        <v>0</v>
      </c>
      <c r="AB83" s="221">
        <f t="shared" si="60"/>
        <v>0</v>
      </c>
      <c r="AC83" s="221">
        <f t="shared" ref="AC83:AC90" si="68">$CR83</f>
        <v>0</v>
      </c>
      <c r="AD83" s="221">
        <f t="shared" si="61"/>
        <v>0</v>
      </c>
      <c r="AE83" s="221">
        <f t="shared" si="61"/>
        <v>0</v>
      </c>
      <c r="AF83" s="221">
        <f t="shared" si="61"/>
        <v>0</v>
      </c>
      <c r="AG83" s="221">
        <f t="shared" si="61"/>
        <v>0</v>
      </c>
      <c r="AH83" s="221">
        <f t="shared" ref="AH83:AH90" si="69">$CS83</f>
        <v>0</v>
      </c>
      <c r="AI83" s="221">
        <f t="shared" si="62"/>
        <v>0</v>
      </c>
      <c r="AJ83" s="221">
        <f t="shared" si="62"/>
        <v>0</v>
      </c>
      <c r="AK83" s="221">
        <f t="shared" si="62"/>
        <v>0</v>
      </c>
      <c r="AL83" s="221">
        <f t="shared" si="62"/>
        <v>0</v>
      </c>
      <c r="AM83" s="221">
        <v>0</v>
      </c>
      <c r="AN83" s="221">
        <v>0</v>
      </c>
      <c r="AO83" s="221">
        <v>0</v>
      </c>
      <c r="AP83" s="221">
        <v>0</v>
      </c>
      <c r="AQ83" s="221">
        <v>0</v>
      </c>
      <c r="AR83" s="221">
        <v>0</v>
      </c>
      <c r="AS83" s="221">
        <v>0</v>
      </c>
      <c r="AT83" s="221">
        <v>0</v>
      </c>
      <c r="AU83" s="221">
        <v>0</v>
      </c>
      <c r="AV83" s="221">
        <v>0</v>
      </c>
      <c r="AW83" s="221">
        <v>0</v>
      </c>
      <c r="AX83" s="221">
        <v>0</v>
      </c>
      <c r="AY83" s="221">
        <v>0</v>
      </c>
      <c r="AZ83" s="221">
        <v>0</v>
      </c>
      <c r="BA83" s="221">
        <v>0</v>
      </c>
      <c r="BB83" s="221">
        <v>0</v>
      </c>
      <c r="BC83" s="221">
        <v>0</v>
      </c>
      <c r="BD83" s="221">
        <v>0</v>
      </c>
      <c r="BE83" s="221">
        <v>0</v>
      </c>
      <c r="BF83" s="221">
        <v>0</v>
      </c>
      <c r="BG83" s="221">
        <v>0</v>
      </c>
      <c r="BH83" s="221">
        <v>0</v>
      </c>
      <c r="BI83" s="221">
        <v>0</v>
      </c>
      <c r="BJ83" s="221">
        <v>0</v>
      </c>
      <c r="BK83" s="221">
        <v>0</v>
      </c>
      <c r="BL83" s="221">
        <v>0</v>
      </c>
      <c r="BM83" s="221">
        <v>0</v>
      </c>
      <c r="BN83" s="221">
        <v>0</v>
      </c>
      <c r="BO83" s="221">
        <v>0</v>
      </c>
      <c r="BP83" s="221">
        <v>0</v>
      </c>
      <c r="BQ83" s="221">
        <v>0</v>
      </c>
      <c r="BR83" s="221">
        <v>0</v>
      </c>
      <c r="BS83" s="221">
        <v>0</v>
      </c>
      <c r="BT83" s="221">
        <v>0</v>
      </c>
      <c r="BU83" s="221">
        <v>0</v>
      </c>
      <c r="BV83" s="221">
        <v>0</v>
      </c>
      <c r="BW83" s="221">
        <v>0</v>
      </c>
      <c r="BX83" s="221">
        <v>0</v>
      </c>
      <c r="BY83" s="221">
        <v>0</v>
      </c>
      <c r="BZ83" s="221">
        <v>0</v>
      </c>
      <c r="CA83" s="221">
        <v>0</v>
      </c>
      <c r="CB83" s="221">
        <v>0</v>
      </c>
      <c r="CC83" s="221">
        <v>0</v>
      </c>
      <c r="CD83" s="221">
        <v>0</v>
      </c>
      <c r="CE83" s="221">
        <v>0</v>
      </c>
      <c r="CF83" s="221">
        <v>0</v>
      </c>
      <c r="CG83" s="221">
        <v>0</v>
      </c>
      <c r="CH83" s="221">
        <v>0</v>
      </c>
      <c r="CI83" s="221">
        <v>0</v>
      </c>
      <c r="CJ83" s="221">
        <v>0</v>
      </c>
      <c r="CL83" s="225" t="s">
        <v>83</v>
      </c>
      <c r="CM83">
        <v>0</v>
      </c>
      <c r="CN83">
        <v>0</v>
      </c>
      <c r="CO83">
        <v>0</v>
      </c>
      <c r="CP83">
        <v>0</v>
      </c>
      <c r="CQ83">
        <v>0</v>
      </c>
      <c r="CR83">
        <v>0</v>
      </c>
      <c r="CS83">
        <v>0</v>
      </c>
    </row>
    <row r="84" spans="2:97" x14ac:dyDescent="0.35">
      <c r="B84" s="42" t="s">
        <v>758</v>
      </c>
      <c r="C84" s="221">
        <f t="shared" si="63"/>
        <v>1.211244224457509E-2</v>
      </c>
      <c r="D84" s="221">
        <f t="shared" si="63"/>
        <v>1.211244224457509E-2</v>
      </c>
      <c r="E84" s="221">
        <f t="shared" si="63"/>
        <v>1.211244224457509E-2</v>
      </c>
      <c r="F84" s="221">
        <f t="shared" si="63"/>
        <v>1.211244224457509E-2</v>
      </c>
      <c r="G84" s="221">
        <f t="shared" si="63"/>
        <v>1.211244224457509E-2</v>
      </c>
      <c r="H84" s="221">
        <f t="shared" si="63"/>
        <v>1.211244224457509E-2</v>
      </c>
      <c r="I84" s="221">
        <f t="shared" si="64"/>
        <v>1.2123471036551739E-2</v>
      </c>
      <c r="J84" s="221">
        <f t="shared" si="57"/>
        <v>1.2123471036551739E-2</v>
      </c>
      <c r="K84" s="221">
        <f t="shared" si="57"/>
        <v>1.2123471036551739E-2</v>
      </c>
      <c r="L84" s="221">
        <f t="shared" si="57"/>
        <v>1.2123471036551739E-2</v>
      </c>
      <c r="M84" s="221">
        <f t="shared" si="57"/>
        <v>1.2123471036551739E-2</v>
      </c>
      <c r="N84" s="221">
        <f t="shared" si="65"/>
        <v>3.0510101636776741E-3</v>
      </c>
      <c r="O84" s="221">
        <f t="shared" si="58"/>
        <v>3.0510101636776741E-3</v>
      </c>
      <c r="P84" s="221">
        <f t="shared" si="58"/>
        <v>3.0510101636776741E-3</v>
      </c>
      <c r="Q84" s="221">
        <f t="shared" si="58"/>
        <v>3.0510101636776741E-3</v>
      </c>
      <c r="R84" s="221">
        <f t="shared" si="58"/>
        <v>3.0510101636776741E-3</v>
      </c>
      <c r="S84" s="221">
        <f t="shared" si="66"/>
        <v>1.3315817119978819E-2</v>
      </c>
      <c r="T84" s="221">
        <f t="shared" si="59"/>
        <v>1.3315817119978819E-2</v>
      </c>
      <c r="U84" s="221">
        <f t="shared" si="59"/>
        <v>1.3315817119978819E-2</v>
      </c>
      <c r="V84" s="221">
        <f t="shared" si="59"/>
        <v>1.3315817119978819E-2</v>
      </c>
      <c r="W84" s="221">
        <f t="shared" si="59"/>
        <v>1.3315817119978819E-2</v>
      </c>
      <c r="X84" s="221">
        <f t="shared" si="67"/>
        <v>1.845213475834381E-2</v>
      </c>
      <c r="Y84" s="221">
        <f t="shared" si="60"/>
        <v>1.845213475834381E-2</v>
      </c>
      <c r="Z84" s="221">
        <f t="shared" si="60"/>
        <v>1.845213475834381E-2</v>
      </c>
      <c r="AA84" s="221">
        <f t="shared" si="60"/>
        <v>1.845213475834381E-2</v>
      </c>
      <c r="AB84" s="221">
        <f t="shared" si="60"/>
        <v>1.845213475834381E-2</v>
      </c>
      <c r="AC84" s="221">
        <f t="shared" si="68"/>
        <v>1.8922035272318179E-2</v>
      </c>
      <c r="AD84" s="221">
        <f t="shared" si="61"/>
        <v>1.8922035272318179E-2</v>
      </c>
      <c r="AE84" s="221">
        <f t="shared" si="61"/>
        <v>1.8922035272318179E-2</v>
      </c>
      <c r="AF84" s="221">
        <f t="shared" si="61"/>
        <v>1.8922035272318179E-2</v>
      </c>
      <c r="AG84" s="221">
        <f t="shared" si="61"/>
        <v>1.8922035272318179E-2</v>
      </c>
      <c r="AH84" s="221">
        <f t="shared" si="69"/>
        <v>1.6311516996448502E-2</v>
      </c>
      <c r="AI84" s="221">
        <f t="shared" si="62"/>
        <v>1.6311516996448502E-2</v>
      </c>
      <c r="AJ84" s="221">
        <f t="shared" si="62"/>
        <v>1.6311516996448502E-2</v>
      </c>
      <c r="AK84" s="221">
        <f t="shared" si="62"/>
        <v>1.6311516996448502E-2</v>
      </c>
      <c r="AL84" s="221">
        <f t="shared" si="62"/>
        <v>1.6311516996448502E-2</v>
      </c>
      <c r="AM84" s="221">
        <v>0</v>
      </c>
      <c r="AN84" s="221">
        <v>0</v>
      </c>
      <c r="AO84" s="221">
        <v>0</v>
      </c>
      <c r="AP84" s="221">
        <v>0</v>
      </c>
      <c r="AQ84" s="221">
        <v>0</v>
      </c>
      <c r="AR84" s="221">
        <v>0</v>
      </c>
      <c r="AS84" s="221">
        <v>0</v>
      </c>
      <c r="AT84" s="221">
        <v>0</v>
      </c>
      <c r="AU84" s="221">
        <v>0</v>
      </c>
      <c r="AV84" s="221">
        <v>0</v>
      </c>
      <c r="AW84" s="221">
        <v>0</v>
      </c>
      <c r="AX84" s="221">
        <v>0</v>
      </c>
      <c r="AY84" s="221">
        <v>0</v>
      </c>
      <c r="AZ84" s="221">
        <v>0</v>
      </c>
      <c r="BA84" s="221">
        <v>0</v>
      </c>
      <c r="BB84" s="221">
        <v>0</v>
      </c>
      <c r="BC84" s="221">
        <v>0</v>
      </c>
      <c r="BD84" s="221">
        <v>0</v>
      </c>
      <c r="BE84" s="221">
        <v>0</v>
      </c>
      <c r="BF84" s="221">
        <v>0</v>
      </c>
      <c r="BG84" s="221">
        <v>0</v>
      </c>
      <c r="BH84" s="221">
        <v>0</v>
      </c>
      <c r="BI84" s="221">
        <v>0</v>
      </c>
      <c r="BJ84" s="221">
        <v>0</v>
      </c>
      <c r="BK84" s="221">
        <v>0</v>
      </c>
      <c r="BL84" s="221">
        <v>0</v>
      </c>
      <c r="BM84" s="221">
        <v>0</v>
      </c>
      <c r="BN84" s="221">
        <v>0</v>
      </c>
      <c r="BO84" s="221">
        <v>0</v>
      </c>
      <c r="BP84" s="221">
        <v>0</v>
      </c>
      <c r="BQ84" s="221">
        <v>0</v>
      </c>
      <c r="BR84" s="221">
        <v>0</v>
      </c>
      <c r="BS84" s="221">
        <v>0</v>
      </c>
      <c r="BT84" s="221">
        <v>0</v>
      </c>
      <c r="BU84" s="221">
        <v>0</v>
      </c>
      <c r="BV84" s="221">
        <v>0</v>
      </c>
      <c r="BW84" s="221">
        <v>0</v>
      </c>
      <c r="BX84" s="221">
        <v>0</v>
      </c>
      <c r="BY84" s="221">
        <v>0</v>
      </c>
      <c r="BZ84" s="221">
        <v>0</v>
      </c>
      <c r="CA84" s="221">
        <v>0</v>
      </c>
      <c r="CB84" s="221">
        <v>0</v>
      </c>
      <c r="CC84" s="221">
        <v>0</v>
      </c>
      <c r="CD84" s="221">
        <v>0</v>
      </c>
      <c r="CE84" s="221">
        <v>0</v>
      </c>
      <c r="CF84" s="221">
        <v>0</v>
      </c>
      <c r="CG84" s="221">
        <v>0</v>
      </c>
      <c r="CH84" s="221">
        <v>0</v>
      </c>
      <c r="CI84" s="221">
        <v>0</v>
      </c>
      <c r="CJ84" s="221">
        <v>0</v>
      </c>
      <c r="CL84" s="225" t="s">
        <v>144</v>
      </c>
      <c r="CM84">
        <v>1.211244224457509E-2</v>
      </c>
      <c r="CN84">
        <v>1.2123471036551739E-2</v>
      </c>
      <c r="CO84">
        <v>3.0510101636776741E-3</v>
      </c>
      <c r="CP84">
        <v>1.3315817119978819E-2</v>
      </c>
      <c r="CQ84">
        <v>1.845213475834381E-2</v>
      </c>
      <c r="CR84">
        <v>1.8922035272318179E-2</v>
      </c>
      <c r="CS84">
        <v>1.6311516996448502E-2</v>
      </c>
    </row>
    <row r="85" spans="2:97" x14ac:dyDescent="0.35">
      <c r="B85" s="42" t="s">
        <v>1328</v>
      </c>
      <c r="C85" s="221">
        <f t="shared" si="63"/>
        <v>0</v>
      </c>
      <c r="D85" s="221">
        <f t="shared" si="63"/>
        <v>0</v>
      </c>
      <c r="E85" s="221">
        <f t="shared" si="63"/>
        <v>0</v>
      </c>
      <c r="F85" s="221">
        <f t="shared" si="63"/>
        <v>0</v>
      </c>
      <c r="G85" s="221">
        <f t="shared" si="63"/>
        <v>0</v>
      </c>
      <c r="H85" s="221">
        <f t="shared" si="63"/>
        <v>0</v>
      </c>
      <c r="I85" s="221">
        <f t="shared" si="64"/>
        <v>0</v>
      </c>
      <c r="J85" s="221">
        <f t="shared" si="57"/>
        <v>0</v>
      </c>
      <c r="K85" s="221">
        <f t="shared" si="57"/>
        <v>0</v>
      </c>
      <c r="L85" s="221">
        <f t="shared" si="57"/>
        <v>0</v>
      </c>
      <c r="M85" s="221">
        <f t="shared" si="57"/>
        <v>0</v>
      </c>
      <c r="N85" s="221">
        <f t="shared" si="65"/>
        <v>0</v>
      </c>
      <c r="O85" s="221">
        <f t="shared" si="58"/>
        <v>0</v>
      </c>
      <c r="P85" s="221">
        <f t="shared" si="58"/>
        <v>0</v>
      </c>
      <c r="Q85" s="221">
        <f t="shared" si="58"/>
        <v>0</v>
      </c>
      <c r="R85" s="221">
        <f t="shared" si="58"/>
        <v>0</v>
      </c>
      <c r="S85" s="221">
        <f t="shared" si="66"/>
        <v>0</v>
      </c>
      <c r="T85" s="221">
        <f t="shared" si="59"/>
        <v>0</v>
      </c>
      <c r="U85" s="221">
        <f t="shared" si="59"/>
        <v>0</v>
      </c>
      <c r="V85" s="221">
        <f t="shared" si="59"/>
        <v>0</v>
      </c>
      <c r="W85" s="221">
        <f t="shared" si="59"/>
        <v>0</v>
      </c>
      <c r="X85" s="221">
        <f t="shared" si="67"/>
        <v>0</v>
      </c>
      <c r="Y85" s="221">
        <f t="shared" si="60"/>
        <v>0</v>
      </c>
      <c r="Z85" s="221">
        <f t="shared" si="60"/>
        <v>0</v>
      </c>
      <c r="AA85" s="221">
        <f t="shared" si="60"/>
        <v>0</v>
      </c>
      <c r="AB85" s="221">
        <f t="shared" si="60"/>
        <v>0</v>
      </c>
      <c r="AC85" s="221">
        <f t="shared" si="68"/>
        <v>0</v>
      </c>
      <c r="AD85" s="221">
        <f t="shared" si="61"/>
        <v>0</v>
      </c>
      <c r="AE85" s="221">
        <f t="shared" si="61"/>
        <v>0</v>
      </c>
      <c r="AF85" s="221">
        <f t="shared" si="61"/>
        <v>0</v>
      </c>
      <c r="AG85" s="221">
        <f t="shared" si="61"/>
        <v>0</v>
      </c>
      <c r="AH85" s="221">
        <f t="shared" si="69"/>
        <v>0</v>
      </c>
      <c r="AI85" s="221">
        <f t="shared" si="62"/>
        <v>0</v>
      </c>
      <c r="AJ85" s="221">
        <f t="shared" si="62"/>
        <v>0</v>
      </c>
      <c r="AK85" s="221">
        <f t="shared" si="62"/>
        <v>0</v>
      </c>
      <c r="AL85" s="221">
        <f t="shared" si="62"/>
        <v>0</v>
      </c>
      <c r="AM85" s="221">
        <v>0</v>
      </c>
      <c r="AN85" s="221">
        <v>0</v>
      </c>
      <c r="AO85" s="221">
        <v>0</v>
      </c>
      <c r="AP85" s="221">
        <v>0</v>
      </c>
      <c r="AQ85" s="221">
        <v>0</v>
      </c>
      <c r="AR85" s="221">
        <v>0</v>
      </c>
      <c r="AS85" s="221">
        <v>0</v>
      </c>
      <c r="AT85" s="221">
        <v>0</v>
      </c>
      <c r="AU85" s="221">
        <v>0</v>
      </c>
      <c r="AV85" s="221">
        <v>0</v>
      </c>
      <c r="AW85" s="221">
        <v>0</v>
      </c>
      <c r="AX85" s="221">
        <v>0</v>
      </c>
      <c r="AY85" s="221">
        <v>0</v>
      </c>
      <c r="AZ85" s="221">
        <v>0</v>
      </c>
      <c r="BA85" s="221">
        <v>0</v>
      </c>
      <c r="BB85" s="221">
        <v>0</v>
      </c>
      <c r="BC85" s="221">
        <v>0</v>
      </c>
      <c r="BD85" s="221">
        <v>0</v>
      </c>
      <c r="BE85" s="221">
        <v>0</v>
      </c>
      <c r="BF85" s="221">
        <v>0</v>
      </c>
      <c r="BG85" s="221">
        <v>0</v>
      </c>
      <c r="BH85" s="221">
        <v>0</v>
      </c>
      <c r="BI85" s="221">
        <v>0</v>
      </c>
      <c r="BJ85" s="221">
        <v>0</v>
      </c>
      <c r="BK85" s="221">
        <v>0</v>
      </c>
      <c r="BL85" s="221">
        <v>0</v>
      </c>
      <c r="BM85" s="221">
        <v>0</v>
      </c>
      <c r="BN85" s="221">
        <v>0</v>
      </c>
      <c r="BO85" s="221">
        <v>0</v>
      </c>
      <c r="BP85" s="221">
        <v>0</v>
      </c>
      <c r="BQ85" s="221">
        <v>0</v>
      </c>
      <c r="BR85" s="221">
        <v>0</v>
      </c>
      <c r="BS85" s="221">
        <v>0</v>
      </c>
      <c r="BT85" s="221">
        <v>0</v>
      </c>
      <c r="BU85" s="221">
        <v>0</v>
      </c>
      <c r="BV85" s="221">
        <v>0</v>
      </c>
      <c r="BW85" s="221">
        <v>0</v>
      </c>
      <c r="BX85" s="221">
        <v>0</v>
      </c>
      <c r="BY85" s="221">
        <v>0</v>
      </c>
      <c r="BZ85" s="221">
        <v>0</v>
      </c>
      <c r="CA85" s="221">
        <v>0</v>
      </c>
      <c r="CB85" s="221">
        <v>0</v>
      </c>
      <c r="CC85" s="221">
        <v>0</v>
      </c>
      <c r="CD85" s="221">
        <v>0</v>
      </c>
      <c r="CE85" s="221">
        <v>0</v>
      </c>
      <c r="CF85" s="221">
        <v>0</v>
      </c>
      <c r="CG85" s="221">
        <v>0</v>
      </c>
      <c r="CH85" s="221">
        <v>0</v>
      </c>
      <c r="CI85" s="221">
        <v>0</v>
      </c>
      <c r="CJ85" s="221">
        <v>0</v>
      </c>
      <c r="CL85" s="225" t="s">
        <v>164</v>
      </c>
      <c r="CM85">
        <v>0</v>
      </c>
      <c r="CN85">
        <v>0</v>
      </c>
      <c r="CO85">
        <v>0</v>
      </c>
      <c r="CP85">
        <v>0</v>
      </c>
      <c r="CQ85">
        <v>0</v>
      </c>
      <c r="CR85">
        <v>0</v>
      </c>
      <c r="CS85">
        <v>0</v>
      </c>
    </row>
    <row r="86" spans="2:97" x14ac:dyDescent="0.35">
      <c r="B86" s="42" t="s">
        <v>759</v>
      </c>
      <c r="C86" s="221">
        <f t="shared" si="63"/>
        <v>3.0762223734482051E-3</v>
      </c>
      <c r="D86" s="221">
        <f t="shared" si="63"/>
        <v>3.0762223734482051E-3</v>
      </c>
      <c r="E86" s="221">
        <f t="shared" si="63"/>
        <v>3.0762223734482051E-3</v>
      </c>
      <c r="F86" s="221">
        <f t="shared" si="63"/>
        <v>3.0762223734482051E-3</v>
      </c>
      <c r="G86" s="221">
        <f t="shared" si="63"/>
        <v>3.0762223734482051E-3</v>
      </c>
      <c r="H86" s="221">
        <f t="shared" si="63"/>
        <v>3.0762223734482051E-3</v>
      </c>
      <c r="I86" s="221">
        <f t="shared" si="64"/>
        <v>5.3586991020966824E-3</v>
      </c>
      <c r="J86" s="221">
        <f t="shared" si="57"/>
        <v>5.3586991020966824E-3</v>
      </c>
      <c r="K86" s="221">
        <f t="shared" si="57"/>
        <v>5.3586991020966824E-3</v>
      </c>
      <c r="L86" s="221">
        <f t="shared" si="57"/>
        <v>5.3586991020966824E-3</v>
      </c>
      <c r="M86" s="221">
        <f t="shared" si="57"/>
        <v>5.3586991020966824E-3</v>
      </c>
      <c r="N86" s="221">
        <f t="shared" si="65"/>
        <v>6.4717818248321603E-3</v>
      </c>
      <c r="O86" s="221">
        <f t="shared" si="58"/>
        <v>6.4717818248321603E-3</v>
      </c>
      <c r="P86" s="221">
        <f t="shared" si="58"/>
        <v>6.4717818248321603E-3</v>
      </c>
      <c r="Q86" s="221">
        <f t="shared" si="58"/>
        <v>6.4717818248321603E-3</v>
      </c>
      <c r="R86" s="221">
        <f t="shared" si="58"/>
        <v>6.4717818248321603E-3</v>
      </c>
      <c r="S86" s="221">
        <f t="shared" si="66"/>
        <v>1.1065204034075489E-2</v>
      </c>
      <c r="T86" s="221">
        <f t="shared" si="59"/>
        <v>1.1065204034075489E-2</v>
      </c>
      <c r="U86" s="221">
        <f t="shared" si="59"/>
        <v>1.1065204034075489E-2</v>
      </c>
      <c r="V86" s="221">
        <f t="shared" si="59"/>
        <v>1.1065204034075489E-2</v>
      </c>
      <c r="W86" s="221">
        <f t="shared" si="59"/>
        <v>1.1065204034075489E-2</v>
      </c>
      <c r="X86" s="221">
        <f t="shared" si="67"/>
        <v>1.9272575897018401E-2</v>
      </c>
      <c r="Y86" s="221">
        <f t="shared" si="60"/>
        <v>1.9272575897018401E-2</v>
      </c>
      <c r="Z86" s="221">
        <f t="shared" si="60"/>
        <v>1.9272575897018401E-2</v>
      </c>
      <c r="AA86" s="221">
        <f t="shared" si="60"/>
        <v>1.9272575897018401E-2</v>
      </c>
      <c r="AB86" s="221">
        <f t="shared" si="60"/>
        <v>1.9272575897018401E-2</v>
      </c>
      <c r="AC86" s="221">
        <f t="shared" si="68"/>
        <v>1.6744731749908561E-2</v>
      </c>
      <c r="AD86" s="221">
        <f t="shared" si="61"/>
        <v>1.6744731749908561E-2</v>
      </c>
      <c r="AE86" s="221">
        <f t="shared" si="61"/>
        <v>1.6744731749908561E-2</v>
      </c>
      <c r="AF86" s="221">
        <f t="shared" si="61"/>
        <v>1.6744731749908561E-2</v>
      </c>
      <c r="AG86" s="221">
        <f t="shared" si="61"/>
        <v>1.6744731749908561E-2</v>
      </c>
      <c r="AH86" s="221">
        <f t="shared" si="69"/>
        <v>1.47048187084823E-2</v>
      </c>
      <c r="AI86" s="221">
        <f t="shared" si="62"/>
        <v>1.47048187084823E-2</v>
      </c>
      <c r="AJ86" s="221">
        <f t="shared" si="62"/>
        <v>1.47048187084823E-2</v>
      </c>
      <c r="AK86" s="221">
        <f t="shared" si="62"/>
        <v>1.47048187084823E-2</v>
      </c>
      <c r="AL86" s="221">
        <f t="shared" si="62"/>
        <v>1.47048187084823E-2</v>
      </c>
      <c r="AM86" s="221">
        <v>0</v>
      </c>
      <c r="AN86" s="221">
        <v>0</v>
      </c>
      <c r="AO86" s="221">
        <v>0</v>
      </c>
      <c r="AP86" s="221">
        <v>0</v>
      </c>
      <c r="AQ86" s="221">
        <v>0</v>
      </c>
      <c r="AR86" s="221">
        <v>0</v>
      </c>
      <c r="AS86" s="221">
        <v>0</v>
      </c>
      <c r="AT86" s="221">
        <v>0</v>
      </c>
      <c r="AU86" s="221">
        <v>0</v>
      </c>
      <c r="AV86" s="221">
        <v>0</v>
      </c>
      <c r="AW86" s="221">
        <v>0</v>
      </c>
      <c r="AX86" s="221">
        <v>0</v>
      </c>
      <c r="AY86" s="221">
        <v>0</v>
      </c>
      <c r="AZ86" s="221">
        <v>0</v>
      </c>
      <c r="BA86" s="221">
        <v>0</v>
      </c>
      <c r="BB86" s="221">
        <v>0</v>
      </c>
      <c r="BC86" s="221">
        <v>0</v>
      </c>
      <c r="BD86" s="221">
        <v>0</v>
      </c>
      <c r="BE86" s="221">
        <v>0</v>
      </c>
      <c r="BF86" s="221">
        <v>0</v>
      </c>
      <c r="BG86" s="221">
        <v>0</v>
      </c>
      <c r="BH86" s="221">
        <v>0</v>
      </c>
      <c r="BI86" s="221">
        <v>0</v>
      </c>
      <c r="BJ86" s="221">
        <v>0</v>
      </c>
      <c r="BK86" s="221">
        <v>0</v>
      </c>
      <c r="BL86" s="221">
        <v>0</v>
      </c>
      <c r="BM86" s="221">
        <v>0</v>
      </c>
      <c r="BN86" s="221">
        <v>0</v>
      </c>
      <c r="BO86" s="221">
        <v>0</v>
      </c>
      <c r="BP86" s="221">
        <v>0</v>
      </c>
      <c r="BQ86" s="221">
        <v>0</v>
      </c>
      <c r="BR86" s="221">
        <v>0</v>
      </c>
      <c r="BS86" s="221">
        <v>0</v>
      </c>
      <c r="BT86" s="221">
        <v>0</v>
      </c>
      <c r="BU86" s="221">
        <v>0</v>
      </c>
      <c r="BV86" s="221">
        <v>0</v>
      </c>
      <c r="BW86" s="221">
        <v>0</v>
      </c>
      <c r="BX86" s="221">
        <v>0</v>
      </c>
      <c r="BY86" s="221">
        <v>0</v>
      </c>
      <c r="BZ86" s="221">
        <v>0</v>
      </c>
      <c r="CA86" s="221">
        <v>0</v>
      </c>
      <c r="CB86" s="221">
        <v>0</v>
      </c>
      <c r="CC86" s="221">
        <v>0</v>
      </c>
      <c r="CD86" s="221">
        <v>0</v>
      </c>
      <c r="CE86" s="221">
        <v>0</v>
      </c>
      <c r="CF86" s="221">
        <v>0</v>
      </c>
      <c r="CG86" s="221">
        <v>0</v>
      </c>
      <c r="CH86" s="221">
        <v>0</v>
      </c>
      <c r="CI86" s="221">
        <v>0</v>
      </c>
      <c r="CJ86" s="221">
        <v>0</v>
      </c>
      <c r="CL86" s="225" t="s">
        <v>145</v>
      </c>
      <c r="CM86">
        <v>3.0762223734482051E-3</v>
      </c>
      <c r="CN86">
        <v>5.3586991020966824E-3</v>
      </c>
      <c r="CO86">
        <v>6.4717818248321603E-3</v>
      </c>
      <c r="CP86">
        <v>1.1065204034075489E-2</v>
      </c>
      <c r="CQ86">
        <v>1.9272575897018401E-2</v>
      </c>
      <c r="CR86">
        <v>1.6744731749908561E-2</v>
      </c>
      <c r="CS86">
        <v>1.47048187084823E-2</v>
      </c>
    </row>
    <row r="87" spans="2:97" x14ac:dyDescent="0.35">
      <c r="B87" s="42" t="s">
        <v>1329</v>
      </c>
      <c r="C87" s="221">
        <f t="shared" si="63"/>
        <v>0</v>
      </c>
      <c r="D87" s="221">
        <f t="shared" si="63"/>
        <v>0</v>
      </c>
      <c r="E87" s="221">
        <f t="shared" si="63"/>
        <v>0</v>
      </c>
      <c r="F87" s="221">
        <f t="shared" si="63"/>
        <v>0</v>
      </c>
      <c r="G87" s="221">
        <f t="shared" si="63"/>
        <v>0</v>
      </c>
      <c r="H87" s="221">
        <f t="shared" si="63"/>
        <v>0</v>
      </c>
      <c r="I87" s="221">
        <f t="shared" si="64"/>
        <v>0</v>
      </c>
      <c r="J87" s="221">
        <f t="shared" si="57"/>
        <v>0</v>
      </c>
      <c r="K87" s="221">
        <f t="shared" si="57"/>
        <v>0</v>
      </c>
      <c r="L87" s="221">
        <f t="shared" si="57"/>
        <v>0</v>
      </c>
      <c r="M87" s="221">
        <f t="shared" si="57"/>
        <v>0</v>
      </c>
      <c r="N87" s="221">
        <f t="shared" si="65"/>
        <v>0</v>
      </c>
      <c r="O87" s="221">
        <f t="shared" si="58"/>
        <v>0</v>
      </c>
      <c r="P87" s="221">
        <f t="shared" si="58"/>
        <v>0</v>
      </c>
      <c r="Q87" s="221">
        <f t="shared" si="58"/>
        <v>0</v>
      </c>
      <c r="R87" s="221">
        <f t="shared" si="58"/>
        <v>0</v>
      </c>
      <c r="S87" s="221">
        <f t="shared" si="66"/>
        <v>0</v>
      </c>
      <c r="T87" s="221">
        <f t="shared" si="59"/>
        <v>0</v>
      </c>
      <c r="U87" s="221">
        <f t="shared" si="59"/>
        <v>0</v>
      </c>
      <c r="V87" s="221">
        <f t="shared" si="59"/>
        <v>0</v>
      </c>
      <c r="W87" s="221">
        <f t="shared" si="59"/>
        <v>0</v>
      </c>
      <c r="X87" s="221">
        <f t="shared" si="67"/>
        <v>0</v>
      </c>
      <c r="Y87" s="221">
        <f t="shared" si="60"/>
        <v>0</v>
      </c>
      <c r="Z87" s="221">
        <f t="shared" si="60"/>
        <v>0</v>
      </c>
      <c r="AA87" s="221">
        <f t="shared" si="60"/>
        <v>0</v>
      </c>
      <c r="AB87" s="221">
        <f t="shared" si="60"/>
        <v>0</v>
      </c>
      <c r="AC87" s="221">
        <f t="shared" si="68"/>
        <v>0</v>
      </c>
      <c r="AD87" s="221">
        <f t="shared" si="61"/>
        <v>0</v>
      </c>
      <c r="AE87" s="221">
        <f t="shared" si="61"/>
        <v>0</v>
      </c>
      <c r="AF87" s="221">
        <f t="shared" si="61"/>
        <v>0</v>
      </c>
      <c r="AG87" s="221">
        <f t="shared" si="61"/>
        <v>0</v>
      </c>
      <c r="AH87" s="221">
        <f t="shared" si="69"/>
        <v>0</v>
      </c>
      <c r="AI87" s="221">
        <f t="shared" si="62"/>
        <v>0</v>
      </c>
      <c r="AJ87" s="221">
        <f t="shared" si="62"/>
        <v>0</v>
      </c>
      <c r="AK87" s="221">
        <f t="shared" si="62"/>
        <v>0</v>
      </c>
      <c r="AL87" s="221">
        <f t="shared" si="62"/>
        <v>0</v>
      </c>
      <c r="AM87" s="221">
        <v>0</v>
      </c>
      <c r="AN87" s="221">
        <v>0</v>
      </c>
      <c r="AO87" s="221">
        <v>0</v>
      </c>
      <c r="AP87" s="221">
        <v>0</v>
      </c>
      <c r="AQ87" s="221">
        <v>0</v>
      </c>
      <c r="AR87" s="221">
        <v>0</v>
      </c>
      <c r="AS87" s="221">
        <v>0</v>
      </c>
      <c r="AT87" s="221">
        <v>0</v>
      </c>
      <c r="AU87" s="221">
        <v>0</v>
      </c>
      <c r="AV87" s="221">
        <v>0</v>
      </c>
      <c r="AW87" s="221">
        <v>0</v>
      </c>
      <c r="AX87" s="221">
        <v>0</v>
      </c>
      <c r="AY87" s="221">
        <v>0</v>
      </c>
      <c r="AZ87" s="221">
        <v>0</v>
      </c>
      <c r="BA87" s="221">
        <v>0</v>
      </c>
      <c r="BB87" s="221">
        <v>0</v>
      </c>
      <c r="BC87" s="221">
        <v>0</v>
      </c>
      <c r="BD87" s="221">
        <v>0</v>
      </c>
      <c r="BE87" s="221">
        <v>0</v>
      </c>
      <c r="BF87" s="221">
        <v>0</v>
      </c>
      <c r="BG87" s="221">
        <v>0</v>
      </c>
      <c r="BH87" s="221">
        <v>0</v>
      </c>
      <c r="BI87" s="221">
        <v>0</v>
      </c>
      <c r="BJ87" s="221">
        <v>0</v>
      </c>
      <c r="BK87" s="221">
        <v>0</v>
      </c>
      <c r="BL87" s="221">
        <v>0</v>
      </c>
      <c r="BM87" s="221">
        <v>0</v>
      </c>
      <c r="BN87" s="221">
        <v>0</v>
      </c>
      <c r="BO87" s="221">
        <v>0</v>
      </c>
      <c r="BP87" s="221">
        <v>0</v>
      </c>
      <c r="BQ87" s="221">
        <v>0</v>
      </c>
      <c r="BR87" s="221">
        <v>0</v>
      </c>
      <c r="BS87" s="221">
        <v>0</v>
      </c>
      <c r="BT87" s="221">
        <v>0</v>
      </c>
      <c r="BU87" s="221">
        <v>0</v>
      </c>
      <c r="BV87" s="221">
        <v>0</v>
      </c>
      <c r="BW87" s="221">
        <v>0</v>
      </c>
      <c r="BX87" s="221">
        <v>0</v>
      </c>
      <c r="BY87" s="221">
        <v>0</v>
      </c>
      <c r="BZ87" s="221">
        <v>0</v>
      </c>
      <c r="CA87" s="221">
        <v>0</v>
      </c>
      <c r="CB87" s="221">
        <v>0</v>
      </c>
      <c r="CC87" s="221">
        <v>0</v>
      </c>
      <c r="CD87" s="221">
        <v>0</v>
      </c>
      <c r="CE87" s="221">
        <v>0</v>
      </c>
      <c r="CF87" s="221">
        <v>0</v>
      </c>
      <c r="CG87" s="221">
        <v>0</v>
      </c>
      <c r="CH87" s="221">
        <v>0</v>
      </c>
      <c r="CI87" s="221">
        <v>0</v>
      </c>
      <c r="CJ87" s="221">
        <v>0</v>
      </c>
      <c r="CL87" s="225" t="s">
        <v>87</v>
      </c>
      <c r="CM87">
        <v>0</v>
      </c>
      <c r="CN87">
        <v>0</v>
      </c>
      <c r="CO87">
        <v>0</v>
      </c>
      <c r="CP87">
        <v>0</v>
      </c>
      <c r="CQ87">
        <v>0</v>
      </c>
      <c r="CR87">
        <v>0</v>
      </c>
      <c r="CS87">
        <v>0</v>
      </c>
    </row>
    <row r="88" spans="2:97" x14ac:dyDescent="0.35">
      <c r="B88" s="42" t="s">
        <v>760</v>
      </c>
      <c r="C88" s="221">
        <f t="shared" si="63"/>
        <v>1.0094094304875451E-3</v>
      </c>
      <c r="D88" s="221">
        <f t="shared" si="63"/>
        <v>1.0094094304875451E-3</v>
      </c>
      <c r="E88" s="221">
        <f t="shared" si="63"/>
        <v>1.0094094304875451E-3</v>
      </c>
      <c r="F88" s="221">
        <f t="shared" si="63"/>
        <v>1.0094094304875451E-3</v>
      </c>
      <c r="G88" s="221">
        <f t="shared" si="63"/>
        <v>1.0094094304875451E-3</v>
      </c>
      <c r="H88" s="221">
        <f t="shared" si="63"/>
        <v>1.0094094304875451E-3</v>
      </c>
      <c r="I88" s="221">
        <f t="shared" si="64"/>
        <v>4.1656666102937029E-4</v>
      </c>
      <c r="J88" s="221">
        <f t="shared" si="57"/>
        <v>4.1656666102937029E-4</v>
      </c>
      <c r="K88" s="221">
        <f t="shared" si="57"/>
        <v>4.1656666102937029E-4</v>
      </c>
      <c r="L88" s="221">
        <f t="shared" si="57"/>
        <v>4.1656666102937029E-4</v>
      </c>
      <c r="M88" s="221">
        <f t="shared" si="57"/>
        <v>4.1656666102937029E-4</v>
      </c>
      <c r="N88" s="221">
        <f t="shared" si="65"/>
        <v>6.2643497378657193E-4</v>
      </c>
      <c r="O88" s="221">
        <f t="shared" si="58"/>
        <v>6.2643497378657193E-4</v>
      </c>
      <c r="P88" s="221">
        <f t="shared" si="58"/>
        <v>6.2643497378657193E-4</v>
      </c>
      <c r="Q88" s="221">
        <f t="shared" si="58"/>
        <v>6.2643497378657193E-4</v>
      </c>
      <c r="R88" s="221">
        <f t="shared" si="58"/>
        <v>6.2643497378657193E-4</v>
      </c>
      <c r="S88" s="221">
        <f t="shared" si="66"/>
        <v>1.3125078922148941E-3</v>
      </c>
      <c r="T88" s="221">
        <f t="shared" si="59"/>
        <v>1.3125078922148941E-3</v>
      </c>
      <c r="U88" s="221">
        <f t="shared" si="59"/>
        <v>1.3125078922148941E-3</v>
      </c>
      <c r="V88" s="221">
        <f t="shared" si="59"/>
        <v>1.3125078922148941E-3</v>
      </c>
      <c r="W88" s="221">
        <f t="shared" si="59"/>
        <v>1.3125078922148941E-3</v>
      </c>
      <c r="X88" s="221">
        <f t="shared" si="67"/>
        <v>2.5750310051299401E-3</v>
      </c>
      <c r="Y88" s="221">
        <f t="shared" si="60"/>
        <v>2.5750310051299401E-3</v>
      </c>
      <c r="Z88" s="221">
        <f t="shared" si="60"/>
        <v>2.5750310051299401E-3</v>
      </c>
      <c r="AA88" s="221">
        <f t="shared" si="60"/>
        <v>2.5750310051299401E-3</v>
      </c>
      <c r="AB88" s="221">
        <f t="shared" si="60"/>
        <v>2.5750310051299401E-3</v>
      </c>
      <c r="AC88" s="221">
        <f t="shared" si="68"/>
        <v>2.686343649585659E-3</v>
      </c>
      <c r="AD88" s="221">
        <f t="shared" si="61"/>
        <v>2.686343649585659E-3</v>
      </c>
      <c r="AE88" s="221">
        <f t="shared" si="61"/>
        <v>2.686343649585659E-3</v>
      </c>
      <c r="AF88" s="221">
        <f t="shared" si="61"/>
        <v>2.686343649585659E-3</v>
      </c>
      <c r="AG88" s="221">
        <f t="shared" si="61"/>
        <v>2.686343649585659E-3</v>
      </c>
      <c r="AH88" s="221">
        <f t="shared" si="69"/>
        <v>1.7662283668752471E-3</v>
      </c>
      <c r="AI88" s="221">
        <f t="shared" si="62"/>
        <v>1.7662283668752471E-3</v>
      </c>
      <c r="AJ88" s="221">
        <f t="shared" si="62"/>
        <v>1.7662283668752471E-3</v>
      </c>
      <c r="AK88" s="221">
        <f t="shared" si="62"/>
        <v>1.7662283668752471E-3</v>
      </c>
      <c r="AL88" s="221">
        <f t="shared" si="62"/>
        <v>1.7662283668752471E-3</v>
      </c>
      <c r="AM88" s="221">
        <v>0</v>
      </c>
      <c r="AN88" s="221">
        <v>0</v>
      </c>
      <c r="AO88" s="221">
        <v>0</v>
      </c>
      <c r="AP88" s="221">
        <v>0</v>
      </c>
      <c r="AQ88" s="221">
        <v>0</v>
      </c>
      <c r="AR88" s="221">
        <v>0</v>
      </c>
      <c r="AS88" s="221">
        <v>0</v>
      </c>
      <c r="AT88" s="221">
        <v>0</v>
      </c>
      <c r="AU88" s="221">
        <v>0</v>
      </c>
      <c r="AV88" s="221">
        <v>0</v>
      </c>
      <c r="AW88" s="221">
        <v>0</v>
      </c>
      <c r="AX88" s="221">
        <v>0</v>
      </c>
      <c r="AY88" s="221">
        <v>0</v>
      </c>
      <c r="AZ88" s="221">
        <v>0</v>
      </c>
      <c r="BA88" s="221">
        <v>0</v>
      </c>
      <c r="BB88" s="221">
        <v>0</v>
      </c>
      <c r="BC88" s="221">
        <v>0</v>
      </c>
      <c r="BD88" s="221">
        <v>0</v>
      </c>
      <c r="BE88" s="221">
        <v>0</v>
      </c>
      <c r="BF88" s="221">
        <v>0</v>
      </c>
      <c r="BG88" s="221">
        <v>0</v>
      </c>
      <c r="BH88" s="221">
        <v>0</v>
      </c>
      <c r="BI88" s="221">
        <v>0</v>
      </c>
      <c r="BJ88" s="221">
        <v>0</v>
      </c>
      <c r="BK88" s="221">
        <v>0</v>
      </c>
      <c r="BL88" s="221">
        <v>0</v>
      </c>
      <c r="BM88" s="221">
        <v>0</v>
      </c>
      <c r="BN88" s="221">
        <v>0</v>
      </c>
      <c r="BO88" s="221">
        <v>0</v>
      </c>
      <c r="BP88" s="221">
        <v>0</v>
      </c>
      <c r="BQ88" s="221">
        <v>0</v>
      </c>
      <c r="BR88" s="221">
        <v>0</v>
      </c>
      <c r="BS88" s="221">
        <v>0</v>
      </c>
      <c r="BT88" s="221">
        <v>0</v>
      </c>
      <c r="BU88" s="221">
        <v>0</v>
      </c>
      <c r="BV88" s="221">
        <v>0</v>
      </c>
      <c r="BW88" s="221">
        <v>0</v>
      </c>
      <c r="BX88" s="221">
        <v>0</v>
      </c>
      <c r="BY88" s="221">
        <v>0</v>
      </c>
      <c r="BZ88" s="221">
        <v>0</v>
      </c>
      <c r="CA88" s="221">
        <v>0</v>
      </c>
      <c r="CB88" s="221">
        <v>0</v>
      </c>
      <c r="CC88" s="221">
        <v>0</v>
      </c>
      <c r="CD88" s="221">
        <v>0</v>
      </c>
      <c r="CE88" s="221">
        <v>0</v>
      </c>
      <c r="CF88" s="221">
        <v>0</v>
      </c>
      <c r="CG88" s="221">
        <v>0</v>
      </c>
      <c r="CH88" s="221">
        <v>0</v>
      </c>
      <c r="CI88" s="221">
        <v>0</v>
      </c>
      <c r="CJ88" s="221">
        <v>0</v>
      </c>
      <c r="CL88" s="225" t="s">
        <v>146</v>
      </c>
      <c r="CM88">
        <v>1.0094094304875451E-3</v>
      </c>
      <c r="CN88">
        <v>4.1656666102937029E-4</v>
      </c>
      <c r="CO88">
        <v>6.2643497378657193E-4</v>
      </c>
      <c r="CP88">
        <v>1.3125078922148941E-3</v>
      </c>
      <c r="CQ88">
        <v>2.5750310051299401E-3</v>
      </c>
      <c r="CR88">
        <v>2.686343649585659E-3</v>
      </c>
      <c r="CS88">
        <v>1.7662283668752471E-3</v>
      </c>
    </row>
    <row r="89" spans="2:97" x14ac:dyDescent="0.35">
      <c r="B89" s="42" t="s">
        <v>1330</v>
      </c>
      <c r="C89" s="221">
        <f t="shared" si="63"/>
        <v>2.641217259513649E-2</v>
      </c>
      <c r="D89" s="221">
        <f t="shared" si="63"/>
        <v>2.641217259513649E-2</v>
      </c>
      <c r="E89" s="221">
        <f t="shared" si="63"/>
        <v>2.641217259513649E-2</v>
      </c>
      <c r="F89" s="221">
        <f t="shared" si="63"/>
        <v>2.641217259513649E-2</v>
      </c>
      <c r="G89" s="221">
        <f t="shared" si="63"/>
        <v>2.641217259513649E-2</v>
      </c>
      <c r="H89" s="221">
        <f t="shared" si="63"/>
        <v>2.641217259513649E-2</v>
      </c>
      <c r="I89" s="221">
        <f t="shared" si="64"/>
        <v>3.1482536218097178E-2</v>
      </c>
      <c r="J89" s="221">
        <f t="shared" si="57"/>
        <v>3.1482536218097178E-2</v>
      </c>
      <c r="K89" s="221">
        <f t="shared" si="57"/>
        <v>3.1482536218097178E-2</v>
      </c>
      <c r="L89" s="221">
        <f t="shared" si="57"/>
        <v>3.1482536218097178E-2</v>
      </c>
      <c r="M89" s="221">
        <f t="shared" si="57"/>
        <v>3.1482536218097178E-2</v>
      </c>
      <c r="N89" s="221">
        <f t="shared" si="65"/>
        <v>1.7818961049345959E-2</v>
      </c>
      <c r="O89" s="221">
        <f t="shared" si="58"/>
        <v>1.7818961049345959E-2</v>
      </c>
      <c r="P89" s="221">
        <f t="shared" si="58"/>
        <v>1.7818961049345959E-2</v>
      </c>
      <c r="Q89" s="221">
        <f t="shared" si="58"/>
        <v>1.7818961049345959E-2</v>
      </c>
      <c r="R89" s="221">
        <f t="shared" si="58"/>
        <v>1.7818961049345959E-2</v>
      </c>
      <c r="S89" s="221">
        <f t="shared" si="66"/>
        <v>1.4833345052169499E-2</v>
      </c>
      <c r="T89" s="221">
        <f t="shared" si="59"/>
        <v>1.4833345052169499E-2</v>
      </c>
      <c r="U89" s="221">
        <f t="shared" si="59"/>
        <v>1.4833345052169499E-2</v>
      </c>
      <c r="V89" s="221">
        <f t="shared" si="59"/>
        <v>1.4833345052169499E-2</v>
      </c>
      <c r="W89" s="221">
        <f t="shared" si="59"/>
        <v>1.4833345052169499E-2</v>
      </c>
      <c r="X89" s="221">
        <f t="shared" si="67"/>
        <v>1.530045055478349E-2</v>
      </c>
      <c r="Y89" s="221">
        <f t="shared" si="60"/>
        <v>1.530045055478349E-2</v>
      </c>
      <c r="Z89" s="221">
        <f t="shared" si="60"/>
        <v>1.530045055478349E-2</v>
      </c>
      <c r="AA89" s="221">
        <f t="shared" si="60"/>
        <v>1.530045055478349E-2</v>
      </c>
      <c r="AB89" s="221">
        <f t="shared" si="60"/>
        <v>1.530045055478349E-2</v>
      </c>
      <c r="AC89" s="221">
        <f t="shared" si="68"/>
        <v>2.045486042176781E-2</v>
      </c>
      <c r="AD89" s="221">
        <f t="shared" si="61"/>
        <v>2.045486042176781E-2</v>
      </c>
      <c r="AE89" s="221">
        <f t="shared" si="61"/>
        <v>2.045486042176781E-2</v>
      </c>
      <c r="AF89" s="221">
        <f t="shared" si="61"/>
        <v>2.045486042176781E-2</v>
      </c>
      <c r="AG89" s="221">
        <f t="shared" si="61"/>
        <v>2.045486042176781E-2</v>
      </c>
      <c r="AH89" s="221">
        <f t="shared" si="69"/>
        <v>3.185284588489621E-2</v>
      </c>
      <c r="AI89" s="221">
        <f t="shared" si="62"/>
        <v>3.185284588489621E-2</v>
      </c>
      <c r="AJ89" s="221">
        <f t="shared" si="62"/>
        <v>3.185284588489621E-2</v>
      </c>
      <c r="AK89" s="221">
        <f t="shared" si="62"/>
        <v>3.185284588489621E-2</v>
      </c>
      <c r="AL89" s="221">
        <f t="shared" si="62"/>
        <v>3.185284588489621E-2</v>
      </c>
      <c r="AM89" s="221">
        <v>0</v>
      </c>
      <c r="AN89" s="221">
        <v>0</v>
      </c>
      <c r="AO89" s="221">
        <v>0</v>
      </c>
      <c r="AP89" s="221">
        <v>0</v>
      </c>
      <c r="AQ89" s="221">
        <v>0</v>
      </c>
      <c r="AR89" s="221">
        <v>0</v>
      </c>
      <c r="AS89" s="221">
        <v>0</v>
      </c>
      <c r="AT89" s="221">
        <v>0</v>
      </c>
      <c r="AU89" s="221">
        <v>0</v>
      </c>
      <c r="AV89" s="221">
        <v>0</v>
      </c>
      <c r="AW89" s="221">
        <v>0</v>
      </c>
      <c r="AX89" s="221">
        <v>0</v>
      </c>
      <c r="AY89" s="221">
        <v>0</v>
      </c>
      <c r="AZ89" s="221">
        <v>0</v>
      </c>
      <c r="BA89" s="221">
        <v>0</v>
      </c>
      <c r="BB89" s="221">
        <v>0</v>
      </c>
      <c r="BC89" s="221">
        <v>0</v>
      </c>
      <c r="BD89" s="221">
        <v>0</v>
      </c>
      <c r="BE89" s="221">
        <v>0</v>
      </c>
      <c r="BF89" s="221">
        <v>0</v>
      </c>
      <c r="BG89" s="221">
        <v>0</v>
      </c>
      <c r="BH89" s="221">
        <v>0</v>
      </c>
      <c r="BI89" s="221">
        <v>0</v>
      </c>
      <c r="BJ89" s="221">
        <v>0</v>
      </c>
      <c r="BK89" s="221">
        <v>0</v>
      </c>
      <c r="BL89" s="221">
        <v>0</v>
      </c>
      <c r="BM89" s="221">
        <v>0</v>
      </c>
      <c r="BN89" s="221">
        <v>0</v>
      </c>
      <c r="BO89" s="221">
        <v>0</v>
      </c>
      <c r="BP89" s="221">
        <v>0</v>
      </c>
      <c r="BQ89" s="221">
        <v>0</v>
      </c>
      <c r="BR89" s="221">
        <v>0</v>
      </c>
      <c r="BS89" s="221">
        <v>0</v>
      </c>
      <c r="BT89" s="221">
        <v>0</v>
      </c>
      <c r="BU89" s="221">
        <v>0</v>
      </c>
      <c r="BV89" s="221">
        <v>0</v>
      </c>
      <c r="BW89" s="221">
        <v>0</v>
      </c>
      <c r="BX89" s="221">
        <v>0</v>
      </c>
      <c r="BY89" s="221">
        <v>0</v>
      </c>
      <c r="BZ89" s="221">
        <v>0</v>
      </c>
      <c r="CA89" s="221">
        <v>0</v>
      </c>
      <c r="CB89" s="221">
        <v>0</v>
      </c>
      <c r="CC89" s="221">
        <v>0</v>
      </c>
      <c r="CD89" s="221">
        <v>0</v>
      </c>
      <c r="CE89" s="221">
        <v>0</v>
      </c>
      <c r="CF89" s="221">
        <v>0</v>
      </c>
      <c r="CG89" s="221">
        <v>0</v>
      </c>
      <c r="CH89" s="221">
        <v>0</v>
      </c>
      <c r="CI89" s="221">
        <v>0</v>
      </c>
      <c r="CJ89" s="221">
        <v>0</v>
      </c>
      <c r="CL89" s="225" t="s">
        <v>89</v>
      </c>
      <c r="CM89">
        <v>2.641217259513649E-2</v>
      </c>
      <c r="CN89">
        <v>3.1482536218097178E-2</v>
      </c>
      <c r="CO89">
        <v>1.7818961049345959E-2</v>
      </c>
      <c r="CP89">
        <v>1.4833345052169499E-2</v>
      </c>
      <c r="CQ89">
        <v>1.530045055478349E-2</v>
      </c>
      <c r="CR89">
        <v>2.045486042176781E-2</v>
      </c>
      <c r="CS89">
        <v>3.185284588489621E-2</v>
      </c>
    </row>
    <row r="90" spans="2:97" x14ac:dyDescent="0.35">
      <c r="B90" s="42" t="s">
        <v>1331</v>
      </c>
      <c r="C90" s="221">
        <f t="shared" si="63"/>
        <v>0</v>
      </c>
      <c r="D90" s="221">
        <f t="shared" si="63"/>
        <v>0</v>
      </c>
      <c r="E90" s="221">
        <f t="shared" si="63"/>
        <v>0</v>
      </c>
      <c r="F90" s="221">
        <f t="shared" si="63"/>
        <v>0</v>
      </c>
      <c r="G90" s="221">
        <f t="shared" si="63"/>
        <v>0</v>
      </c>
      <c r="H90" s="221">
        <f t="shared" si="63"/>
        <v>0</v>
      </c>
      <c r="I90" s="221">
        <f t="shared" si="64"/>
        <v>0</v>
      </c>
      <c r="J90" s="221">
        <f t="shared" si="57"/>
        <v>0</v>
      </c>
      <c r="K90" s="221">
        <f t="shared" si="57"/>
        <v>0</v>
      </c>
      <c r="L90" s="221">
        <f t="shared" si="57"/>
        <v>0</v>
      </c>
      <c r="M90" s="221">
        <f t="shared" si="57"/>
        <v>0</v>
      </c>
      <c r="N90" s="221">
        <f t="shared" si="65"/>
        <v>0</v>
      </c>
      <c r="O90" s="221">
        <f t="shared" si="58"/>
        <v>0</v>
      </c>
      <c r="P90" s="221">
        <f t="shared" si="58"/>
        <v>0</v>
      </c>
      <c r="Q90" s="221">
        <f t="shared" si="58"/>
        <v>0</v>
      </c>
      <c r="R90" s="221">
        <f t="shared" si="58"/>
        <v>0</v>
      </c>
      <c r="S90" s="221">
        <f t="shared" si="66"/>
        <v>0</v>
      </c>
      <c r="T90" s="221">
        <f t="shared" si="59"/>
        <v>0</v>
      </c>
      <c r="U90" s="221">
        <f t="shared" si="59"/>
        <v>0</v>
      </c>
      <c r="V90" s="221">
        <f t="shared" si="59"/>
        <v>0</v>
      </c>
      <c r="W90" s="221">
        <f t="shared" si="59"/>
        <v>0</v>
      </c>
      <c r="X90" s="221">
        <f t="shared" si="67"/>
        <v>0</v>
      </c>
      <c r="Y90" s="221">
        <f t="shared" si="60"/>
        <v>0</v>
      </c>
      <c r="Z90" s="221">
        <f t="shared" si="60"/>
        <v>0</v>
      </c>
      <c r="AA90" s="221">
        <f t="shared" si="60"/>
        <v>0</v>
      </c>
      <c r="AB90" s="221">
        <f t="shared" si="60"/>
        <v>0</v>
      </c>
      <c r="AC90" s="221">
        <f t="shared" si="68"/>
        <v>0</v>
      </c>
      <c r="AD90" s="221">
        <f t="shared" si="61"/>
        <v>0</v>
      </c>
      <c r="AE90" s="221">
        <f t="shared" si="61"/>
        <v>0</v>
      </c>
      <c r="AF90" s="221">
        <f t="shared" si="61"/>
        <v>0</v>
      </c>
      <c r="AG90" s="221">
        <f t="shared" si="61"/>
        <v>0</v>
      </c>
      <c r="AH90" s="221">
        <f t="shared" si="69"/>
        <v>0</v>
      </c>
      <c r="AI90" s="221">
        <f t="shared" si="62"/>
        <v>0</v>
      </c>
      <c r="AJ90" s="221">
        <f t="shared" si="62"/>
        <v>0</v>
      </c>
      <c r="AK90" s="221">
        <f t="shared" si="62"/>
        <v>0</v>
      </c>
      <c r="AL90" s="221">
        <f t="shared" si="62"/>
        <v>0</v>
      </c>
      <c r="AM90" s="221">
        <v>0</v>
      </c>
      <c r="AN90" s="221">
        <v>0</v>
      </c>
      <c r="AO90" s="221">
        <v>0</v>
      </c>
      <c r="AP90" s="221">
        <v>0</v>
      </c>
      <c r="AQ90" s="221">
        <v>0</v>
      </c>
      <c r="AR90" s="221">
        <v>0</v>
      </c>
      <c r="AS90" s="221">
        <v>0</v>
      </c>
      <c r="AT90" s="221">
        <v>0</v>
      </c>
      <c r="AU90" s="221">
        <v>0</v>
      </c>
      <c r="AV90" s="221">
        <v>0</v>
      </c>
      <c r="AW90" s="221">
        <v>0</v>
      </c>
      <c r="AX90" s="221">
        <v>0</v>
      </c>
      <c r="AY90" s="221">
        <v>0</v>
      </c>
      <c r="AZ90" s="221">
        <v>0</v>
      </c>
      <c r="BA90" s="221">
        <v>0</v>
      </c>
      <c r="BB90" s="221">
        <v>0</v>
      </c>
      <c r="BC90" s="221">
        <v>0</v>
      </c>
      <c r="BD90" s="221">
        <v>0</v>
      </c>
      <c r="BE90" s="221">
        <v>0</v>
      </c>
      <c r="BF90" s="221">
        <v>0</v>
      </c>
      <c r="BG90" s="221">
        <v>0</v>
      </c>
      <c r="BH90" s="221">
        <v>0</v>
      </c>
      <c r="BI90" s="221">
        <v>0</v>
      </c>
      <c r="BJ90" s="221">
        <v>0</v>
      </c>
      <c r="BK90" s="221">
        <v>0</v>
      </c>
      <c r="BL90" s="221">
        <v>0</v>
      </c>
      <c r="BM90" s="221">
        <v>0</v>
      </c>
      <c r="BN90" s="221">
        <v>0</v>
      </c>
      <c r="BO90" s="221">
        <v>0</v>
      </c>
      <c r="BP90" s="221">
        <v>0</v>
      </c>
      <c r="BQ90" s="221">
        <v>0</v>
      </c>
      <c r="BR90" s="221">
        <v>0</v>
      </c>
      <c r="BS90" s="221">
        <v>0</v>
      </c>
      <c r="BT90" s="221">
        <v>0</v>
      </c>
      <c r="BU90" s="221">
        <v>0</v>
      </c>
      <c r="BV90" s="221">
        <v>0</v>
      </c>
      <c r="BW90" s="221">
        <v>0</v>
      </c>
      <c r="BX90" s="221">
        <v>0</v>
      </c>
      <c r="BY90" s="221">
        <v>0</v>
      </c>
      <c r="BZ90" s="221">
        <v>0</v>
      </c>
      <c r="CA90" s="221">
        <v>0</v>
      </c>
      <c r="CB90" s="221">
        <v>0</v>
      </c>
      <c r="CC90" s="221">
        <v>0</v>
      </c>
      <c r="CD90" s="221">
        <v>0</v>
      </c>
      <c r="CE90" s="221">
        <v>0</v>
      </c>
      <c r="CF90" s="221">
        <v>0</v>
      </c>
      <c r="CG90" s="221">
        <v>0</v>
      </c>
      <c r="CH90" s="221">
        <v>0</v>
      </c>
      <c r="CI90" s="221">
        <v>0</v>
      </c>
      <c r="CJ90" s="221">
        <v>0</v>
      </c>
      <c r="CL90" s="225" t="s">
        <v>90</v>
      </c>
      <c r="CM90">
        <v>0</v>
      </c>
      <c r="CN90">
        <v>0</v>
      </c>
      <c r="CO90">
        <v>0</v>
      </c>
      <c r="CP90">
        <v>0</v>
      </c>
      <c r="CQ90">
        <v>0</v>
      </c>
      <c r="CR90">
        <v>0</v>
      </c>
      <c r="CS90">
        <v>0</v>
      </c>
    </row>
    <row r="91" spans="2:97" x14ac:dyDescent="0.35">
      <c r="CL91" s="226"/>
    </row>
    <row r="96" spans="2:97" ht="18.5" x14ac:dyDescent="0.45">
      <c r="B96" s="223" t="s">
        <v>1339</v>
      </c>
    </row>
    <row r="97" spans="2:88" x14ac:dyDescent="0.35">
      <c r="B97" s="224" t="s">
        <v>1317</v>
      </c>
      <c r="C97">
        <v>2015</v>
      </c>
      <c r="D97">
        <v>2016</v>
      </c>
      <c r="E97">
        <v>2017</v>
      </c>
      <c r="F97">
        <v>2018</v>
      </c>
      <c r="G97">
        <v>2019</v>
      </c>
      <c r="H97">
        <v>2020</v>
      </c>
      <c r="I97">
        <v>2021</v>
      </c>
      <c r="J97">
        <v>2022</v>
      </c>
      <c r="K97">
        <v>2023</v>
      </c>
      <c r="L97">
        <v>2024</v>
      </c>
      <c r="M97">
        <v>2025</v>
      </c>
      <c r="N97">
        <v>2026</v>
      </c>
      <c r="O97">
        <v>2027</v>
      </c>
      <c r="P97">
        <v>2028</v>
      </c>
      <c r="Q97">
        <v>2029</v>
      </c>
      <c r="R97">
        <v>2030</v>
      </c>
      <c r="S97">
        <v>2031</v>
      </c>
      <c r="T97">
        <v>2032</v>
      </c>
      <c r="U97">
        <v>2033</v>
      </c>
      <c r="V97">
        <v>2034</v>
      </c>
      <c r="W97">
        <v>2035</v>
      </c>
      <c r="X97">
        <v>2036</v>
      </c>
      <c r="Y97">
        <v>2037</v>
      </c>
      <c r="Z97">
        <v>2038</v>
      </c>
      <c r="AA97">
        <v>2039</v>
      </c>
      <c r="AB97">
        <v>2040</v>
      </c>
      <c r="AC97">
        <v>2041</v>
      </c>
      <c r="AD97">
        <v>2042</v>
      </c>
      <c r="AE97">
        <v>2043</v>
      </c>
      <c r="AF97">
        <v>2044</v>
      </c>
      <c r="AG97">
        <v>2045</v>
      </c>
      <c r="AH97">
        <v>2046</v>
      </c>
      <c r="AI97">
        <v>2047</v>
      </c>
      <c r="AJ97">
        <v>2048</v>
      </c>
      <c r="AK97">
        <v>2049</v>
      </c>
      <c r="AL97">
        <v>2050</v>
      </c>
      <c r="AM97">
        <v>2051</v>
      </c>
      <c r="AN97">
        <v>2052</v>
      </c>
      <c r="AO97">
        <v>2053</v>
      </c>
      <c r="AP97">
        <v>2054</v>
      </c>
      <c r="AQ97">
        <v>2055</v>
      </c>
      <c r="AR97">
        <v>2056</v>
      </c>
      <c r="AS97">
        <v>2057</v>
      </c>
      <c r="AT97">
        <v>2058</v>
      </c>
      <c r="AU97">
        <v>2059</v>
      </c>
      <c r="AV97">
        <v>2060</v>
      </c>
      <c r="AW97">
        <v>2061</v>
      </c>
      <c r="AX97">
        <v>2062</v>
      </c>
      <c r="AY97">
        <v>2063</v>
      </c>
      <c r="AZ97">
        <v>2064</v>
      </c>
      <c r="BA97">
        <v>2065</v>
      </c>
      <c r="BB97">
        <v>2066</v>
      </c>
      <c r="BC97">
        <v>2067</v>
      </c>
      <c r="BD97">
        <v>2068</v>
      </c>
      <c r="BE97">
        <v>2069</v>
      </c>
      <c r="BF97">
        <v>2070</v>
      </c>
      <c r="BG97">
        <v>2071</v>
      </c>
      <c r="BH97">
        <v>2072</v>
      </c>
      <c r="BI97">
        <v>2073</v>
      </c>
      <c r="BJ97">
        <v>2074</v>
      </c>
      <c r="BK97">
        <v>2075</v>
      </c>
      <c r="BL97">
        <v>2076</v>
      </c>
      <c r="BM97">
        <v>2077</v>
      </c>
      <c r="BN97">
        <v>2078</v>
      </c>
      <c r="BO97">
        <v>2079</v>
      </c>
      <c r="BP97">
        <v>2080</v>
      </c>
      <c r="BQ97">
        <v>2081</v>
      </c>
      <c r="BR97">
        <v>2082</v>
      </c>
      <c r="BS97">
        <v>2083</v>
      </c>
      <c r="BT97">
        <v>2084</v>
      </c>
      <c r="BU97">
        <v>2085</v>
      </c>
      <c r="BV97">
        <v>2086</v>
      </c>
      <c r="BW97">
        <v>2087</v>
      </c>
      <c r="BX97">
        <v>2088</v>
      </c>
      <c r="BY97">
        <v>2089</v>
      </c>
      <c r="BZ97">
        <v>2090</v>
      </c>
      <c r="CA97">
        <v>2091</v>
      </c>
      <c r="CB97">
        <v>2092</v>
      </c>
      <c r="CC97">
        <v>2093</v>
      </c>
      <c r="CD97">
        <v>2094</v>
      </c>
      <c r="CE97">
        <v>2095</v>
      </c>
      <c r="CF97">
        <v>2096</v>
      </c>
      <c r="CG97">
        <v>2097</v>
      </c>
      <c r="CH97">
        <v>2098</v>
      </c>
      <c r="CI97">
        <v>2099</v>
      </c>
      <c r="CJ97">
        <v>2100</v>
      </c>
    </row>
    <row r="98" spans="2:88" x14ac:dyDescent="0.35">
      <c r="B98" s="41" t="s">
        <v>1326</v>
      </c>
      <c r="C98" s="221">
        <f>$CM98</f>
        <v>0</v>
      </c>
      <c r="D98" s="221">
        <f t="shared" ref="D98:G98" si="70">$CM98</f>
        <v>0</v>
      </c>
      <c r="E98" s="221">
        <f t="shared" si="70"/>
        <v>0</v>
      </c>
      <c r="F98" s="221">
        <f t="shared" si="70"/>
        <v>0</v>
      </c>
      <c r="G98" s="221">
        <f t="shared" si="70"/>
        <v>0</v>
      </c>
      <c r="H98" s="221">
        <f>$CM98</f>
        <v>0</v>
      </c>
      <c r="I98" s="221">
        <f>$CN98</f>
        <v>0</v>
      </c>
      <c r="J98" s="221">
        <f t="shared" ref="J98:M106" si="71">$CN98</f>
        <v>0</v>
      </c>
      <c r="K98" s="221">
        <f t="shared" si="71"/>
        <v>0</v>
      </c>
      <c r="L98" s="221">
        <f t="shared" si="71"/>
        <v>0</v>
      </c>
      <c r="M98" s="221">
        <f t="shared" si="71"/>
        <v>0</v>
      </c>
      <c r="N98" s="221">
        <f>$CO98</f>
        <v>0</v>
      </c>
      <c r="O98" s="221">
        <f t="shared" ref="O98:R106" si="72">$CO98</f>
        <v>0</v>
      </c>
      <c r="P98" s="221">
        <f t="shared" si="72"/>
        <v>0</v>
      </c>
      <c r="Q98" s="221">
        <f t="shared" si="72"/>
        <v>0</v>
      </c>
      <c r="R98" s="221">
        <f t="shared" si="72"/>
        <v>0</v>
      </c>
      <c r="S98" s="221">
        <f>$CP98</f>
        <v>0</v>
      </c>
      <c r="T98" s="221">
        <f t="shared" ref="T98:W106" si="73">$CP98</f>
        <v>0</v>
      </c>
      <c r="U98" s="221">
        <f t="shared" si="73"/>
        <v>0</v>
      </c>
      <c r="V98" s="221">
        <f t="shared" si="73"/>
        <v>0</v>
      </c>
      <c r="W98" s="221">
        <f t="shared" si="73"/>
        <v>0</v>
      </c>
      <c r="X98" s="221">
        <f>$CQ98</f>
        <v>0</v>
      </c>
      <c r="Y98" s="221">
        <f t="shared" ref="Y98:AB106" si="74">$CQ98</f>
        <v>0</v>
      </c>
      <c r="Z98" s="221">
        <f t="shared" si="74"/>
        <v>0</v>
      </c>
      <c r="AA98" s="221">
        <f t="shared" si="74"/>
        <v>0</v>
      </c>
      <c r="AB98" s="221">
        <f t="shared" si="74"/>
        <v>0</v>
      </c>
      <c r="AC98" s="221">
        <f>$CR98</f>
        <v>0</v>
      </c>
      <c r="AD98" s="221">
        <f t="shared" ref="AD98:AG106" si="75">$CR98</f>
        <v>0</v>
      </c>
      <c r="AE98" s="221">
        <f t="shared" si="75"/>
        <v>0</v>
      </c>
      <c r="AF98" s="221">
        <f t="shared" si="75"/>
        <v>0</v>
      </c>
      <c r="AG98" s="221">
        <f t="shared" si="75"/>
        <v>0</v>
      </c>
      <c r="AH98" s="221">
        <f>$CS98</f>
        <v>0</v>
      </c>
      <c r="AI98" s="221">
        <f t="shared" ref="AI98:AL106" si="76">$CS98</f>
        <v>0</v>
      </c>
      <c r="AJ98" s="221">
        <f t="shared" si="76"/>
        <v>0</v>
      </c>
      <c r="AK98" s="221">
        <f t="shared" si="76"/>
        <v>0</v>
      </c>
      <c r="AL98" s="221">
        <f t="shared" si="76"/>
        <v>0</v>
      </c>
      <c r="AM98" s="221">
        <v>0</v>
      </c>
      <c r="AN98" s="221">
        <v>0</v>
      </c>
      <c r="AO98" s="221">
        <v>0</v>
      </c>
      <c r="AP98" s="221">
        <v>0</v>
      </c>
      <c r="AQ98" s="221">
        <v>0</v>
      </c>
      <c r="AR98" s="221">
        <v>0</v>
      </c>
      <c r="AS98" s="221">
        <v>0</v>
      </c>
      <c r="AT98" s="221">
        <v>0</v>
      </c>
      <c r="AU98" s="221">
        <v>0</v>
      </c>
      <c r="AV98" s="221">
        <v>0</v>
      </c>
      <c r="AW98" s="221">
        <v>0</v>
      </c>
      <c r="AX98" s="221">
        <v>0</v>
      </c>
      <c r="AY98" s="221">
        <v>0</v>
      </c>
      <c r="AZ98" s="221">
        <v>0</v>
      </c>
      <c r="BA98" s="221">
        <v>0</v>
      </c>
      <c r="BB98" s="221">
        <v>0</v>
      </c>
      <c r="BC98" s="221">
        <v>0</v>
      </c>
      <c r="BD98" s="221">
        <v>0</v>
      </c>
      <c r="BE98" s="221">
        <v>0</v>
      </c>
      <c r="BF98" s="221">
        <v>0</v>
      </c>
      <c r="BG98" s="221">
        <v>0</v>
      </c>
      <c r="BH98" s="221">
        <v>0</v>
      </c>
      <c r="BI98" s="221">
        <v>0</v>
      </c>
      <c r="BJ98" s="221">
        <v>0</v>
      </c>
      <c r="BK98" s="221">
        <v>0</v>
      </c>
      <c r="BL98" s="221">
        <v>0</v>
      </c>
      <c r="BM98" s="221">
        <v>0</v>
      </c>
      <c r="BN98" s="221">
        <v>0</v>
      </c>
      <c r="BO98" s="221">
        <v>0</v>
      </c>
      <c r="BP98" s="221">
        <v>0</v>
      </c>
      <c r="BQ98" s="221">
        <v>0</v>
      </c>
      <c r="BR98" s="221">
        <v>0</v>
      </c>
      <c r="BS98" s="221">
        <v>0</v>
      </c>
      <c r="BT98" s="221">
        <v>0</v>
      </c>
      <c r="BU98" s="221">
        <v>0</v>
      </c>
      <c r="BV98" s="221">
        <v>0</v>
      </c>
      <c r="BW98" s="221">
        <v>0</v>
      </c>
      <c r="BX98" s="221">
        <v>0</v>
      </c>
      <c r="BY98" s="221">
        <v>0</v>
      </c>
      <c r="BZ98" s="221">
        <v>0</v>
      </c>
      <c r="CA98" s="221">
        <v>0</v>
      </c>
      <c r="CB98" s="221">
        <v>0</v>
      </c>
      <c r="CC98" s="221">
        <v>0</v>
      </c>
      <c r="CD98" s="221">
        <v>0</v>
      </c>
      <c r="CE98" s="221">
        <v>0</v>
      </c>
      <c r="CF98" s="221">
        <v>0</v>
      </c>
      <c r="CG98" s="221">
        <v>0</v>
      </c>
      <c r="CH98" s="221">
        <v>0</v>
      </c>
      <c r="CI98" s="221">
        <v>0</v>
      </c>
      <c r="CJ98" s="221">
        <v>0</v>
      </c>
    </row>
    <row r="99" spans="2:88" x14ac:dyDescent="0.35">
      <c r="B99" s="42" t="s">
        <v>1327</v>
      </c>
      <c r="C99" s="221">
        <f t="shared" ref="C99:H106" si="77">$CM99</f>
        <v>0</v>
      </c>
      <c r="D99" s="221">
        <f t="shared" si="77"/>
        <v>0</v>
      </c>
      <c r="E99" s="221">
        <f t="shared" si="77"/>
        <v>0</v>
      </c>
      <c r="F99" s="221">
        <f t="shared" si="77"/>
        <v>0</v>
      </c>
      <c r="G99" s="221">
        <f t="shared" si="77"/>
        <v>0</v>
      </c>
      <c r="H99" s="221">
        <f t="shared" si="77"/>
        <v>0</v>
      </c>
      <c r="I99" s="221">
        <f t="shared" ref="I99:I106" si="78">$CN99</f>
        <v>0</v>
      </c>
      <c r="J99" s="221">
        <f t="shared" si="71"/>
        <v>0</v>
      </c>
      <c r="K99" s="221">
        <f t="shared" si="71"/>
        <v>0</v>
      </c>
      <c r="L99" s="221">
        <f t="shared" si="71"/>
        <v>0</v>
      </c>
      <c r="M99" s="221">
        <f t="shared" si="71"/>
        <v>0</v>
      </c>
      <c r="N99" s="221">
        <f t="shared" ref="N99:N106" si="79">$CO99</f>
        <v>0</v>
      </c>
      <c r="O99" s="221">
        <f t="shared" si="72"/>
        <v>0</v>
      </c>
      <c r="P99" s="221">
        <f t="shared" si="72"/>
        <v>0</v>
      </c>
      <c r="Q99" s="221">
        <f t="shared" si="72"/>
        <v>0</v>
      </c>
      <c r="R99" s="221">
        <f t="shared" si="72"/>
        <v>0</v>
      </c>
      <c r="S99" s="221">
        <f t="shared" ref="S99:S106" si="80">$CP99</f>
        <v>0</v>
      </c>
      <c r="T99" s="221">
        <f t="shared" si="73"/>
        <v>0</v>
      </c>
      <c r="U99" s="221">
        <f t="shared" si="73"/>
        <v>0</v>
      </c>
      <c r="V99" s="221">
        <f t="shared" si="73"/>
        <v>0</v>
      </c>
      <c r="W99" s="221">
        <f t="shared" si="73"/>
        <v>0</v>
      </c>
      <c r="X99" s="221">
        <f t="shared" ref="X99:X106" si="81">$CQ99</f>
        <v>0</v>
      </c>
      <c r="Y99" s="221">
        <f t="shared" si="74"/>
        <v>0</v>
      </c>
      <c r="Z99" s="221">
        <f t="shared" si="74"/>
        <v>0</v>
      </c>
      <c r="AA99" s="221">
        <f t="shared" si="74"/>
        <v>0</v>
      </c>
      <c r="AB99" s="221">
        <f t="shared" si="74"/>
        <v>0</v>
      </c>
      <c r="AC99" s="221">
        <f t="shared" ref="AC99:AC106" si="82">$CR99</f>
        <v>0</v>
      </c>
      <c r="AD99" s="221">
        <f t="shared" si="75"/>
        <v>0</v>
      </c>
      <c r="AE99" s="221">
        <f t="shared" si="75"/>
        <v>0</v>
      </c>
      <c r="AF99" s="221">
        <f t="shared" si="75"/>
        <v>0</v>
      </c>
      <c r="AG99" s="221">
        <f t="shared" si="75"/>
        <v>0</v>
      </c>
      <c r="AH99" s="221">
        <f t="shared" ref="AH99:AH106" si="83">$CS99</f>
        <v>0</v>
      </c>
      <c r="AI99" s="221">
        <f t="shared" si="76"/>
        <v>0</v>
      </c>
      <c r="AJ99" s="221">
        <f t="shared" si="76"/>
        <v>0</v>
      </c>
      <c r="AK99" s="221">
        <f t="shared" si="76"/>
        <v>0</v>
      </c>
      <c r="AL99" s="221">
        <f t="shared" si="76"/>
        <v>0</v>
      </c>
      <c r="AM99" s="221">
        <v>0</v>
      </c>
      <c r="AN99" s="221">
        <v>0</v>
      </c>
      <c r="AO99" s="221">
        <v>0</v>
      </c>
      <c r="AP99" s="221">
        <v>0</v>
      </c>
      <c r="AQ99" s="221">
        <v>0</v>
      </c>
      <c r="AR99" s="221">
        <v>0</v>
      </c>
      <c r="AS99" s="221">
        <v>0</v>
      </c>
      <c r="AT99" s="221">
        <v>0</v>
      </c>
      <c r="AU99" s="221">
        <v>0</v>
      </c>
      <c r="AV99" s="221">
        <v>0</v>
      </c>
      <c r="AW99" s="221">
        <v>0</v>
      </c>
      <c r="AX99" s="221">
        <v>0</v>
      </c>
      <c r="AY99" s="221">
        <v>0</v>
      </c>
      <c r="AZ99" s="221">
        <v>0</v>
      </c>
      <c r="BA99" s="221">
        <v>0</v>
      </c>
      <c r="BB99" s="221">
        <v>0</v>
      </c>
      <c r="BC99" s="221">
        <v>0</v>
      </c>
      <c r="BD99" s="221">
        <v>0</v>
      </c>
      <c r="BE99" s="221">
        <v>0</v>
      </c>
      <c r="BF99" s="221">
        <v>0</v>
      </c>
      <c r="BG99" s="221">
        <v>0</v>
      </c>
      <c r="BH99" s="221">
        <v>0</v>
      </c>
      <c r="BI99" s="221">
        <v>0</v>
      </c>
      <c r="BJ99" s="221">
        <v>0</v>
      </c>
      <c r="BK99" s="221">
        <v>0</v>
      </c>
      <c r="BL99" s="221">
        <v>0</v>
      </c>
      <c r="BM99" s="221">
        <v>0</v>
      </c>
      <c r="BN99" s="221">
        <v>0</v>
      </c>
      <c r="BO99" s="221">
        <v>0</v>
      </c>
      <c r="BP99" s="221">
        <v>0</v>
      </c>
      <c r="BQ99" s="221">
        <v>0</v>
      </c>
      <c r="BR99" s="221">
        <v>0</v>
      </c>
      <c r="BS99" s="221">
        <v>0</v>
      </c>
      <c r="BT99" s="221">
        <v>0</v>
      </c>
      <c r="BU99" s="221">
        <v>0</v>
      </c>
      <c r="BV99" s="221">
        <v>0</v>
      </c>
      <c r="BW99" s="221">
        <v>0</v>
      </c>
      <c r="BX99" s="221">
        <v>0</v>
      </c>
      <c r="BY99" s="221">
        <v>0</v>
      </c>
      <c r="BZ99" s="221">
        <v>0</v>
      </c>
      <c r="CA99" s="221">
        <v>0</v>
      </c>
      <c r="CB99" s="221">
        <v>0</v>
      </c>
      <c r="CC99" s="221">
        <v>0</v>
      </c>
      <c r="CD99" s="221">
        <v>0</v>
      </c>
      <c r="CE99" s="221">
        <v>0</v>
      </c>
      <c r="CF99" s="221">
        <v>0</v>
      </c>
      <c r="CG99" s="221">
        <v>0</v>
      </c>
      <c r="CH99" s="221">
        <v>0</v>
      </c>
      <c r="CI99" s="221">
        <v>0</v>
      </c>
      <c r="CJ99" s="221">
        <v>0</v>
      </c>
    </row>
    <row r="100" spans="2:88" x14ac:dyDescent="0.35">
      <c r="B100" s="42" t="s">
        <v>758</v>
      </c>
      <c r="C100" s="221">
        <f t="shared" si="77"/>
        <v>0</v>
      </c>
      <c r="D100" s="221">
        <f t="shared" si="77"/>
        <v>0</v>
      </c>
      <c r="E100" s="221">
        <f t="shared" si="77"/>
        <v>0</v>
      </c>
      <c r="F100" s="221">
        <f t="shared" si="77"/>
        <v>0</v>
      </c>
      <c r="G100" s="221">
        <f t="shared" si="77"/>
        <v>0</v>
      </c>
      <c r="H100" s="221">
        <f t="shared" si="77"/>
        <v>0</v>
      </c>
      <c r="I100" s="221">
        <f t="shared" si="78"/>
        <v>0</v>
      </c>
      <c r="J100" s="221">
        <f t="shared" si="71"/>
        <v>0</v>
      </c>
      <c r="K100" s="221">
        <f t="shared" si="71"/>
        <v>0</v>
      </c>
      <c r="L100" s="221">
        <f t="shared" si="71"/>
        <v>0</v>
      </c>
      <c r="M100" s="221">
        <f t="shared" si="71"/>
        <v>0</v>
      </c>
      <c r="N100" s="221">
        <f t="shared" si="79"/>
        <v>0</v>
      </c>
      <c r="O100" s="221">
        <f t="shared" si="72"/>
        <v>0</v>
      </c>
      <c r="P100" s="221">
        <f t="shared" si="72"/>
        <v>0</v>
      </c>
      <c r="Q100" s="221">
        <f t="shared" si="72"/>
        <v>0</v>
      </c>
      <c r="R100" s="221">
        <f t="shared" si="72"/>
        <v>0</v>
      </c>
      <c r="S100" s="221">
        <f t="shared" si="80"/>
        <v>0</v>
      </c>
      <c r="T100" s="221">
        <f t="shared" si="73"/>
        <v>0</v>
      </c>
      <c r="U100" s="221">
        <f t="shared" si="73"/>
        <v>0</v>
      </c>
      <c r="V100" s="221">
        <f t="shared" si="73"/>
        <v>0</v>
      </c>
      <c r="W100" s="221">
        <f t="shared" si="73"/>
        <v>0</v>
      </c>
      <c r="X100" s="221">
        <f t="shared" si="81"/>
        <v>0</v>
      </c>
      <c r="Y100" s="221">
        <f t="shared" si="74"/>
        <v>0</v>
      </c>
      <c r="Z100" s="221">
        <f t="shared" si="74"/>
        <v>0</v>
      </c>
      <c r="AA100" s="221">
        <f t="shared" si="74"/>
        <v>0</v>
      </c>
      <c r="AB100" s="221">
        <f t="shared" si="74"/>
        <v>0</v>
      </c>
      <c r="AC100" s="221">
        <f t="shared" si="82"/>
        <v>0</v>
      </c>
      <c r="AD100" s="221">
        <f t="shared" si="75"/>
        <v>0</v>
      </c>
      <c r="AE100" s="221">
        <f t="shared" si="75"/>
        <v>0</v>
      </c>
      <c r="AF100" s="221">
        <f t="shared" si="75"/>
        <v>0</v>
      </c>
      <c r="AG100" s="221">
        <f t="shared" si="75"/>
        <v>0</v>
      </c>
      <c r="AH100" s="221">
        <f t="shared" si="83"/>
        <v>0</v>
      </c>
      <c r="AI100" s="221">
        <f t="shared" si="76"/>
        <v>0</v>
      </c>
      <c r="AJ100" s="221">
        <f t="shared" si="76"/>
        <v>0</v>
      </c>
      <c r="AK100" s="221">
        <f t="shared" si="76"/>
        <v>0</v>
      </c>
      <c r="AL100" s="221">
        <f t="shared" si="76"/>
        <v>0</v>
      </c>
      <c r="AM100" s="221">
        <v>0</v>
      </c>
      <c r="AN100" s="221">
        <v>0</v>
      </c>
      <c r="AO100" s="221">
        <v>0</v>
      </c>
      <c r="AP100" s="221">
        <v>0</v>
      </c>
      <c r="AQ100" s="221">
        <v>0</v>
      </c>
      <c r="AR100" s="221">
        <v>0</v>
      </c>
      <c r="AS100" s="221">
        <v>0</v>
      </c>
      <c r="AT100" s="221">
        <v>0</v>
      </c>
      <c r="AU100" s="221">
        <v>0</v>
      </c>
      <c r="AV100" s="221">
        <v>0</v>
      </c>
      <c r="AW100" s="221">
        <v>0</v>
      </c>
      <c r="AX100" s="221">
        <v>0</v>
      </c>
      <c r="AY100" s="221">
        <v>0</v>
      </c>
      <c r="AZ100" s="221">
        <v>0</v>
      </c>
      <c r="BA100" s="221">
        <v>0</v>
      </c>
      <c r="BB100" s="221">
        <v>0</v>
      </c>
      <c r="BC100" s="221">
        <v>0</v>
      </c>
      <c r="BD100" s="221">
        <v>0</v>
      </c>
      <c r="BE100" s="221">
        <v>0</v>
      </c>
      <c r="BF100" s="221">
        <v>0</v>
      </c>
      <c r="BG100" s="221">
        <v>0</v>
      </c>
      <c r="BH100" s="221">
        <v>0</v>
      </c>
      <c r="BI100" s="221">
        <v>0</v>
      </c>
      <c r="BJ100" s="221">
        <v>0</v>
      </c>
      <c r="BK100" s="221">
        <v>0</v>
      </c>
      <c r="BL100" s="221">
        <v>0</v>
      </c>
      <c r="BM100" s="221">
        <v>0</v>
      </c>
      <c r="BN100" s="221">
        <v>0</v>
      </c>
      <c r="BO100" s="221">
        <v>0</v>
      </c>
      <c r="BP100" s="221">
        <v>0</v>
      </c>
      <c r="BQ100" s="221">
        <v>0</v>
      </c>
      <c r="BR100" s="221">
        <v>0</v>
      </c>
      <c r="BS100" s="221">
        <v>0</v>
      </c>
      <c r="BT100" s="221">
        <v>0</v>
      </c>
      <c r="BU100" s="221">
        <v>0</v>
      </c>
      <c r="BV100" s="221">
        <v>0</v>
      </c>
      <c r="BW100" s="221">
        <v>0</v>
      </c>
      <c r="BX100" s="221">
        <v>0</v>
      </c>
      <c r="BY100" s="221">
        <v>0</v>
      </c>
      <c r="BZ100" s="221">
        <v>0</v>
      </c>
      <c r="CA100" s="221">
        <v>0</v>
      </c>
      <c r="CB100" s="221">
        <v>0</v>
      </c>
      <c r="CC100" s="221">
        <v>0</v>
      </c>
      <c r="CD100" s="221">
        <v>0</v>
      </c>
      <c r="CE100" s="221">
        <v>0</v>
      </c>
      <c r="CF100" s="221">
        <v>0</v>
      </c>
      <c r="CG100" s="221">
        <v>0</v>
      </c>
      <c r="CH100" s="221">
        <v>0</v>
      </c>
      <c r="CI100" s="221">
        <v>0</v>
      </c>
      <c r="CJ100" s="221">
        <v>0</v>
      </c>
    </row>
    <row r="101" spans="2:88" x14ac:dyDescent="0.35">
      <c r="B101" s="42" t="s">
        <v>1328</v>
      </c>
      <c r="C101" s="221">
        <f t="shared" si="77"/>
        <v>0</v>
      </c>
      <c r="D101" s="221">
        <f t="shared" si="77"/>
        <v>0</v>
      </c>
      <c r="E101" s="221">
        <f t="shared" si="77"/>
        <v>0</v>
      </c>
      <c r="F101" s="221">
        <f t="shared" si="77"/>
        <v>0</v>
      </c>
      <c r="G101" s="221">
        <f t="shared" si="77"/>
        <v>0</v>
      </c>
      <c r="H101" s="221">
        <f t="shared" si="77"/>
        <v>0</v>
      </c>
      <c r="I101" s="221">
        <f t="shared" si="78"/>
        <v>0</v>
      </c>
      <c r="J101" s="221">
        <f t="shared" si="71"/>
        <v>0</v>
      </c>
      <c r="K101" s="221">
        <f t="shared" si="71"/>
        <v>0</v>
      </c>
      <c r="L101" s="221">
        <f t="shared" si="71"/>
        <v>0</v>
      </c>
      <c r="M101" s="221">
        <f t="shared" si="71"/>
        <v>0</v>
      </c>
      <c r="N101" s="221">
        <f t="shared" si="79"/>
        <v>0</v>
      </c>
      <c r="O101" s="221">
        <f t="shared" si="72"/>
        <v>0</v>
      </c>
      <c r="P101" s="221">
        <f t="shared" si="72"/>
        <v>0</v>
      </c>
      <c r="Q101" s="221">
        <f t="shared" si="72"/>
        <v>0</v>
      </c>
      <c r="R101" s="221">
        <f t="shared" si="72"/>
        <v>0</v>
      </c>
      <c r="S101" s="221">
        <f t="shared" si="80"/>
        <v>0</v>
      </c>
      <c r="T101" s="221">
        <f t="shared" si="73"/>
        <v>0</v>
      </c>
      <c r="U101" s="221">
        <f t="shared" si="73"/>
        <v>0</v>
      </c>
      <c r="V101" s="221">
        <f t="shared" si="73"/>
        <v>0</v>
      </c>
      <c r="W101" s="221">
        <f t="shared" si="73"/>
        <v>0</v>
      </c>
      <c r="X101" s="221">
        <f t="shared" si="81"/>
        <v>0</v>
      </c>
      <c r="Y101" s="221">
        <f t="shared" si="74"/>
        <v>0</v>
      </c>
      <c r="Z101" s="221">
        <f t="shared" si="74"/>
        <v>0</v>
      </c>
      <c r="AA101" s="221">
        <f t="shared" si="74"/>
        <v>0</v>
      </c>
      <c r="AB101" s="221">
        <f t="shared" si="74"/>
        <v>0</v>
      </c>
      <c r="AC101" s="221">
        <f t="shared" si="82"/>
        <v>0</v>
      </c>
      <c r="AD101" s="221">
        <f t="shared" si="75"/>
        <v>0</v>
      </c>
      <c r="AE101" s="221">
        <f t="shared" si="75"/>
        <v>0</v>
      </c>
      <c r="AF101" s="221">
        <f t="shared" si="75"/>
        <v>0</v>
      </c>
      <c r="AG101" s="221">
        <f t="shared" si="75"/>
        <v>0</v>
      </c>
      <c r="AH101" s="221">
        <f t="shared" si="83"/>
        <v>0</v>
      </c>
      <c r="AI101" s="221">
        <f t="shared" si="76"/>
        <v>0</v>
      </c>
      <c r="AJ101" s="221">
        <f t="shared" si="76"/>
        <v>0</v>
      </c>
      <c r="AK101" s="221">
        <f t="shared" si="76"/>
        <v>0</v>
      </c>
      <c r="AL101" s="221">
        <f t="shared" si="76"/>
        <v>0</v>
      </c>
      <c r="AM101" s="221">
        <v>0</v>
      </c>
      <c r="AN101" s="221">
        <v>0</v>
      </c>
      <c r="AO101" s="221">
        <v>0</v>
      </c>
      <c r="AP101" s="221">
        <v>0</v>
      </c>
      <c r="AQ101" s="221">
        <v>0</v>
      </c>
      <c r="AR101" s="221">
        <v>0</v>
      </c>
      <c r="AS101" s="221">
        <v>0</v>
      </c>
      <c r="AT101" s="221">
        <v>0</v>
      </c>
      <c r="AU101" s="221">
        <v>0</v>
      </c>
      <c r="AV101" s="221">
        <v>0</v>
      </c>
      <c r="AW101" s="221">
        <v>0</v>
      </c>
      <c r="AX101" s="221">
        <v>0</v>
      </c>
      <c r="AY101" s="221">
        <v>0</v>
      </c>
      <c r="AZ101" s="221">
        <v>0</v>
      </c>
      <c r="BA101" s="221">
        <v>0</v>
      </c>
      <c r="BB101" s="221">
        <v>0</v>
      </c>
      <c r="BC101" s="221">
        <v>0</v>
      </c>
      <c r="BD101" s="221">
        <v>0</v>
      </c>
      <c r="BE101" s="221">
        <v>0</v>
      </c>
      <c r="BF101" s="221">
        <v>0</v>
      </c>
      <c r="BG101" s="221">
        <v>0</v>
      </c>
      <c r="BH101" s="221">
        <v>0</v>
      </c>
      <c r="BI101" s="221">
        <v>0</v>
      </c>
      <c r="BJ101" s="221">
        <v>0</v>
      </c>
      <c r="BK101" s="221">
        <v>0</v>
      </c>
      <c r="BL101" s="221">
        <v>0</v>
      </c>
      <c r="BM101" s="221">
        <v>0</v>
      </c>
      <c r="BN101" s="221">
        <v>0</v>
      </c>
      <c r="BO101" s="221">
        <v>0</v>
      </c>
      <c r="BP101" s="221">
        <v>0</v>
      </c>
      <c r="BQ101" s="221">
        <v>0</v>
      </c>
      <c r="BR101" s="221">
        <v>0</v>
      </c>
      <c r="BS101" s="221">
        <v>0</v>
      </c>
      <c r="BT101" s="221">
        <v>0</v>
      </c>
      <c r="BU101" s="221">
        <v>0</v>
      </c>
      <c r="BV101" s="221">
        <v>0</v>
      </c>
      <c r="BW101" s="221">
        <v>0</v>
      </c>
      <c r="BX101" s="221">
        <v>0</v>
      </c>
      <c r="BY101" s="221">
        <v>0</v>
      </c>
      <c r="BZ101" s="221">
        <v>0</v>
      </c>
      <c r="CA101" s="221">
        <v>0</v>
      </c>
      <c r="CB101" s="221">
        <v>0</v>
      </c>
      <c r="CC101" s="221">
        <v>0</v>
      </c>
      <c r="CD101" s="221">
        <v>0</v>
      </c>
      <c r="CE101" s="221">
        <v>0</v>
      </c>
      <c r="CF101" s="221">
        <v>0</v>
      </c>
      <c r="CG101" s="221">
        <v>0</v>
      </c>
      <c r="CH101" s="221">
        <v>0</v>
      </c>
      <c r="CI101" s="221">
        <v>0</v>
      </c>
      <c r="CJ101" s="221">
        <v>0</v>
      </c>
    </row>
    <row r="102" spans="2:88" x14ac:dyDescent="0.35">
      <c r="B102" s="42" t="s">
        <v>759</v>
      </c>
      <c r="C102" s="221">
        <f t="shared" si="77"/>
        <v>0</v>
      </c>
      <c r="D102" s="221">
        <f t="shared" si="77"/>
        <v>0</v>
      </c>
      <c r="E102" s="221">
        <f t="shared" si="77"/>
        <v>0</v>
      </c>
      <c r="F102" s="221">
        <f t="shared" si="77"/>
        <v>0</v>
      </c>
      <c r="G102" s="221">
        <f t="shared" si="77"/>
        <v>0</v>
      </c>
      <c r="H102" s="221">
        <f t="shared" si="77"/>
        <v>0</v>
      </c>
      <c r="I102" s="221">
        <f t="shared" si="78"/>
        <v>0</v>
      </c>
      <c r="J102" s="221">
        <f t="shared" si="71"/>
        <v>0</v>
      </c>
      <c r="K102" s="221">
        <f t="shared" si="71"/>
        <v>0</v>
      </c>
      <c r="L102" s="221">
        <f t="shared" si="71"/>
        <v>0</v>
      </c>
      <c r="M102" s="221">
        <f t="shared" si="71"/>
        <v>0</v>
      </c>
      <c r="N102" s="221">
        <f t="shared" si="79"/>
        <v>0</v>
      </c>
      <c r="O102" s="221">
        <f t="shared" si="72"/>
        <v>0</v>
      </c>
      <c r="P102" s="221">
        <f t="shared" si="72"/>
        <v>0</v>
      </c>
      <c r="Q102" s="221">
        <f t="shared" si="72"/>
        <v>0</v>
      </c>
      <c r="R102" s="221">
        <f t="shared" si="72"/>
        <v>0</v>
      </c>
      <c r="S102" s="221">
        <f t="shared" si="80"/>
        <v>0</v>
      </c>
      <c r="T102" s="221">
        <f t="shared" si="73"/>
        <v>0</v>
      </c>
      <c r="U102" s="221">
        <f t="shared" si="73"/>
        <v>0</v>
      </c>
      <c r="V102" s="221">
        <f t="shared" si="73"/>
        <v>0</v>
      </c>
      <c r="W102" s="221">
        <f t="shared" si="73"/>
        <v>0</v>
      </c>
      <c r="X102" s="221">
        <f t="shared" si="81"/>
        <v>0</v>
      </c>
      <c r="Y102" s="221">
        <f t="shared" si="74"/>
        <v>0</v>
      </c>
      <c r="Z102" s="221">
        <f t="shared" si="74"/>
        <v>0</v>
      </c>
      <c r="AA102" s="221">
        <f t="shared" si="74"/>
        <v>0</v>
      </c>
      <c r="AB102" s="221">
        <f t="shared" si="74"/>
        <v>0</v>
      </c>
      <c r="AC102" s="221">
        <f t="shared" si="82"/>
        <v>0</v>
      </c>
      <c r="AD102" s="221">
        <f t="shared" si="75"/>
        <v>0</v>
      </c>
      <c r="AE102" s="221">
        <f t="shared" si="75"/>
        <v>0</v>
      </c>
      <c r="AF102" s="221">
        <f t="shared" si="75"/>
        <v>0</v>
      </c>
      <c r="AG102" s="221">
        <f t="shared" si="75"/>
        <v>0</v>
      </c>
      <c r="AH102" s="221">
        <f t="shared" si="83"/>
        <v>0</v>
      </c>
      <c r="AI102" s="221">
        <f t="shared" si="76"/>
        <v>0</v>
      </c>
      <c r="AJ102" s="221">
        <f t="shared" si="76"/>
        <v>0</v>
      </c>
      <c r="AK102" s="221">
        <f t="shared" si="76"/>
        <v>0</v>
      </c>
      <c r="AL102" s="221">
        <f t="shared" si="76"/>
        <v>0</v>
      </c>
      <c r="AM102" s="221">
        <v>0</v>
      </c>
      <c r="AN102" s="221">
        <v>0</v>
      </c>
      <c r="AO102" s="221">
        <v>0</v>
      </c>
      <c r="AP102" s="221">
        <v>0</v>
      </c>
      <c r="AQ102" s="221">
        <v>0</v>
      </c>
      <c r="AR102" s="221">
        <v>0</v>
      </c>
      <c r="AS102" s="221">
        <v>0</v>
      </c>
      <c r="AT102" s="221">
        <v>0</v>
      </c>
      <c r="AU102" s="221">
        <v>0</v>
      </c>
      <c r="AV102" s="221">
        <v>0</v>
      </c>
      <c r="AW102" s="221">
        <v>0</v>
      </c>
      <c r="AX102" s="221">
        <v>0</v>
      </c>
      <c r="AY102" s="221">
        <v>0</v>
      </c>
      <c r="AZ102" s="221">
        <v>0</v>
      </c>
      <c r="BA102" s="221">
        <v>0</v>
      </c>
      <c r="BB102" s="221">
        <v>0</v>
      </c>
      <c r="BC102" s="221">
        <v>0</v>
      </c>
      <c r="BD102" s="221">
        <v>0</v>
      </c>
      <c r="BE102" s="221">
        <v>0</v>
      </c>
      <c r="BF102" s="221">
        <v>0</v>
      </c>
      <c r="BG102" s="221">
        <v>0</v>
      </c>
      <c r="BH102" s="221">
        <v>0</v>
      </c>
      <c r="BI102" s="221">
        <v>0</v>
      </c>
      <c r="BJ102" s="221">
        <v>0</v>
      </c>
      <c r="BK102" s="221">
        <v>0</v>
      </c>
      <c r="BL102" s="221">
        <v>0</v>
      </c>
      <c r="BM102" s="221">
        <v>0</v>
      </c>
      <c r="BN102" s="221">
        <v>0</v>
      </c>
      <c r="BO102" s="221">
        <v>0</v>
      </c>
      <c r="BP102" s="221">
        <v>0</v>
      </c>
      <c r="BQ102" s="221">
        <v>0</v>
      </c>
      <c r="BR102" s="221">
        <v>0</v>
      </c>
      <c r="BS102" s="221">
        <v>0</v>
      </c>
      <c r="BT102" s="221">
        <v>0</v>
      </c>
      <c r="BU102" s="221">
        <v>0</v>
      </c>
      <c r="BV102" s="221">
        <v>0</v>
      </c>
      <c r="BW102" s="221">
        <v>0</v>
      </c>
      <c r="BX102" s="221">
        <v>0</v>
      </c>
      <c r="BY102" s="221">
        <v>0</v>
      </c>
      <c r="BZ102" s="221">
        <v>0</v>
      </c>
      <c r="CA102" s="221">
        <v>0</v>
      </c>
      <c r="CB102" s="221">
        <v>0</v>
      </c>
      <c r="CC102" s="221">
        <v>0</v>
      </c>
      <c r="CD102" s="221">
        <v>0</v>
      </c>
      <c r="CE102" s="221">
        <v>0</v>
      </c>
      <c r="CF102" s="221">
        <v>0</v>
      </c>
      <c r="CG102" s="221">
        <v>0</v>
      </c>
      <c r="CH102" s="221">
        <v>0</v>
      </c>
      <c r="CI102" s="221">
        <v>0</v>
      </c>
      <c r="CJ102" s="221">
        <v>0</v>
      </c>
    </row>
    <row r="103" spans="2:88" x14ac:dyDescent="0.35">
      <c r="B103" s="42" t="s">
        <v>1329</v>
      </c>
      <c r="C103" s="221">
        <f t="shared" si="77"/>
        <v>0</v>
      </c>
      <c r="D103" s="221">
        <f t="shared" si="77"/>
        <v>0</v>
      </c>
      <c r="E103" s="221">
        <f t="shared" si="77"/>
        <v>0</v>
      </c>
      <c r="F103" s="221">
        <f t="shared" si="77"/>
        <v>0</v>
      </c>
      <c r="G103" s="221">
        <f t="shared" si="77"/>
        <v>0</v>
      </c>
      <c r="H103" s="221">
        <f t="shared" si="77"/>
        <v>0</v>
      </c>
      <c r="I103" s="221">
        <f t="shared" si="78"/>
        <v>0</v>
      </c>
      <c r="J103" s="221">
        <f t="shared" si="71"/>
        <v>0</v>
      </c>
      <c r="K103" s="221">
        <f t="shared" si="71"/>
        <v>0</v>
      </c>
      <c r="L103" s="221">
        <f t="shared" si="71"/>
        <v>0</v>
      </c>
      <c r="M103" s="221">
        <f t="shared" si="71"/>
        <v>0</v>
      </c>
      <c r="N103" s="221">
        <f t="shared" si="79"/>
        <v>0</v>
      </c>
      <c r="O103" s="221">
        <f t="shared" si="72"/>
        <v>0</v>
      </c>
      <c r="P103" s="221">
        <f t="shared" si="72"/>
        <v>0</v>
      </c>
      <c r="Q103" s="221">
        <f t="shared" si="72"/>
        <v>0</v>
      </c>
      <c r="R103" s="221">
        <f t="shared" si="72"/>
        <v>0</v>
      </c>
      <c r="S103" s="221">
        <f t="shared" si="80"/>
        <v>0</v>
      </c>
      <c r="T103" s="221">
        <f t="shared" si="73"/>
        <v>0</v>
      </c>
      <c r="U103" s="221">
        <f t="shared" si="73"/>
        <v>0</v>
      </c>
      <c r="V103" s="221">
        <f t="shared" si="73"/>
        <v>0</v>
      </c>
      <c r="W103" s="221">
        <f t="shared" si="73"/>
        <v>0</v>
      </c>
      <c r="X103" s="221">
        <f t="shared" si="81"/>
        <v>0</v>
      </c>
      <c r="Y103" s="221">
        <f t="shared" si="74"/>
        <v>0</v>
      </c>
      <c r="Z103" s="221">
        <f t="shared" si="74"/>
        <v>0</v>
      </c>
      <c r="AA103" s="221">
        <f t="shared" si="74"/>
        <v>0</v>
      </c>
      <c r="AB103" s="221">
        <f t="shared" si="74"/>
        <v>0</v>
      </c>
      <c r="AC103" s="221">
        <f t="shared" si="82"/>
        <v>0</v>
      </c>
      <c r="AD103" s="221">
        <f t="shared" si="75"/>
        <v>0</v>
      </c>
      <c r="AE103" s="221">
        <f t="shared" si="75"/>
        <v>0</v>
      </c>
      <c r="AF103" s="221">
        <f t="shared" si="75"/>
        <v>0</v>
      </c>
      <c r="AG103" s="221">
        <f t="shared" si="75"/>
        <v>0</v>
      </c>
      <c r="AH103" s="221">
        <f t="shared" si="83"/>
        <v>0</v>
      </c>
      <c r="AI103" s="221">
        <f t="shared" si="76"/>
        <v>0</v>
      </c>
      <c r="AJ103" s="221">
        <f t="shared" si="76"/>
        <v>0</v>
      </c>
      <c r="AK103" s="221">
        <f t="shared" si="76"/>
        <v>0</v>
      </c>
      <c r="AL103" s="221">
        <f t="shared" si="76"/>
        <v>0</v>
      </c>
      <c r="AM103" s="221">
        <v>0</v>
      </c>
      <c r="AN103" s="221">
        <v>0</v>
      </c>
      <c r="AO103" s="221">
        <v>0</v>
      </c>
      <c r="AP103" s="221">
        <v>0</v>
      </c>
      <c r="AQ103" s="221">
        <v>0</v>
      </c>
      <c r="AR103" s="221">
        <v>0</v>
      </c>
      <c r="AS103" s="221">
        <v>0</v>
      </c>
      <c r="AT103" s="221">
        <v>0</v>
      </c>
      <c r="AU103" s="221">
        <v>0</v>
      </c>
      <c r="AV103" s="221">
        <v>0</v>
      </c>
      <c r="AW103" s="221">
        <v>0</v>
      </c>
      <c r="AX103" s="221">
        <v>0</v>
      </c>
      <c r="AY103" s="221">
        <v>0</v>
      </c>
      <c r="AZ103" s="221">
        <v>0</v>
      </c>
      <c r="BA103" s="221">
        <v>0</v>
      </c>
      <c r="BB103" s="221">
        <v>0</v>
      </c>
      <c r="BC103" s="221">
        <v>0</v>
      </c>
      <c r="BD103" s="221">
        <v>0</v>
      </c>
      <c r="BE103" s="221">
        <v>0</v>
      </c>
      <c r="BF103" s="221">
        <v>0</v>
      </c>
      <c r="BG103" s="221">
        <v>0</v>
      </c>
      <c r="BH103" s="221">
        <v>0</v>
      </c>
      <c r="BI103" s="221">
        <v>0</v>
      </c>
      <c r="BJ103" s="221">
        <v>0</v>
      </c>
      <c r="BK103" s="221">
        <v>0</v>
      </c>
      <c r="BL103" s="221">
        <v>0</v>
      </c>
      <c r="BM103" s="221">
        <v>0</v>
      </c>
      <c r="BN103" s="221">
        <v>0</v>
      </c>
      <c r="BO103" s="221">
        <v>0</v>
      </c>
      <c r="BP103" s="221">
        <v>0</v>
      </c>
      <c r="BQ103" s="221">
        <v>0</v>
      </c>
      <c r="BR103" s="221">
        <v>0</v>
      </c>
      <c r="BS103" s="221">
        <v>0</v>
      </c>
      <c r="BT103" s="221">
        <v>0</v>
      </c>
      <c r="BU103" s="221">
        <v>0</v>
      </c>
      <c r="BV103" s="221">
        <v>0</v>
      </c>
      <c r="BW103" s="221">
        <v>0</v>
      </c>
      <c r="BX103" s="221">
        <v>0</v>
      </c>
      <c r="BY103" s="221">
        <v>0</v>
      </c>
      <c r="BZ103" s="221">
        <v>0</v>
      </c>
      <c r="CA103" s="221">
        <v>0</v>
      </c>
      <c r="CB103" s="221">
        <v>0</v>
      </c>
      <c r="CC103" s="221">
        <v>0</v>
      </c>
      <c r="CD103" s="221">
        <v>0</v>
      </c>
      <c r="CE103" s="221">
        <v>0</v>
      </c>
      <c r="CF103" s="221">
        <v>0</v>
      </c>
      <c r="CG103" s="221">
        <v>0</v>
      </c>
      <c r="CH103" s="221">
        <v>0</v>
      </c>
      <c r="CI103" s="221">
        <v>0</v>
      </c>
      <c r="CJ103" s="221">
        <v>0</v>
      </c>
    </row>
    <row r="104" spans="2:88" x14ac:dyDescent="0.35">
      <c r="B104" s="42" t="s">
        <v>760</v>
      </c>
      <c r="C104" s="221">
        <f t="shared" si="77"/>
        <v>0</v>
      </c>
      <c r="D104" s="221">
        <f t="shared" si="77"/>
        <v>0</v>
      </c>
      <c r="E104" s="221">
        <f t="shared" si="77"/>
        <v>0</v>
      </c>
      <c r="F104" s="221">
        <f t="shared" si="77"/>
        <v>0</v>
      </c>
      <c r="G104" s="221">
        <f t="shared" si="77"/>
        <v>0</v>
      </c>
      <c r="H104" s="221">
        <f t="shared" si="77"/>
        <v>0</v>
      </c>
      <c r="I104" s="221">
        <f t="shared" si="78"/>
        <v>0</v>
      </c>
      <c r="J104" s="221">
        <f t="shared" si="71"/>
        <v>0</v>
      </c>
      <c r="K104" s="221">
        <f t="shared" si="71"/>
        <v>0</v>
      </c>
      <c r="L104" s="221">
        <f t="shared" si="71"/>
        <v>0</v>
      </c>
      <c r="M104" s="221">
        <f t="shared" si="71"/>
        <v>0</v>
      </c>
      <c r="N104" s="221">
        <f t="shared" si="79"/>
        <v>0</v>
      </c>
      <c r="O104" s="221">
        <f t="shared" si="72"/>
        <v>0</v>
      </c>
      <c r="P104" s="221">
        <f t="shared" si="72"/>
        <v>0</v>
      </c>
      <c r="Q104" s="221">
        <f t="shared" si="72"/>
        <v>0</v>
      </c>
      <c r="R104" s="221">
        <f t="shared" si="72"/>
        <v>0</v>
      </c>
      <c r="S104" s="221">
        <f t="shared" si="80"/>
        <v>0</v>
      </c>
      <c r="T104" s="221">
        <f t="shared" si="73"/>
        <v>0</v>
      </c>
      <c r="U104" s="221">
        <f t="shared" si="73"/>
        <v>0</v>
      </c>
      <c r="V104" s="221">
        <f t="shared" si="73"/>
        <v>0</v>
      </c>
      <c r="W104" s="221">
        <f t="shared" si="73"/>
        <v>0</v>
      </c>
      <c r="X104" s="221">
        <f t="shared" si="81"/>
        <v>0</v>
      </c>
      <c r="Y104" s="221">
        <f t="shared" si="74"/>
        <v>0</v>
      </c>
      <c r="Z104" s="221">
        <f t="shared" si="74"/>
        <v>0</v>
      </c>
      <c r="AA104" s="221">
        <f t="shared" si="74"/>
        <v>0</v>
      </c>
      <c r="AB104" s="221">
        <f t="shared" si="74"/>
        <v>0</v>
      </c>
      <c r="AC104" s="221">
        <f t="shared" si="82"/>
        <v>0</v>
      </c>
      <c r="AD104" s="221">
        <f t="shared" si="75"/>
        <v>0</v>
      </c>
      <c r="AE104" s="221">
        <f t="shared" si="75"/>
        <v>0</v>
      </c>
      <c r="AF104" s="221">
        <f t="shared" si="75"/>
        <v>0</v>
      </c>
      <c r="AG104" s="221">
        <f t="shared" si="75"/>
        <v>0</v>
      </c>
      <c r="AH104" s="221">
        <f t="shared" si="83"/>
        <v>0</v>
      </c>
      <c r="AI104" s="221">
        <f t="shared" si="76"/>
        <v>0</v>
      </c>
      <c r="AJ104" s="221">
        <f t="shared" si="76"/>
        <v>0</v>
      </c>
      <c r="AK104" s="221">
        <f t="shared" si="76"/>
        <v>0</v>
      </c>
      <c r="AL104" s="221">
        <f t="shared" si="76"/>
        <v>0</v>
      </c>
      <c r="AM104" s="221">
        <v>0</v>
      </c>
      <c r="AN104" s="221">
        <v>0</v>
      </c>
      <c r="AO104" s="221">
        <v>0</v>
      </c>
      <c r="AP104" s="221">
        <v>0</v>
      </c>
      <c r="AQ104" s="221">
        <v>0</v>
      </c>
      <c r="AR104" s="221">
        <v>0</v>
      </c>
      <c r="AS104" s="221">
        <v>0</v>
      </c>
      <c r="AT104" s="221">
        <v>0</v>
      </c>
      <c r="AU104" s="221">
        <v>0</v>
      </c>
      <c r="AV104" s="221">
        <v>0</v>
      </c>
      <c r="AW104" s="221">
        <v>0</v>
      </c>
      <c r="AX104" s="221">
        <v>0</v>
      </c>
      <c r="AY104" s="221">
        <v>0</v>
      </c>
      <c r="AZ104" s="221">
        <v>0</v>
      </c>
      <c r="BA104" s="221">
        <v>0</v>
      </c>
      <c r="BB104" s="221">
        <v>0</v>
      </c>
      <c r="BC104" s="221">
        <v>0</v>
      </c>
      <c r="BD104" s="221">
        <v>0</v>
      </c>
      <c r="BE104" s="221">
        <v>0</v>
      </c>
      <c r="BF104" s="221">
        <v>0</v>
      </c>
      <c r="BG104" s="221">
        <v>0</v>
      </c>
      <c r="BH104" s="221">
        <v>0</v>
      </c>
      <c r="BI104" s="221">
        <v>0</v>
      </c>
      <c r="BJ104" s="221">
        <v>0</v>
      </c>
      <c r="BK104" s="221">
        <v>0</v>
      </c>
      <c r="BL104" s="221">
        <v>0</v>
      </c>
      <c r="BM104" s="221">
        <v>0</v>
      </c>
      <c r="BN104" s="221">
        <v>0</v>
      </c>
      <c r="BO104" s="221">
        <v>0</v>
      </c>
      <c r="BP104" s="221">
        <v>0</v>
      </c>
      <c r="BQ104" s="221">
        <v>0</v>
      </c>
      <c r="BR104" s="221">
        <v>0</v>
      </c>
      <c r="BS104" s="221">
        <v>0</v>
      </c>
      <c r="BT104" s="221">
        <v>0</v>
      </c>
      <c r="BU104" s="221">
        <v>0</v>
      </c>
      <c r="BV104" s="221">
        <v>0</v>
      </c>
      <c r="BW104" s="221">
        <v>0</v>
      </c>
      <c r="BX104" s="221">
        <v>0</v>
      </c>
      <c r="BY104" s="221">
        <v>0</v>
      </c>
      <c r="BZ104" s="221">
        <v>0</v>
      </c>
      <c r="CA104" s="221">
        <v>0</v>
      </c>
      <c r="CB104" s="221">
        <v>0</v>
      </c>
      <c r="CC104" s="221">
        <v>0</v>
      </c>
      <c r="CD104" s="221">
        <v>0</v>
      </c>
      <c r="CE104" s="221">
        <v>0</v>
      </c>
      <c r="CF104" s="221">
        <v>0</v>
      </c>
      <c r="CG104" s="221">
        <v>0</v>
      </c>
      <c r="CH104" s="221">
        <v>0</v>
      </c>
      <c r="CI104" s="221">
        <v>0</v>
      </c>
      <c r="CJ104" s="221">
        <v>0</v>
      </c>
    </row>
    <row r="105" spans="2:88" x14ac:dyDescent="0.35">
      <c r="B105" s="42" t="s">
        <v>1330</v>
      </c>
      <c r="C105" s="221">
        <f t="shared" si="77"/>
        <v>0</v>
      </c>
      <c r="D105" s="221">
        <f t="shared" si="77"/>
        <v>0</v>
      </c>
      <c r="E105" s="221">
        <f t="shared" si="77"/>
        <v>0</v>
      </c>
      <c r="F105" s="221">
        <f t="shared" si="77"/>
        <v>0</v>
      </c>
      <c r="G105" s="221">
        <f t="shared" si="77"/>
        <v>0</v>
      </c>
      <c r="H105" s="221">
        <f t="shared" si="77"/>
        <v>0</v>
      </c>
      <c r="I105" s="221">
        <f t="shared" si="78"/>
        <v>0</v>
      </c>
      <c r="J105" s="221">
        <f t="shared" si="71"/>
        <v>0</v>
      </c>
      <c r="K105" s="221">
        <f t="shared" si="71"/>
        <v>0</v>
      </c>
      <c r="L105" s="221">
        <f t="shared" si="71"/>
        <v>0</v>
      </c>
      <c r="M105" s="221">
        <f t="shared" si="71"/>
        <v>0</v>
      </c>
      <c r="N105" s="221">
        <f t="shared" si="79"/>
        <v>0</v>
      </c>
      <c r="O105" s="221">
        <f t="shared" si="72"/>
        <v>0</v>
      </c>
      <c r="P105" s="221">
        <f t="shared" si="72"/>
        <v>0</v>
      </c>
      <c r="Q105" s="221">
        <f t="shared" si="72"/>
        <v>0</v>
      </c>
      <c r="R105" s="221">
        <f t="shared" si="72"/>
        <v>0</v>
      </c>
      <c r="S105" s="221">
        <f t="shared" si="80"/>
        <v>0</v>
      </c>
      <c r="T105" s="221">
        <f t="shared" si="73"/>
        <v>0</v>
      </c>
      <c r="U105" s="221">
        <f t="shared" si="73"/>
        <v>0</v>
      </c>
      <c r="V105" s="221">
        <f t="shared" si="73"/>
        <v>0</v>
      </c>
      <c r="W105" s="221">
        <f t="shared" si="73"/>
        <v>0</v>
      </c>
      <c r="X105" s="221">
        <f t="shared" si="81"/>
        <v>0</v>
      </c>
      <c r="Y105" s="221">
        <f t="shared" si="74"/>
        <v>0</v>
      </c>
      <c r="Z105" s="221">
        <f t="shared" si="74"/>
        <v>0</v>
      </c>
      <c r="AA105" s="221">
        <f t="shared" si="74"/>
        <v>0</v>
      </c>
      <c r="AB105" s="221">
        <f t="shared" si="74"/>
        <v>0</v>
      </c>
      <c r="AC105" s="221">
        <f t="shared" si="82"/>
        <v>0</v>
      </c>
      <c r="AD105" s="221">
        <f t="shared" si="75"/>
        <v>0</v>
      </c>
      <c r="AE105" s="221">
        <f t="shared" si="75"/>
        <v>0</v>
      </c>
      <c r="AF105" s="221">
        <f t="shared" si="75"/>
        <v>0</v>
      </c>
      <c r="AG105" s="221">
        <f t="shared" si="75"/>
        <v>0</v>
      </c>
      <c r="AH105" s="221">
        <f t="shared" si="83"/>
        <v>0</v>
      </c>
      <c r="AI105" s="221">
        <f t="shared" si="76"/>
        <v>0</v>
      </c>
      <c r="AJ105" s="221">
        <f t="shared" si="76"/>
        <v>0</v>
      </c>
      <c r="AK105" s="221">
        <f t="shared" si="76"/>
        <v>0</v>
      </c>
      <c r="AL105" s="221">
        <f t="shared" si="76"/>
        <v>0</v>
      </c>
      <c r="AM105" s="221">
        <v>0</v>
      </c>
      <c r="AN105" s="221">
        <v>0</v>
      </c>
      <c r="AO105" s="221">
        <v>0</v>
      </c>
      <c r="AP105" s="221">
        <v>0</v>
      </c>
      <c r="AQ105" s="221">
        <v>0</v>
      </c>
      <c r="AR105" s="221">
        <v>0</v>
      </c>
      <c r="AS105" s="221">
        <v>0</v>
      </c>
      <c r="AT105" s="221">
        <v>0</v>
      </c>
      <c r="AU105" s="221">
        <v>0</v>
      </c>
      <c r="AV105" s="221">
        <v>0</v>
      </c>
      <c r="AW105" s="221">
        <v>0</v>
      </c>
      <c r="AX105" s="221">
        <v>0</v>
      </c>
      <c r="AY105" s="221">
        <v>0</v>
      </c>
      <c r="AZ105" s="221">
        <v>0</v>
      </c>
      <c r="BA105" s="221">
        <v>0</v>
      </c>
      <c r="BB105" s="221">
        <v>0</v>
      </c>
      <c r="BC105" s="221">
        <v>0</v>
      </c>
      <c r="BD105" s="221">
        <v>0</v>
      </c>
      <c r="BE105" s="221">
        <v>0</v>
      </c>
      <c r="BF105" s="221">
        <v>0</v>
      </c>
      <c r="BG105" s="221">
        <v>0</v>
      </c>
      <c r="BH105" s="221">
        <v>0</v>
      </c>
      <c r="BI105" s="221">
        <v>0</v>
      </c>
      <c r="BJ105" s="221">
        <v>0</v>
      </c>
      <c r="BK105" s="221">
        <v>0</v>
      </c>
      <c r="BL105" s="221">
        <v>0</v>
      </c>
      <c r="BM105" s="221">
        <v>0</v>
      </c>
      <c r="BN105" s="221">
        <v>0</v>
      </c>
      <c r="BO105" s="221">
        <v>0</v>
      </c>
      <c r="BP105" s="221">
        <v>0</v>
      </c>
      <c r="BQ105" s="221">
        <v>0</v>
      </c>
      <c r="BR105" s="221">
        <v>0</v>
      </c>
      <c r="BS105" s="221">
        <v>0</v>
      </c>
      <c r="BT105" s="221">
        <v>0</v>
      </c>
      <c r="BU105" s="221">
        <v>0</v>
      </c>
      <c r="BV105" s="221">
        <v>0</v>
      </c>
      <c r="BW105" s="221">
        <v>0</v>
      </c>
      <c r="BX105" s="221">
        <v>0</v>
      </c>
      <c r="BY105" s="221">
        <v>0</v>
      </c>
      <c r="BZ105" s="221">
        <v>0</v>
      </c>
      <c r="CA105" s="221">
        <v>0</v>
      </c>
      <c r="CB105" s="221">
        <v>0</v>
      </c>
      <c r="CC105" s="221">
        <v>0</v>
      </c>
      <c r="CD105" s="221">
        <v>0</v>
      </c>
      <c r="CE105" s="221">
        <v>0</v>
      </c>
      <c r="CF105" s="221">
        <v>0</v>
      </c>
      <c r="CG105" s="221">
        <v>0</v>
      </c>
      <c r="CH105" s="221">
        <v>0</v>
      </c>
      <c r="CI105" s="221">
        <v>0</v>
      </c>
      <c r="CJ105" s="221">
        <v>0</v>
      </c>
    </row>
    <row r="106" spans="2:88" x14ac:dyDescent="0.35">
      <c r="B106" s="42" t="s">
        <v>1331</v>
      </c>
      <c r="C106" s="221">
        <f t="shared" si="77"/>
        <v>0</v>
      </c>
      <c r="D106" s="221">
        <f t="shared" si="77"/>
        <v>0</v>
      </c>
      <c r="E106" s="221">
        <f t="shared" si="77"/>
        <v>0</v>
      </c>
      <c r="F106" s="221">
        <f t="shared" si="77"/>
        <v>0</v>
      </c>
      <c r="G106" s="221">
        <f t="shared" si="77"/>
        <v>0</v>
      </c>
      <c r="H106" s="221">
        <f t="shared" si="77"/>
        <v>0</v>
      </c>
      <c r="I106" s="221">
        <f t="shared" si="78"/>
        <v>0</v>
      </c>
      <c r="J106" s="221">
        <f t="shared" si="71"/>
        <v>0</v>
      </c>
      <c r="K106" s="221">
        <f t="shared" si="71"/>
        <v>0</v>
      </c>
      <c r="L106" s="221">
        <f t="shared" si="71"/>
        <v>0</v>
      </c>
      <c r="M106" s="221">
        <f t="shared" si="71"/>
        <v>0</v>
      </c>
      <c r="N106" s="221">
        <f t="shared" si="79"/>
        <v>0</v>
      </c>
      <c r="O106" s="221">
        <f t="shared" si="72"/>
        <v>0</v>
      </c>
      <c r="P106" s="221">
        <f t="shared" si="72"/>
        <v>0</v>
      </c>
      <c r="Q106" s="221">
        <f t="shared" si="72"/>
        <v>0</v>
      </c>
      <c r="R106" s="221">
        <f t="shared" si="72"/>
        <v>0</v>
      </c>
      <c r="S106" s="221">
        <f t="shared" si="80"/>
        <v>0</v>
      </c>
      <c r="T106" s="221">
        <f t="shared" si="73"/>
        <v>0</v>
      </c>
      <c r="U106" s="221">
        <f t="shared" si="73"/>
        <v>0</v>
      </c>
      <c r="V106" s="221">
        <f t="shared" si="73"/>
        <v>0</v>
      </c>
      <c r="W106" s="221">
        <f t="shared" si="73"/>
        <v>0</v>
      </c>
      <c r="X106" s="221">
        <f t="shared" si="81"/>
        <v>0</v>
      </c>
      <c r="Y106" s="221">
        <f t="shared" si="74"/>
        <v>0</v>
      </c>
      <c r="Z106" s="221">
        <f t="shared" si="74"/>
        <v>0</v>
      </c>
      <c r="AA106" s="221">
        <f t="shared" si="74"/>
        <v>0</v>
      </c>
      <c r="AB106" s="221">
        <f t="shared" si="74"/>
        <v>0</v>
      </c>
      <c r="AC106" s="221">
        <f t="shared" si="82"/>
        <v>0</v>
      </c>
      <c r="AD106" s="221">
        <f t="shared" si="75"/>
        <v>0</v>
      </c>
      <c r="AE106" s="221">
        <f t="shared" si="75"/>
        <v>0</v>
      </c>
      <c r="AF106" s="221">
        <f t="shared" si="75"/>
        <v>0</v>
      </c>
      <c r="AG106" s="221">
        <f t="shared" si="75"/>
        <v>0</v>
      </c>
      <c r="AH106" s="221">
        <f t="shared" si="83"/>
        <v>0</v>
      </c>
      <c r="AI106" s="221">
        <f t="shared" si="76"/>
        <v>0</v>
      </c>
      <c r="AJ106" s="221">
        <f t="shared" si="76"/>
        <v>0</v>
      </c>
      <c r="AK106" s="221">
        <f t="shared" si="76"/>
        <v>0</v>
      </c>
      <c r="AL106" s="221">
        <f t="shared" si="76"/>
        <v>0</v>
      </c>
      <c r="AM106" s="221">
        <v>0</v>
      </c>
      <c r="AN106" s="221">
        <v>0</v>
      </c>
      <c r="AO106" s="221">
        <v>0</v>
      </c>
      <c r="AP106" s="221">
        <v>0</v>
      </c>
      <c r="AQ106" s="221">
        <v>0</v>
      </c>
      <c r="AR106" s="221">
        <v>0</v>
      </c>
      <c r="AS106" s="221">
        <v>0</v>
      </c>
      <c r="AT106" s="221">
        <v>0</v>
      </c>
      <c r="AU106" s="221">
        <v>0</v>
      </c>
      <c r="AV106" s="221">
        <v>0</v>
      </c>
      <c r="AW106" s="221">
        <v>0</v>
      </c>
      <c r="AX106" s="221">
        <v>0</v>
      </c>
      <c r="AY106" s="221">
        <v>0</v>
      </c>
      <c r="AZ106" s="221">
        <v>0</v>
      </c>
      <c r="BA106" s="221">
        <v>0</v>
      </c>
      <c r="BB106" s="221">
        <v>0</v>
      </c>
      <c r="BC106" s="221">
        <v>0</v>
      </c>
      <c r="BD106" s="221">
        <v>0</v>
      </c>
      <c r="BE106" s="221">
        <v>0</v>
      </c>
      <c r="BF106" s="221">
        <v>0</v>
      </c>
      <c r="BG106" s="221">
        <v>0</v>
      </c>
      <c r="BH106" s="221">
        <v>0</v>
      </c>
      <c r="BI106" s="221">
        <v>0</v>
      </c>
      <c r="BJ106" s="221">
        <v>0</v>
      </c>
      <c r="BK106" s="221">
        <v>0</v>
      </c>
      <c r="BL106" s="221">
        <v>0</v>
      </c>
      <c r="BM106" s="221">
        <v>0</v>
      </c>
      <c r="BN106" s="221">
        <v>0</v>
      </c>
      <c r="BO106" s="221">
        <v>0</v>
      </c>
      <c r="BP106" s="221">
        <v>0</v>
      </c>
      <c r="BQ106" s="221">
        <v>0</v>
      </c>
      <c r="BR106" s="221">
        <v>0</v>
      </c>
      <c r="BS106" s="221">
        <v>0</v>
      </c>
      <c r="BT106" s="221">
        <v>0</v>
      </c>
      <c r="BU106" s="221">
        <v>0</v>
      </c>
      <c r="BV106" s="221">
        <v>0</v>
      </c>
      <c r="BW106" s="221">
        <v>0</v>
      </c>
      <c r="BX106" s="221">
        <v>0</v>
      </c>
      <c r="BY106" s="221">
        <v>0</v>
      </c>
      <c r="BZ106" s="221">
        <v>0</v>
      </c>
      <c r="CA106" s="221">
        <v>0</v>
      </c>
      <c r="CB106" s="221">
        <v>0</v>
      </c>
      <c r="CC106" s="221">
        <v>0</v>
      </c>
      <c r="CD106" s="221">
        <v>0</v>
      </c>
      <c r="CE106" s="221">
        <v>0</v>
      </c>
      <c r="CF106" s="221">
        <v>0</v>
      </c>
      <c r="CG106" s="221">
        <v>0</v>
      </c>
      <c r="CH106" s="221">
        <v>0</v>
      </c>
      <c r="CI106" s="221">
        <v>0</v>
      </c>
      <c r="CJ106" s="221">
        <v>0</v>
      </c>
    </row>
    <row r="108" spans="2:88" ht="18.5" x14ac:dyDescent="0.45">
      <c r="B108" s="223" t="s">
        <v>1340</v>
      </c>
    </row>
    <row r="109" spans="2:88" x14ac:dyDescent="0.35">
      <c r="B109" s="224" t="s">
        <v>1317</v>
      </c>
      <c r="C109">
        <v>2015</v>
      </c>
      <c r="D109">
        <v>2016</v>
      </c>
      <c r="E109">
        <v>2017</v>
      </c>
      <c r="F109">
        <v>2018</v>
      </c>
      <c r="G109">
        <v>2019</v>
      </c>
      <c r="H109">
        <v>2020</v>
      </c>
      <c r="I109">
        <v>2021</v>
      </c>
      <c r="J109">
        <v>2022</v>
      </c>
      <c r="K109">
        <v>2023</v>
      </c>
      <c r="L109">
        <v>2024</v>
      </c>
      <c r="M109">
        <v>2025</v>
      </c>
      <c r="N109">
        <v>2026</v>
      </c>
      <c r="O109">
        <v>2027</v>
      </c>
      <c r="P109">
        <v>2028</v>
      </c>
      <c r="Q109">
        <v>2029</v>
      </c>
      <c r="R109">
        <v>2030</v>
      </c>
      <c r="S109">
        <v>2031</v>
      </c>
      <c r="T109">
        <v>2032</v>
      </c>
      <c r="U109">
        <v>2033</v>
      </c>
      <c r="V109">
        <v>2034</v>
      </c>
      <c r="W109">
        <v>2035</v>
      </c>
      <c r="X109">
        <v>2036</v>
      </c>
      <c r="Y109">
        <v>2037</v>
      </c>
      <c r="Z109">
        <v>2038</v>
      </c>
      <c r="AA109">
        <v>2039</v>
      </c>
      <c r="AB109">
        <v>2040</v>
      </c>
      <c r="AC109">
        <v>2041</v>
      </c>
      <c r="AD109">
        <v>2042</v>
      </c>
      <c r="AE109">
        <v>2043</v>
      </c>
      <c r="AF109">
        <v>2044</v>
      </c>
      <c r="AG109">
        <v>2045</v>
      </c>
      <c r="AH109">
        <v>2046</v>
      </c>
      <c r="AI109">
        <v>2047</v>
      </c>
      <c r="AJ109">
        <v>2048</v>
      </c>
      <c r="AK109">
        <v>2049</v>
      </c>
      <c r="AL109">
        <v>2050</v>
      </c>
      <c r="AM109">
        <v>2051</v>
      </c>
      <c r="AN109">
        <v>2052</v>
      </c>
      <c r="AO109">
        <v>2053</v>
      </c>
      <c r="AP109">
        <v>2054</v>
      </c>
      <c r="AQ109">
        <v>2055</v>
      </c>
      <c r="AR109">
        <v>2056</v>
      </c>
      <c r="AS109">
        <v>2057</v>
      </c>
      <c r="AT109">
        <v>2058</v>
      </c>
      <c r="AU109">
        <v>2059</v>
      </c>
      <c r="AV109">
        <v>2060</v>
      </c>
      <c r="AW109">
        <v>2061</v>
      </c>
      <c r="AX109">
        <v>2062</v>
      </c>
      <c r="AY109">
        <v>2063</v>
      </c>
      <c r="AZ109">
        <v>2064</v>
      </c>
      <c r="BA109">
        <v>2065</v>
      </c>
      <c r="BB109">
        <v>2066</v>
      </c>
      <c r="BC109">
        <v>2067</v>
      </c>
      <c r="BD109">
        <v>2068</v>
      </c>
      <c r="BE109">
        <v>2069</v>
      </c>
      <c r="BF109">
        <v>2070</v>
      </c>
      <c r="BG109">
        <v>2071</v>
      </c>
      <c r="BH109">
        <v>2072</v>
      </c>
      <c r="BI109">
        <v>2073</v>
      </c>
      <c r="BJ109">
        <v>2074</v>
      </c>
      <c r="BK109">
        <v>2075</v>
      </c>
      <c r="BL109">
        <v>2076</v>
      </c>
      <c r="BM109">
        <v>2077</v>
      </c>
      <c r="BN109">
        <v>2078</v>
      </c>
      <c r="BO109">
        <v>2079</v>
      </c>
      <c r="BP109">
        <v>2080</v>
      </c>
      <c r="BQ109">
        <v>2081</v>
      </c>
      <c r="BR109">
        <v>2082</v>
      </c>
      <c r="BS109">
        <v>2083</v>
      </c>
      <c r="BT109">
        <v>2084</v>
      </c>
      <c r="BU109">
        <v>2085</v>
      </c>
      <c r="BV109">
        <v>2086</v>
      </c>
      <c r="BW109">
        <v>2087</v>
      </c>
      <c r="BX109">
        <v>2088</v>
      </c>
      <c r="BY109">
        <v>2089</v>
      </c>
      <c r="BZ109">
        <v>2090</v>
      </c>
      <c r="CA109">
        <v>2091</v>
      </c>
      <c r="CB109">
        <v>2092</v>
      </c>
      <c r="CC109">
        <v>2093</v>
      </c>
      <c r="CD109">
        <v>2094</v>
      </c>
      <c r="CE109">
        <v>2095</v>
      </c>
      <c r="CF109">
        <v>2096</v>
      </c>
      <c r="CG109">
        <v>2097</v>
      </c>
      <c r="CH109">
        <v>2098</v>
      </c>
      <c r="CI109">
        <v>2099</v>
      </c>
      <c r="CJ109">
        <v>2100</v>
      </c>
    </row>
    <row r="110" spans="2:88" x14ac:dyDescent="0.35">
      <c r="B110" s="41" t="s">
        <v>1326</v>
      </c>
      <c r="C110" s="221">
        <f>$CM110</f>
        <v>0</v>
      </c>
      <c r="D110" s="221">
        <f t="shared" ref="D110:G110" si="84">$CM110</f>
        <v>0</v>
      </c>
      <c r="E110" s="221">
        <f t="shared" si="84"/>
        <v>0</v>
      </c>
      <c r="F110" s="221">
        <f t="shared" si="84"/>
        <v>0</v>
      </c>
      <c r="G110" s="221">
        <f t="shared" si="84"/>
        <v>0</v>
      </c>
      <c r="H110" s="221">
        <f>$CM110</f>
        <v>0</v>
      </c>
      <c r="I110" s="221">
        <f>$CN110</f>
        <v>0</v>
      </c>
      <c r="J110" s="221">
        <f t="shared" ref="J110:M118" si="85">$CN110</f>
        <v>0</v>
      </c>
      <c r="K110" s="221">
        <f t="shared" si="85"/>
        <v>0</v>
      </c>
      <c r="L110" s="221">
        <f t="shared" si="85"/>
        <v>0</v>
      </c>
      <c r="M110" s="221">
        <f t="shared" si="85"/>
        <v>0</v>
      </c>
      <c r="N110" s="221">
        <f>$CO110</f>
        <v>0</v>
      </c>
      <c r="O110" s="221">
        <f t="shared" ref="O110:R118" si="86">$CO110</f>
        <v>0</v>
      </c>
      <c r="P110" s="221">
        <f t="shared" si="86"/>
        <v>0</v>
      </c>
      <c r="Q110" s="221">
        <f t="shared" si="86"/>
        <v>0</v>
      </c>
      <c r="R110" s="221">
        <f t="shared" si="86"/>
        <v>0</v>
      </c>
      <c r="S110" s="221">
        <f>$CP110</f>
        <v>0</v>
      </c>
      <c r="T110" s="221">
        <f t="shared" ref="T110:W118" si="87">$CP110</f>
        <v>0</v>
      </c>
      <c r="U110" s="221">
        <f t="shared" si="87"/>
        <v>0</v>
      </c>
      <c r="V110" s="221">
        <f t="shared" si="87"/>
        <v>0</v>
      </c>
      <c r="W110" s="221">
        <f t="shared" si="87"/>
        <v>0</v>
      </c>
      <c r="X110" s="221">
        <f>$CQ110</f>
        <v>0</v>
      </c>
      <c r="Y110" s="221">
        <f t="shared" ref="Y110:AB118" si="88">$CQ110</f>
        <v>0</v>
      </c>
      <c r="Z110" s="221">
        <f t="shared" si="88"/>
        <v>0</v>
      </c>
      <c r="AA110" s="221">
        <f t="shared" si="88"/>
        <v>0</v>
      </c>
      <c r="AB110" s="221">
        <f t="shared" si="88"/>
        <v>0</v>
      </c>
      <c r="AC110" s="221">
        <f>$CR110</f>
        <v>0</v>
      </c>
      <c r="AD110" s="221">
        <f t="shared" ref="AD110:AG118" si="89">$CR110</f>
        <v>0</v>
      </c>
      <c r="AE110" s="221">
        <f t="shared" si="89"/>
        <v>0</v>
      </c>
      <c r="AF110" s="221">
        <f t="shared" si="89"/>
        <v>0</v>
      </c>
      <c r="AG110" s="221">
        <f t="shared" si="89"/>
        <v>0</v>
      </c>
      <c r="AH110" s="221">
        <f>$CS110</f>
        <v>0</v>
      </c>
      <c r="AI110" s="221">
        <f t="shared" ref="AI110:AL118" si="90">$CS110</f>
        <v>0</v>
      </c>
      <c r="AJ110" s="221">
        <f t="shared" si="90"/>
        <v>0</v>
      </c>
      <c r="AK110" s="221">
        <f t="shared" si="90"/>
        <v>0</v>
      </c>
      <c r="AL110" s="221">
        <f t="shared" si="90"/>
        <v>0</v>
      </c>
      <c r="AM110" s="221">
        <v>0</v>
      </c>
      <c r="AN110" s="221">
        <v>0</v>
      </c>
      <c r="AO110" s="221">
        <v>0</v>
      </c>
      <c r="AP110" s="221">
        <v>0</v>
      </c>
      <c r="AQ110" s="221">
        <v>0</v>
      </c>
      <c r="AR110" s="221">
        <v>0</v>
      </c>
      <c r="AS110" s="221">
        <v>0</v>
      </c>
      <c r="AT110" s="221">
        <v>0</v>
      </c>
      <c r="AU110" s="221">
        <v>0</v>
      </c>
      <c r="AV110" s="221">
        <v>0</v>
      </c>
      <c r="AW110" s="221">
        <v>0</v>
      </c>
      <c r="AX110" s="221">
        <v>0</v>
      </c>
      <c r="AY110" s="221">
        <v>0</v>
      </c>
      <c r="AZ110" s="221">
        <v>0</v>
      </c>
      <c r="BA110" s="221">
        <v>0</v>
      </c>
      <c r="BB110" s="221">
        <v>0</v>
      </c>
      <c r="BC110" s="221">
        <v>0</v>
      </c>
      <c r="BD110" s="221">
        <v>0</v>
      </c>
      <c r="BE110" s="221">
        <v>0</v>
      </c>
      <c r="BF110" s="221">
        <v>0</v>
      </c>
      <c r="BG110" s="221">
        <v>0</v>
      </c>
      <c r="BH110" s="221">
        <v>0</v>
      </c>
      <c r="BI110" s="221">
        <v>0</v>
      </c>
      <c r="BJ110" s="221">
        <v>0</v>
      </c>
      <c r="BK110" s="221">
        <v>0</v>
      </c>
      <c r="BL110" s="221">
        <v>0</v>
      </c>
      <c r="BM110" s="221">
        <v>0</v>
      </c>
      <c r="BN110" s="221">
        <v>0</v>
      </c>
      <c r="BO110" s="221">
        <v>0</v>
      </c>
      <c r="BP110" s="221">
        <v>0</v>
      </c>
      <c r="BQ110" s="221">
        <v>0</v>
      </c>
      <c r="BR110" s="221">
        <v>0</v>
      </c>
      <c r="BS110" s="221">
        <v>0</v>
      </c>
      <c r="BT110" s="221">
        <v>0</v>
      </c>
      <c r="BU110" s="221">
        <v>0</v>
      </c>
      <c r="BV110" s="221">
        <v>0</v>
      </c>
      <c r="BW110" s="221">
        <v>0</v>
      </c>
      <c r="BX110" s="221">
        <v>0</v>
      </c>
      <c r="BY110" s="221">
        <v>0</v>
      </c>
      <c r="BZ110" s="221">
        <v>0</v>
      </c>
      <c r="CA110" s="221">
        <v>0</v>
      </c>
      <c r="CB110" s="221">
        <v>0</v>
      </c>
      <c r="CC110" s="221">
        <v>0</v>
      </c>
      <c r="CD110" s="221">
        <v>0</v>
      </c>
      <c r="CE110" s="221">
        <v>0</v>
      </c>
      <c r="CF110" s="221">
        <v>0</v>
      </c>
      <c r="CG110" s="221">
        <v>0</v>
      </c>
      <c r="CH110" s="221">
        <v>0</v>
      </c>
      <c r="CI110" s="221">
        <v>0</v>
      </c>
      <c r="CJ110" s="221">
        <v>0</v>
      </c>
    </row>
    <row r="111" spans="2:88" x14ac:dyDescent="0.35">
      <c r="B111" s="42" t="s">
        <v>1327</v>
      </c>
      <c r="C111" s="221">
        <f t="shared" ref="C111:H118" si="91">$CM111</f>
        <v>0</v>
      </c>
      <c r="D111" s="221">
        <f t="shared" si="91"/>
        <v>0</v>
      </c>
      <c r="E111" s="221">
        <f t="shared" si="91"/>
        <v>0</v>
      </c>
      <c r="F111" s="221">
        <f t="shared" si="91"/>
        <v>0</v>
      </c>
      <c r="G111" s="221">
        <f t="shared" si="91"/>
        <v>0</v>
      </c>
      <c r="H111" s="221">
        <f t="shared" si="91"/>
        <v>0</v>
      </c>
      <c r="I111" s="221">
        <f t="shared" ref="I111:I118" si="92">$CN111</f>
        <v>0</v>
      </c>
      <c r="J111" s="221">
        <f t="shared" si="85"/>
        <v>0</v>
      </c>
      <c r="K111" s="221">
        <f t="shared" si="85"/>
        <v>0</v>
      </c>
      <c r="L111" s="221">
        <f t="shared" si="85"/>
        <v>0</v>
      </c>
      <c r="M111" s="221">
        <f t="shared" si="85"/>
        <v>0</v>
      </c>
      <c r="N111" s="221">
        <f t="shared" ref="N111:N118" si="93">$CO111</f>
        <v>0</v>
      </c>
      <c r="O111" s="221">
        <f t="shared" si="86"/>
        <v>0</v>
      </c>
      <c r="P111" s="221">
        <f t="shared" si="86"/>
        <v>0</v>
      </c>
      <c r="Q111" s="221">
        <f t="shared" si="86"/>
        <v>0</v>
      </c>
      <c r="R111" s="221">
        <f t="shared" si="86"/>
        <v>0</v>
      </c>
      <c r="S111" s="221">
        <f t="shared" ref="S111:S118" si="94">$CP111</f>
        <v>0</v>
      </c>
      <c r="T111" s="221">
        <f t="shared" si="87"/>
        <v>0</v>
      </c>
      <c r="U111" s="221">
        <f t="shared" si="87"/>
        <v>0</v>
      </c>
      <c r="V111" s="221">
        <f t="shared" si="87"/>
        <v>0</v>
      </c>
      <c r="W111" s="221">
        <f t="shared" si="87"/>
        <v>0</v>
      </c>
      <c r="X111" s="221">
        <f t="shared" ref="X111:X118" si="95">$CQ111</f>
        <v>0</v>
      </c>
      <c r="Y111" s="221">
        <f t="shared" si="88"/>
        <v>0</v>
      </c>
      <c r="Z111" s="221">
        <f t="shared" si="88"/>
        <v>0</v>
      </c>
      <c r="AA111" s="221">
        <f t="shared" si="88"/>
        <v>0</v>
      </c>
      <c r="AB111" s="221">
        <f t="shared" si="88"/>
        <v>0</v>
      </c>
      <c r="AC111" s="221">
        <f t="shared" ref="AC111:AC118" si="96">$CR111</f>
        <v>0</v>
      </c>
      <c r="AD111" s="221">
        <f t="shared" si="89"/>
        <v>0</v>
      </c>
      <c r="AE111" s="221">
        <f t="shared" si="89"/>
        <v>0</v>
      </c>
      <c r="AF111" s="221">
        <f t="shared" si="89"/>
        <v>0</v>
      </c>
      <c r="AG111" s="221">
        <f t="shared" si="89"/>
        <v>0</v>
      </c>
      <c r="AH111" s="221">
        <f t="shared" ref="AH111:AH118" si="97">$CS111</f>
        <v>0</v>
      </c>
      <c r="AI111" s="221">
        <f t="shared" si="90"/>
        <v>0</v>
      </c>
      <c r="AJ111" s="221">
        <f t="shared" si="90"/>
        <v>0</v>
      </c>
      <c r="AK111" s="221">
        <f t="shared" si="90"/>
        <v>0</v>
      </c>
      <c r="AL111" s="221">
        <f t="shared" si="90"/>
        <v>0</v>
      </c>
      <c r="AM111" s="221">
        <v>0</v>
      </c>
      <c r="AN111" s="221">
        <v>0</v>
      </c>
      <c r="AO111" s="221">
        <v>0</v>
      </c>
      <c r="AP111" s="221">
        <v>0</v>
      </c>
      <c r="AQ111" s="221">
        <v>0</v>
      </c>
      <c r="AR111" s="221">
        <v>0</v>
      </c>
      <c r="AS111" s="221">
        <v>0</v>
      </c>
      <c r="AT111" s="221">
        <v>0</v>
      </c>
      <c r="AU111" s="221">
        <v>0</v>
      </c>
      <c r="AV111" s="221">
        <v>0</v>
      </c>
      <c r="AW111" s="221">
        <v>0</v>
      </c>
      <c r="AX111" s="221">
        <v>0</v>
      </c>
      <c r="AY111" s="221">
        <v>0</v>
      </c>
      <c r="AZ111" s="221">
        <v>0</v>
      </c>
      <c r="BA111" s="221">
        <v>0</v>
      </c>
      <c r="BB111" s="221">
        <v>0</v>
      </c>
      <c r="BC111" s="221">
        <v>0</v>
      </c>
      <c r="BD111" s="221">
        <v>0</v>
      </c>
      <c r="BE111" s="221">
        <v>0</v>
      </c>
      <c r="BF111" s="221">
        <v>0</v>
      </c>
      <c r="BG111" s="221">
        <v>0</v>
      </c>
      <c r="BH111" s="221">
        <v>0</v>
      </c>
      <c r="BI111" s="221">
        <v>0</v>
      </c>
      <c r="BJ111" s="221">
        <v>0</v>
      </c>
      <c r="BK111" s="221">
        <v>0</v>
      </c>
      <c r="BL111" s="221">
        <v>0</v>
      </c>
      <c r="BM111" s="221">
        <v>0</v>
      </c>
      <c r="BN111" s="221">
        <v>0</v>
      </c>
      <c r="BO111" s="221">
        <v>0</v>
      </c>
      <c r="BP111" s="221">
        <v>0</v>
      </c>
      <c r="BQ111" s="221">
        <v>0</v>
      </c>
      <c r="BR111" s="221">
        <v>0</v>
      </c>
      <c r="BS111" s="221">
        <v>0</v>
      </c>
      <c r="BT111" s="221">
        <v>0</v>
      </c>
      <c r="BU111" s="221">
        <v>0</v>
      </c>
      <c r="BV111" s="221">
        <v>0</v>
      </c>
      <c r="BW111" s="221">
        <v>0</v>
      </c>
      <c r="BX111" s="221">
        <v>0</v>
      </c>
      <c r="BY111" s="221">
        <v>0</v>
      </c>
      <c r="BZ111" s="221">
        <v>0</v>
      </c>
      <c r="CA111" s="221">
        <v>0</v>
      </c>
      <c r="CB111" s="221">
        <v>0</v>
      </c>
      <c r="CC111" s="221">
        <v>0</v>
      </c>
      <c r="CD111" s="221">
        <v>0</v>
      </c>
      <c r="CE111" s="221">
        <v>0</v>
      </c>
      <c r="CF111" s="221">
        <v>0</v>
      </c>
      <c r="CG111" s="221">
        <v>0</v>
      </c>
      <c r="CH111" s="221">
        <v>0</v>
      </c>
      <c r="CI111" s="221">
        <v>0</v>
      </c>
      <c r="CJ111" s="221">
        <v>0</v>
      </c>
    </row>
    <row r="112" spans="2:88" x14ac:dyDescent="0.35">
      <c r="B112" s="42" t="s">
        <v>758</v>
      </c>
      <c r="C112" s="221">
        <f t="shared" si="91"/>
        <v>0</v>
      </c>
      <c r="D112" s="221">
        <f t="shared" si="91"/>
        <v>0</v>
      </c>
      <c r="E112" s="221">
        <f t="shared" si="91"/>
        <v>0</v>
      </c>
      <c r="F112" s="221">
        <f t="shared" si="91"/>
        <v>0</v>
      </c>
      <c r="G112" s="221">
        <f t="shared" si="91"/>
        <v>0</v>
      </c>
      <c r="H112" s="221">
        <f t="shared" si="91"/>
        <v>0</v>
      </c>
      <c r="I112" s="221">
        <f t="shared" si="92"/>
        <v>0</v>
      </c>
      <c r="J112" s="221">
        <f t="shared" si="85"/>
        <v>0</v>
      </c>
      <c r="K112" s="221">
        <f t="shared" si="85"/>
        <v>0</v>
      </c>
      <c r="L112" s="221">
        <f t="shared" si="85"/>
        <v>0</v>
      </c>
      <c r="M112" s="221">
        <f t="shared" si="85"/>
        <v>0</v>
      </c>
      <c r="N112" s="221">
        <f t="shared" si="93"/>
        <v>0</v>
      </c>
      <c r="O112" s="221">
        <f t="shared" si="86"/>
        <v>0</v>
      </c>
      <c r="P112" s="221">
        <f t="shared" si="86"/>
        <v>0</v>
      </c>
      <c r="Q112" s="221">
        <f t="shared" si="86"/>
        <v>0</v>
      </c>
      <c r="R112" s="221">
        <f t="shared" si="86"/>
        <v>0</v>
      </c>
      <c r="S112" s="221">
        <f t="shared" si="94"/>
        <v>0</v>
      </c>
      <c r="T112" s="221">
        <f t="shared" si="87"/>
        <v>0</v>
      </c>
      <c r="U112" s="221">
        <f t="shared" si="87"/>
        <v>0</v>
      </c>
      <c r="V112" s="221">
        <f t="shared" si="87"/>
        <v>0</v>
      </c>
      <c r="W112" s="221">
        <f t="shared" si="87"/>
        <v>0</v>
      </c>
      <c r="X112" s="221">
        <f t="shared" si="95"/>
        <v>0</v>
      </c>
      <c r="Y112" s="221">
        <f t="shared" si="88"/>
        <v>0</v>
      </c>
      <c r="Z112" s="221">
        <f t="shared" si="88"/>
        <v>0</v>
      </c>
      <c r="AA112" s="221">
        <f t="shared" si="88"/>
        <v>0</v>
      </c>
      <c r="AB112" s="221">
        <f t="shared" si="88"/>
        <v>0</v>
      </c>
      <c r="AC112" s="221">
        <f t="shared" si="96"/>
        <v>0</v>
      </c>
      <c r="AD112" s="221">
        <f t="shared" si="89"/>
        <v>0</v>
      </c>
      <c r="AE112" s="221">
        <f t="shared" si="89"/>
        <v>0</v>
      </c>
      <c r="AF112" s="221">
        <f t="shared" si="89"/>
        <v>0</v>
      </c>
      <c r="AG112" s="221">
        <f t="shared" si="89"/>
        <v>0</v>
      </c>
      <c r="AH112" s="221">
        <f t="shared" si="97"/>
        <v>0</v>
      </c>
      <c r="AI112" s="221">
        <f t="shared" si="90"/>
        <v>0</v>
      </c>
      <c r="AJ112" s="221">
        <f t="shared" si="90"/>
        <v>0</v>
      </c>
      <c r="AK112" s="221">
        <f t="shared" si="90"/>
        <v>0</v>
      </c>
      <c r="AL112" s="221">
        <f t="shared" si="90"/>
        <v>0</v>
      </c>
      <c r="AM112" s="221">
        <v>0</v>
      </c>
      <c r="AN112" s="221">
        <v>0</v>
      </c>
      <c r="AO112" s="221">
        <v>0</v>
      </c>
      <c r="AP112" s="221">
        <v>0</v>
      </c>
      <c r="AQ112" s="221">
        <v>0</v>
      </c>
      <c r="AR112" s="221">
        <v>0</v>
      </c>
      <c r="AS112" s="221">
        <v>0</v>
      </c>
      <c r="AT112" s="221">
        <v>0</v>
      </c>
      <c r="AU112" s="221">
        <v>0</v>
      </c>
      <c r="AV112" s="221">
        <v>0</v>
      </c>
      <c r="AW112" s="221">
        <v>0</v>
      </c>
      <c r="AX112" s="221">
        <v>0</v>
      </c>
      <c r="AY112" s="221">
        <v>0</v>
      </c>
      <c r="AZ112" s="221">
        <v>0</v>
      </c>
      <c r="BA112" s="221">
        <v>0</v>
      </c>
      <c r="BB112" s="221">
        <v>0</v>
      </c>
      <c r="BC112" s="221">
        <v>0</v>
      </c>
      <c r="BD112" s="221">
        <v>0</v>
      </c>
      <c r="BE112" s="221">
        <v>0</v>
      </c>
      <c r="BF112" s="221">
        <v>0</v>
      </c>
      <c r="BG112" s="221">
        <v>0</v>
      </c>
      <c r="BH112" s="221">
        <v>0</v>
      </c>
      <c r="BI112" s="221">
        <v>0</v>
      </c>
      <c r="BJ112" s="221">
        <v>0</v>
      </c>
      <c r="BK112" s="221">
        <v>0</v>
      </c>
      <c r="BL112" s="221">
        <v>0</v>
      </c>
      <c r="BM112" s="221">
        <v>0</v>
      </c>
      <c r="BN112" s="221">
        <v>0</v>
      </c>
      <c r="BO112" s="221">
        <v>0</v>
      </c>
      <c r="BP112" s="221">
        <v>0</v>
      </c>
      <c r="BQ112" s="221">
        <v>0</v>
      </c>
      <c r="BR112" s="221">
        <v>0</v>
      </c>
      <c r="BS112" s="221">
        <v>0</v>
      </c>
      <c r="BT112" s="221">
        <v>0</v>
      </c>
      <c r="BU112" s="221">
        <v>0</v>
      </c>
      <c r="BV112" s="221">
        <v>0</v>
      </c>
      <c r="BW112" s="221">
        <v>0</v>
      </c>
      <c r="BX112" s="221">
        <v>0</v>
      </c>
      <c r="BY112" s="221">
        <v>0</v>
      </c>
      <c r="BZ112" s="221">
        <v>0</v>
      </c>
      <c r="CA112" s="221">
        <v>0</v>
      </c>
      <c r="CB112" s="221">
        <v>0</v>
      </c>
      <c r="CC112" s="221">
        <v>0</v>
      </c>
      <c r="CD112" s="221">
        <v>0</v>
      </c>
      <c r="CE112" s="221">
        <v>0</v>
      </c>
      <c r="CF112" s="221">
        <v>0</v>
      </c>
      <c r="CG112" s="221">
        <v>0</v>
      </c>
      <c r="CH112" s="221">
        <v>0</v>
      </c>
      <c r="CI112" s="221">
        <v>0</v>
      </c>
      <c r="CJ112" s="221">
        <v>0</v>
      </c>
    </row>
    <row r="113" spans="2:90" x14ac:dyDescent="0.35">
      <c r="B113" s="42" t="s">
        <v>1328</v>
      </c>
      <c r="C113" s="221">
        <f t="shared" si="91"/>
        <v>0</v>
      </c>
      <c r="D113" s="221">
        <f t="shared" si="91"/>
        <v>0</v>
      </c>
      <c r="E113" s="221">
        <f t="shared" si="91"/>
        <v>0</v>
      </c>
      <c r="F113" s="221">
        <f t="shared" si="91"/>
        <v>0</v>
      </c>
      <c r="G113" s="221">
        <f t="shared" si="91"/>
        <v>0</v>
      </c>
      <c r="H113" s="221">
        <f t="shared" si="91"/>
        <v>0</v>
      </c>
      <c r="I113" s="221">
        <f t="shared" si="92"/>
        <v>0</v>
      </c>
      <c r="J113" s="221">
        <f t="shared" si="85"/>
        <v>0</v>
      </c>
      <c r="K113" s="221">
        <f t="shared" si="85"/>
        <v>0</v>
      </c>
      <c r="L113" s="221">
        <f t="shared" si="85"/>
        <v>0</v>
      </c>
      <c r="M113" s="221">
        <f t="shared" si="85"/>
        <v>0</v>
      </c>
      <c r="N113" s="221">
        <f t="shared" si="93"/>
        <v>0</v>
      </c>
      <c r="O113" s="221">
        <f t="shared" si="86"/>
        <v>0</v>
      </c>
      <c r="P113" s="221">
        <f t="shared" si="86"/>
        <v>0</v>
      </c>
      <c r="Q113" s="221">
        <f t="shared" si="86"/>
        <v>0</v>
      </c>
      <c r="R113" s="221">
        <f t="shared" si="86"/>
        <v>0</v>
      </c>
      <c r="S113" s="221">
        <f t="shared" si="94"/>
        <v>0</v>
      </c>
      <c r="T113" s="221">
        <f t="shared" si="87"/>
        <v>0</v>
      </c>
      <c r="U113" s="221">
        <f t="shared" si="87"/>
        <v>0</v>
      </c>
      <c r="V113" s="221">
        <f t="shared" si="87"/>
        <v>0</v>
      </c>
      <c r="W113" s="221">
        <f t="shared" si="87"/>
        <v>0</v>
      </c>
      <c r="X113" s="221">
        <f t="shared" si="95"/>
        <v>0</v>
      </c>
      <c r="Y113" s="221">
        <f t="shared" si="88"/>
        <v>0</v>
      </c>
      <c r="Z113" s="221">
        <f t="shared" si="88"/>
        <v>0</v>
      </c>
      <c r="AA113" s="221">
        <f t="shared" si="88"/>
        <v>0</v>
      </c>
      <c r="AB113" s="221">
        <f t="shared" si="88"/>
        <v>0</v>
      </c>
      <c r="AC113" s="221">
        <f t="shared" si="96"/>
        <v>0</v>
      </c>
      <c r="AD113" s="221">
        <f t="shared" si="89"/>
        <v>0</v>
      </c>
      <c r="AE113" s="221">
        <f t="shared" si="89"/>
        <v>0</v>
      </c>
      <c r="AF113" s="221">
        <f t="shared" si="89"/>
        <v>0</v>
      </c>
      <c r="AG113" s="221">
        <f t="shared" si="89"/>
        <v>0</v>
      </c>
      <c r="AH113" s="221">
        <f t="shared" si="97"/>
        <v>0</v>
      </c>
      <c r="AI113" s="221">
        <f t="shared" si="90"/>
        <v>0</v>
      </c>
      <c r="AJ113" s="221">
        <f t="shared" si="90"/>
        <v>0</v>
      </c>
      <c r="AK113" s="221">
        <f t="shared" si="90"/>
        <v>0</v>
      </c>
      <c r="AL113" s="221">
        <f t="shared" si="90"/>
        <v>0</v>
      </c>
      <c r="AM113" s="221">
        <v>0</v>
      </c>
      <c r="AN113" s="221">
        <v>0</v>
      </c>
      <c r="AO113" s="221">
        <v>0</v>
      </c>
      <c r="AP113" s="221">
        <v>0</v>
      </c>
      <c r="AQ113" s="221">
        <v>0</v>
      </c>
      <c r="AR113" s="221">
        <v>0</v>
      </c>
      <c r="AS113" s="221">
        <v>0</v>
      </c>
      <c r="AT113" s="221">
        <v>0</v>
      </c>
      <c r="AU113" s="221">
        <v>0</v>
      </c>
      <c r="AV113" s="221">
        <v>0</v>
      </c>
      <c r="AW113" s="221">
        <v>0</v>
      </c>
      <c r="AX113" s="221">
        <v>0</v>
      </c>
      <c r="AY113" s="221">
        <v>0</v>
      </c>
      <c r="AZ113" s="221">
        <v>0</v>
      </c>
      <c r="BA113" s="221">
        <v>0</v>
      </c>
      <c r="BB113" s="221">
        <v>0</v>
      </c>
      <c r="BC113" s="221">
        <v>0</v>
      </c>
      <c r="BD113" s="221">
        <v>0</v>
      </c>
      <c r="BE113" s="221">
        <v>0</v>
      </c>
      <c r="BF113" s="221">
        <v>0</v>
      </c>
      <c r="BG113" s="221">
        <v>0</v>
      </c>
      <c r="BH113" s="221">
        <v>0</v>
      </c>
      <c r="BI113" s="221">
        <v>0</v>
      </c>
      <c r="BJ113" s="221">
        <v>0</v>
      </c>
      <c r="BK113" s="221">
        <v>0</v>
      </c>
      <c r="BL113" s="221">
        <v>0</v>
      </c>
      <c r="BM113" s="221">
        <v>0</v>
      </c>
      <c r="BN113" s="221">
        <v>0</v>
      </c>
      <c r="BO113" s="221">
        <v>0</v>
      </c>
      <c r="BP113" s="221">
        <v>0</v>
      </c>
      <c r="BQ113" s="221">
        <v>0</v>
      </c>
      <c r="BR113" s="221">
        <v>0</v>
      </c>
      <c r="BS113" s="221">
        <v>0</v>
      </c>
      <c r="BT113" s="221">
        <v>0</v>
      </c>
      <c r="BU113" s="221">
        <v>0</v>
      </c>
      <c r="BV113" s="221">
        <v>0</v>
      </c>
      <c r="BW113" s="221">
        <v>0</v>
      </c>
      <c r="BX113" s="221">
        <v>0</v>
      </c>
      <c r="BY113" s="221">
        <v>0</v>
      </c>
      <c r="BZ113" s="221">
        <v>0</v>
      </c>
      <c r="CA113" s="221">
        <v>0</v>
      </c>
      <c r="CB113" s="221">
        <v>0</v>
      </c>
      <c r="CC113" s="221">
        <v>0</v>
      </c>
      <c r="CD113" s="221">
        <v>0</v>
      </c>
      <c r="CE113" s="221">
        <v>0</v>
      </c>
      <c r="CF113" s="221">
        <v>0</v>
      </c>
      <c r="CG113" s="221">
        <v>0</v>
      </c>
      <c r="CH113" s="221">
        <v>0</v>
      </c>
      <c r="CI113" s="221">
        <v>0</v>
      </c>
      <c r="CJ113" s="221">
        <v>0</v>
      </c>
    </row>
    <row r="114" spans="2:90" x14ac:dyDescent="0.35">
      <c r="B114" s="42" t="s">
        <v>759</v>
      </c>
      <c r="C114" s="221">
        <f t="shared" si="91"/>
        <v>0</v>
      </c>
      <c r="D114" s="221">
        <f t="shared" si="91"/>
        <v>0</v>
      </c>
      <c r="E114" s="221">
        <f t="shared" si="91"/>
        <v>0</v>
      </c>
      <c r="F114" s="221">
        <f t="shared" si="91"/>
        <v>0</v>
      </c>
      <c r="G114" s="221">
        <f t="shared" si="91"/>
        <v>0</v>
      </c>
      <c r="H114" s="221">
        <f t="shared" si="91"/>
        <v>0</v>
      </c>
      <c r="I114" s="221">
        <f t="shared" si="92"/>
        <v>0</v>
      </c>
      <c r="J114" s="221">
        <f t="shared" si="85"/>
        <v>0</v>
      </c>
      <c r="K114" s="221">
        <f t="shared" si="85"/>
        <v>0</v>
      </c>
      <c r="L114" s="221">
        <f t="shared" si="85"/>
        <v>0</v>
      </c>
      <c r="M114" s="221">
        <f t="shared" si="85"/>
        <v>0</v>
      </c>
      <c r="N114" s="221">
        <f t="shared" si="93"/>
        <v>0</v>
      </c>
      <c r="O114" s="221">
        <f t="shared" si="86"/>
        <v>0</v>
      </c>
      <c r="P114" s="221">
        <f t="shared" si="86"/>
        <v>0</v>
      </c>
      <c r="Q114" s="221">
        <f t="shared" si="86"/>
        <v>0</v>
      </c>
      <c r="R114" s="221">
        <f t="shared" si="86"/>
        <v>0</v>
      </c>
      <c r="S114" s="221">
        <f t="shared" si="94"/>
        <v>0</v>
      </c>
      <c r="T114" s="221">
        <f t="shared" si="87"/>
        <v>0</v>
      </c>
      <c r="U114" s="221">
        <f t="shared" si="87"/>
        <v>0</v>
      </c>
      <c r="V114" s="221">
        <f t="shared" si="87"/>
        <v>0</v>
      </c>
      <c r="W114" s="221">
        <f t="shared" si="87"/>
        <v>0</v>
      </c>
      <c r="X114" s="221">
        <f t="shared" si="95"/>
        <v>0</v>
      </c>
      <c r="Y114" s="221">
        <f t="shared" si="88"/>
        <v>0</v>
      </c>
      <c r="Z114" s="221">
        <f t="shared" si="88"/>
        <v>0</v>
      </c>
      <c r="AA114" s="221">
        <f t="shared" si="88"/>
        <v>0</v>
      </c>
      <c r="AB114" s="221">
        <f t="shared" si="88"/>
        <v>0</v>
      </c>
      <c r="AC114" s="221">
        <f t="shared" si="96"/>
        <v>0</v>
      </c>
      <c r="AD114" s="221">
        <f t="shared" si="89"/>
        <v>0</v>
      </c>
      <c r="AE114" s="221">
        <f t="shared" si="89"/>
        <v>0</v>
      </c>
      <c r="AF114" s="221">
        <f t="shared" si="89"/>
        <v>0</v>
      </c>
      <c r="AG114" s="221">
        <f t="shared" si="89"/>
        <v>0</v>
      </c>
      <c r="AH114" s="221">
        <f t="shared" si="97"/>
        <v>0</v>
      </c>
      <c r="AI114" s="221">
        <f t="shared" si="90"/>
        <v>0</v>
      </c>
      <c r="AJ114" s="221">
        <f t="shared" si="90"/>
        <v>0</v>
      </c>
      <c r="AK114" s="221">
        <f t="shared" si="90"/>
        <v>0</v>
      </c>
      <c r="AL114" s="221">
        <f t="shared" si="90"/>
        <v>0</v>
      </c>
      <c r="AM114" s="221">
        <v>0</v>
      </c>
      <c r="AN114" s="221">
        <v>0</v>
      </c>
      <c r="AO114" s="221">
        <v>0</v>
      </c>
      <c r="AP114" s="221">
        <v>0</v>
      </c>
      <c r="AQ114" s="221">
        <v>0</v>
      </c>
      <c r="AR114" s="221">
        <v>0</v>
      </c>
      <c r="AS114" s="221">
        <v>0</v>
      </c>
      <c r="AT114" s="221">
        <v>0</v>
      </c>
      <c r="AU114" s="221">
        <v>0</v>
      </c>
      <c r="AV114" s="221">
        <v>0</v>
      </c>
      <c r="AW114" s="221">
        <v>0</v>
      </c>
      <c r="AX114" s="221">
        <v>0</v>
      </c>
      <c r="AY114" s="221">
        <v>0</v>
      </c>
      <c r="AZ114" s="221">
        <v>0</v>
      </c>
      <c r="BA114" s="221">
        <v>0</v>
      </c>
      <c r="BB114" s="221">
        <v>0</v>
      </c>
      <c r="BC114" s="221">
        <v>0</v>
      </c>
      <c r="BD114" s="221">
        <v>0</v>
      </c>
      <c r="BE114" s="221">
        <v>0</v>
      </c>
      <c r="BF114" s="221">
        <v>0</v>
      </c>
      <c r="BG114" s="221">
        <v>0</v>
      </c>
      <c r="BH114" s="221">
        <v>0</v>
      </c>
      <c r="BI114" s="221">
        <v>0</v>
      </c>
      <c r="BJ114" s="221">
        <v>0</v>
      </c>
      <c r="BK114" s="221">
        <v>0</v>
      </c>
      <c r="BL114" s="221">
        <v>0</v>
      </c>
      <c r="BM114" s="221">
        <v>0</v>
      </c>
      <c r="BN114" s="221">
        <v>0</v>
      </c>
      <c r="BO114" s="221">
        <v>0</v>
      </c>
      <c r="BP114" s="221">
        <v>0</v>
      </c>
      <c r="BQ114" s="221">
        <v>0</v>
      </c>
      <c r="BR114" s="221">
        <v>0</v>
      </c>
      <c r="BS114" s="221">
        <v>0</v>
      </c>
      <c r="BT114" s="221">
        <v>0</v>
      </c>
      <c r="BU114" s="221">
        <v>0</v>
      </c>
      <c r="BV114" s="221">
        <v>0</v>
      </c>
      <c r="BW114" s="221">
        <v>0</v>
      </c>
      <c r="BX114" s="221">
        <v>0</v>
      </c>
      <c r="BY114" s="221">
        <v>0</v>
      </c>
      <c r="BZ114" s="221">
        <v>0</v>
      </c>
      <c r="CA114" s="221">
        <v>0</v>
      </c>
      <c r="CB114" s="221">
        <v>0</v>
      </c>
      <c r="CC114" s="221">
        <v>0</v>
      </c>
      <c r="CD114" s="221">
        <v>0</v>
      </c>
      <c r="CE114" s="221">
        <v>0</v>
      </c>
      <c r="CF114" s="221">
        <v>0</v>
      </c>
      <c r="CG114" s="221">
        <v>0</v>
      </c>
      <c r="CH114" s="221">
        <v>0</v>
      </c>
      <c r="CI114" s="221">
        <v>0</v>
      </c>
      <c r="CJ114" s="221">
        <v>0</v>
      </c>
    </row>
    <row r="115" spans="2:90" x14ac:dyDescent="0.35">
      <c r="B115" s="42" t="s">
        <v>1329</v>
      </c>
      <c r="C115" s="221">
        <f t="shared" si="91"/>
        <v>0</v>
      </c>
      <c r="D115" s="221">
        <f t="shared" si="91"/>
        <v>0</v>
      </c>
      <c r="E115" s="221">
        <f t="shared" si="91"/>
        <v>0</v>
      </c>
      <c r="F115" s="221">
        <f t="shared" si="91"/>
        <v>0</v>
      </c>
      <c r="G115" s="221">
        <f t="shared" si="91"/>
        <v>0</v>
      </c>
      <c r="H115" s="221">
        <f t="shared" si="91"/>
        <v>0</v>
      </c>
      <c r="I115" s="221">
        <f t="shared" si="92"/>
        <v>0</v>
      </c>
      <c r="J115" s="221">
        <f t="shared" si="85"/>
        <v>0</v>
      </c>
      <c r="K115" s="221">
        <f t="shared" si="85"/>
        <v>0</v>
      </c>
      <c r="L115" s="221">
        <f t="shared" si="85"/>
        <v>0</v>
      </c>
      <c r="M115" s="221">
        <f t="shared" si="85"/>
        <v>0</v>
      </c>
      <c r="N115" s="221">
        <f t="shared" si="93"/>
        <v>0</v>
      </c>
      <c r="O115" s="221">
        <f t="shared" si="86"/>
        <v>0</v>
      </c>
      <c r="P115" s="221">
        <f t="shared" si="86"/>
        <v>0</v>
      </c>
      <c r="Q115" s="221">
        <f t="shared" si="86"/>
        <v>0</v>
      </c>
      <c r="R115" s="221">
        <f t="shared" si="86"/>
        <v>0</v>
      </c>
      <c r="S115" s="221">
        <f t="shared" si="94"/>
        <v>0</v>
      </c>
      <c r="T115" s="221">
        <f t="shared" si="87"/>
        <v>0</v>
      </c>
      <c r="U115" s="221">
        <f t="shared" si="87"/>
        <v>0</v>
      </c>
      <c r="V115" s="221">
        <f t="shared" si="87"/>
        <v>0</v>
      </c>
      <c r="W115" s="221">
        <f t="shared" si="87"/>
        <v>0</v>
      </c>
      <c r="X115" s="221">
        <f t="shared" si="95"/>
        <v>0</v>
      </c>
      <c r="Y115" s="221">
        <f t="shared" si="88"/>
        <v>0</v>
      </c>
      <c r="Z115" s="221">
        <f t="shared" si="88"/>
        <v>0</v>
      </c>
      <c r="AA115" s="221">
        <f t="shared" si="88"/>
        <v>0</v>
      </c>
      <c r="AB115" s="221">
        <f t="shared" si="88"/>
        <v>0</v>
      </c>
      <c r="AC115" s="221">
        <f t="shared" si="96"/>
        <v>0</v>
      </c>
      <c r="AD115" s="221">
        <f t="shared" si="89"/>
        <v>0</v>
      </c>
      <c r="AE115" s="221">
        <f t="shared" si="89"/>
        <v>0</v>
      </c>
      <c r="AF115" s="221">
        <f t="shared" si="89"/>
        <v>0</v>
      </c>
      <c r="AG115" s="221">
        <f t="shared" si="89"/>
        <v>0</v>
      </c>
      <c r="AH115" s="221">
        <f t="shared" si="97"/>
        <v>0</v>
      </c>
      <c r="AI115" s="221">
        <f t="shared" si="90"/>
        <v>0</v>
      </c>
      <c r="AJ115" s="221">
        <f t="shared" si="90"/>
        <v>0</v>
      </c>
      <c r="AK115" s="221">
        <f t="shared" si="90"/>
        <v>0</v>
      </c>
      <c r="AL115" s="221">
        <f t="shared" si="90"/>
        <v>0</v>
      </c>
      <c r="AM115" s="221">
        <v>0</v>
      </c>
      <c r="AN115" s="221">
        <v>0</v>
      </c>
      <c r="AO115" s="221">
        <v>0</v>
      </c>
      <c r="AP115" s="221">
        <v>0</v>
      </c>
      <c r="AQ115" s="221">
        <v>0</v>
      </c>
      <c r="AR115" s="221">
        <v>0</v>
      </c>
      <c r="AS115" s="221">
        <v>0</v>
      </c>
      <c r="AT115" s="221">
        <v>0</v>
      </c>
      <c r="AU115" s="221">
        <v>0</v>
      </c>
      <c r="AV115" s="221">
        <v>0</v>
      </c>
      <c r="AW115" s="221">
        <v>0</v>
      </c>
      <c r="AX115" s="221">
        <v>0</v>
      </c>
      <c r="AY115" s="221">
        <v>0</v>
      </c>
      <c r="AZ115" s="221">
        <v>0</v>
      </c>
      <c r="BA115" s="221">
        <v>0</v>
      </c>
      <c r="BB115" s="221">
        <v>0</v>
      </c>
      <c r="BC115" s="221">
        <v>0</v>
      </c>
      <c r="BD115" s="221">
        <v>0</v>
      </c>
      <c r="BE115" s="221">
        <v>0</v>
      </c>
      <c r="BF115" s="221">
        <v>0</v>
      </c>
      <c r="BG115" s="221">
        <v>0</v>
      </c>
      <c r="BH115" s="221">
        <v>0</v>
      </c>
      <c r="BI115" s="221">
        <v>0</v>
      </c>
      <c r="BJ115" s="221">
        <v>0</v>
      </c>
      <c r="BK115" s="221">
        <v>0</v>
      </c>
      <c r="BL115" s="221">
        <v>0</v>
      </c>
      <c r="BM115" s="221">
        <v>0</v>
      </c>
      <c r="BN115" s="221">
        <v>0</v>
      </c>
      <c r="BO115" s="221">
        <v>0</v>
      </c>
      <c r="BP115" s="221">
        <v>0</v>
      </c>
      <c r="BQ115" s="221">
        <v>0</v>
      </c>
      <c r="BR115" s="221">
        <v>0</v>
      </c>
      <c r="BS115" s="221">
        <v>0</v>
      </c>
      <c r="BT115" s="221">
        <v>0</v>
      </c>
      <c r="BU115" s="221">
        <v>0</v>
      </c>
      <c r="BV115" s="221">
        <v>0</v>
      </c>
      <c r="BW115" s="221">
        <v>0</v>
      </c>
      <c r="BX115" s="221">
        <v>0</v>
      </c>
      <c r="BY115" s="221">
        <v>0</v>
      </c>
      <c r="BZ115" s="221">
        <v>0</v>
      </c>
      <c r="CA115" s="221">
        <v>0</v>
      </c>
      <c r="CB115" s="221">
        <v>0</v>
      </c>
      <c r="CC115" s="221">
        <v>0</v>
      </c>
      <c r="CD115" s="221">
        <v>0</v>
      </c>
      <c r="CE115" s="221">
        <v>0</v>
      </c>
      <c r="CF115" s="221">
        <v>0</v>
      </c>
      <c r="CG115" s="221">
        <v>0</v>
      </c>
      <c r="CH115" s="221">
        <v>0</v>
      </c>
      <c r="CI115" s="221">
        <v>0</v>
      </c>
      <c r="CJ115" s="221">
        <v>0</v>
      </c>
    </row>
    <row r="116" spans="2:90" x14ac:dyDescent="0.35">
      <c r="B116" s="42" t="s">
        <v>760</v>
      </c>
      <c r="C116" s="221">
        <f t="shared" si="91"/>
        <v>0</v>
      </c>
      <c r="D116" s="221">
        <f t="shared" si="91"/>
        <v>0</v>
      </c>
      <c r="E116" s="221">
        <f t="shared" si="91"/>
        <v>0</v>
      </c>
      <c r="F116" s="221">
        <f t="shared" si="91"/>
        <v>0</v>
      </c>
      <c r="G116" s="221">
        <f t="shared" si="91"/>
        <v>0</v>
      </c>
      <c r="H116" s="221">
        <f t="shared" si="91"/>
        <v>0</v>
      </c>
      <c r="I116" s="221">
        <f t="shared" si="92"/>
        <v>0</v>
      </c>
      <c r="J116" s="221">
        <f t="shared" si="85"/>
        <v>0</v>
      </c>
      <c r="K116" s="221">
        <f t="shared" si="85"/>
        <v>0</v>
      </c>
      <c r="L116" s="221">
        <f t="shared" si="85"/>
        <v>0</v>
      </c>
      <c r="M116" s="221">
        <f t="shared" si="85"/>
        <v>0</v>
      </c>
      <c r="N116" s="221">
        <f t="shared" si="93"/>
        <v>0</v>
      </c>
      <c r="O116" s="221">
        <f t="shared" si="86"/>
        <v>0</v>
      </c>
      <c r="P116" s="221">
        <f t="shared" si="86"/>
        <v>0</v>
      </c>
      <c r="Q116" s="221">
        <f t="shared" si="86"/>
        <v>0</v>
      </c>
      <c r="R116" s="221">
        <f t="shared" si="86"/>
        <v>0</v>
      </c>
      <c r="S116" s="221">
        <f t="shared" si="94"/>
        <v>0</v>
      </c>
      <c r="T116" s="221">
        <f t="shared" si="87"/>
        <v>0</v>
      </c>
      <c r="U116" s="221">
        <f t="shared" si="87"/>
        <v>0</v>
      </c>
      <c r="V116" s="221">
        <f t="shared" si="87"/>
        <v>0</v>
      </c>
      <c r="W116" s="221">
        <f t="shared" si="87"/>
        <v>0</v>
      </c>
      <c r="X116" s="221">
        <f t="shared" si="95"/>
        <v>0</v>
      </c>
      <c r="Y116" s="221">
        <f t="shared" si="88"/>
        <v>0</v>
      </c>
      <c r="Z116" s="221">
        <f t="shared" si="88"/>
        <v>0</v>
      </c>
      <c r="AA116" s="221">
        <f t="shared" si="88"/>
        <v>0</v>
      </c>
      <c r="AB116" s="221">
        <f t="shared" si="88"/>
        <v>0</v>
      </c>
      <c r="AC116" s="221">
        <f t="shared" si="96"/>
        <v>0</v>
      </c>
      <c r="AD116" s="221">
        <f t="shared" si="89"/>
        <v>0</v>
      </c>
      <c r="AE116" s="221">
        <f t="shared" si="89"/>
        <v>0</v>
      </c>
      <c r="AF116" s="221">
        <f t="shared" si="89"/>
        <v>0</v>
      </c>
      <c r="AG116" s="221">
        <f t="shared" si="89"/>
        <v>0</v>
      </c>
      <c r="AH116" s="221">
        <f t="shared" si="97"/>
        <v>0</v>
      </c>
      <c r="AI116" s="221">
        <f t="shared" si="90"/>
        <v>0</v>
      </c>
      <c r="AJ116" s="221">
        <f t="shared" si="90"/>
        <v>0</v>
      </c>
      <c r="AK116" s="221">
        <f t="shared" si="90"/>
        <v>0</v>
      </c>
      <c r="AL116" s="221">
        <f t="shared" si="90"/>
        <v>0</v>
      </c>
      <c r="AM116" s="221">
        <v>0</v>
      </c>
      <c r="AN116" s="221">
        <v>0</v>
      </c>
      <c r="AO116" s="221">
        <v>0</v>
      </c>
      <c r="AP116" s="221">
        <v>0</v>
      </c>
      <c r="AQ116" s="221">
        <v>0</v>
      </c>
      <c r="AR116" s="221">
        <v>0</v>
      </c>
      <c r="AS116" s="221">
        <v>0</v>
      </c>
      <c r="AT116" s="221">
        <v>0</v>
      </c>
      <c r="AU116" s="221">
        <v>0</v>
      </c>
      <c r="AV116" s="221">
        <v>0</v>
      </c>
      <c r="AW116" s="221">
        <v>0</v>
      </c>
      <c r="AX116" s="221">
        <v>0</v>
      </c>
      <c r="AY116" s="221">
        <v>0</v>
      </c>
      <c r="AZ116" s="221">
        <v>0</v>
      </c>
      <c r="BA116" s="221">
        <v>0</v>
      </c>
      <c r="BB116" s="221">
        <v>0</v>
      </c>
      <c r="BC116" s="221">
        <v>0</v>
      </c>
      <c r="BD116" s="221">
        <v>0</v>
      </c>
      <c r="BE116" s="221">
        <v>0</v>
      </c>
      <c r="BF116" s="221">
        <v>0</v>
      </c>
      <c r="BG116" s="221">
        <v>0</v>
      </c>
      <c r="BH116" s="221">
        <v>0</v>
      </c>
      <c r="BI116" s="221">
        <v>0</v>
      </c>
      <c r="BJ116" s="221">
        <v>0</v>
      </c>
      <c r="BK116" s="221">
        <v>0</v>
      </c>
      <c r="BL116" s="221">
        <v>0</v>
      </c>
      <c r="BM116" s="221">
        <v>0</v>
      </c>
      <c r="BN116" s="221">
        <v>0</v>
      </c>
      <c r="BO116" s="221">
        <v>0</v>
      </c>
      <c r="BP116" s="221">
        <v>0</v>
      </c>
      <c r="BQ116" s="221">
        <v>0</v>
      </c>
      <c r="BR116" s="221">
        <v>0</v>
      </c>
      <c r="BS116" s="221">
        <v>0</v>
      </c>
      <c r="BT116" s="221">
        <v>0</v>
      </c>
      <c r="BU116" s="221">
        <v>0</v>
      </c>
      <c r="BV116" s="221">
        <v>0</v>
      </c>
      <c r="BW116" s="221">
        <v>0</v>
      </c>
      <c r="BX116" s="221">
        <v>0</v>
      </c>
      <c r="BY116" s="221">
        <v>0</v>
      </c>
      <c r="BZ116" s="221">
        <v>0</v>
      </c>
      <c r="CA116" s="221">
        <v>0</v>
      </c>
      <c r="CB116" s="221">
        <v>0</v>
      </c>
      <c r="CC116" s="221">
        <v>0</v>
      </c>
      <c r="CD116" s="221">
        <v>0</v>
      </c>
      <c r="CE116" s="221">
        <v>0</v>
      </c>
      <c r="CF116" s="221">
        <v>0</v>
      </c>
      <c r="CG116" s="221">
        <v>0</v>
      </c>
      <c r="CH116" s="221">
        <v>0</v>
      </c>
      <c r="CI116" s="221">
        <v>0</v>
      </c>
      <c r="CJ116" s="221">
        <v>0</v>
      </c>
    </row>
    <row r="117" spans="2:90" x14ac:dyDescent="0.35">
      <c r="B117" s="42" t="s">
        <v>1330</v>
      </c>
      <c r="C117" s="221">
        <f t="shared" si="91"/>
        <v>0</v>
      </c>
      <c r="D117" s="221">
        <f t="shared" si="91"/>
        <v>0</v>
      </c>
      <c r="E117" s="221">
        <f t="shared" si="91"/>
        <v>0</v>
      </c>
      <c r="F117" s="221">
        <f t="shared" si="91"/>
        <v>0</v>
      </c>
      <c r="G117" s="221">
        <f t="shared" si="91"/>
        <v>0</v>
      </c>
      <c r="H117" s="221">
        <f t="shared" si="91"/>
        <v>0</v>
      </c>
      <c r="I117" s="221">
        <f t="shared" si="92"/>
        <v>0</v>
      </c>
      <c r="J117" s="221">
        <f t="shared" si="85"/>
        <v>0</v>
      </c>
      <c r="K117" s="221">
        <f t="shared" si="85"/>
        <v>0</v>
      </c>
      <c r="L117" s="221">
        <f t="shared" si="85"/>
        <v>0</v>
      </c>
      <c r="M117" s="221">
        <f t="shared" si="85"/>
        <v>0</v>
      </c>
      <c r="N117" s="221">
        <f t="shared" si="93"/>
        <v>0</v>
      </c>
      <c r="O117" s="221">
        <f t="shared" si="86"/>
        <v>0</v>
      </c>
      <c r="P117" s="221">
        <f t="shared" si="86"/>
        <v>0</v>
      </c>
      <c r="Q117" s="221">
        <f t="shared" si="86"/>
        <v>0</v>
      </c>
      <c r="R117" s="221">
        <f t="shared" si="86"/>
        <v>0</v>
      </c>
      <c r="S117" s="221">
        <f t="shared" si="94"/>
        <v>0</v>
      </c>
      <c r="T117" s="221">
        <f t="shared" si="87"/>
        <v>0</v>
      </c>
      <c r="U117" s="221">
        <f t="shared" si="87"/>
        <v>0</v>
      </c>
      <c r="V117" s="221">
        <f t="shared" si="87"/>
        <v>0</v>
      </c>
      <c r="W117" s="221">
        <f t="shared" si="87"/>
        <v>0</v>
      </c>
      <c r="X117" s="221">
        <f t="shared" si="95"/>
        <v>0</v>
      </c>
      <c r="Y117" s="221">
        <f t="shared" si="88"/>
        <v>0</v>
      </c>
      <c r="Z117" s="221">
        <f t="shared" si="88"/>
        <v>0</v>
      </c>
      <c r="AA117" s="221">
        <f t="shared" si="88"/>
        <v>0</v>
      </c>
      <c r="AB117" s="221">
        <f t="shared" si="88"/>
        <v>0</v>
      </c>
      <c r="AC117" s="221">
        <f t="shared" si="96"/>
        <v>0</v>
      </c>
      <c r="AD117" s="221">
        <f t="shared" si="89"/>
        <v>0</v>
      </c>
      <c r="AE117" s="221">
        <f t="shared" si="89"/>
        <v>0</v>
      </c>
      <c r="AF117" s="221">
        <f t="shared" si="89"/>
        <v>0</v>
      </c>
      <c r="AG117" s="221">
        <f t="shared" si="89"/>
        <v>0</v>
      </c>
      <c r="AH117" s="221">
        <f t="shared" si="97"/>
        <v>0</v>
      </c>
      <c r="AI117" s="221">
        <f t="shared" si="90"/>
        <v>0</v>
      </c>
      <c r="AJ117" s="221">
        <f t="shared" si="90"/>
        <v>0</v>
      </c>
      <c r="AK117" s="221">
        <f t="shared" si="90"/>
        <v>0</v>
      </c>
      <c r="AL117" s="221">
        <f t="shared" si="90"/>
        <v>0</v>
      </c>
      <c r="AM117" s="221">
        <v>0</v>
      </c>
      <c r="AN117" s="221">
        <v>0</v>
      </c>
      <c r="AO117" s="221">
        <v>0</v>
      </c>
      <c r="AP117" s="221">
        <v>0</v>
      </c>
      <c r="AQ117" s="221">
        <v>0</v>
      </c>
      <c r="AR117" s="221">
        <v>0</v>
      </c>
      <c r="AS117" s="221">
        <v>0</v>
      </c>
      <c r="AT117" s="221">
        <v>0</v>
      </c>
      <c r="AU117" s="221">
        <v>0</v>
      </c>
      <c r="AV117" s="221">
        <v>0</v>
      </c>
      <c r="AW117" s="221">
        <v>0</v>
      </c>
      <c r="AX117" s="221">
        <v>0</v>
      </c>
      <c r="AY117" s="221">
        <v>0</v>
      </c>
      <c r="AZ117" s="221">
        <v>0</v>
      </c>
      <c r="BA117" s="221">
        <v>0</v>
      </c>
      <c r="BB117" s="221">
        <v>0</v>
      </c>
      <c r="BC117" s="221">
        <v>0</v>
      </c>
      <c r="BD117" s="221">
        <v>0</v>
      </c>
      <c r="BE117" s="221">
        <v>0</v>
      </c>
      <c r="BF117" s="221">
        <v>0</v>
      </c>
      <c r="BG117" s="221">
        <v>0</v>
      </c>
      <c r="BH117" s="221">
        <v>0</v>
      </c>
      <c r="BI117" s="221">
        <v>0</v>
      </c>
      <c r="BJ117" s="221">
        <v>0</v>
      </c>
      <c r="BK117" s="221">
        <v>0</v>
      </c>
      <c r="BL117" s="221">
        <v>0</v>
      </c>
      <c r="BM117" s="221">
        <v>0</v>
      </c>
      <c r="BN117" s="221">
        <v>0</v>
      </c>
      <c r="BO117" s="221">
        <v>0</v>
      </c>
      <c r="BP117" s="221">
        <v>0</v>
      </c>
      <c r="BQ117" s="221">
        <v>0</v>
      </c>
      <c r="BR117" s="221">
        <v>0</v>
      </c>
      <c r="BS117" s="221">
        <v>0</v>
      </c>
      <c r="BT117" s="221">
        <v>0</v>
      </c>
      <c r="BU117" s="221">
        <v>0</v>
      </c>
      <c r="BV117" s="221">
        <v>0</v>
      </c>
      <c r="BW117" s="221">
        <v>0</v>
      </c>
      <c r="BX117" s="221">
        <v>0</v>
      </c>
      <c r="BY117" s="221">
        <v>0</v>
      </c>
      <c r="BZ117" s="221">
        <v>0</v>
      </c>
      <c r="CA117" s="221">
        <v>0</v>
      </c>
      <c r="CB117" s="221">
        <v>0</v>
      </c>
      <c r="CC117" s="221">
        <v>0</v>
      </c>
      <c r="CD117" s="221">
        <v>0</v>
      </c>
      <c r="CE117" s="221">
        <v>0</v>
      </c>
      <c r="CF117" s="221">
        <v>0</v>
      </c>
      <c r="CG117" s="221">
        <v>0</v>
      </c>
      <c r="CH117" s="221">
        <v>0</v>
      </c>
      <c r="CI117" s="221">
        <v>0</v>
      </c>
      <c r="CJ117" s="221">
        <v>0</v>
      </c>
    </row>
    <row r="118" spans="2:90" x14ac:dyDescent="0.35">
      <c r="B118" s="42" t="s">
        <v>1331</v>
      </c>
      <c r="C118" s="221">
        <f t="shared" si="91"/>
        <v>0</v>
      </c>
      <c r="D118" s="221">
        <f t="shared" si="91"/>
        <v>0</v>
      </c>
      <c r="E118" s="221">
        <f t="shared" si="91"/>
        <v>0</v>
      </c>
      <c r="F118" s="221">
        <f t="shared" si="91"/>
        <v>0</v>
      </c>
      <c r="G118" s="221">
        <f t="shared" si="91"/>
        <v>0</v>
      </c>
      <c r="H118" s="221">
        <f t="shared" si="91"/>
        <v>0</v>
      </c>
      <c r="I118" s="221">
        <f t="shared" si="92"/>
        <v>0</v>
      </c>
      <c r="J118" s="221">
        <f t="shared" si="85"/>
        <v>0</v>
      </c>
      <c r="K118" s="221">
        <f t="shared" si="85"/>
        <v>0</v>
      </c>
      <c r="L118" s="221">
        <f t="shared" si="85"/>
        <v>0</v>
      </c>
      <c r="M118" s="221">
        <f t="shared" si="85"/>
        <v>0</v>
      </c>
      <c r="N118" s="221">
        <f t="shared" si="93"/>
        <v>0</v>
      </c>
      <c r="O118" s="221">
        <f t="shared" si="86"/>
        <v>0</v>
      </c>
      <c r="P118" s="221">
        <f t="shared" si="86"/>
        <v>0</v>
      </c>
      <c r="Q118" s="221">
        <f t="shared" si="86"/>
        <v>0</v>
      </c>
      <c r="R118" s="221">
        <f t="shared" si="86"/>
        <v>0</v>
      </c>
      <c r="S118" s="221">
        <f t="shared" si="94"/>
        <v>0</v>
      </c>
      <c r="T118" s="221">
        <f t="shared" si="87"/>
        <v>0</v>
      </c>
      <c r="U118" s="221">
        <f t="shared" si="87"/>
        <v>0</v>
      </c>
      <c r="V118" s="221">
        <f t="shared" si="87"/>
        <v>0</v>
      </c>
      <c r="W118" s="221">
        <f t="shared" si="87"/>
        <v>0</v>
      </c>
      <c r="X118" s="221">
        <f t="shared" si="95"/>
        <v>0</v>
      </c>
      <c r="Y118" s="221">
        <f t="shared" si="88"/>
        <v>0</v>
      </c>
      <c r="Z118" s="221">
        <f t="shared" si="88"/>
        <v>0</v>
      </c>
      <c r="AA118" s="221">
        <f t="shared" si="88"/>
        <v>0</v>
      </c>
      <c r="AB118" s="221">
        <f t="shared" si="88"/>
        <v>0</v>
      </c>
      <c r="AC118" s="221">
        <f t="shared" si="96"/>
        <v>0</v>
      </c>
      <c r="AD118" s="221">
        <f t="shared" si="89"/>
        <v>0</v>
      </c>
      <c r="AE118" s="221">
        <f t="shared" si="89"/>
        <v>0</v>
      </c>
      <c r="AF118" s="221">
        <f t="shared" si="89"/>
        <v>0</v>
      </c>
      <c r="AG118" s="221">
        <f t="shared" si="89"/>
        <v>0</v>
      </c>
      <c r="AH118" s="221">
        <f t="shared" si="97"/>
        <v>0</v>
      </c>
      <c r="AI118" s="221">
        <f t="shared" si="90"/>
        <v>0</v>
      </c>
      <c r="AJ118" s="221">
        <f t="shared" si="90"/>
        <v>0</v>
      </c>
      <c r="AK118" s="221">
        <f t="shared" si="90"/>
        <v>0</v>
      </c>
      <c r="AL118" s="221">
        <f t="shared" si="90"/>
        <v>0</v>
      </c>
      <c r="AM118" s="221">
        <v>0</v>
      </c>
      <c r="AN118" s="221">
        <v>0</v>
      </c>
      <c r="AO118" s="221">
        <v>0</v>
      </c>
      <c r="AP118" s="221">
        <v>0</v>
      </c>
      <c r="AQ118" s="221">
        <v>0</v>
      </c>
      <c r="AR118" s="221">
        <v>0</v>
      </c>
      <c r="AS118" s="221">
        <v>0</v>
      </c>
      <c r="AT118" s="221">
        <v>0</v>
      </c>
      <c r="AU118" s="221">
        <v>0</v>
      </c>
      <c r="AV118" s="221">
        <v>0</v>
      </c>
      <c r="AW118" s="221">
        <v>0</v>
      </c>
      <c r="AX118" s="221">
        <v>0</v>
      </c>
      <c r="AY118" s="221">
        <v>0</v>
      </c>
      <c r="AZ118" s="221">
        <v>0</v>
      </c>
      <c r="BA118" s="221">
        <v>0</v>
      </c>
      <c r="BB118" s="221">
        <v>0</v>
      </c>
      <c r="BC118" s="221">
        <v>0</v>
      </c>
      <c r="BD118" s="221">
        <v>0</v>
      </c>
      <c r="BE118" s="221">
        <v>0</v>
      </c>
      <c r="BF118" s="221">
        <v>0</v>
      </c>
      <c r="BG118" s="221">
        <v>0</v>
      </c>
      <c r="BH118" s="221">
        <v>0</v>
      </c>
      <c r="BI118" s="221">
        <v>0</v>
      </c>
      <c r="BJ118" s="221">
        <v>0</v>
      </c>
      <c r="BK118" s="221">
        <v>0</v>
      </c>
      <c r="BL118" s="221">
        <v>0</v>
      </c>
      <c r="BM118" s="221">
        <v>0</v>
      </c>
      <c r="BN118" s="221">
        <v>0</v>
      </c>
      <c r="BO118" s="221">
        <v>0</v>
      </c>
      <c r="BP118" s="221">
        <v>0</v>
      </c>
      <c r="BQ118" s="221">
        <v>0</v>
      </c>
      <c r="BR118" s="221">
        <v>0</v>
      </c>
      <c r="BS118" s="221">
        <v>0</v>
      </c>
      <c r="BT118" s="221">
        <v>0</v>
      </c>
      <c r="BU118" s="221">
        <v>0</v>
      </c>
      <c r="BV118" s="221">
        <v>0</v>
      </c>
      <c r="BW118" s="221">
        <v>0</v>
      </c>
      <c r="BX118" s="221">
        <v>0</v>
      </c>
      <c r="BY118" s="221">
        <v>0</v>
      </c>
      <c r="BZ118" s="221">
        <v>0</v>
      </c>
      <c r="CA118" s="221">
        <v>0</v>
      </c>
      <c r="CB118" s="221">
        <v>0</v>
      </c>
      <c r="CC118" s="221">
        <v>0</v>
      </c>
      <c r="CD118" s="221">
        <v>0</v>
      </c>
      <c r="CE118" s="221">
        <v>0</v>
      </c>
      <c r="CF118" s="221">
        <v>0</v>
      </c>
      <c r="CG118" s="221">
        <v>0</v>
      </c>
      <c r="CH118" s="221">
        <v>0</v>
      </c>
      <c r="CI118" s="221">
        <v>0</v>
      </c>
      <c r="CJ118" s="221">
        <v>0</v>
      </c>
    </row>
    <row r="119" spans="2:90" x14ac:dyDescent="0.35">
      <c r="CL119" s="226"/>
    </row>
    <row r="120" spans="2:90" x14ac:dyDescent="0.35">
      <c r="CL120" s="22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760</vt:i4>
      </vt:variant>
    </vt:vector>
  </HeadingPairs>
  <TitlesOfParts>
    <vt:vector size="775" baseType="lpstr">
      <vt:lpstr>ReadMe</vt:lpstr>
      <vt:lpstr>glossary_and_narratives</vt:lpstr>
      <vt:lpstr>list_policies_hypotheses</vt:lpstr>
      <vt:lpstr>demography</vt:lpstr>
      <vt:lpstr>society</vt:lpstr>
      <vt:lpstr>economy</vt:lpstr>
      <vt:lpstr>energy</vt:lpstr>
      <vt:lpstr>energy-buildings</vt:lpstr>
      <vt:lpstr>energy-transport</vt:lpstr>
      <vt:lpstr>materials</vt:lpstr>
      <vt:lpstr>land</vt:lpstr>
      <vt:lpstr>climate</vt:lpstr>
      <vt:lpstr>demography_data</vt:lpstr>
      <vt:lpstr>energy-data</vt:lpstr>
      <vt:lpstr>data_materials_calculator</vt:lpstr>
      <vt:lpstr>land!AFFORESTATION_SP</vt:lpstr>
      <vt:lpstr>energy!ANNUAL_EFFICIENCY_INCREASE_PV_SP</vt:lpstr>
      <vt:lpstr>energy!ANNUAL_EFFICIENCY_INCREASE_PV_SP_x</vt:lpstr>
      <vt:lpstr>materials!annual_recycling_rate_variation_base_metals</vt:lpstr>
      <vt:lpstr>energy!ANNUAL_VARIATION_CAPACITY_EXPANSION_PROSTO_DEDICATED_SP</vt:lpstr>
      <vt:lpstr>energy!ANNUAL_VARIATION_CAPACITY_EXPANSION_PROSTO_DEDICATED_SP_x</vt:lpstr>
      <vt:lpstr>demography!AVERAGE_PEOPLE_PER_HOUSEHOLD_NON_EU_REGIONS_TIMESERIES_TARGET_SP</vt:lpstr>
      <vt:lpstr>economy!BASIC_INCOME_SP</vt:lpstr>
      <vt:lpstr>economy!BASIC_INCOME_TAX_PAYERS_SP</vt:lpstr>
      <vt:lpstr>materials!BROWN_COAL_RESOURCE_ESTIMATION_HIGH_SP</vt:lpstr>
      <vt:lpstr>materials!BROWN_COAL_RESOURCE_ESTIMATION_LOW_SP</vt:lpstr>
      <vt:lpstr>materials!BROWN_COAL_RESOURCE_ESTIMATION_MED_SP</vt:lpstr>
      <vt:lpstr>BUFFER_EU_HOUSEHOLDS_SPEED_OF_CHANGE_SP</vt:lpstr>
      <vt:lpstr>energy!CAPACITY_EXPANSION_POLICY_PRIORITIES_SP</vt:lpstr>
      <vt:lpstr>energy!CAPACITY_INVESTMENT_COST_PRO_FLEXOPT_USER_DEFINED_SP</vt:lpstr>
      <vt:lpstr>energy!CAPACITY_INVESTMENT_COST_PROTRA_CHP_HP_PP_USER_DEFINED</vt:lpstr>
      <vt:lpstr>economy!CAPITAL_PRODUCTIVITY_GROWTH_SP</vt:lpstr>
      <vt:lpstr>economy!CAPITAL_PRODUCTIVITY_VARIATION</vt:lpstr>
      <vt:lpstr>economy!CAPITAL_PRODUCTIVITY_VARIATION_SP</vt:lpstr>
      <vt:lpstr>energy!CF_LOSS_SHARE_STOPPING_PROTRA_NUCLEAR_CAPACITY_EXPANSION_SP</vt:lpstr>
      <vt:lpstr>land!CHANGE_TO_REGENERATIVE_AGRICULTURE_SP</vt:lpstr>
      <vt:lpstr>Climate_Sensitivity</vt:lpstr>
      <vt:lpstr>CLIMATE_SENSITIVITY_SP</vt:lpstr>
      <vt:lpstr>economy!CO2_TAX_HOUSEHOLDS_SP</vt:lpstr>
      <vt:lpstr>economy!CO2_TAX_HOUSEHOLDS_SP_x</vt:lpstr>
      <vt:lpstr>economy!CO2_TAX_SECTORS_SP</vt:lpstr>
      <vt:lpstr>economy!CO2_TAX_SECTORS_SP_x</vt:lpstr>
      <vt:lpstr>materials!COAL_RESOURCE_ESTIMATION_HIGH_SP</vt:lpstr>
      <vt:lpstr>materials!COAL_RESOURCE_ESTIMATION_LOW_SP</vt:lpstr>
      <vt:lpstr>materials!COAL_RESOURCE_ESTIMATION_MED_SP</vt:lpstr>
      <vt:lpstr>land!CROPLAND_PROTECTION_SP</vt:lpstr>
      <vt:lpstr>land!CROPS_FOR_ENERGY_SP</vt:lpstr>
      <vt:lpstr>land!CUSTOM_DIET_PATTERN_OF_POLICY_DIETS_SP</vt:lpstr>
      <vt:lpstr>economy!DEBT_INTEREST_RATE_SP</vt:lpstr>
      <vt:lpstr>economy!DEBT_INTEREST_RATE_SP_x</vt:lpstr>
      <vt:lpstr>economy!DEBT_INTEREST_RATE_TARGET_SP</vt:lpstr>
      <vt:lpstr>land!DIET_ACORDING_TO_POLICIES_SP</vt:lpstr>
      <vt:lpstr>materials!Disaggregated_by_mineral_1_or_common_annual_variation_for_all_minerals_2_base_metals</vt:lpstr>
      <vt:lpstr>land!EFFECT_OIL_AND_GAS_ON_AGRICULTURE_SP</vt:lpstr>
      <vt:lpstr>energy!EFFICIENCY_ELECTROLYZERS_DEVELOPMENT_USER_DEFINED_SP</vt:lpstr>
      <vt:lpstr>energy!EFFICIENCY_INCREASE_PV_SP</vt:lpstr>
      <vt:lpstr>energy!EXOGENOUS_CAPACITY_EXPANSION_VARIABILITY_MANAGEMENT_OPTIONS_SP</vt:lpstr>
      <vt:lpstr>EXOGENOUS_ENERGY_FROM_BIOMASS_DEMANDED</vt:lpstr>
      <vt:lpstr>EXOGENOUS_ENERGY_FROM_CROPS_DEMANDED</vt:lpstr>
      <vt:lpstr>EXOGENOUS_LAND_FOR_SOLAR_DEMANDED</vt:lpstr>
      <vt:lpstr>land!EXOGENOUS_LAND_USE_DEMANDS</vt:lpstr>
      <vt:lpstr>Exogenous_other_GHG_emissions_selection_of_RCP</vt:lpstr>
      <vt:lpstr>energy!EXOGENOUS_PROTRA_RES_POTENTIALS_SP</vt:lpstr>
      <vt:lpstr>energy!EXOGENOUS_PROTRA_RES_POTENTIALS_SP_x</vt:lpstr>
      <vt:lpstr>energy!EXOGENOUS_SHARE_OF_NEW_ON_SITE_ELECTROLYZERS_SUBTECHNOLOGIES_SP_x</vt:lpstr>
      <vt:lpstr>EXOGENOUS_WOOD_FOR_INDUSTRY_DEMANDED</vt:lpstr>
      <vt:lpstr>demography!FERTILITY_RATES_SP</vt:lpstr>
      <vt:lpstr>energy!FINAL_ENERGY_EFFICIENCY_RATE_TOP_DOWN_SECTORS_SP</vt:lpstr>
      <vt:lpstr>energy!FINAL_ENERGY_EFFICIENCY_RATE_TOP_DOWN_SECTORS_SP_x</vt:lpstr>
      <vt:lpstr>energy!FINAL_ENERGY_SUBSTITUTION_RATE_TOP_DOWN_SECTORS_SP</vt:lpstr>
      <vt:lpstr>energy!FINAL_ENERGY_SUBSTITUTION_RATE_TOP_DOWN_SECTORS_SP_x</vt:lpstr>
      <vt:lpstr>FINAL_GENDER_PARITY_INDEX_HIGH_SP</vt:lpstr>
      <vt:lpstr>FINAL_GENDER_PARITY_INDEX_MEDIUM_SP</vt:lpstr>
      <vt:lpstr>FINAL_YEAR_BAN_DWELLING_DEVICE_TECHNOLOGY_SP</vt:lpstr>
      <vt:lpstr>FINAL_YEAR_DWELLINGS_RENOVATION_SP</vt:lpstr>
      <vt:lpstr>FINAL_YEAR_IMPROVEMENT_EFFICIENCY_NEW_DWELLINGS_SP</vt:lpstr>
      <vt:lpstr>energy!FINAL_YEAR_POLICY_STEEL_MANUFACTURING_PROCESSES_SP</vt:lpstr>
      <vt:lpstr>energy!FINAL_YEAR_PROTRA_CAPACITY_EXPANSION_POLICY_SP</vt:lpstr>
      <vt:lpstr>energy!FINAL_YEAR_PROTRA_UTILIZATION_ALLOCATION_POLICY_PRIORITIES_SP</vt:lpstr>
      <vt:lpstr>FINAL_YEAR_SECTOR_CO2_TAX_SP</vt:lpstr>
      <vt:lpstr>FINAL_YEAR_SUBSIDY_ASHP_SP</vt:lpstr>
      <vt:lpstr>FINAL_YEAR_SUBSIDY_ESH_SP</vt:lpstr>
      <vt:lpstr>FINAL_YEAR_SUBSIDY_EWH_SP</vt:lpstr>
      <vt:lpstr>FINAL_YEAR_SUBSIDY_GSHP_SP</vt:lpstr>
      <vt:lpstr>FINAL_YEAR_SUBSIDY_RENOVATION_HIGH_SP</vt:lpstr>
      <vt:lpstr>FINAL_YEAR_SUBSIDY_RENOVATION_LOW_SP</vt:lpstr>
      <vt:lpstr>FINAL_YEAR_SUBSIDY_RENOVATION_MEDIUM_SP</vt:lpstr>
      <vt:lpstr>FINAL_YEAR_SUBSIDY_TSOL_SP</vt:lpstr>
      <vt:lpstr>FINAL_YEAR_SUBSIDY_WPB_SP</vt:lpstr>
      <vt:lpstr>economy!FINAL_YEAR_WORKING_TIME_VARIATION_SP</vt:lpstr>
      <vt:lpstr>energy!FLEXIBLE_ELEC_DEMAND_SP</vt:lpstr>
      <vt:lpstr>energy!FLEXIBLE_ELECTROLYZERS_CAPACITY_EXPANSION_TARGET_SP</vt:lpstr>
      <vt:lpstr>land!FOREST_LOSS_LIMIT_SP</vt:lpstr>
      <vt:lpstr>land!FOREST_PLANTATIONS_INCREASE_SP</vt:lpstr>
      <vt:lpstr>land!FORESTRY_SELF_SUFFICIENCY_SP</vt:lpstr>
      <vt:lpstr>materials!FOSSIL_RESOURCE_ESTIMATION_LOW_MED_HIGH_OTHER_SP</vt:lpstr>
      <vt:lpstr>land!FRESH_FOOD_LOSS_CONSUMPTION_SP</vt:lpstr>
      <vt:lpstr>'energy-transport'!FUEL_CONSUMPTION_EFFICIENCY_CHANGE</vt:lpstr>
      <vt:lpstr>materials!GAS_RESOURCE_ESTIMATION_HIGH_SP</vt:lpstr>
      <vt:lpstr>materials!GAS_RESOURCE_ESTIMATION_LOW_SP</vt:lpstr>
      <vt:lpstr>materials!GAS_RESOURCE_ESTIMATION_MED_SP</vt:lpstr>
      <vt:lpstr>materials!GAS_User_defines</vt:lpstr>
      <vt:lpstr>GENDER_PARITY_INDEX_TARGET</vt:lpstr>
      <vt:lpstr>economy!GOVERNMENT_BUDGET_BALANCE_TO_GDP_OBJECTIVE_SP</vt:lpstr>
      <vt:lpstr>economy!GOVERNMENT_BUDGET_BALANCE_TO_GDP_OBJECTIVE_SP_x</vt:lpstr>
      <vt:lpstr>economy!GOVERNMENT_BUDGET_BALANCE_TO_GDP_OBJECTIVE_TARGET_SP</vt:lpstr>
      <vt:lpstr>land!GRASSLAND_MANAGEMENT_SP</vt:lpstr>
      <vt:lpstr>land!GRASSLAND_PROTECTION_SP</vt:lpstr>
      <vt:lpstr>materials!GROWTH_MATERIAL_INTENSITIES_SP</vt:lpstr>
      <vt:lpstr>GWP_time_frame</vt:lpstr>
      <vt:lpstr>H2_NET_EXPORT_SHARE_BY_REGION_SP</vt:lpstr>
      <vt:lpstr>H2_NET_IMPORT_SHARE_BY_REGION_SP</vt:lpstr>
      <vt:lpstr>materials!HARD_COAL_RESOURCE_ESTIMATION_HIGH_SP</vt:lpstr>
      <vt:lpstr>materials!HARD_COAL_RESOURCE_ESTIMATION_LOW_SP</vt:lpstr>
      <vt:lpstr>materials!HARD_COAL_RESOURCE_ESTIMATION_MED_SP</vt:lpstr>
      <vt:lpstr>HOUSEHOLD_COMPOSITION_IN_NON_EU_REGIONS</vt:lpstr>
      <vt:lpstr>IMPROVEMENT_EFFICIENCY_NEW_DWELLINGS_SP</vt:lpstr>
      <vt:lpstr>materials!INITIAL_COAL_RESERVES_2005_SP</vt:lpstr>
      <vt:lpstr>materials!INITIAL_GAS_RESERVES_2005_SP</vt:lpstr>
      <vt:lpstr>economy!INITIAL_LIMIT_ANNUAL_GROWTH_CONSUMPTION_DURABLES_SP</vt:lpstr>
      <vt:lpstr>economy!INITIAL_LIMIT_ANNUAL_GROWTH_CONSUMPTION_NON_DURABLES_SP</vt:lpstr>
      <vt:lpstr>economy!INITIAL_LIMIT_ANNUAL_GROWTH_WAGES_SP</vt:lpstr>
      <vt:lpstr>materials!INITIAL_OIL_RESERVES_2005_SP</vt:lpstr>
      <vt:lpstr>energy!INITIAL_SC_SP</vt:lpstr>
      <vt:lpstr>energy!INITIAL_YEAR_ANNUAL_VARIATION_CAPACITY_EXPANSION_PROSTO_DEDICATED_SP</vt:lpstr>
      <vt:lpstr>INITIAL_YEAR_BAN_DWELLING_DEVICE_TECHNOLOGY_SP</vt:lpstr>
      <vt:lpstr>economy!INITIAL_YEAR_BASIC_INCOME_SP</vt:lpstr>
      <vt:lpstr>economy!INITIAL_YEAR_CAPITAL_PRODUCTIVITY_GROWTH_SP</vt:lpstr>
      <vt:lpstr>economy!INITIAL_YEAR_CAPITAL_PRODUCTIVITY_VARIATION_SP</vt:lpstr>
      <vt:lpstr>economy!INITIAL_YEAR_DEBT_INTEREST_RATE_SP</vt:lpstr>
      <vt:lpstr>INITIAL_YEAR_DWELLINGS_RENOVATION_SP</vt:lpstr>
      <vt:lpstr>energy!INITIAL_YEAR_EFFICIENCY_INCREASE_RATE_PV_SP</vt:lpstr>
      <vt:lpstr>energy!INITIAL_YEAR_FLEX_ELEC_DEMAND_SP</vt:lpstr>
      <vt:lpstr>energy!INITIAL_YEAR_FLEXIBLE_ELECTROLIZERS_EXPANSION_SP</vt:lpstr>
      <vt:lpstr>economy!INITIAL_YEAR_GOVERNMENT_BUDGET_BALANCE_TO_GDP_OBJECTIVE_SP</vt:lpstr>
      <vt:lpstr>INITIAL_YEAR_IMPROVEMENT_EFFICIENCY_NEW_DWELLINGS_SP</vt:lpstr>
      <vt:lpstr>economy!INITIAL_YEAR_LABOUR_PRODUCTIVITY_GROWTH_SP</vt:lpstr>
      <vt:lpstr>economy!INITIAL_YEAR_LABOUR_PRODUCTIVITY_VARIATION_SP</vt:lpstr>
      <vt:lpstr>economy!INITIAL_YEAR_LIMIT_ANNUAL_GROWTH_GOVERNMENT_EXPENDITURE_SP</vt:lpstr>
      <vt:lpstr>economy!INITIAL_YEAR_MARK_UP_VARIATION_SP</vt:lpstr>
      <vt:lpstr>energy!INITIAL_YEAR_ON_SITE_ELECTROLYZERS_EXPANSION_SP</vt:lpstr>
      <vt:lpstr>energy!INITIAL_YEAR_POLICY_STEEL_MANUFACTURING_PROCESSES_SP</vt:lpstr>
      <vt:lpstr>materials!INITIAL_YEAR_REDUCTION_MATERIAL_INTENSITY_ELECTROLYZERS_SP</vt:lpstr>
      <vt:lpstr>materials!INITIAL_YEAR_REDUCTION_MATERIAL_INTENSITY_PV_SP</vt:lpstr>
      <vt:lpstr>INITIAL_YEAR_SECTOR_CO2_TAX_SP</vt:lpstr>
      <vt:lpstr>energy!INITIAL_YEAR_SHARE_MERCHANT_ELECTROLYTIC_H2_DEMAND_FOR_NON_ENERGY_USES_SP</vt:lpstr>
      <vt:lpstr>energy!INITIAL_YEAR_SHARE_NON_ENERGY_USE_FOSSIL_FUELS_SUBSTITUTED_BY_ELECTROLYTIC_H2_SP</vt:lpstr>
      <vt:lpstr>energy!INITIAL_YEAR_STATIONARY_ELECTROLYZERS_EXPANSION_SP</vt:lpstr>
      <vt:lpstr>economy!INITIAL_YEAR_STRUCTURE_GOVERNMENT_CONSUMPTION_SP</vt:lpstr>
      <vt:lpstr>economy!INITIAL_YEAR_STRUCTURE_GOVERNMENT_EXPENDITURE_SP</vt:lpstr>
      <vt:lpstr>economy!INITIAL_YEAR_STRUCTURE_GOVERNMENT_INVESTMENT_SP</vt:lpstr>
      <vt:lpstr>INITIAL_YEAR_SUBSIDY_ASHP_SP</vt:lpstr>
      <vt:lpstr>INITIAL_YEAR_SUBSIDY_ESH_SP</vt:lpstr>
      <vt:lpstr>INITIAL_YEAR_SUBSIDY_EWH_SP</vt:lpstr>
      <vt:lpstr>INITIAL_YEAR_SUBSIDY_GSHP_SP</vt:lpstr>
      <vt:lpstr>INITIAL_YEAR_SUBSIDY_RENOVATION_HIGH_SP</vt:lpstr>
      <vt:lpstr>INITIAL_YEAR_SUBSIDY_RENOVATION_LOW_SP</vt:lpstr>
      <vt:lpstr>INITIAL_YEAR_SUBSIDY_RENOVATION_MEDIUM_SP</vt:lpstr>
      <vt:lpstr>INITIAL_YEAR_SUBSIDY_TSOL_SP</vt:lpstr>
      <vt:lpstr>INITIAL_YEAR_SUBSIDY_WPB_SP</vt:lpstr>
      <vt:lpstr>economy!INITIAL_YEAR_TAX_RATE_INCOME_SP</vt:lpstr>
      <vt:lpstr>materials!INITIAL_YEAR_TAX_RATE_ON_EXTRACTION_OF_RESOURCES</vt:lpstr>
      <vt:lpstr>materials!INITIAL_YEAR_TAX_RATE_ON_EXTRACTION_OF_RESOURCES_HIGH</vt:lpstr>
      <vt:lpstr>materials!INITIAL_YEAR_TAX_RATE_ON_EXTRACTION_OF_RESOURCES_LOW</vt:lpstr>
      <vt:lpstr>materials!INITIAL_YEAR_TAX_RATE_ON_EXTRACTION_OF_RESOURCES_MEDIUM</vt:lpstr>
      <vt:lpstr>materials!INITIAL_YEAR_TAX_RATE_ON_EXTRACTION_OF_RESOURCES_OTHER</vt:lpstr>
      <vt:lpstr>economy!INITIAL_YEAR_TAX_RATE_PRODUCTION_SP</vt:lpstr>
      <vt:lpstr>economy!INITIAL_YEAR_TAX_RATE_PROFITS_SP</vt:lpstr>
      <vt:lpstr>economy!INITIAL_YEAR_TAX_RATE_SOCIAL_SECURITY_SP</vt:lpstr>
      <vt:lpstr>economy!INITIAL_YEAR_TAX_RATE_WEALTH_SP</vt:lpstr>
      <vt:lpstr>economy!INITIAL_YEAR_WORKING_TIME_VARIATION_SP</vt:lpstr>
      <vt:lpstr>economy!LABOUR_PRODUCTIVITY_VARIATION_SP</vt:lpstr>
      <vt:lpstr>economy!LABOUR_PRODUCTIVITY_VARIATION_SP_x</vt:lpstr>
      <vt:lpstr>land!LAND_PRODUCTS_GLOBAL_POOL_SP</vt:lpstr>
      <vt:lpstr>demography_data!LEAB_AVERAGES_SP</vt:lpstr>
      <vt:lpstr>demography_data!LEAB_MAXIMUMS_SP</vt:lpstr>
      <vt:lpstr>demography_data!LEAB_MINIMUMS_SP</vt:lpstr>
      <vt:lpstr>demography!LEAB_YEAR_FINAL_LEAB_SP</vt:lpstr>
      <vt:lpstr>demography!LIFE_EXPECTANCY_AT_BIRTH_SP</vt:lpstr>
      <vt:lpstr>energy!LIFETIME_ELECTROLYZERS_DEVELOPMENT_USER_DEFINED_SP</vt:lpstr>
      <vt:lpstr>economy!LIMIT_ANNUAL_GROWTH_CONSUMPTION_DURABLES_SP</vt:lpstr>
      <vt:lpstr>economy!LIMIT_ANNUAL_GROWTH_CONSUMPTION_DURABLES_SP_x</vt:lpstr>
      <vt:lpstr>economy!LIMIT_ANNUAL_GROWTH_CONSUMPTION_NON_DURABLES_SP</vt:lpstr>
      <vt:lpstr>economy!LIMIT_ANNUAL_GROWTH_CONSUMPTION_NON_DURABLES_SP_x</vt:lpstr>
      <vt:lpstr>economy!LIMIT_ANNUAL_GROWTH_GOVERNMENT_EXPENDITURE_SP</vt:lpstr>
      <vt:lpstr>economy!LIMIT_ANNUAL_GROWTH_GOVERNMENT_EXPENDITURE_SP_x</vt:lpstr>
      <vt:lpstr>economy!LIMIT_ANNUAL_GROWTH_WAGES_SP</vt:lpstr>
      <vt:lpstr>LIMIT_CONSUMPTION_ENERGY_BUILDING_OVER_TOTAL_NON_DURABLES_SP</vt:lpstr>
      <vt:lpstr>economy!LIMIT_CONSUMPTION_ENERGY_OVER_TOTAL_NON_DURABLES</vt:lpstr>
      <vt:lpstr>LIMIT_CONSUMPTION_ENERGY_TRANSPORT_OVER_TOTAL_NON_DURABLES_SP</vt:lpstr>
      <vt:lpstr>economy!LIMIT_LOWER_BOUND_ANNUAL_GROWTH_WAGES_SP</vt:lpstr>
      <vt:lpstr>economy!LIMIT_UPPER_BOUND_ANNUAL_GROWTH_WAGES_SP</vt:lpstr>
      <vt:lpstr>'energy-transport'!LOAD_FACTOR_VARIATION_SP</vt:lpstr>
      <vt:lpstr>economy!LOCKDOWN_EFFECT_ON_HOUSEHOLDS_TRANSPORT_SP</vt:lpstr>
      <vt:lpstr>economy!LOCKDOWN_HOUSEHOLDS_TRANSPORT_DEMAND_VARIATION_SP</vt:lpstr>
      <vt:lpstr>land!MANAGED_FOREST_PROTECTION_SP</vt:lpstr>
      <vt:lpstr>land!MANURE_MANAGEMENT_SYSTEM_SP</vt:lpstr>
      <vt:lpstr>economy!MARK_UP_SP</vt:lpstr>
      <vt:lpstr>economy!MARK_UP_SP_x</vt:lpstr>
      <vt:lpstr>economy!MARK_UP_VARIATION_SP</vt:lpstr>
      <vt:lpstr>MATERIALS_ORE_GRADE_PE_IMPACT_EXTRACTION_SP</vt:lpstr>
      <vt:lpstr>MATERIALS_ORE_GRADE_PE_IMPACT_EXTRACTION_TARGET_SP</vt:lpstr>
      <vt:lpstr>materials!MATERIALS_RECYCLING_SP</vt:lpstr>
      <vt:lpstr>materials!MATERIALS_RECYCLING_SP_x</vt:lpstr>
      <vt:lpstr>materials!MATERIALS_W_I</vt:lpstr>
      <vt:lpstr>demography_data!MAX_LIFE_EXPECTANCY_AT_BIRTH</vt:lpstr>
      <vt:lpstr>MAX_OCCUPANCY_RATE_PUBLIC_VEHICLES_SP</vt:lpstr>
      <vt:lpstr>energy!MAXIMUM_CAPACITY_STOCK_STATIONARY_BATTERIES_SP</vt:lpstr>
      <vt:lpstr>materials!MAXIMUM_EXTRACTION_URANIUM_USER_DEFINED_SP</vt:lpstr>
      <vt:lpstr>land!MAXIMUM_INCREASE_LAND_USES_BY_REGION</vt:lpstr>
      <vt:lpstr>land!MAXIMUM_INCREASE_OF_LAND_BY_SOURCE</vt:lpstr>
      <vt:lpstr>energy!MAXIMUM_SYSTEM_CURTAILMENT_SP</vt:lpstr>
      <vt:lpstr>MAXIMUM_YIELDS_R_AND_I_INDUSTRIAL_CUSTOM_SP</vt:lpstr>
      <vt:lpstr>demography!MIGRATION_SP</vt:lpstr>
      <vt:lpstr>MINERAL_EOL_RECYCLING_RATE_TARGETS_SP</vt:lpstr>
      <vt:lpstr>MINERALS_RECYCLING_SP_MEDEAS_bottom_up</vt:lpstr>
      <vt:lpstr>energy!MINIMUM_POTENTIAL_PROFLEX_EXPANSION_SP</vt:lpstr>
      <vt:lpstr>energy!MINIMUM_POTENTIAL_PROFLEX_EXPANSION_SP_x</vt:lpstr>
      <vt:lpstr>energy!MINIMUM_PROFLEX_CAPACITY_EXPANSION_SP</vt:lpstr>
      <vt:lpstr>land!NATURAL_LAND_PROTECTION_SP</vt:lpstr>
      <vt:lpstr>land!OBJECTIVE_CROPS_FOR_ENERGY_SP</vt:lpstr>
      <vt:lpstr>land!OBJECTIVE_DIET_CHANGE_SP</vt:lpstr>
      <vt:lpstr>land!OBJECTIVE_EFFECT_OIL_AND_GAS_ON_AGRICULTURE_SP</vt:lpstr>
      <vt:lpstr>energy!OBJECTIVE_ELECTRIC_BOILERS_EXPANSION_SP</vt:lpstr>
      <vt:lpstr>demography!OBJECTIVE_FERTILITY_RATES_SP</vt:lpstr>
      <vt:lpstr>energy!OBJECTIVE_FLEX_ELEC_DEMAND_SP</vt:lpstr>
      <vt:lpstr>energy!OBJECTIVE_FLEXIBLE_ELECTROLIZERS_EXPANSION_SP</vt:lpstr>
      <vt:lpstr>land!OBJECTIVE_FOREST_LOSS_LIMIT_SP</vt:lpstr>
      <vt:lpstr>land!OBJECTIVE_FOREST_PLANTATIONS</vt:lpstr>
      <vt:lpstr>land!OBJECTIVE_FORESTRY_SELF_SUFFICIENCY_SP</vt:lpstr>
      <vt:lpstr>OBJECTIVE_FUEL_CONSUMPTION_EFFICIENCY_CHANGE_AUSTRIA_SP</vt:lpstr>
      <vt:lpstr>OBJECTIVE_FUEL_CONSUMPTION_EFFICIENCY_CHANGE_BELGIUM_SP</vt:lpstr>
      <vt:lpstr>OBJECTIVE_FUEL_CONSUMPTION_EFFICIENCY_CHANGE_BULGARIA_SP</vt:lpstr>
      <vt:lpstr>OBJECTIVE_FUEL_CONSUMPTION_EFFICIENCY_CHANGE_CHINA_SP</vt:lpstr>
      <vt:lpstr>OBJECTIVE_FUEL_CONSUMPTION_EFFICIENCY_CHANGE_CROATIA_SP</vt:lpstr>
      <vt:lpstr>OBJECTIVE_FUEL_CONSUMPTION_EFFICIENCY_CHANGE_CYPRUS_SP</vt:lpstr>
      <vt:lpstr>OBJECTIVE_FUEL_CONSUMPTION_EFFICIENCY_CHANGE_CZECH_REPUBLIC_SP</vt:lpstr>
      <vt:lpstr>OBJECTIVE_FUEL_CONSUMPTION_EFFICIENCY_CHANGE_DENMARK_SP</vt:lpstr>
      <vt:lpstr>OBJECTIVE_FUEL_CONSUMPTION_EFFICIENCY_CHANGE_EASOC_SP</vt:lpstr>
      <vt:lpstr>OBJECTIVE_FUEL_CONSUMPTION_EFFICIENCY_CHANGE_ESTONIA_SP</vt:lpstr>
      <vt:lpstr>OBJECTIVE_FUEL_CONSUMPTION_EFFICIENCY_CHANGE_FINLAND_SP</vt:lpstr>
      <vt:lpstr>OBJECTIVE_FUEL_CONSUMPTION_EFFICIENCY_CHANGE_FRANCE_SP</vt:lpstr>
      <vt:lpstr>OBJECTIVE_FUEL_CONSUMPTION_EFFICIENCY_CHANGE_GERMANY_SP</vt:lpstr>
      <vt:lpstr>OBJECTIVE_FUEL_CONSUMPTION_EFFICIENCY_CHANGE_GREECE_SP</vt:lpstr>
      <vt:lpstr>OBJECTIVE_FUEL_CONSUMPTION_EFFICIENCY_CHANGE_HUNGARY_SP</vt:lpstr>
      <vt:lpstr>OBJECTIVE_FUEL_CONSUMPTION_EFFICIENCY_CHANGE_INDIA_SP</vt:lpstr>
      <vt:lpstr>OBJECTIVE_FUEL_CONSUMPTION_EFFICIENCY_CHANGE_IRELAND_SP</vt:lpstr>
      <vt:lpstr>OBJECTIVE_FUEL_CONSUMPTION_EFFICIENCY_CHANGE_ITALY_SP</vt:lpstr>
      <vt:lpstr>OBJECTIVE_FUEL_CONSUMPTION_EFFICIENCY_CHANGE_LATAM_SP</vt:lpstr>
      <vt:lpstr>OBJECTIVE_FUEL_CONSUMPTION_EFFICIENCY_CHANGE_LATVIA_SP</vt:lpstr>
      <vt:lpstr>OBJECTIVE_FUEL_CONSUMPTION_EFFICIENCY_CHANGE_LITHUANIA_SP</vt:lpstr>
      <vt:lpstr>OBJECTIVE_FUEL_CONSUMPTION_EFFICIENCY_CHANGE_LROW_SP</vt:lpstr>
      <vt:lpstr>OBJECTIVE_FUEL_CONSUMPTION_EFFICIENCY_CHANGE_LUXEMBOURG_SP</vt:lpstr>
      <vt:lpstr>OBJECTIVE_FUEL_CONSUMPTION_EFFICIENCY_CHANGE_MALTA_SP</vt:lpstr>
      <vt:lpstr>OBJECTIVE_FUEL_CONSUMPTION_EFFICIENCY_CHANGE_NETHERLANDS_SP</vt:lpstr>
      <vt:lpstr>OBJECTIVE_FUEL_CONSUMPTION_EFFICIENCY_CHANGE_POLAND_SP</vt:lpstr>
      <vt:lpstr>OBJECTIVE_FUEL_CONSUMPTION_EFFICIENCY_CHANGE_PORTUGAL_SP</vt:lpstr>
      <vt:lpstr>OBJECTIVE_FUEL_CONSUMPTION_EFFICIENCY_CHANGE_ROMANIA_SP</vt:lpstr>
      <vt:lpstr>OBJECTIVE_FUEL_CONSUMPTION_EFFICIENCY_CHANGE_RUSSIA_SP</vt:lpstr>
      <vt:lpstr>OBJECTIVE_FUEL_CONSUMPTION_EFFICIENCY_CHANGE_SLOVAKIA_SP</vt:lpstr>
      <vt:lpstr>OBJECTIVE_FUEL_CONSUMPTION_EFFICIENCY_CHANGE_SLOVENIA_SP</vt:lpstr>
      <vt:lpstr>'energy-transport'!OBJECTIVE_FUEL_CONSUMPTION_EFFICIENCY_CHANGE_SP</vt:lpstr>
      <vt:lpstr>OBJECTIVE_FUEL_CONSUMPTION_EFFICIENCY_CHANGE_SPAIN_SP</vt:lpstr>
      <vt:lpstr>OBJECTIVE_FUEL_CONSUMPTION_EFFICIENCY_CHANGE_SWEDEN_SP</vt:lpstr>
      <vt:lpstr>OBJECTIVE_FUEL_CONSUMPTION_EFFICIENCY_CHANGE_UK_SP</vt:lpstr>
      <vt:lpstr>OBJECTIVE_FUEL_CONSUMPTION_EFFICIENCY_CHANGE_USMCA_SP</vt:lpstr>
      <vt:lpstr>land!OBJECTIVE_GRASSLAND_MANAGEMENT_SP</vt:lpstr>
      <vt:lpstr>energy!OBJECTIVE_HEAT_PUMPS_EXPANSION_SP</vt:lpstr>
      <vt:lpstr>land!OBJECTIVE_LAND_PRODUCTS_GLOBAL_POOL_SP</vt:lpstr>
      <vt:lpstr>demography!OBJECTIVE_LEAB_SP</vt:lpstr>
      <vt:lpstr>'energy-transport'!OBJECTIVE_LOAD_FACTOR_CHANGE_SP</vt:lpstr>
      <vt:lpstr>energy!OBJECTIVE_ON_SITE_ELECTROLYZERS_EXPANSION_SP</vt:lpstr>
      <vt:lpstr>'energy-transport'!OBJECTIVE_REDUCTION_TRANSPORT_DEMAND_SP</vt:lpstr>
      <vt:lpstr>energy!OBJECTIVE_SC_SP</vt:lpstr>
      <vt:lpstr>energy!OBJECTIVE_SHARE_FOSSIL_FUELS_SUBSTITUTED_BY_ELECTROLYTIC_H2_AMMONIA_PRODUCTION_SP</vt:lpstr>
      <vt:lpstr>energy!OBJECTIVE_SHARE_FOSSIL_FUELS_SUBSTITUTED_BY_ELECTROLYTIC_H2_METHANOL_PRODUCTION_SP</vt:lpstr>
      <vt:lpstr>energy!OBJECTIVE_SHARE_FOSSIL_FUELS_SUBSTITUTED_BY_ELECTROLYTIC_H2_OIL_REFINING_SP</vt:lpstr>
      <vt:lpstr>energy!OBJECTIVE_SHARE_MERCHANT_ELECTROLYTIC_H2_DEMAND_FOR_NON_ENERGY_USES_SP</vt:lpstr>
      <vt:lpstr>energy!OBJECTIVE_SHARE_STEEL_BF_PROCESSES_SP</vt:lpstr>
      <vt:lpstr>energy!OBJECTIVE_SHARE_STEEL_DRI_PROCESSES_SP</vt:lpstr>
      <vt:lpstr>energy!OBJECTIVE_SHARE_STEEL_HDRI_PROCESSES_SP</vt:lpstr>
      <vt:lpstr>land!OBJECTIVE_SOLAR_LAND_FROM_OTHERS</vt:lpstr>
      <vt:lpstr>energy!OBJECTIVE_STATIONARY_ELECTROLYZERS_EXPANSION_SP</vt:lpstr>
      <vt:lpstr>land!OBJECTIVE_URBAN_LAND_DENSITY_SP</vt:lpstr>
      <vt:lpstr>land!OBJECTIVE_WOOD_FOR_ENERGY_SP</vt:lpstr>
      <vt:lpstr>materials!OIL_RESOURCE_ESTIMATION_HIGH_SP</vt:lpstr>
      <vt:lpstr>materials!OIL_RESOURCE_ESTIMATION_LOW_SP</vt:lpstr>
      <vt:lpstr>materials!OIL_RESOURCE_ESTIMATION_MED_SP</vt:lpstr>
      <vt:lpstr>materials!OIL_User_defines</vt:lpstr>
      <vt:lpstr>materials!OPEC_OIL_TARGET_PRICE_SP</vt:lpstr>
      <vt:lpstr>materials!OPEC_TARGET_PRICE_HIGH</vt:lpstr>
      <vt:lpstr>materials!OPEC_TARGET_PRICE_LOW</vt:lpstr>
      <vt:lpstr>materials!OPEC_TARGET_PRICE_MED</vt:lpstr>
      <vt:lpstr>materials!OPEC_TARGET_PRICE_OTHER</vt:lpstr>
      <vt:lpstr>demography!PERCENTAGE_EMIGRATIONS_SP</vt:lpstr>
      <vt:lpstr>energy!PHS_POTENTIAL_SP</vt:lpstr>
      <vt:lpstr>energy!PHS_POTENTIAL_SP_x</vt:lpstr>
      <vt:lpstr>land!POLICY_LAND_PROTECTION_FROM_SOLAR_PV_SP</vt:lpstr>
      <vt:lpstr>land!POLICY_LAND_PROTECTION_FROM_SOLAR_PV_SP_x</vt:lpstr>
      <vt:lpstr>land!POLICY_MAXIMUM_SHARE_SOLAR_URBAN_SP</vt:lpstr>
      <vt:lpstr>land!POLICY_MAXIMUM_SHARE_SOLAR_URBAN_SP_x</vt:lpstr>
      <vt:lpstr>land!POLICY_OBJECTIVE_AFFORESTATION_SP</vt:lpstr>
      <vt:lpstr>land!POLICY_OBJECTIVE_CROPLAND_PROTECTION_SP</vt:lpstr>
      <vt:lpstr>land!POLICY_OBJECTIVE_GRASSLAND_PROTECTION_SP</vt:lpstr>
      <vt:lpstr>land!POLICY_OBJECTIVE_INDUSTRIAL_AGRICULTURE_SP</vt:lpstr>
      <vt:lpstr>land!POLICY_OBJECTIVE_MANAGED_FOREST_PROTECTION_SP</vt:lpstr>
      <vt:lpstr>land!POLICY_OBJECTIVE_NATURAL_LAND_PROTECTION_SP</vt:lpstr>
      <vt:lpstr>land!POLICY_OBJECTIVE_PRIMARY_FOREST_PROTECTION_SP</vt:lpstr>
      <vt:lpstr>land!POLICY_OBJECTIVE_REGENERATIVE_AGRICULTURE_SP</vt:lpstr>
      <vt:lpstr>land!POLICY_OBJECTIVE_TRADITIONAL_AGRICULTURE_SP</vt:lpstr>
      <vt:lpstr>land!POLICY_OBJETIVE_BUFFALO_MANURE_SYSTEM_SP</vt:lpstr>
      <vt:lpstr>land!POLICY_OBJETIVE_DAIRY_CATTLE_MANURE_SYSTEM_SP</vt:lpstr>
      <vt:lpstr>land!POLICY_OBJETIVE_OTHER_CATTLE_MANURE_SYSTEM_SP</vt:lpstr>
      <vt:lpstr>land!POLICY_OBJETIVE_SWINE_MANURE_SYSTEM_SP</vt:lpstr>
      <vt:lpstr>land!POLICY_OF_DIET_PATTERNS_SELECTED</vt:lpstr>
      <vt:lpstr>land!POLICY_OF_GRASSLAND_MANAGEMENT_SELECTED</vt:lpstr>
      <vt:lpstr>land!POLICY_OF_SOLARLAND_MANAGEMENT_SELECTED</vt:lpstr>
      <vt:lpstr>land!POLICY_SWITCH_AFFORESTATION_SP</vt:lpstr>
      <vt:lpstr>land!POLICY_SWITCH_CROPLAND_PROTECTION_SP</vt:lpstr>
      <vt:lpstr>land!POLICY_SWITCH_FOREST_PLANTATIONS_SP</vt:lpstr>
      <vt:lpstr>land!POLICY_SWITCH_GRASSLAND_PROTECTION_SP</vt:lpstr>
      <vt:lpstr>land!POLICY_SWITCH_INDUSTRIAL_AGRICULTURE_SP</vt:lpstr>
      <vt:lpstr>land!POLICY_SWITCH_MANAGED_FOREST_PROTECTION_SP</vt:lpstr>
      <vt:lpstr>land!POLICY_SWITCH_NATURAL_LAND_PROTECTION_SP</vt:lpstr>
      <vt:lpstr>land!POLICY_SWITCH_PRIMARY_FOREST_PROTECTION_SP</vt:lpstr>
      <vt:lpstr>land!POLICY_SWITCH_REGENERATIVE_AGRICULTURE_SP</vt:lpstr>
      <vt:lpstr>land!POLICY_SWITCH_TRADITIONAL_AGRICULTURE_SP</vt:lpstr>
      <vt:lpstr>land!POLICY_YEAR_FINAL_AFFORESTATION_SP</vt:lpstr>
      <vt:lpstr>land!POLICY_YEAR_FINAL_CROPLAND_PROTECTION_SP</vt:lpstr>
      <vt:lpstr>land!POLICY_YEAR_FINAL_GRASSLAND_PROTECTION_SP</vt:lpstr>
      <vt:lpstr>land!POLICY_YEAR_FINAL_INDUSTRIAL_AGRICULTURE_SP</vt:lpstr>
      <vt:lpstr>land!POLICY_YEAR_FINAL_MANAGED_FOREST_PROTECTION_SP</vt:lpstr>
      <vt:lpstr>land!POLICY_YEAR_FINAL_NATURAL_LAND_PROTECTION_SP</vt:lpstr>
      <vt:lpstr>land!POLICY_YEAR_FINAL_PRIMARY_FOREST_PROTECTION_SP</vt:lpstr>
      <vt:lpstr>land!POLICY_YEAR_FINAL_REGENERATIVE_AGRICULTURE_SP</vt:lpstr>
      <vt:lpstr>land!POLICY_YEAR_FINAL_TRADITIONAL_AGRICULTURE_SP</vt:lpstr>
      <vt:lpstr>land!POLICY_YEAR_INITIAL_AFFORESTATION_SP</vt:lpstr>
      <vt:lpstr>land!POLICY_YEAR_INITIAL_CROPLAND_PROTECTION_SP</vt:lpstr>
      <vt:lpstr>land!POLICY_YEAR_INITIAL_GRASSLAND_PROTECTION_SP</vt:lpstr>
      <vt:lpstr>land!POLICY_YEAR_INITIAL_INDUSTRIAL_AGRICULTURE_SP</vt:lpstr>
      <vt:lpstr>land!POLICY_YEAR_INITIAL_MANAGED_FOREST_PROTECTION_SP</vt:lpstr>
      <vt:lpstr>land!POLICY_YEAR_INITIAL_NATURAL_LAND_PROTECTION_SP</vt:lpstr>
      <vt:lpstr>land!POLICY_YEAR_INITIAL_PRIMARY_FOREST_PROTECTION_SP</vt:lpstr>
      <vt:lpstr>land!POLICY_YEAR_INITIAL_REGENERATIVE_AGRICULTURE_SP</vt:lpstr>
      <vt:lpstr>land!POLICY_YEAR_INITIAL_TRADITIONAL_AGRICULTURE_SP</vt:lpstr>
      <vt:lpstr>PREDEFINED_TARGET_YEARLY_IMPROVEMENT_EOL_RECYCLING_RATE_SP</vt:lpstr>
      <vt:lpstr>PREDEFINED_TARGET_YEARLY_INCREASE_PE_EXTRACTION_MATERIALS_SP</vt:lpstr>
      <vt:lpstr>land!PRIORITIES_OF_CROPS_DISTRIBUTION_AMONG_USES_SP</vt:lpstr>
      <vt:lpstr>land!PRIORITIES_OF_CROPS_DISTRIBUTION_USES</vt:lpstr>
      <vt:lpstr>land!PRIORITIES_OF_FORESTRY_DISTRIBUTION_AMONG_USES_SP</vt:lpstr>
      <vt:lpstr>land!PRIORITIES_OF_FORESTRY_DISTRIBUTION_USES</vt:lpstr>
      <vt:lpstr>land!PRIORITIES_OF_LAND_PRODUCTS_DISTRIBUTION_AMONG_REGIONS_SP</vt:lpstr>
      <vt:lpstr>land!PRIORITIES_OF_LAND_PRODUCTS_DISTRIBUTION_REGIONS</vt:lpstr>
      <vt:lpstr>land!PRIORITIES_OF_LAND_USE_CHANGE_SP</vt:lpstr>
      <vt:lpstr>land!PRIORITIES_OF_LAND_USE_CROPLAND_RAINFED</vt:lpstr>
      <vt:lpstr>land!PRIORITIES_OF_LAND_USE_FOREST_MANAGED</vt:lpstr>
      <vt:lpstr>land!PRIORITIES_OF_LAND_USE_FOREST_PLANTATIONS</vt:lpstr>
      <vt:lpstr>land!PRIORITIES_OF_LAND_USE_SOLAR_LAND</vt:lpstr>
      <vt:lpstr>land!PROCESSED_FOOD_LOSS_CONSUMPTION_SP</vt:lpstr>
      <vt:lpstr>PROSTO_PHS_CALCULATOR</vt:lpstr>
      <vt:lpstr>PROSTO_STATIONARY_BATTERIES_CALCULATOR</vt:lpstr>
      <vt:lpstr>energy!PROSUP_CAPACITY_EXPANSION_ALLOCATION_POLICY_PWIDTH_SP</vt:lpstr>
      <vt:lpstr>energy!PROSUP_CAPACITY_EXPANSION_ALLOCATION_POLICY_PWIDTH_SP_x</vt:lpstr>
      <vt:lpstr>energy!PROSUP_CAPACITY_EXPANSION_POLICY_WEIGHT_SP</vt:lpstr>
      <vt:lpstr>energy!PROSUP_FLEXOPT_CAPACITY_EXPANSION_ALLOCATION_POLICY_PRIORITIES_SP</vt:lpstr>
      <vt:lpstr>energy!PROSUP_FLEXOPT_CAPACITY_EXPANSION_POLICY_PRIORITIES_SP</vt:lpstr>
      <vt:lpstr>energy!PROSUP_FLEXOPT_CAPACITY_EXPANSION_POLICYWEIGHT_SP</vt:lpstr>
      <vt:lpstr>energy!PROSUP_P2H_SP</vt:lpstr>
      <vt:lpstr>energy!PROTRA_CAPACITY_EXPANSION_POLICY_WEIGHT_SP</vt:lpstr>
      <vt:lpstr>energy!PROTRA_CAPACITY_EXPANSION_POLICY_WEIGHT_SP_x</vt:lpstr>
      <vt:lpstr>energy!PROTRA_CAPACITY_EXPANSION_PRIORITIES_VECTOR_SP</vt:lpstr>
      <vt:lpstr>PROTRA_PP_solar_CSP_CALCULATOR</vt:lpstr>
      <vt:lpstr>PROTRA_PP_solar_open_space_PV_CALCULATOR</vt:lpstr>
      <vt:lpstr>PROTRA_PP_solar_urban_PV_CALCULATOR</vt:lpstr>
      <vt:lpstr>PROTRA_PP_wind_offshore_CALCULATOR</vt:lpstr>
      <vt:lpstr>PROTRA_PP_wind_onshore_CALCULATOR</vt:lpstr>
      <vt:lpstr>energy!PROTRA_UTILIZATION_ALLOCATION_POLICY_PRIORITIES_SP</vt:lpstr>
      <vt:lpstr>energy!PROTRA_UTILIZATION_ALLOCATION_PRIORITIES_SP</vt:lpstr>
      <vt:lpstr>energy!PROTRA_UTILIZATION_PRIORITIES_POLICY_WEIGHT_SP</vt:lpstr>
      <vt:lpstr>energy!PROTRA_UTILIZATION_PRIORITIES_POLICYWEIGHT_SP</vt:lpstr>
      <vt:lpstr>energy!PROTRA_UTILIZATION_PRIORITIES_POLICYWEIGHT_SP_x</vt:lpstr>
      <vt:lpstr>'energy-data'!PV_PANEL_EFFICIENCY_C_Si_Mono</vt:lpstr>
      <vt:lpstr>energy!PV_PANEL_EFFICIENCY_C_Si_Mono_USER_DEFINED</vt:lpstr>
      <vt:lpstr>energy!PWIDTH_PROTRA_CAPACITY_EXPANSION_PRIORITIES_VECTOR_SP</vt:lpstr>
      <vt:lpstr>energy!PWIDTH_PROTRA_UTILIZATION_ALLOCATION_POLICY_PRIORITIES_SP</vt:lpstr>
      <vt:lpstr>economy!RATIO_BASIC_INCOME_TO_AVERAGE_DISPOSABLE_INCOME_SP</vt:lpstr>
      <vt:lpstr>energy!RATIO_MAXIMUM_PROFLEX_EXPANSION_SP</vt:lpstr>
      <vt:lpstr>energy!RATIO_MAXIMUM_PROFLEX_EXPANSION_SP_x</vt:lpstr>
      <vt:lpstr>RATIO_SECTOR_CO2_PRICE_AVERAGE_CO2_PRICE_SP</vt:lpstr>
      <vt:lpstr>demography_data!RealSSP1</vt:lpstr>
      <vt:lpstr>demography_data!RealSSP2</vt:lpstr>
      <vt:lpstr>demography_data!RealSSP3</vt:lpstr>
      <vt:lpstr>demography_data!RealSSP4</vt:lpstr>
      <vt:lpstr>demography_data!RealSSP5</vt:lpstr>
      <vt:lpstr>economy!RECYCLING_CARBON_TAX_REVENUES_SP</vt:lpstr>
      <vt:lpstr>materials!Recycling_rates_by_mineral_starting_year_base_metals</vt:lpstr>
      <vt:lpstr>materials!Recycling_rates_by_mineral_target_year_base_metals</vt:lpstr>
      <vt:lpstr>materials!REDUCTION_MATERIAL_INTENSITY_PV_REST_OF_MATERIALS_SP</vt:lpstr>
      <vt:lpstr>materials!REDUCTION_MINERAL_DEMAND_PV_SI_SP</vt:lpstr>
      <vt:lpstr>materials!REDUCTION_MINERAL_DEMAND_PV_TIN_SP</vt:lpstr>
      <vt:lpstr>materials!REDUCTION_RATE_MATERIAL_INTENSITY_ALKALINE_ELECTROLYZERS_Ni_SP</vt:lpstr>
      <vt:lpstr>materials!REDUCTION_RATE_MATERIAL_INTENSITY_PEM_ELECTROLYZERS_Ir_SP</vt:lpstr>
      <vt:lpstr>materials!REDUCTION_RATE_MATERIAL_INTENSITY_PEM_ELECTROLYZERS_Pt_SP</vt:lpstr>
      <vt:lpstr>materials!REDUCTION_RATE_MATERIAL_INTENSITY_PEM_ELECTROLYZERS_Ti_SP</vt:lpstr>
      <vt:lpstr>materials!REDUCTION_RATE_MATERIAL_INTENSITY_PV_PANELS_SP</vt:lpstr>
      <vt:lpstr>'energy-transport'!REDUCTION_TRANSPORT_DEMAND_SP</vt:lpstr>
      <vt:lpstr>RENOVATION_COST_SP</vt:lpstr>
      <vt:lpstr>RENOVATION_IMPROVEMENT_SHARES_SP</vt:lpstr>
      <vt:lpstr>materials!Rest_of_the_base_metals_current_rates</vt:lpstr>
      <vt:lpstr>materials!RURR_URANIUM_USER_DEFINED_SP</vt:lpstr>
      <vt:lpstr>energy!SC_SP</vt:lpstr>
      <vt:lpstr>demography!SCEN_FERTILITY</vt:lpstr>
      <vt:lpstr>demography_data!SCEN_FERTILITY_AVERAGE</vt:lpstr>
      <vt:lpstr>demography_data!SCEN_FERTILITY_MAXIMUM</vt:lpstr>
      <vt:lpstr>demography_data!SCEN_FERTILITY_MINIMUM</vt:lpstr>
      <vt:lpstr>SCENARIO_POPULATION_SP</vt:lpstr>
      <vt:lpstr>energy!SELECT_AVAILABILITY_UNDEVELOPED_ENERGY_TECHS_SP</vt:lpstr>
      <vt:lpstr>energy!SELECT_AVAILABILITY_UNMATURE_ENERGY_TECHNOLOGIES_SP_x</vt:lpstr>
      <vt:lpstr>materials!SELECT_BROWN_COAL_RESOURCE_ESTIMATION_SP</vt:lpstr>
      <vt:lpstr>energy!SELECT_CAPACITY_INVESTMENT_COST_DEVELOPMENT_SP</vt:lpstr>
      <vt:lpstr>energy!SELECT_CAPACITY_INVESTMENT_COST_DEVELOPMENT_SP_x</vt:lpstr>
      <vt:lpstr>economy!SELECT_CAPITAL_PRODUCTIVITY_VARIATION_SP</vt:lpstr>
      <vt:lpstr>economy!SELECT_CLIMATE_CHANGE_IMPACT_UNCERTAINTY_SCENARIO_SP</vt:lpstr>
      <vt:lpstr>economy!SELECT_CLIMATE_CHANGE_IMPACT_UNCERTAINTY_SCENARIO_SP_x</vt:lpstr>
      <vt:lpstr>economy!SELECT_CLIMATE_CHANGE_IMPACTS_REMOVE_EXTRAPOLATIONS_SP</vt:lpstr>
      <vt:lpstr>economy!SELECT_CLIMATE_CHANGE_IMPACTS_REMOVE_EXTRAPOLATIONS_SP_x</vt:lpstr>
      <vt:lpstr>economy!SELECT_CLIMATE_CHANGE_IMPACTS_SENSITIVITY_SP</vt:lpstr>
      <vt:lpstr>economy!SELECT_CLIMATE_CHANGE_IMPACTS_SENSITIVITY_SP_x</vt:lpstr>
      <vt:lpstr>land!SELECT_CLIMATE_CROP_YIELDS_MODEL</vt:lpstr>
      <vt:lpstr>SELECT_CLIMATE_HAZARDS_FOR_MORTALITY_SP</vt:lpstr>
      <vt:lpstr>economy!SELECT_CLIMATE_HAZARDS_SP</vt:lpstr>
      <vt:lpstr>economy!SELECT_CLIMATE_HAZARDS_SP_x</vt:lpstr>
      <vt:lpstr>land!SELECT_CLIMATE_MODEL_AND_RCP</vt:lpstr>
      <vt:lpstr>land!SELECT_CLIMATE_MODEL_AND_RCP_x</vt:lpstr>
      <vt:lpstr>economy!SELECT_CO2_TAX_HOUSEHOLDS_SP</vt:lpstr>
      <vt:lpstr>economy!SELECT_CO2_TAX_SECTORS_SP</vt:lpstr>
      <vt:lpstr>economy!SELECT_DEBT_INTEREST_RATE_SP</vt:lpstr>
      <vt:lpstr>energy!SELECT_EFFICIENCY_ELECTROLYZERS_DEVELOPMENT_SP</vt:lpstr>
      <vt:lpstr>energy!SELECT_EROI_MIN_POTENTIAL_SOLAR_WIND_SP_x</vt:lpstr>
      <vt:lpstr>energy!SELECT_EROI_MIN_POTENTIAL_WIND_SOLAR_SP</vt:lpstr>
      <vt:lpstr>energy!SELECT_FINAL_ENERGY_SUBSTITUTION_RATE_TOP_DOWN_SECTORS_SP</vt:lpstr>
      <vt:lpstr>materials!SELECT_GAS_PRICE_OIL_LINK_SP</vt:lpstr>
      <vt:lpstr>materials!SELECT_GAS_PRICE_OIL_LINK_SP_x</vt:lpstr>
      <vt:lpstr>materials!SELECT_GAS_RESPOURCE_ESTIMATION_SP</vt:lpstr>
      <vt:lpstr>economy!SELECT_GASES_CO2_TAX_HOUSEHOLDS_SP</vt:lpstr>
      <vt:lpstr>economy!SELECT_GASES_CO2_TAX_SECTORS_SP</vt:lpstr>
      <vt:lpstr>economy!SELECT_GOVERNMENT_BUDGET_BALANCE_TO_GDP_OBJECTIVE_SP</vt:lpstr>
      <vt:lpstr>SELECT_GWP_TIME_FRAME_SP</vt:lpstr>
      <vt:lpstr>materials!SELECT_HARD_COAL_RESOURCE_ESTIMATION_SP</vt:lpstr>
      <vt:lpstr>SELECT_HEAT_STRESS_IMPACTS_UNCERTAINTY_SCENARIO</vt:lpstr>
      <vt:lpstr>SELECT_LABOUR_IMPACTS_HAZARD_SP</vt:lpstr>
      <vt:lpstr>economy!SELECT_LABOUR_PRODUCTIVITY_VARIATION_SP</vt:lpstr>
      <vt:lpstr>land!SELECT_LAND_USES_BY_REGION_x</vt:lpstr>
      <vt:lpstr>energy!SELECT_LIFETIME_ELECTROLYZERS_DEVELOPMENT_SP</vt:lpstr>
      <vt:lpstr>energy!SELECT_LIFETIME_ELECTROLYZERS_DEVELOPMENT_SP_x</vt:lpstr>
      <vt:lpstr>economy!SELECT_LIMIT_ANNUAL_GROWTH_CONSUMPTION_DURABLES_SP</vt:lpstr>
      <vt:lpstr>economy!SELECT_LIMIT_ANNUAL_GROWTH_CONSUMPTION_NON_DURABLES_SP</vt:lpstr>
      <vt:lpstr>economy!SELECT_LIMIT_ANNUAL_GROWTH_GOVERNMENT_EXPENDITURE_SP</vt:lpstr>
      <vt:lpstr>economy!SELECT_LIMIT_ANNUAL_GROWTH_WAGES_SP</vt:lpstr>
      <vt:lpstr>SELECT_LIMIT_CONSUMPTION_ENERGY_BUILDINGS_OVER_TOTAL_NON_DURABLES_BOTTOM_UP_SP</vt:lpstr>
      <vt:lpstr>economy!SELECT_LIMIT_CONSUMPTION_ENERGY_OVER_TOTAL_NON_DURABLES_SP</vt:lpstr>
      <vt:lpstr>SELECT_LIMIT_CONSUMPTION_TRANSPORT_OVER_TOTAL_NON_DURABLES_BOTTOM_UP_SP</vt:lpstr>
      <vt:lpstr>land!SELECT_LIMITS_LAND_USES_BY_SOURCE_SP</vt:lpstr>
      <vt:lpstr>land!SELECT_LIMITS_LAND_USES_BY_SOURCE_SP_x</vt:lpstr>
      <vt:lpstr>economy!SELECT_LOCKDOWN_EFFECT_ON_TRANSPORT_SP</vt:lpstr>
      <vt:lpstr>economy!SELECT_MARK_UP_VARIATION_SP</vt:lpstr>
      <vt:lpstr>materials!SELECT_MATERIAL_INTENSITIY_SP</vt:lpstr>
      <vt:lpstr>materials!SELECT_MATERIAL_INTENSITY_SP_x</vt:lpstr>
      <vt:lpstr>SELECT_MATERIALS_GRADE_PE_IMPACT_EXTRACTION_SP</vt:lpstr>
      <vt:lpstr>SELECT_MAXIMUM_YIELDS_DEFINED_BY_USER_SP</vt:lpstr>
      <vt:lpstr>SELECT_MINERALS_RECYLING_EOL_SP</vt:lpstr>
      <vt:lpstr>SELECT_NON_ENERGY_FE_USE_INTENSITIES_BY_SECTOR_SP</vt:lpstr>
      <vt:lpstr>materials!SELECT_OIL_RESPOURCE_ESTIMATION_SP</vt:lpstr>
      <vt:lpstr>energy!SELECT_ON_SITE_ELECTROLYZERS_EXPANSION_PRIORITY_SP</vt:lpstr>
      <vt:lpstr>energy!SELECT_ON_SITE_ELECTROLYZERS_EXPANSION_PRIORITY_SP_x</vt:lpstr>
      <vt:lpstr>materials!SELECT_OPEC_SCENARIO_FOSSIL_FUEL_PAPER_SP</vt:lpstr>
      <vt:lpstr>materials!SELECT_OPEC_SCENARIO_FOSSIL_FUEL_PAPER_SP_x</vt:lpstr>
      <vt:lpstr>economy!SELECT_POLICY_FINANCE_BASIC_INCOME_SP</vt:lpstr>
      <vt:lpstr>energy!SELECT_PROTRA_RES_POTENTIALS_SP</vt:lpstr>
      <vt:lpstr>energy!SELECT_PROTRA_RES_POTENTIALS_SP_x</vt:lpstr>
      <vt:lpstr>SELECT_RCP_FOR_EXOGENOUS_GHG_EMISSIONS_SP</vt:lpstr>
      <vt:lpstr>energy!SELECT_ROOFTOP_USE_SOLAR_TECHNOLOGIES_SP</vt:lpstr>
      <vt:lpstr>energy!SELECT_ROOFTOP_USE_SOLAR_TECHNOLOGIES_SP_x</vt:lpstr>
      <vt:lpstr>SELECT_SECTORS_CO2_TAX_SECTORS_SP</vt:lpstr>
      <vt:lpstr>energy!SELECT_STATIONARY_ELECTROLYZERS_EXPANSION_PRIORITY_SP</vt:lpstr>
      <vt:lpstr>energy!SELECT_STATIONARY_ELECTROLYZERS_EXPANSION_PRIORITY_SP_x</vt:lpstr>
      <vt:lpstr>economy!SELECT_STRUCTURE_GOVERNMENT_CONSUMPTION_SP</vt:lpstr>
      <vt:lpstr>economy!SELECT_STRUCTURE_GOVERNMENT_EXPENDITURE_SP</vt:lpstr>
      <vt:lpstr>economy!SELECT_STRUCTURE_GOVERNMENT_INVESTMENT_SP</vt:lpstr>
      <vt:lpstr>economy!SELECT_TAX_RATE_INCOME_SP</vt:lpstr>
      <vt:lpstr>economy!SELECT_TAX_RATE_PRODUCTION_SP</vt:lpstr>
      <vt:lpstr>economy!SELECT_TAX_RATE_PROFITS_SP</vt:lpstr>
      <vt:lpstr>economy!SELECT_TAX_RATE_SOCIAL_SECURITY_SP</vt:lpstr>
      <vt:lpstr>economy!SELECT_TAX_RATE_WEALTH_SP</vt:lpstr>
      <vt:lpstr>SELECT_UNCERTAINTY_H2_LEAKAGES_SP</vt:lpstr>
      <vt:lpstr>materials!SELECT_URANIUM_MAX_SUPPLY_CURVE_SP</vt:lpstr>
      <vt:lpstr>materials!SELECT_URANIUM_MAXIMUM_SUPPLY_CURVE_SP_x</vt:lpstr>
      <vt:lpstr>demography!SELECT_VARIATION_OF_AVERAGE_PEOPLE_PER_HOUSEHOLD_IN_NON_EU_REGIONS_SP</vt:lpstr>
      <vt:lpstr>economy!SELECT_WORKING_TIME_VARIATION_SP</vt:lpstr>
      <vt:lpstr>materials!SET_OPEC_SPARE_CAPACITY_BEFORE_AND_AFTER_SCENARIO_SP</vt:lpstr>
      <vt:lpstr>materials!SET_OPEC_SPARE_CAPACITY_SP</vt:lpstr>
      <vt:lpstr>energy!SHARE_BIOENERGY_IN_TI_LIQUIDS_AND_GASES_SP</vt:lpstr>
      <vt:lpstr>SHARE_FE_GAS_SUBSTITUTED_BY_H2_SYNTHETIC_GAS_SP</vt:lpstr>
      <vt:lpstr>energy!SHARE_FE_LIQUID_AND_GAS_SUBSTITUTED_BY_H2_SYNFUELS_SP</vt:lpstr>
      <vt:lpstr>SHARE_FE_LIQUID_SUBSTITUTED_BY_H2_SYNTHETIC_LIQUID_SP</vt:lpstr>
      <vt:lpstr>SHARE_GHG_REVENUES_HOUSEHOLDS_TO_DWELLING_DEVICES_SP</vt:lpstr>
      <vt:lpstr>SHARE_GHG_REVENUES_HOUSEHOLDS_TO_DWELLING_RENOVATION_SP</vt:lpstr>
      <vt:lpstr>SHARE_GHG_REVENUES_HOUSEHOLDS_TO_FINANCE_BASIC_INCOME_SP</vt:lpstr>
      <vt:lpstr>SHARE_GHG_REVENUES_HOUSEHOLDS_TO_INCOME_TAX_SP</vt:lpstr>
      <vt:lpstr>SHARE_GHG_REVENUES_HOUSEHOLDS_TO_INCREASE_SOCIAL_BENEFITS_SP</vt:lpstr>
      <vt:lpstr>SHARE_GHG_REVENUES_HOUSEHOLDS_TO_REDUCE_DEBT_SP</vt:lpstr>
      <vt:lpstr>SHARE_GHG_REVENUES_SECTORS_TO_DWELLING_DEVICES_SP</vt:lpstr>
      <vt:lpstr>SHARE_GHG_REVENUES_SECTORS_TO_DWELLING_RENOVATION_SP</vt:lpstr>
      <vt:lpstr>SHARE_GHG_REVENUES_SECTORS_TO_FINANCE_BASIC_INCOME_SP</vt:lpstr>
      <vt:lpstr>SHARE_GHG_REVENUES_SECTORS_TO_INCOME_TAX_SP</vt:lpstr>
      <vt:lpstr>SHARE_GHG_REVENUES_SECTORS_TO_INCREASE_SOCIAL_BENEFITS_SP</vt:lpstr>
      <vt:lpstr>SHARE_GHG_REVENUES_SECTORS_TO_REDUCE_DEBT_SP</vt:lpstr>
      <vt:lpstr>economy!SHARE_GHG_REVENUES_TO_FINANCE_BASIC_INCOME_SP</vt:lpstr>
      <vt:lpstr>economy!SHARE_GHG_REVENUES_TO_INCOME_TAX_SP</vt:lpstr>
      <vt:lpstr>economy!SHARE_GHG_REVENUES_TO_INCREASE_SOCIAL_BENEFITS_SP</vt:lpstr>
      <vt:lpstr>economy!SHARE_GHG_REVENUES_TO_REDUCE_DEBT_SP</vt:lpstr>
      <vt:lpstr>energy!SHARE_MERCHANT_ELECTROLYTIC_H2_DEMAND_FOR_NON_ENERGY_USES</vt:lpstr>
      <vt:lpstr>energy!SHARE_NON_ENERGY_USE_FOSSIL_FUELS_SUBSTITUTED_BY_ELECTROLYTIC_H2_SP</vt:lpstr>
      <vt:lpstr>land!SHARE_OF_CHANGE_TO_POLICY_DIET_INICIAL_VALUE_SP</vt:lpstr>
      <vt:lpstr>land!SHARE_OF_CHANGE_TO_POLICY_DIET_SP</vt:lpstr>
      <vt:lpstr>energy!SHARE_OF_NEW_ON_SITE_ELECTROLYZERS_SUBTECHNOLOGIES_SP</vt:lpstr>
      <vt:lpstr>energy!SHARE_OF_NEW_STATIONARY_ELECTROLYZERS_SUBTECHNOLOGIES_SP</vt:lpstr>
      <vt:lpstr>energy!SHARE_PV_INSTALLATIONS_SINGLE_FAMILY_VS_TOTAL_HOUSEHOLDS_BUILDINGS_SP</vt:lpstr>
      <vt:lpstr>energy!SHARE_PV_INSTALLATIONS_SINGLE_FAMILY_VS_TOTAL_HOUSEHOLDS_BUILDINGS_SP_x</vt:lpstr>
      <vt:lpstr>demography_data!SHARES_MIGRATION_SP</vt:lpstr>
      <vt:lpstr>demography!SLOPE_EU_HOUSEHOLDS_SP</vt:lpstr>
      <vt:lpstr>demography!SLOPE_EVOLUTION_OF_EU27_HOUSEHOLDS_COMPOSITION</vt:lpstr>
      <vt:lpstr>land!SOIL_MANAGEMENT_IN_GRASSLANDS_SP</vt:lpstr>
      <vt:lpstr>land!SOLAR_LAND_FROM_OTHERS_SP</vt:lpstr>
      <vt:lpstr>'energy-data'!SOLAR_PV_ROOFTOP_POTENTIAL_C_Si_Mono_0PV_100TH_SP</vt:lpstr>
      <vt:lpstr>'energy-data'!SOLAR_PV_ROOFTOP_POTENTIAL_C_Si_Mono_100PV_0TH_SP</vt:lpstr>
      <vt:lpstr>'energy-data'!SOLAR_PV_ROOFTOP_POTENTIAL_C_Si_Mono_25PV_75TH_SP</vt:lpstr>
      <vt:lpstr>'energy-data'!SOLAR_PV_ROOFTOP_POTENTIAL_C_Si_Mono_50PV_50TH_SP</vt:lpstr>
      <vt:lpstr>'energy-data'!SOLAR_PV_ROOFTOP_POTENTIAL_C_Si_Mono_75PV_25TH_SP</vt:lpstr>
      <vt:lpstr>energy!SOLAR_PV_ROOFTOP_POTENTIAL_C_Si_Mono_USER_DEFINED_SP</vt:lpstr>
      <vt:lpstr>'energy-data'!SOLAR_THERMAL_ROOFTOP_POTENTIAL_0PV_100TH_SP</vt:lpstr>
      <vt:lpstr>'energy-data'!SOLAR_THERMAL_ROOFTOP_POTENTIAL_100PV_0TH_SP</vt:lpstr>
      <vt:lpstr>'energy-data'!SOLAR_THERMAL_ROOFTOP_POTENTIAL_25PV_75TH_SP</vt:lpstr>
      <vt:lpstr>'energy-data'!SOLAR_THERMAL_ROOFTOP_POTENTIAL_50PV_50TH_SP</vt:lpstr>
      <vt:lpstr>'energy-data'!SOLAR_THERMAL_ROOFTOP_POTENTIAL_75PV_25TH_SP</vt:lpstr>
      <vt:lpstr>energy!SOLAR_THERMAL_ROOFTOP_POTENTIAL_USER_DEFINED_SP</vt:lpstr>
      <vt:lpstr>land!SOLARLAND_MANAGEMENT_SP</vt:lpstr>
      <vt:lpstr>SPEED_OF_CHANGE_IN_EU_HOUSEHOLD_COMPOSITION</vt:lpstr>
      <vt:lpstr>energy!START_VALUE_V2G_SP</vt:lpstr>
      <vt:lpstr>energy!START_YEAR_FINAL_ENERGY_EFFICIENCY_RATE_TOP_DOWN_SECTORS_SP</vt:lpstr>
      <vt:lpstr>energy!START_YEAR_FINAL_ENERGY_SUBSTITUTION_RATE_TOP_DOWN_SECTORS_SP</vt:lpstr>
      <vt:lpstr>demography!START_YEAR_MIGRATIONS_SP</vt:lpstr>
      <vt:lpstr>energy!START_YEAR_PROTRA_CAPACITY_EXPANSION_POLICY_SP</vt:lpstr>
      <vt:lpstr>energy!START_YEAR_PROTRA_UTILIZATION_ALLOCATION_POLICY_PRIORITIES_SP</vt:lpstr>
      <vt:lpstr>energy!START_YEAR_V2G_SP</vt:lpstr>
      <vt:lpstr>energy!STATIONARY_BATTERIES_MAXIMUM_SP_x</vt:lpstr>
      <vt:lpstr>energy!STATIONARY_ELECTROLYZERS_CAPACITY_EXPANSION_TARGET_SP</vt:lpstr>
      <vt:lpstr>energy!STATIONARY_STORAGE_MAXIMUM_SP</vt:lpstr>
      <vt:lpstr>energy!STEEL_MANUFACTURING_PROCESSES_SP</vt:lpstr>
      <vt:lpstr>economy!STRUCTURE_GOVERNMENT_CONSUMPTION_SP</vt:lpstr>
      <vt:lpstr>economy!STRUCTURE_GOVERNMENT_CONSUMPTION_SP_x</vt:lpstr>
      <vt:lpstr>economy!STRUCTURE_GOVERNMENT_EXPENDITURE_SP</vt:lpstr>
      <vt:lpstr>economy!STRUCTURE_GOVERNMENT_EXPENDITURE_SP_x</vt:lpstr>
      <vt:lpstr>economy!STRUCTURE_GOVERNMENT_INVESTMENT_SP</vt:lpstr>
      <vt:lpstr>economy!STRUCTURE_GOVERNMENT_INVESTMENT_SP_x</vt:lpstr>
      <vt:lpstr>SUBSIDY_OVER_TOTAL_DEVICE_COST_ASHP_SP</vt:lpstr>
      <vt:lpstr>SUBSIDY_OVER_TOTAL_DEVICE_COST_ESH_SP</vt:lpstr>
      <vt:lpstr>SUBSIDY_OVER_TOTAL_DEVICE_COST_EWH_SP</vt:lpstr>
      <vt:lpstr>SUBSIDY_OVER_TOTAL_DEVICE_COST_GSHP_SP</vt:lpstr>
      <vt:lpstr>SUBSIDY_OVER_TOTAL_DEVICE_COST_TSOL_SP</vt:lpstr>
      <vt:lpstr>SUBSIDY_OVER_TOTAL_DEVICE_COST_WPB_SP</vt:lpstr>
      <vt:lpstr>SUBSIDY_OVER_TOTAL_RENOVATION_COST_HIGH_SP</vt:lpstr>
      <vt:lpstr>SUBSIDY_OVER_TOTAL_RENOVATION_COST_LOW_SP</vt:lpstr>
      <vt:lpstr>SUBSIDY_OVER_TOTAL_RENOVATION_COST_MEDIUM_SP</vt:lpstr>
      <vt:lpstr>SWICHT_DISPATCHABLE_DAM_HYDROPOWER_SP_x</vt:lpstr>
      <vt:lpstr>SWITCH_BAN_DWELLING_DEVICE_TECHNOLOGY_SP</vt:lpstr>
      <vt:lpstr>land!SWITCH_CROPS_FOR_ENERGY_SP</vt:lpstr>
      <vt:lpstr>land!SWITCH_DIET_CHANGE_SP</vt:lpstr>
      <vt:lpstr>SWITCH_DISPATCHABLE_DAM_HYDROPOWER_SP</vt:lpstr>
      <vt:lpstr>SWITCH_DWELLINGS_RENOVATION_SP</vt:lpstr>
      <vt:lpstr>land!SWITCH_EFFECT_OIL_AND_GAS_ON_AGRICULTURE_SP</vt:lpstr>
      <vt:lpstr>energy!SWITCH_FEEDBACK_SYSTEM_CURTAILMENT_TO_CAPACITY_EXPANSION_SP</vt:lpstr>
      <vt:lpstr>energy!SWITCH_FLEX_ELEC_DEMAND_SP</vt:lpstr>
      <vt:lpstr>land!SWITCH_FOREST_LOSS_LIMIT_SP</vt:lpstr>
      <vt:lpstr>land!SWITCH_FORESTRY_SELF_SUFFICIENCY_SP</vt:lpstr>
      <vt:lpstr>'energy-transport'!SWITCH_FUEL_CONSUMPTION_EFFICIENCY_CHANGE_SP</vt:lpstr>
      <vt:lpstr>SWITCH_GENDER_PARITY_INDEX_SP</vt:lpstr>
      <vt:lpstr>SWITCH_IMPROVEMENT_EFFICIENCY_NEW_DWELLINGS_SP</vt:lpstr>
      <vt:lpstr>SWITCH_INTERNATIONAL_H2_TRADE_SP</vt:lpstr>
      <vt:lpstr>land!SWITCH_LAND_PRODUCTS_GLOBAL_POOL_SP</vt:lpstr>
      <vt:lpstr>'energy-transport'!SWITCH_LOAD_FACTOR_CHANGE_SP</vt:lpstr>
      <vt:lpstr>land!SWITCH_MANURE_MANAGEMENT_SYSTEM_SP</vt:lpstr>
      <vt:lpstr>SWITCH_MATERIALS_CALCULATOR</vt:lpstr>
      <vt:lpstr>demography!SWITCH_MIGRATION_SP</vt:lpstr>
      <vt:lpstr>economy!SWITCH_POLICY_BASIC_INCOME_SP</vt:lpstr>
      <vt:lpstr>energy!SWITCH_POLICY_FLEXIBLE_ELECTROLYZERS_EXPANSION_SP</vt:lpstr>
      <vt:lpstr>land!SWITCH_POLICY_FOOD_LOSS_INTAKE_CHANGE_SP</vt:lpstr>
      <vt:lpstr>land!SWITCH_POLICY_GRASSLAND_MANAGEMENT_SP</vt:lpstr>
      <vt:lpstr>land!SWITCH_POLICY_LAND_PROTECTION_FROM_SOLAR_PV_SP</vt:lpstr>
      <vt:lpstr>land!SWITCH_POLICY_MAXIMUM_SHARE_SOLAR_URBAN_SP</vt:lpstr>
      <vt:lpstr>SWITCH_POLICY_ORE_GRADE_IMPACT</vt:lpstr>
      <vt:lpstr>energy!SWITCH_POLICY_PERCENTAGE_FE_LIQUID_AND_GAS_SUBSTITUTED_BY_H2_LIQUIDS_AND_GASES_BASED_FUEL_SP</vt:lpstr>
      <vt:lpstr>energy!SWITCH_POLICY_SHARE_BIOENERGY_IN_TI_LIQUIDS_AND_GASES_SP</vt:lpstr>
      <vt:lpstr>energy!SWITCH_POLICY_SHARE_MERCHANT_ELECTROLYTIC_H2_DEMAND_FOR_NON_ENERGY_USES_SP</vt:lpstr>
      <vt:lpstr>energy!SWITCH_POLICY_SHARE_NON_ENERGY_USE_FOSSIL_FUELS_SUBSTITUTED_BY_ELECTROLYTIC_H2_SP</vt:lpstr>
      <vt:lpstr>energy!SWITCH_POLICY_STEEL_MANUFACTURING_PROCESSES_SP</vt:lpstr>
      <vt:lpstr>'energy-transport'!SWITCH_REDUCTION_TRANSPORT_DEMAND_SP</vt:lpstr>
      <vt:lpstr>SWITCH_RENOVATION_HIGH_SP</vt:lpstr>
      <vt:lpstr>SWITCH_RENOVATION_LOW_SP</vt:lpstr>
      <vt:lpstr>SWITCH_RENOVATION_MEDIUM_SP</vt:lpstr>
      <vt:lpstr>energy!SWITCH_SC_SP</vt:lpstr>
      <vt:lpstr>land!SWITCH_SOLAR_LAND_FROM_OTHERS</vt:lpstr>
      <vt:lpstr>SWITCH_SUBSIDY_ASHP_SP</vt:lpstr>
      <vt:lpstr>SWITCH_SUBSIDY_ESH_SP</vt:lpstr>
      <vt:lpstr>SWITCH_SUBSIDY_EWH_SP</vt:lpstr>
      <vt:lpstr>SWITCH_SUBSIDY_GSHP_SP</vt:lpstr>
      <vt:lpstr>SWITCH_SUBSIDY_TSOL_SP</vt:lpstr>
      <vt:lpstr>SWITCH_SUBSIDY_WPB_SP</vt:lpstr>
      <vt:lpstr>materials!SWITCH_TAX_RATE_ON_EXTRACTION_OF_RESOURCES_SP</vt:lpstr>
      <vt:lpstr>materials!SWITCH_TAX_RATE_ON_EXTRACTION_OF_RESOURCES_SP_x</vt:lpstr>
      <vt:lpstr>'energy-transport'!SWITCH_TRANSPORT_SHARE_SP</vt:lpstr>
      <vt:lpstr>land!SWITCH_URBAN_LAND_DENSITY_SP</vt:lpstr>
      <vt:lpstr>energy!SWITCH_V2G_SP</vt:lpstr>
      <vt:lpstr>land!SWITCH_WOOD_FOR_ENERGY_SP</vt:lpstr>
      <vt:lpstr>'energy-transport'!TARGET_PASSENGER_TRANSPORT_MODAL_SHARE_BY_REGION_SP</vt:lpstr>
      <vt:lpstr>'energy-transport'!TARGET_POWER_TRAIN_SHARE_BY_PASSENGER_TRANSPORT_MODE_AUSTRIA</vt:lpstr>
      <vt:lpstr>'energy-transport'!TARGET_POWER_TRAIN_SHARE_BY_PASSENGER_TRANSPORT_MODE_BELGIUM</vt:lpstr>
      <vt:lpstr>'energy-transport'!TARGET_POWER_TRAIN_SHARE_BY_PASSENGER_TRANSPORT_MODE_BULGARIA</vt:lpstr>
      <vt:lpstr>'energy-transport'!TARGET_POWER_TRAIN_SHARE_BY_PASSENGER_TRANSPORT_MODE_CHINA</vt:lpstr>
      <vt:lpstr>'energy-transport'!TARGET_POWER_TRAIN_SHARE_BY_PASSENGER_TRANSPORT_MODE_CROATIA</vt:lpstr>
      <vt:lpstr>'energy-transport'!TARGET_POWER_TRAIN_SHARE_BY_PASSENGER_TRANSPORT_MODE_CYPRUS</vt:lpstr>
      <vt:lpstr>'energy-transport'!TARGET_POWER_TRAIN_SHARE_BY_PASSENGER_TRANSPORT_MODE_CZECH_REPUBLIC</vt:lpstr>
      <vt:lpstr>'energy-transport'!TARGET_POWER_TRAIN_SHARE_BY_PASSENGER_TRANSPORT_MODE_DENMARK</vt:lpstr>
      <vt:lpstr>'energy-transport'!TARGET_POWER_TRAIN_SHARE_BY_PASSENGER_TRANSPORT_MODE_EASOC</vt:lpstr>
      <vt:lpstr>'energy-transport'!TARGET_POWER_TRAIN_SHARE_BY_PASSENGER_TRANSPORT_MODE_ESTONIA</vt:lpstr>
      <vt:lpstr>'energy-transport'!TARGET_POWER_TRAIN_SHARE_BY_PASSENGER_TRANSPORT_MODE_FINLAND</vt:lpstr>
      <vt:lpstr>'energy-transport'!TARGET_POWER_TRAIN_SHARE_BY_PASSENGER_TRANSPORT_MODE_FRANCE</vt:lpstr>
      <vt:lpstr>'energy-transport'!TARGET_POWER_TRAIN_SHARE_BY_PASSENGER_TRANSPORT_MODE_GERMANY</vt:lpstr>
      <vt:lpstr>'energy-transport'!TARGET_POWER_TRAIN_SHARE_BY_PASSENGER_TRANSPORT_MODE_GREECE</vt:lpstr>
      <vt:lpstr>'energy-transport'!TARGET_POWER_TRAIN_SHARE_BY_PASSENGER_TRANSPORT_MODE_HUNGARY</vt:lpstr>
      <vt:lpstr>'energy-transport'!TARGET_POWER_TRAIN_SHARE_BY_PASSENGER_TRANSPORT_MODE_INDIA</vt:lpstr>
      <vt:lpstr>'energy-transport'!TARGET_POWER_TRAIN_SHARE_BY_PASSENGER_TRANSPORT_MODE_IRELAND</vt:lpstr>
      <vt:lpstr>'energy-transport'!TARGET_POWER_TRAIN_SHARE_BY_PASSENGER_TRANSPORT_MODE_ITALY</vt:lpstr>
      <vt:lpstr>'energy-transport'!TARGET_POWER_TRAIN_SHARE_BY_PASSENGER_TRANSPORT_MODE_LATAM</vt:lpstr>
      <vt:lpstr>'energy-transport'!TARGET_POWER_TRAIN_SHARE_BY_PASSENGER_TRANSPORT_MODE_LATVIA</vt:lpstr>
      <vt:lpstr>'energy-transport'!TARGET_POWER_TRAIN_SHARE_BY_PASSENGER_TRANSPORT_MODE_LITHUANIA</vt:lpstr>
      <vt:lpstr>'energy-transport'!TARGET_POWER_TRAIN_SHARE_BY_PASSENGER_TRANSPORT_MODE_LROW</vt:lpstr>
      <vt:lpstr>'energy-transport'!TARGET_POWER_TRAIN_SHARE_BY_PASSENGER_TRANSPORT_MODE_LUXEMBOURG</vt:lpstr>
      <vt:lpstr>'energy-transport'!TARGET_POWER_TRAIN_SHARE_BY_PASSENGER_TRANSPORT_MODE_MALTA</vt:lpstr>
      <vt:lpstr>'energy-transport'!TARGET_POWER_TRAIN_SHARE_BY_PASSENGER_TRANSPORT_MODE_NETHERLANDS</vt:lpstr>
      <vt:lpstr>'energy-transport'!TARGET_POWER_TRAIN_SHARE_BY_PASSENGER_TRANSPORT_MODE_POLAND</vt:lpstr>
      <vt:lpstr>'energy-transport'!TARGET_POWER_TRAIN_SHARE_BY_PASSENGER_TRANSPORT_MODE_PORTUGAL</vt:lpstr>
      <vt:lpstr>'energy-transport'!TARGET_POWER_TRAIN_SHARE_BY_PASSENGER_TRANSPORT_MODE_ROMANIA</vt:lpstr>
      <vt:lpstr>'energy-transport'!TARGET_POWER_TRAIN_SHARE_BY_PASSENGER_TRANSPORT_MODE_RUSSIA</vt:lpstr>
      <vt:lpstr>'energy-transport'!TARGET_POWER_TRAIN_SHARE_BY_PASSENGER_TRANSPORT_MODE_SLOVAKIA</vt:lpstr>
      <vt:lpstr>'energy-transport'!TARGET_POWER_TRAIN_SHARE_BY_PASSENGER_TRANSPORT_MODE_SLOVENIA</vt:lpstr>
      <vt:lpstr>'energy-transport'!TARGET_POWER_TRAIN_SHARE_BY_PASSENGER_TRANSPORT_MODE_SP</vt:lpstr>
      <vt:lpstr>'energy-transport'!TARGET_POWER_TRAIN_SHARE_BY_PASSENGER_TRANSPORT_MODE_SPAIN</vt:lpstr>
      <vt:lpstr>'energy-transport'!TARGET_POWER_TRAIN_SHARE_BY_PASSENGER_TRANSPORT_MODE_SWEDEN</vt:lpstr>
      <vt:lpstr>'energy-transport'!TARGET_POWER_TRAIN_SHARE_BY_PASSENGER_TRANSPORT_MODE_UK</vt:lpstr>
      <vt:lpstr>'energy-transport'!TARGET_POWER_TRAIN_SHARE_BY_PASSENGER_TRANSPORT_MODE_USMCA</vt:lpstr>
      <vt:lpstr>energy!TARGET_SHARE_BIOENERGY_IN_TI_LIQUIDS_AND_GASES_SP</vt:lpstr>
      <vt:lpstr>energy!TARGET_VALUE_V2G_SP</vt:lpstr>
      <vt:lpstr>energy!TARGET_YEAR_V2G_SP</vt:lpstr>
      <vt:lpstr>economy!TAX_RATE_INCOME_SP</vt:lpstr>
      <vt:lpstr>economy!TAX_RATE_INCOME_SP_x</vt:lpstr>
      <vt:lpstr>materials!TAX_RATE_ON_EXTRACTION_HIGH</vt:lpstr>
      <vt:lpstr>materials!TAX_RATE_ON_EXTRACTION_LOW</vt:lpstr>
      <vt:lpstr>materials!TAX_RATE_ON_EXTRACTION_MEDIUM</vt:lpstr>
      <vt:lpstr>materials!TAX_RATE_ON_EXTRACTION_OF_COAL_SP</vt:lpstr>
      <vt:lpstr>materials!TAX_RATE_ON_EXTRACTION_OF_GAS_SP</vt:lpstr>
      <vt:lpstr>materials!TAX_RATE_ON_EXTRACTION_OF_OIL_SP</vt:lpstr>
      <vt:lpstr>materials!TAX_RATE_ON_EXTRACTION_OTHER</vt:lpstr>
      <vt:lpstr>materials!TAX_RATE_ON_EXTRATION_OF_RESOURCES_SP</vt:lpstr>
      <vt:lpstr>economy!TAX_RATE_PRODUCTION_SP</vt:lpstr>
      <vt:lpstr>economy!TAX_RATE_PRODUCTION_SP_x</vt:lpstr>
      <vt:lpstr>economy!TAX_RATE_PROFITS_SP</vt:lpstr>
      <vt:lpstr>economy!TAX_RATE_PROFITS_SP_x</vt:lpstr>
      <vt:lpstr>economy!TAX_RATE_SOCIAL_SECURITY_SP</vt:lpstr>
      <vt:lpstr>economy!TAX_RATE_SOCIAL_SECURITY_SP_x</vt:lpstr>
      <vt:lpstr>economy!TAX_RATE_WEALTH_SP</vt:lpstr>
      <vt:lpstr>economy!TAX_RATE_WEALTH_SP_x</vt:lpstr>
      <vt:lpstr>energy!time</vt:lpstr>
      <vt:lpstr>TIME_CALCULATOR</vt:lpstr>
      <vt:lpstr>economy!TIME_DEBT_INTEREST</vt:lpstr>
      <vt:lpstr>energy!time_EFFICIENCY_ELECTROLYZERS_DEVELOPMENT_USER_DEFINED_SP</vt:lpstr>
      <vt:lpstr>TIME_EXOGENOUS_DEMANDS_LAND</vt:lpstr>
      <vt:lpstr>economy!TIME_GOV_BALANCE</vt:lpstr>
      <vt:lpstr>time_H2_NET_EXPORT_SHARE_BY_REGION_SP</vt:lpstr>
      <vt:lpstr>time_H2_NET_IMPORT_SHARE_BY_REGION_SP</vt:lpstr>
      <vt:lpstr>demography!time_index_2015_2100</vt:lpstr>
      <vt:lpstr>economy!time_index_2100</vt:lpstr>
      <vt:lpstr>energy!time_LIFETIME_ELECTROLYZERS_DEVELOPMENT_USER_DEFINED_SP</vt:lpstr>
      <vt:lpstr>materials!TIME_SERIES</vt:lpstr>
      <vt:lpstr>time_SHARE_FE_GAS_SUBSTITUTED_BY_H2_SYNTHETIC_GAS_SP</vt:lpstr>
      <vt:lpstr>time_SHARE_FE_LIQUID_SUBSTITUTED_BY_H2_SYNTHETIC_LIQUID_SP</vt:lpstr>
      <vt:lpstr>energy!time_SHARE_OF_NEW_ON_SITE_ELECTROLYZERS_SUBTECHNOLOGIES_SP</vt:lpstr>
      <vt:lpstr>energy!time_SHARE_OF_NEW_STATIONARY_ELECTROLYZERS_SUBTECHNOLOGIES_SP</vt:lpstr>
      <vt:lpstr>demography_data!TimeRealSSPs</vt:lpstr>
      <vt:lpstr>land!TRADITIONAL_TO_INDUSTRIAL_AGRICULTURE_SP</vt:lpstr>
      <vt:lpstr>'energy-transport'!TRANSPORT_DEMAND_SHARE_BY_TRANSPORT_MODE_AND_POWER_TRAIN_SP</vt:lpstr>
      <vt:lpstr>land!URBAN_LAND_DENSITY_SP</vt:lpstr>
      <vt:lpstr>USER_DEFINED_TARGET_YEARLY_IMPROVEMENT_EOL_RECYCLING_RATE_SP</vt:lpstr>
      <vt:lpstr>USER_DEFINED_TARGET_YEARLY_INCREASE_PE_EXTRACTION_MATERIALS_SP</vt:lpstr>
      <vt:lpstr>materials!USER_DEFINED_URANIUM_MAXIMUM_SUPPLY_CURVE</vt:lpstr>
      <vt:lpstr>materials!USER_DEFINED_URANIUM_URR</vt:lpstr>
      <vt:lpstr>energy!V2G_SP</vt:lpstr>
      <vt:lpstr>land!WIDTH_OF_CROPS_DISTRIBUTION_AMONG_USES_SP</vt:lpstr>
      <vt:lpstr>land!WIDTH_OF_CROPS_DISTRIBUTION_USES</vt:lpstr>
      <vt:lpstr>land!WIDTH_OF_FORESTRY_DISTRIBUTION_AMONG_USES_SP</vt:lpstr>
      <vt:lpstr>land!WIDTH_OF_FORESTRY_DISTRIBUTION_USES</vt:lpstr>
      <vt:lpstr>land!WIDTH_OF_LAND_PRODUCTS_DISTRIBUTION_AMONG_REGIONS</vt:lpstr>
      <vt:lpstr>land!WIDTH_OF_LAND_PRODUCTS_DISTRIBUTION_AMONG_REGIONS_SP</vt:lpstr>
      <vt:lpstr>land!WOOD_FOR_ENERGY_SP</vt:lpstr>
      <vt:lpstr>economy!WORKING_TIME_VARIATION_SP</vt:lpstr>
      <vt:lpstr>economy!WORKING_TIME_VARIATION_TARGET_SP</vt:lpstr>
      <vt:lpstr>land!YEAR_FINAL_CROPS_FOR_ENERGY_SP</vt:lpstr>
      <vt:lpstr>land!YEAR_FINAL_DIET_CHANGE_SP</vt:lpstr>
      <vt:lpstr>land!YEAR_FINAL_EFFECT_OIL_AND_GAS_ON_AGRICULTURE_SP</vt:lpstr>
      <vt:lpstr>energy!YEAR_FINAL_ELECTRIC_BOILERS_EXPANSION_SP</vt:lpstr>
      <vt:lpstr>demography!YEAR_FINAL_FERTILITY_RATES_SP</vt:lpstr>
      <vt:lpstr>energy!YEAR_FINAL_FLEX_ELEC_DEMAND_SP</vt:lpstr>
      <vt:lpstr>energy!YEAR_FINAL_FLEXIBLE_ELECTROLIZERS_EXPANSION_SP</vt:lpstr>
      <vt:lpstr>land!YEAR_FINAL_FOOD_LOSS_INTAKE_CHANGE_SP</vt:lpstr>
      <vt:lpstr>land!YEAR_FINAL_FOREST_LOSS_LIMIT_SP</vt:lpstr>
      <vt:lpstr>land!YEAR_FINAL_FOREST_PLANTATIONS</vt:lpstr>
      <vt:lpstr>land!YEAR_FINAL_FORESTRY_SELF_SUFFICIENCY_SP</vt:lpstr>
      <vt:lpstr>'energy-transport'!YEAR_FINAL_FUEL_CONSUMPTION_EFFICIENCY_CHANGE_SP</vt:lpstr>
      <vt:lpstr>YEAR_FINAL_GENDER_PARITY_INDEX_SP</vt:lpstr>
      <vt:lpstr>land!YEAR_FINAL_GRASSLAND_MANAGEMENT_SP</vt:lpstr>
      <vt:lpstr>energy!YEAR_FINAL_HEAT_PUMPS_EXPANSION_SP</vt:lpstr>
      <vt:lpstr>land!YEAR_FINAL_LAND_PRODUCTS_GLOBAL_POOL_SP</vt:lpstr>
      <vt:lpstr>land!YEAR_FINAL_LAND_PROTECTION_FROM_SOLAR_PV_SP</vt:lpstr>
      <vt:lpstr>'energy-transport'!YEAR_FINAL_LOAD_FACTOR_CHANGE_SP</vt:lpstr>
      <vt:lpstr>land!YEAR_FINAL_MANURE_MANAGEMENT_SYSTEM_SP</vt:lpstr>
      <vt:lpstr>energy!YEAR_FINAL_ON_SITE_ELECTROLYZERS_EXPANSION_SP</vt:lpstr>
      <vt:lpstr>'energy-transport'!YEAR_FINAL_REDUCTION_TRANSPORT_DEMAND_SP</vt:lpstr>
      <vt:lpstr>energy!YEAR_FINAL_SC_SP</vt:lpstr>
      <vt:lpstr>energy!YEAR_FINAL_SHARE_BIOENERGY_IN_TI_LIQUIDS_AND_GASES_SP</vt:lpstr>
      <vt:lpstr>energy!YEAR_FINAL_SHARE_MERCHANT_ELECTROLYTIC_H2_DEMAND_FOR_NON_ENERGY_USES_SP</vt:lpstr>
      <vt:lpstr>energy!YEAR_FINAL_SHARE_NON_ENERGY_USE_FOSSIL_FUELS_SUBSTITUTED_BY_ELECTROLYTIC_H2_SP</vt:lpstr>
      <vt:lpstr>land!YEAR_FINAL_SOLAR_LAND_FROM_OTHERS</vt:lpstr>
      <vt:lpstr>energy!YEAR_FINAL_STATIONARY_ELECTROLYZERS_EXPANSION_SP</vt:lpstr>
      <vt:lpstr>'energy-transport'!YEAR_FINAL_TRANSPORT_SHARE_SP</vt:lpstr>
      <vt:lpstr>land!YEAR_FINAL_URBAN_LAND_DENSITY_SP</vt:lpstr>
      <vt:lpstr>land!YEAR_FINAL_WOOD_FOR_ENERGY_SP</vt:lpstr>
      <vt:lpstr>land!YEAR_INITIAL_CROPS_FOR_ENERGY_SP</vt:lpstr>
      <vt:lpstr>land!YEAR_INITIAL_DIET_CHANGE_SP</vt:lpstr>
      <vt:lpstr>land!YEAR_INITIAL_EFFECT_OIL_AND_GAS_ON_AGRICULTURE_SP</vt:lpstr>
      <vt:lpstr>energy!YEAR_INITIAL_ELECTRIC_BOILERS_EXPANSION_SP</vt:lpstr>
      <vt:lpstr>land!YEAR_INITIAL_FOOD_LOSS_INTAKE_CHANGE_SP</vt:lpstr>
      <vt:lpstr>land!YEAR_INITIAL_FOREST_LOSS_LIMIT_SP</vt:lpstr>
      <vt:lpstr>land!YEAR_INITIAL_FOREST_PLANTATIONS</vt:lpstr>
      <vt:lpstr>land!YEAR_INITIAL_FORESTRY_SELF_SUFFICIENCY_SP</vt:lpstr>
      <vt:lpstr>'energy-transport'!YEAR_INITIAL_FUEL_CONSUMPTION_EFFICIENCY_CHANGE_SP</vt:lpstr>
      <vt:lpstr>YEAR_INITIAL_GENDER_PARITY_INDEX_SP</vt:lpstr>
      <vt:lpstr>land!YEAR_INITIAL_GRASSLAND_MANAGEMENT_SP</vt:lpstr>
      <vt:lpstr>energy!YEAR_INITIAL_HEAT_PUMPS_EXPANSION_SP</vt:lpstr>
      <vt:lpstr>land!YEAR_INITIAL_LAND_PRODUCTS_GLOBAL_POOL_SP</vt:lpstr>
      <vt:lpstr>land!YEAR_INITIAL_LAND_PROTECTION_FROM_SOLAR_PV_SP</vt:lpstr>
      <vt:lpstr>'energy-transport'!YEAR_INITIAL_LOAD_FACTOR_CHANGE_SP</vt:lpstr>
      <vt:lpstr>land!YEAR_INITIAL_MANURE_MANAGEMENT_SYSTEM_SP</vt:lpstr>
      <vt:lpstr>YEAR_INITIAL_MATERIALS_ORE_GRADE_PE_IMPACT_EXTRACTION_SP</vt:lpstr>
      <vt:lpstr>YEAR_INITIAL_MINERALS_RECYCLING_SP</vt:lpstr>
      <vt:lpstr>'energy-transport'!YEAR_INITIAL_REDUCTION_TRANSPORT_DEMAND_SP</vt:lpstr>
      <vt:lpstr>energy!YEAR_INITIAL_SC_SP</vt:lpstr>
      <vt:lpstr>energy!YEAR_INITIAL_SHARE_BIOENERGY_IN_TI_LIQUIDS_AND_GASES_SP</vt:lpstr>
      <vt:lpstr>land!YEAR_INITIAL_SOLAR_LAND_FROM_OTHERS</vt:lpstr>
      <vt:lpstr>'energy-transport'!YEAR_INITIAL_TRANSPORT_SHARE_SP</vt:lpstr>
      <vt:lpstr>land!YEAR_INITIAL_URBAN_LAND_DENSITY_SP</vt:lpstr>
      <vt:lpstr>land!YEAR_INITIAL_WOOD_FOR_ENERGY_SP</vt:lpstr>
      <vt:lpstr>economy!YEAR_LOCKDOWN_EFFECT_ON_HOUSEHOLDS_TRANSPORT_SP</vt:lpstr>
      <vt:lpstr>YEAR_TARGET_MATERIALS_ORE_GRADE_PE_IMPACT_EXTRACTION_SP</vt:lpstr>
      <vt:lpstr>YEAR_TARGET_MINERALS_RECYCLING_SP</vt:lpstr>
      <vt:lpstr>YEARS_AMORTIZATION_INVESTMENT_IN_RENOVATION_SP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Alvarez Antelo</dc:creator>
  <cp:lastModifiedBy>IGNACIO DE BLAS SANZ</cp:lastModifiedBy>
  <dcterms:created xsi:type="dcterms:W3CDTF">2020-06-17T18:33:51Z</dcterms:created>
  <dcterms:modified xsi:type="dcterms:W3CDTF">2025-09-30T16:40:01Z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437122166156768</vt:r8>
  </property>
</Properties>
</file>